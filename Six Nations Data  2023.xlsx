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166925"/>
  <xr:revisionPtr revIDLastSave="0" documentId="13_ncr:1_{D0EFB2A9-0870-4F48-BDAE-CA3FC18A6D8B}" xr6:coauthVersionLast="47" xr6:coauthVersionMax="47" xr10:uidLastSave="{00000000-0000-0000-0000-000000000000}"/>
  <bookViews>
    <workbookView xWindow="0" yWindow="0" windowWidth="28800" windowHeight="18000" tabRatio="818" activeTab="8" xr2:uid="{93135407-F19A-4094-BAEE-D1B035BDE2A1}"/>
  </bookViews>
  <sheets>
    <sheet name="Raw Data ----&gt;" sheetId="21" r:id="rId1"/>
    <sheet name="Round 1 Data" sheetId="9" r:id="rId2"/>
    <sheet name="Round 2 Data" sheetId="5" r:id="rId3"/>
    <sheet name="Round 3 Data" sheetId="7" r:id="rId4"/>
    <sheet name="Round 4 Data" sheetId="8" r:id="rId5"/>
    <sheet name="Summary Data" sheetId="11" r:id="rId6"/>
    <sheet name="Points -----&gt;" sheetId="19" r:id="rId7"/>
    <sheet name="Player List" sheetId="10" state="hidden" r:id="rId8"/>
    <sheet name="Round 1 Points" sheetId="12" r:id="rId9"/>
    <sheet name="Round 2 Points" sheetId="13" r:id="rId10"/>
    <sheet name="Round 3 Points" sheetId="14" r:id="rId11"/>
    <sheet name="Round 4 Points" sheetId="15" r:id="rId12"/>
    <sheet name="Summary Points" sheetId="16" r:id="rId13"/>
    <sheet name="Supersub Workings" sheetId="17" state="hidden" r:id="rId14"/>
    <sheet name="Supersub Analysis" sheetId="18" r:id="rId15"/>
  </sheets>
  <definedNames>
    <definedName name="_xlnm._FilterDatabase" localSheetId="7" hidden="1">'Player List'!$A$1:$B$1</definedName>
    <definedName name="_xlnm._FilterDatabase" localSheetId="8" hidden="1">'Round 1 Points'!$A$9:$Z$144</definedName>
    <definedName name="_xlnm._FilterDatabase" localSheetId="9" hidden="1">'Round 2 Points'!$A$9:$Z$146</definedName>
    <definedName name="_xlnm._FilterDatabase" localSheetId="10" hidden="1">'Round 3 Points'!$A$9:$W$145</definedName>
    <definedName name="_xlnm._FilterDatabase" localSheetId="11" hidden="1">'Round 4 Points'!$A$9:$W$147</definedName>
    <definedName name="_xlnm._FilterDatabase" localSheetId="14" hidden="1">'Supersub Analysis'!$A$3:$R$3</definedName>
    <definedName name="_xlnm._FilterDatabase" localSheetId="13" hidden="1">'Supersub Workings'!$N$3:$T$158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2" l="1"/>
  <c r="T10" i="12"/>
  <c r="U10" i="12"/>
  <c r="V10" i="12"/>
  <c r="W10" i="12"/>
  <c r="F11" i="12"/>
  <c r="T11" i="12"/>
  <c r="U11" i="12"/>
  <c r="V11" i="12"/>
  <c r="W11" i="12"/>
  <c r="F12" i="12"/>
  <c r="T12" i="12"/>
  <c r="U12" i="12"/>
  <c r="V12" i="12"/>
  <c r="W12" i="12"/>
  <c r="F13" i="12"/>
  <c r="T13" i="12"/>
  <c r="U13" i="12"/>
  <c r="V13" i="12"/>
  <c r="W13" i="12"/>
  <c r="F14" i="12"/>
  <c r="T14" i="12"/>
  <c r="U14" i="12"/>
  <c r="V14" i="12"/>
  <c r="W14" i="12"/>
  <c r="F15" i="12"/>
  <c r="T15" i="12"/>
  <c r="U15" i="12"/>
  <c r="V15" i="12"/>
  <c r="W15" i="12"/>
  <c r="F16" i="12"/>
  <c r="T16" i="12"/>
  <c r="U16" i="12"/>
  <c r="V16" i="12"/>
  <c r="W16" i="12"/>
  <c r="F17" i="12"/>
  <c r="T17" i="12"/>
  <c r="U17" i="12"/>
  <c r="V17" i="12"/>
  <c r="W17" i="12"/>
  <c r="F18" i="12"/>
  <c r="T18" i="12"/>
  <c r="U18" i="12"/>
  <c r="V18" i="12"/>
  <c r="W18" i="12"/>
  <c r="F19" i="12"/>
  <c r="T19" i="12"/>
  <c r="U19" i="12"/>
  <c r="V19" i="12"/>
  <c r="W19" i="12"/>
  <c r="F20" i="12"/>
  <c r="T20" i="12"/>
  <c r="U20" i="12"/>
  <c r="V20" i="12"/>
  <c r="W20" i="12"/>
  <c r="F21" i="12"/>
  <c r="T21" i="12"/>
  <c r="U21" i="12"/>
  <c r="V21" i="12"/>
  <c r="W21" i="12"/>
  <c r="F22" i="12"/>
  <c r="T22" i="12"/>
  <c r="U22" i="12"/>
  <c r="V22" i="12"/>
  <c r="W22" i="12"/>
  <c r="F23" i="12"/>
  <c r="T23" i="12"/>
  <c r="U23" i="12"/>
  <c r="V23" i="12"/>
  <c r="W23" i="12"/>
  <c r="F24" i="12"/>
  <c r="T24" i="12"/>
  <c r="U24" i="12"/>
  <c r="V24" i="12"/>
  <c r="W24" i="12"/>
  <c r="F25" i="12"/>
  <c r="T25" i="12"/>
  <c r="U25" i="12"/>
  <c r="V25" i="12"/>
  <c r="W25" i="12"/>
  <c r="F26" i="12"/>
  <c r="T26" i="12"/>
  <c r="U26" i="12"/>
  <c r="V26" i="12"/>
  <c r="W26" i="12"/>
  <c r="F27" i="12"/>
  <c r="T27" i="12"/>
  <c r="U27" i="12"/>
  <c r="V27" i="12"/>
  <c r="W27" i="12"/>
  <c r="F28" i="12"/>
  <c r="T28" i="12"/>
  <c r="U28" i="12"/>
  <c r="V28" i="12"/>
  <c r="W28" i="12"/>
  <c r="F29" i="12"/>
  <c r="T29" i="12"/>
  <c r="U29" i="12"/>
  <c r="V29" i="12"/>
  <c r="W29" i="12"/>
  <c r="F30" i="12"/>
  <c r="T30" i="12"/>
  <c r="U30" i="12"/>
  <c r="V30" i="12"/>
  <c r="W30" i="12"/>
  <c r="F31" i="12"/>
  <c r="T31" i="12"/>
  <c r="U31" i="12"/>
  <c r="V31" i="12"/>
  <c r="W31" i="12"/>
  <c r="F32" i="12"/>
  <c r="T32" i="12"/>
  <c r="U32" i="12"/>
  <c r="V32" i="12"/>
  <c r="W32" i="12"/>
  <c r="F33" i="12"/>
  <c r="T33" i="12"/>
  <c r="U33" i="12"/>
  <c r="V33" i="12"/>
  <c r="W33" i="12"/>
  <c r="T34" i="12"/>
  <c r="U34" i="12"/>
  <c r="V34" i="12"/>
  <c r="W34" i="12"/>
  <c r="T35" i="12"/>
  <c r="U35" i="12"/>
  <c r="B35" i="9" a="1"/>
  <c r="B35" i="9"/>
  <c r="D35" i="9"/>
  <c r="V35" i="12"/>
  <c r="W35" i="12"/>
  <c r="T36" i="12"/>
  <c r="U36" i="12"/>
  <c r="V36" i="12"/>
  <c r="W36" i="12"/>
  <c r="T37" i="12"/>
  <c r="U37" i="12"/>
  <c r="V37" i="12"/>
  <c r="W37" i="12"/>
  <c r="T38" i="12"/>
  <c r="U38" i="12"/>
  <c r="V38" i="12"/>
  <c r="W38" i="12"/>
  <c r="T39" i="12"/>
  <c r="U39" i="12"/>
  <c r="V39" i="12"/>
  <c r="W39" i="12"/>
  <c r="T40" i="12"/>
  <c r="U40" i="12"/>
  <c r="V40" i="12"/>
  <c r="W40" i="12"/>
  <c r="T41" i="12"/>
  <c r="U41" i="12"/>
  <c r="V41" i="12"/>
  <c r="W41" i="12"/>
  <c r="T42" i="12"/>
  <c r="U42" i="12"/>
  <c r="V42" i="12"/>
  <c r="W42" i="12"/>
  <c r="T43" i="12"/>
  <c r="U43" i="12"/>
  <c r="V43" i="12"/>
  <c r="W43" i="12"/>
  <c r="T44" i="12"/>
  <c r="U44" i="12"/>
  <c r="V44" i="12"/>
  <c r="W44" i="12"/>
  <c r="T45" i="12"/>
  <c r="U45" i="12"/>
  <c r="V45" i="12"/>
  <c r="W45" i="12"/>
  <c r="T46" i="12"/>
  <c r="U46" i="12"/>
  <c r="V46" i="12"/>
  <c r="W46" i="12"/>
  <c r="T47" i="12"/>
  <c r="U47" i="12"/>
  <c r="V47" i="12"/>
  <c r="W47" i="12"/>
  <c r="T48" i="12"/>
  <c r="U48" i="12"/>
  <c r="V48" i="12"/>
  <c r="W48" i="12"/>
  <c r="T49" i="12"/>
  <c r="U49" i="12"/>
  <c r="V49" i="12"/>
  <c r="W49" i="12"/>
  <c r="T50" i="12"/>
  <c r="U50" i="12"/>
  <c r="V50" i="12"/>
  <c r="W50" i="12"/>
  <c r="T51" i="12"/>
  <c r="U51" i="12"/>
  <c r="V51" i="12"/>
  <c r="W51" i="12"/>
  <c r="T52" i="12"/>
  <c r="U52" i="12"/>
  <c r="V52" i="12"/>
  <c r="W52" i="12"/>
  <c r="T53" i="12"/>
  <c r="U53" i="12"/>
  <c r="V53" i="12"/>
  <c r="W53" i="12"/>
  <c r="T54" i="12"/>
  <c r="U54" i="12"/>
  <c r="V54" i="12"/>
  <c r="W54" i="12"/>
  <c r="T55" i="12"/>
  <c r="U55" i="12"/>
  <c r="V55" i="12"/>
  <c r="W55" i="12"/>
  <c r="T56" i="12"/>
  <c r="U56" i="12"/>
  <c r="V56" i="12"/>
  <c r="W56" i="12"/>
  <c r="T57" i="12"/>
  <c r="U57" i="12"/>
  <c r="V57" i="12"/>
  <c r="W57" i="12"/>
  <c r="T58" i="12"/>
  <c r="U58" i="12"/>
  <c r="V58" i="12"/>
  <c r="W58" i="12"/>
  <c r="T59" i="12"/>
  <c r="U59" i="12"/>
  <c r="V59" i="12"/>
  <c r="W59" i="12"/>
  <c r="T60" i="12"/>
  <c r="U60" i="12"/>
  <c r="V60" i="12"/>
  <c r="W60" i="12"/>
  <c r="T61" i="12"/>
  <c r="U61" i="12"/>
  <c r="V61" i="12"/>
  <c r="W61" i="12"/>
  <c r="T62" i="12"/>
  <c r="U62" i="12"/>
  <c r="V62" i="12"/>
  <c r="W62" i="12"/>
  <c r="T63" i="12"/>
  <c r="U63" i="12"/>
  <c r="V63" i="12"/>
  <c r="W63" i="12"/>
  <c r="T64" i="12"/>
  <c r="U64" i="12"/>
  <c r="V64" i="12"/>
  <c r="W64" i="12"/>
  <c r="T65" i="12"/>
  <c r="U65" i="12"/>
  <c r="V65" i="12"/>
  <c r="W65" i="12"/>
  <c r="T66" i="12"/>
  <c r="U66" i="12"/>
  <c r="V66" i="12"/>
  <c r="W66" i="12"/>
  <c r="T67" i="12"/>
  <c r="U67" i="12"/>
  <c r="V67" i="12"/>
  <c r="W67" i="12"/>
  <c r="T68" i="12"/>
  <c r="U68" i="12"/>
  <c r="V68" i="12"/>
  <c r="W68" i="12"/>
  <c r="T69" i="12"/>
  <c r="U69" i="12"/>
  <c r="V69" i="12"/>
  <c r="W69" i="12"/>
  <c r="T70" i="12"/>
  <c r="U70" i="12"/>
  <c r="V70" i="12"/>
  <c r="W70" i="12"/>
  <c r="T71" i="12"/>
  <c r="U71" i="12"/>
  <c r="V71" i="12"/>
  <c r="W71" i="12"/>
  <c r="T72" i="12"/>
  <c r="U72" i="12"/>
  <c r="V72" i="12"/>
  <c r="W72" i="12"/>
  <c r="T73" i="12"/>
  <c r="U73" i="12"/>
  <c r="V73" i="12"/>
  <c r="W73" i="12"/>
  <c r="T74" i="12"/>
  <c r="U74" i="12"/>
  <c r="V74" i="12"/>
  <c r="W74" i="12"/>
  <c r="T75" i="12"/>
  <c r="U75" i="12"/>
  <c r="V75" i="12"/>
  <c r="W75" i="12"/>
  <c r="T76" i="12"/>
  <c r="U76" i="12"/>
  <c r="V76" i="12"/>
  <c r="W76" i="12"/>
  <c r="T77" i="12"/>
  <c r="U77" i="12"/>
  <c r="V77" i="12"/>
  <c r="W77" i="12"/>
  <c r="T78" i="12"/>
  <c r="U78" i="12"/>
  <c r="V78" i="12"/>
  <c r="W78" i="12"/>
  <c r="T79" i="12"/>
  <c r="U79" i="12"/>
  <c r="V79" i="12"/>
  <c r="W79" i="12"/>
  <c r="T80" i="12"/>
  <c r="U80" i="12"/>
  <c r="V80" i="12"/>
  <c r="W80" i="12"/>
  <c r="T81" i="12"/>
  <c r="U81" i="12"/>
  <c r="V81" i="12"/>
  <c r="W81" i="12"/>
  <c r="T82" i="12"/>
  <c r="U82" i="12"/>
  <c r="V82" i="12"/>
  <c r="W82" i="12"/>
  <c r="T83" i="12"/>
  <c r="U83" i="12"/>
  <c r="V83" i="12"/>
  <c r="W83" i="12"/>
  <c r="T84" i="12"/>
  <c r="U84" i="12"/>
  <c r="V84" i="12"/>
  <c r="W84" i="12"/>
  <c r="T85" i="12"/>
  <c r="U85" i="12"/>
  <c r="V85" i="12"/>
  <c r="W85" i="12"/>
  <c r="T86" i="12"/>
  <c r="U86" i="12"/>
  <c r="V86" i="12"/>
  <c r="W86" i="12"/>
  <c r="T87" i="12"/>
  <c r="U87" i="12"/>
  <c r="V87" i="12"/>
  <c r="W87" i="12"/>
  <c r="T88" i="12"/>
  <c r="U88" i="12"/>
  <c r="V88" i="12"/>
  <c r="W88" i="12"/>
  <c r="T89" i="12"/>
  <c r="U89" i="12"/>
  <c r="V89" i="12"/>
  <c r="W89" i="12"/>
  <c r="T90" i="12"/>
  <c r="U90" i="12"/>
  <c r="V90" i="12"/>
  <c r="W90" i="12"/>
  <c r="T91" i="12"/>
  <c r="U91" i="12"/>
  <c r="V91" i="12"/>
  <c r="W91" i="12"/>
  <c r="T92" i="12"/>
  <c r="U92" i="12"/>
  <c r="V92" i="12"/>
  <c r="W92" i="12"/>
  <c r="T93" i="12"/>
  <c r="U93" i="12"/>
  <c r="V93" i="12"/>
  <c r="W93" i="12"/>
  <c r="T94" i="12"/>
  <c r="U94" i="12"/>
  <c r="V94" i="12"/>
  <c r="W94" i="12"/>
  <c r="T95" i="12"/>
  <c r="U95" i="12"/>
  <c r="V95" i="12"/>
  <c r="W95" i="12"/>
  <c r="T96" i="12"/>
  <c r="U96" i="12"/>
  <c r="V96" i="12"/>
  <c r="W96" i="12"/>
  <c r="T97" i="12"/>
  <c r="U97" i="12"/>
  <c r="V97" i="12"/>
  <c r="W97" i="12"/>
  <c r="T98" i="12"/>
  <c r="U98" i="12"/>
  <c r="V98" i="12"/>
  <c r="W98" i="12"/>
  <c r="T99" i="12"/>
  <c r="U99" i="12"/>
  <c r="V99" i="12"/>
  <c r="W99" i="12"/>
  <c r="T100" i="12"/>
  <c r="U100" i="12"/>
  <c r="V100" i="12"/>
  <c r="W100" i="12"/>
  <c r="T101" i="12"/>
  <c r="U101" i="12"/>
  <c r="V101" i="12"/>
  <c r="W101" i="12"/>
  <c r="T102" i="12"/>
  <c r="U102" i="12"/>
  <c r="V102" i="12"/>
  <c r="W102" i="12"/>
  <c r="T103" i="12"/>
  <c r="U103" i="12"/>
  <c r="V103" i="12"/>
  <c r="W103" i="12"/>
  <c r="T104" i="12"/>
  <c r="U104" i="12"/>
  <c r="V104" i="12"/>
  <c r="W104" i="12"/>
  <c r="T105" i="12"/>
  <c r="U105" i="12"/>
  <c r="V105" i="12"/>
  <c r="W105" i="12"/>
  <c r="T106" i="12"/>
  <c r="U106" i="12"/>
  <c r="V106" i="12"/>
  <c r="W106" i="12"/>
  <c r="T107" i="12"/>
  <c r="U107" i="12"/>
  <c r="V107" i="12"/>
  <c r="W107" i="12"/>
  <c r="T108" i="12"/>
  <c r="U108" i="12"/>
  <c r="V108" i="12"/>
  <c r="W108" i="12"/>
  <c r="T109" i="12"/>
  <c r="U109" i="12"/>
  <c r="V109" i="12"/>
  <c r="W109" i="12"/>
  <c r="T110" i="12"/>
  <c r="U110" i="12"/>
  <c r="V110" i="12"/>
  <c r="W110" i="12"/>
  <c r="T111" i="12"/>
  <c r="U111" i="12"/>
  <c r="V111" i="12"/>
  <c r="W111" i="12"/>
  <c r="T112" i="12"/>
  <c r="U112" i="12"/>
  <c r="V112" i="12"/>
  <c r="W112" i="12"/>
  <c r="T113" i="12"/>
  <c r="U113" i="12"/>
  <c r="V113" i="12"/>
  <c r="W113" i="12"/>
  <c r="T114" i="12"/>
  <c r="U114" i="12"/>
  <c r="V114" i="12"/>
  <c r="W114" i="12"/>
  <c r="T115" i="12"/>
  <c r="U115" i="12"/>
  <c r="V115" i="12"/>
  <c r="W115" i="12"/>
  <c r="T116" i="12"/>
  <c r="U116" i="12"/>
  <c r="V116" i="12"/>
  <c r="W116" i="12"/>
  <c r="T117" i="12"/>
  <c r="U117" i="12"/>
  <c r="V117" i="12"/>
  <c r="W117" i="12"/>
  <c r="T118" i="12"/>
  <c r="U118" i="12"/>
  <c r="V118" i="12"/>
  <c r="W118" i="12"/>
  <c r="T119" i="12"/>
  <c r="U119" i="12"/>
  <c r="V119" i="12"/>
  <c r="W119" i="12"/>
  <c r="T120" i="12"/>
  <c r="U120" i="12"/>
  <c r="V120" i="12"/>
  <c r="W120" i="12"/>
  <c r="T121" i="12"/>
  <c r="U121" i="12"/>
  <c r="V121" i="12"/>
  <c r="W121" i="12"/>
  <c r="T122" i="12"/>
  <c r="U122" i="12"/>
  <c r="V122" i="12"/>
  <c r="W122" i="12"/>
  <c r="T123" i="12"/>
  <c r="U123" i="12"/>
  <c r="V123" i="12"/>
  <c r="W123" i="12"/>
  <c r="T124" i="12"/>
  <c r="U124" i="12"/>
  <c r="V124" i="12"/>
  <c r="W124" i="12"/>
  <c r="T125" i="12"/>
  <c r="U125" i="12"/>
  <c r="V125" i="12"/>
  <c r="W125" i="12"/>
  <c r="T126" i="12"/>
  <c r="U126" i="12"/>
  <c r="V126" i="12"/>
  <c r="W126" i="12"/>
  <c r="T127" i="12"/>
  <c r="U127" i="12"/>
  <c r="V127" i="12"/>
  <c r="W127" i="12"/>
  <c r="T128" i="12"/>
  <c r="U128" i="12"/>
  <c r="V128" i="12"/>
  <c r="W128" i="12"/>
  <c r="T129" i="12"/>
  <c r="U129" i="12"/>
  <c r="V129" i="12"/>
  <c r="W129" i="12"/>
  <c r="T130" i="12"/>
  <c r="U130" i="12"/>
  <c r="V130" i="12"/>
  <c r="W130" i="12"/>
  <c r="T131" i="12"/>
  <c r="U131" i="12"/>
  <c r="V131" i="12"/>
  <c r="W131" i="12"/>
  <c r="T132" i="12"/>
  <c r="U132" i="12"/>
  <c r="V132" i="12"/>
  <c r="W132" i="12"/>
  <c r="T133" i="12"/>
  <c r="U133" i="12"/>
  <c r="V133" i="12"/>
  <c r="W133" i="12"/>
  <c r="T134" i="12"/>
  <c r="U134" i="12"/>
  <c r="V134" i="12"/>
  <c r="W134" i="12"/>
  <c r="T135" i="12"/>
  <c r="U135" i="12"/>
  <c r="V135" i="12"/>
  <c r="W135" i="12"/>
  <c r="T136" i="12"/>
  <c r="U136" i="12"/>
  <c r="V136" i="12"/>
  <c r="W136" i="12"/>
  <c r="T137" i="12"/>
  <c r="U137" i="12"/>
  <c r="V137" i="12"/>
  <c r="W137" i="12"/>
  <c r="T138" i="12"/>
  <c r="U138" i="12"/>
  <c r="V138" i="12"/>
  <c r="W138" i="12"/>
  <c r="T139" i="12"/>
  <c r="U139" i="12"/>
  <c r="V139" i="12"/>
  <c r="W139" i="12"/>
  <c r="T140" i="12"/>
  <c r="U140" i="12"/>
  <c r="V140" i="12"/>
  <c r="W140" i="12"/>
  <c r="T141" i="12"/>
  <c r="U141" i="12"/>
  <c r="V141" i="12"/>
  <c r="W141" i="12"/>
  <c r="T142" i="12"/>
  <c r="U142" i="12"/>
  <c r="V142" i="12"/>
  <c r="W142" i="12"/>
  <c r="T143" i="12"/>
  <c r="U143" i="12"/>
  <c r="V143" i="12"/>
  <c r="W143" i="12"/>
  <c r="T144" i="12"/>
  <c r="U144" i="12"/>
  <c r="V144" i="12"/>
  <c r="W144" i="12"/>
  <c r="D20" i="9"/>
  <c r="B34" i="9" a="1"/>
  <c r="B34" i="9"/>
  <c r="D34" i="9"/>
  <c r="N79" i="18"/>
  <c r="O79" i="18"/>
  <c r="P79" i="18"/>
  <c r="Q79" i="18"/>
  <c r="R79" i="18"/>
  <c r="N84" i="18"/>
  <c r="O84" i="18"/>
  <c r="P84" i="18"/>
  <c r="Q84" i="18"/>
  <c r="R84" i="18"/>
  <c r="N73" i="18"/>
  <c r="O73" i="18"/>
  <c r="P73" i="18"/>
  <c r="Q73" i="18"/>
  <c r="R73" i="18"/>
  <c r="N90" i="18"/>
  <c r="O90" i="18"/>
  <c r="P90" i="18"/>
  <c r="Q90" i="18"/>
  <c r="R90" i="18"/>
  <c r="N63" i="18"/>
  <c r="O63" i="18"/>
  <c r="P63" i="18"/>
  <c r="Q63" i="18"/>
  <c r="R63" i="18"/>
  <c r="N38" i="18"/>
  <c r="O38" i="18"/>
  <c r="P38" i="18"/>
  <c r="Q38" i="18"/>
  <c r="R38" i="18"/>
  <c r="N56" i="18"/>
  <c r="O56" i="18"/>
  <c r="P56" i="18"/>
  <c r="Q56" i="18"/>
  <c r="R56" i="18"/>
  <c r="N83" i="18"/>
  <c r="O83" i="18"/>
  <c r="P83" i="18"/>
  <c r="Q83" i="18"/>
  <c r="R83" i="18"/>
  <c r="N88" i="18"/>
  <c r="O88" i="18"/>
  <c r="P88" i="18"/>
  <c r="Q88" i="18"/>
  <c r="R88" i="18"/>
  <c r="N51" i="18"/>
  <c r="O51" i="18"/>
  <c r="P51" i="18"/>
  <c r="Q51" i="18"/>
  <c r="R51" i="18"/>
  <c r="N22" i="18"/>
  <c r="O22" i="18"/>
  <c r="P22" i="18"/>
  <c r="Q22" i="18"/>
  <c r="R22" i="18"/>
  <c r="N58" i="18"/>
  <c r="O58" i="18"/>
  <c r="P58" i="18"/>
  <c r="Q58" i="18"/>
  <c r="R58" i="18"/>
  <c r="N50" i="18"/>
  <c r="O50" i="18"/>
  <c r="P50" i="18"/>
  <c r="Q50" i="18"/>
  <c r="R50" i="18"/>
  <c r="N17" i="18"/>
  <c r="O17" i="18"/>
  <c r="P17" i="18"/>
  <c r="Q17" i="18"/>
  <c r="R17" i="18"/>
  <c r="N26" i="18"/>
  <c r="O26" i="18"/>
  <c r="P26" i="18"/>
  <c r="Q26" i="18"/>
  <c r="R26" i="18"/>
  <c r="N32" i="18"/>
  <c r="O32" i="18"/>
  <c r="P32" i="18"/>
  <c r="Q32" i="18"/>
  <c r="R32" i="18"/>
  <c r="N72" i="18"/>
  <c r="O72" i="18"/>
  <c r="P72" i="18"/>
  <c r="Q72" i="18"/>
  <c r="R72" i="18"/>
  <c r="N19" i="18"/>
  <c r="O19" i="18"/>
  <c r="P19" i="18"/>
  <c r="Q19" i="18"/>
  <c r="R19" i="18"/>
  <c r="N55" i="18"/>
  <c r="O55" i="18"/>
  <c r="P55" i="18"/>
  <c r="Q55" i="18"/>
  <c r="R55" i="18"/>
  <c r="N13" i="18"/>
  <c r="O13" i="18"/>
  <c r="P13" i="18"/>
  <c r="Q13" i="18"/>
  <c r="R13" i="18"/>
  <c r="N12" i="18"/>
  <c r="O12" i="18"/>
  <c r="P12" i="18"/>
  <c r="Q12" i="18"/>
  <c r="R12" i="18"/>
  <c r="N49" i="18"/>
  <c r="O49" i="18"/>
  <c r="P49" i="18"/>
  <c r="Q49" i="18"/>
  <c r="R49" i="18"/>
  <c r="N30" i="18"/>
  <c r="O30" i="18"/>
  <c r="P30" i="18"/>
  <c r="Q30" i="18"/>
  <c r="R30" i="18"/>
  <c r="N64" i="18"/>
  <c r="O64" i="18"/>
  <c r="P64" i="18"/>
  <c r="Q64" i="18"/>
  <c r="R64" i="18"/>
  <c r="N11" i="18"/>
  <c r="O11" i="18"/>
  <c r="P11" i="18"/>
  <c r="Q11" i="18"/>
  <c r="R11" i="18"/>
  <c r="N28" i="18"/>
  <c r="O28" i="18"/>
  <c r="P28" i="18"/>
  <c r="Q28" i="18"/>
  <c r="R28" i="18"/>
  <c r="N53" i="18"/>
  <c r="O53" i="18"/>
  <c r="P53" i="18"/>
  <c r="Q53" i="18"/>
  <c r="R53" i="18"/>
  <c r="N86" i="18"/>
  <c r="O86" i="18"/>
  <c r="P86" i="18"/>
  <c r="Q86" i="18"/>
  <c r="R86" i="18"/>
  <c r="N67" i="18"/>
  <c r="O67" i="18"/>
  <c r="P67" i="18"/>
  <c r="Q67" i="18"/>
  <c r="R67" i="18"/>
  <c r="N24" i="18"/>
  <c r="O24" i="18"/>
  <c r="P24" i="18"/>
  <c r="Q24" i="18"/>
  <c r="R24" i="18"/>
  <c r="N15" i="18"/>
  <c r="O15" i="18"/>
  <c r="P15" i="18"/>
  <c r="Q15" i="18"/>
  <c r="R15" i="18"/>
  <c r="N78" i="18"/>
  <c r="O78" i="18"/>
  <c r="P78" i="18"/>
  <c r="Q78" i="18"/>
  <c r="R78" i="18"/>
  <c r="N66" i="18"/>
  <c r="O66" i="18"/>
  <c r="P66" i="18"/>
  <c r="Q66" i="18"/>
  <c r="R66" i="18"/>
  <c r="N21" i="18"/>
  <c r="O21" i="18"/>
  <c r="P21" i="18"/>
  <c r="Q21" i="18"/>
  <c r="R21" i="18"/>
  <c r="N54" i="18"/>
  <c r="O54" i="18"/>
  <c r="P54" i="18"/>
  <c r="Q54" i="18"/>
  <c r="R54" i="18"/>
  <c r="N61" i="18"/>
  <c r="O61" i="18"/>
  <c r="P61" i="18"/>
  <c r="Q61" i="18"/>
  <c r="R61" i="18"/>
  <c r="N81" i="18"/>
  <c r="O81" i="18"/>
  <c r="P81" i="18"/>
  <c r="Q81" i="18"/>
  <c r="R81" i="18"/>
  <c r="N48" i="18"/>
  <c r="O48" i="18"/>
  <c r="P48" i="18"/>
  <c r="Q48" i="18"/>
  <c r="R48" i="18"/>
  <c r="N77" i="18"/>
  <c r="O77" i="18"/>
  <c r="P77" i="18"/>
  <c r="Q77" i="18"/>
  <c r="R77" i="18"/>
  <c r="N27" i="18"/>
  <c r="O27" i="18"/>
  <c r="P27" i="18"/>
  <c r="Q27" i="18"/>
  <c r="R27" i="18"/>
  <c r="N65" i="18"/>
  <c r="O65" i="18"/>
  <c r="P65" i="18"/>
  <c r="Q65" i="18"/>
  <c r="R65" i="18"/>
  <c r="N14" i="18"/>
  <c r="O14" i="18"/>
  <c r="P14" i="18"/>
  <c r="Q14" i="18"/>
  <c r="R14" i="18"/>
  <c r="N37" i="18"/>
  <c r="O37" i="18"/>
  <c r="P37" i="18"/>
  <c r="Q37" i="18"/>
  <c r="R37" i="18"/>
  <c r="N20" i="18"/>
  <c r="O20" i="18"/>
  <c r="P20" i="18"/>
  <c r="Q20" i="18"/>
  <c r="R20" i="18"/>
  <c r="N89" i="18"/>
  <c r="O89" i="18"/>
  <c r="P89" i="18"/>
  <c r="Q89" i="18"/>
  <c r="R89" i="18"/>
  <c r="N94" i="18"/>
  <c r="O94" i="18"/>
  <c r="P94" i="18"/>
  <c r="Q94" i="18"/>
  <c r="R94" i="18"/>
  <c r="N69" i="18"/>
  <c r="O69" i="18"/>
  <c r="P69" i="18"/>
  <c r="Q69" i="18"/>
  <c r="R69" i="18"/>
  <c r="N57" i="18"/>
  <c r="O57" i="18"/>
  <c r="P57" i="18"/>
  <c r="Q57" i="18"/>
  <c r="R57" i="18"/>
  <c r="N25" i="18"/>
  <c r="O25" i="18"/>
  <c r="P25" i="18"/>
  <c r="Q25" i="18"/>
  <c r="R25" i="18"/>
  <c r="N43" i="18"/>
  <c r="O43" i="18"/>
  <c r="P43" i="18"/>
  <c r="Q43" i="18"/>
  <c r="R43" i="18"/>
  <c r="N16" i="18"/>
  <c r="O16" i="18"/>
  <c r="P16" i="18"/>
  <c r="Q16" i="18"/>
  <c r="R16" i="18"/>
  <c r="N68" i="18"/>
  <c r="O68" i="18"/>
  <c r="P68" i="18"/>
  <c r="Q68" i="18"/>
  <c r="R68" i="18"/>
  <c r="N59" i="18"/>
  <c r="O59" i="18"/>
  <c r="P59" i="18"/>
  <c r="Q59" i="18"/>
  <c r="R59" i="18"/>
  <c r="N10" i="18"/>
  <c r="O10" i="18"/>
  <c r="P10" i="18"/>
  <c r="Q10" i="18"/>
  <c r="R10" i="18"/>
  <c r="N41" i="18"/>
  <c r="O41" i="18"/>
  <c r="P41" i="18"/>
  <c r="Q41" i="18"/>
  <c r="R41" i="18"/>
  <c r="N29" i="18"/>
  <c r="O29" i="18"/>
  <c r="P29" i="18"/>
  <c r="Q29" i="18"/>
  <c r="R29" i="18"/>
  <c r="N91" i="18"/>
  <c r="O91" i="18"/>
  <c r="P91" i="18"/>
  <c r="Q91" i="18"/>
  <c r="R91" i="18"/>
  <c r="N75" i="18"/>
  <c r="O75" i="18"/>
  <c r="P75" i="18"/>
  <c r="Q75" i="18"/>
  <c r="R75" i="18"/>
  <c r="N35" i="18"/>
  <c r="O35" i="18"/>
  <c r="P35" i="18"/>
  <c r="Q35" i="18"/>
  <c r="R35" i="18"/>
  <c r="N80" i="18"/>
  <c r="O80" i="18"/>
  <c r="P80" i="18"/>
  <c r="Q80" i="18"/>
  <c r="R80" i="18"/>
  <c r="N18" i="18"/>
  <c r="O18" i="18"/>
  <c r="P18" i="18"/>
  <c r="Q18" i="18"/>
  <c r="R18" i="18"/>
  <c r="N6" i="18"/>
  <c r="O6" i="18"/>
  <c r="P6" i="18"/>
  <c r="Q6" i="18"/>
  <c r="R6" i="18"/>
  <c r="N8" i="18"/>
  <c r="O8" i="18"/>
  <c r="P8" i="18"/>
  <c r="Q8" i="18"/>
  <c r="R8" i="18"/>
  <c r="N52" i="18"/>
  <c r="O52" i="18"/>
  <c r="P52" i="18"/>
  <c r="Q52" i="18"/>
  <c r="R52" i="18"/>
  <c r="N47" i="18"/>
  <c r="O47" i="18"/>
  <c r="P47" i="18"/>
  <c r="Q47" i="18"/>
  <c r="R47" i="18"/>
  <c r="N44" i="18"/>
  <c r="O44" i="18"/>
  <c r="P44" i="18"/>
  <c r="Q44" i="18"/>
  <c r="R44" i="18"/>
  <c r="N23" i="18"/>
  <c r="O23" i="18"/>
  <c r="P23" i="18"/>
  <c r="Q23" i="18"/>
  <c r="R23" i="18"/>
  <c r="N60" i="18"/>
  <c r="O60" i="18"/>
  <c r="P60" i="18"/>
  <c r="Q60" i="18"/>
  <c r="R60" i="18"/>
  <c r="N93" i="18"/>
  <c r="O93" i="18"/>
  <c r="P93" i="18"/>
  <c r="Q93" i="18"/>
  <c r="R93" i="18"/>
  <c r="N7" i="18"/>
  <c r="O7" i="18"/>
  <c r="P7" i="18"/>
  <c r="Q7" i="18"/>
  <c r="R7" i="18"/>
  <c r="N31" i="18"/>
  <c r="O31" i="18"/>
  <c r="P31" i="18"/>
  <c r="Q31" i="18"/>
  <c r="R31" i="18"/>
  <c r="N34" i="18"/>
  <c r="O34" i="18"/>
  <c r="P34" i="18"/>
  <c r="Q34" i="18"/>
  <c r="R34" i="18"/>
  <c r="N40" i="18"/>
  <c r="O40" i="18"/>
  <c r="P40" i="18"/>
  <c r="Q40" i="18"/>
  <c r="R40" i="18"/>
  <c r="N45" i="18"/>
  <c r="O45" i="18"/>
  <c r="P45" i="18"/>
  <c r="Q45" i="18"/>
  <c r="R45" i="18"/>
  <c r="N46" i="18"/>
  <c r="O46" i="18"/>
  <c r="P46" i="18"/>
  <c r="Q46" i="18"/>
  <c r="R46" i="18"/>
  <c r="N74" i="18"/>
  <c r="O74" i="18"/>
  <c r="P74" i="18"/>
  <c r="Q74" i="18"/>
  <c r="R74" i="18"/>
  <c r="N71" i="18"/>
  <c r="O71" i="18"/>
  <c r="P71" i="18"/>
  <c r="Q71" i="18"/>
  <c r="R71" i="18"/>
  <c r="N5" i="18"/>
  <c r="O5" i="18"/>
  <c r="P5" i="18"/>
  <c r="Q5" i="18"/>
  <c r="R5" i="18"/>
  <c r="N76" i="18"/>
  <c r="O76" i="18"/>
  <c r="P76" i="18"/>
  <c r="Q76" i="18"/>
  <c r="R76" i="18"/>
  <c r="N39" i="18"/>
  <c r="O39" i="18"/>
  <c r="P39" i="18"/>
  <c r="Q39" i="18"/>
  <c r="R39" i="18"/>
  <c r="N42" i="18"/>
  <c r="O42" i="18"/>
  <c r="P42" i="18"/>
  <c r="Q42" i="18"/>
  <c r="R42" i="18"/>
  <c r="N87" i="18"/>
  <c r="O87" i="18"/>
  <c r="P87" i="18"/>
  <c r="Q87" i="18"/>
  <c r="R87" i="18"/>
  <c r="N4" i="18"/>
  <c r="O4" i="18"/>
  <c r="P4" i="18"/>
  <c r="Q4" i="18"/>
  <c r="R4" i="18"/>
  <c r="N62" i="18"/>
  <c r="O62" i="18"/>
  <c r="P62" i="18"/>
  <c r="Q62" i="18"/>
  <c r="R62" i="18"/>
  <c r="N92" i="18"/>
  <c r="O92" i="18"/>
  <c r="P92" i="18"/>
  <c r="Q92" i="18"/>
  <c r="R92" i="18"/>
  <c r="N70" i="18"/>
  <c r="O70" i="18"/>
  <c r="P70" i="18"/>
  <c r="Q70" i="18"/>
  <c r="R70" i="18"/>
  <c r="N82" i="18"/>
  <c r="O82" i="18"/>
  <c r="P82" i="18"/>
  <c r="Q82" i="18"/>
  <c r="R82" i="18"/>
  <c r="N33" i="18"/>
  <c r="O33" i="18"/>
  <c r="P33" i="18"/>
  <c r="Q33" i="18"/>
  <c r="R33" i="18"/>
  <c r="N9" i="18"/>
  <c r="O9" i="18"/>
  <c r="P9" i="18"/>
  <c r="Q9" i="18"/>
  <c r="R9" i="18"/>
  <c r="N85" i="18"/>
  <c r="O85" i="18"/>
  <c r="P85" i="18"/>
  <c r="Q85" i="18"/>
  <c r="R85" i="18"/>
  <c r="N36" i="18"/>
  <c r="O36" i="18"/>
  <c r="P36" i="18"/>
  <c r="Q36" i="18"/>
  <c r="R36" i="18"/>
  <c r="S5" i="17"/>
  <c r="T5" i="17"/>
  <c r="S6" i="17"/>
  <c r="T6" i="17"/>
  <c r="S7" i="17"/>
  <c r="T7" i="17"/>
  <c r="S8" i="17"/>
  <c r="T8" i="17"/>
  <c r="S9" i="17"/>
  <c r="T9" i="17"/>
  <c r="S10" i="17"/>
  <c r="T10" i="17"/>
  <c r="S11" i="17"/>
  <c r="T11" i="17"/>
  <c r="S12" i="17"/>
  <c r="T12" i="17"/>
  <c r="S13" i="17"/>
  <c r="T13" i="17"/>
  <c r="S14" i="17"/>
  <c r="T14" i="17"/>
  <c r="S15" i="17"/>
  <c r="T15" i="17"/>
  <c r="S16" i="17"/>
  <c r="T16" i="17"/>
  <c r="S17" i="17"/>
  <c r="T17" i="17"/>
  <c r="S18" i="17"/>
  <c r="T18" i="17"/>
  <c r="S19" i="17"/>
  <c r="T19" i="17"/>
  <c r="S20" i="17"/>
  <c r="T20" i="17"/>
  <c r="S21" i="17"/>
  <c r="T21" i="17"/>
  <c r="S22" i="17"/>
  <c r="T22" i="17"/>
  <c r="S23" i="17"/>
  <c r="T23" i="17"/>
  <c r="S24" i="17"/>
  <c r="T24" i="17"/>
  <c r="S25" i="17"/>
  <c r="T25" i="17"/>
  <c r="S26" i="17"/>
  <c r="T26" i="17"/>
  <c r="S27" i="17"/>
  <c r="T27" i="17"/>
  <c r="S28" i="17"/>
  <c r="T28" i="17"/>
  <c r="S29" i="17"/>
  <c r="T29" i="17"/>
  <c r="S30" i="17"/>
  <c r="T30" i="17"/>
  <c r="S31" i="17"/>
  <c r="T31" i="17"/>
  <c r="S32" i="17"/>
  <c r="T32" i="17"/>
  <c r="S33" i="17"/>
  <c r="T33" i="17"/>
  <c r="S34" i="17"/>
  <c r="T34" i="17"/>
  <c r="S35" i="17"/>
  <c r="T35" i="17"/>
  <c r="S36" i="17"/>
  <c r="T36" i="17"/>
  <c r="S37" i="17"/>
  <c r="T37" i="17"/>
  <c r="S38" i="17"/>
  <c r="T38" i="17"/>
  <c r="S39" i="17"/>
  <c r="T39" i="17"/>
  <c r="S40" i="17"/>
  <c r="T40" i="17"/>
  <c r="S41" i="17"/>
  <c r="T41" i="17"/>
  <c r="S42" i="17"/>
  <c r="T42" i="17"/>
  <c r="S43" i="17"/>
  <c r="T43" i="17"/>
  <c r="S44" i="17"/>
  <c r="T44" i="17"/>
  <c r="S45" i="17"/>
  <c r="T45" i="17"/>
  <c r="S46" i="17"/>
  <c r="T46" i="17"/>
  <c r="S47" i="17"/>
  <c r="T47" i="17"/>
  <c r="S48" i="17"/>
  <c r="T48" i="17"/>
  <c r="S49" i="17"/>
  <c r="T49" i="17"/>
  <c r="S50" i="17"/>
  <c r="T50" i="17"/>
  <c r="S51" i="17"/>
  <c r="T51" i="17"/>
  <c r="S52" i="17"/>
  <c r="T52" i="17"/>
  <c r="S53" i="17"/>
  <c r="T53" i="17"/>
  <c r="S54" i="17"/>
  <c r="T54" i="17"/>
  <c r="S55" i="17"/>
  <c r="T55" i="17"/>
  <c r="S56" i="17"/>
  <c r="T56" i="17"/>
  <c r="S57" i="17"/>
  <c r="T57" i="17"/>
  <c r="S58" i="17"/>
  <c r="T58" i="17"/>
  <c r="S59" i="17"/>
  <c r="T59" i="17"/>
  <c r="S60" i="17"/>
  <c r="T60" i="17"/>
  <c r="S61" i="17"/>
  <c r="T61" i="17"/>
  <c r="S62" i="17"/>
  <c r="T62" i="17"/>
  <c r="S63" i="17"/>
  <c r="T63" i="17"/>
  <c r="S64" i="17"/>
  <c r="T64" i="17"/>
  <c r="S65" i="17"/>
  <c r="T65" i="17"/>
  <c r="S66" i="17"/>
  <c r="T66" i="17"/>
  <c r="S67" i="17"/>
  <c r="T67" i="17"/>
  <c r="S68" i="17"/>
  <c r="T68" i="17"/>
  <c r="S69" i="17"/>
  <c r="T69" i="17"/>
  <c r="S70" i="17"/>
  <c r="T70" i="17"/>
  <c r="S71" i="17"/>
  <c r="T71" i="17"/>
  <c r="S72" i="17"/>
  <c r="T72" i="17"/>
  <c r="S73" i="17"/>
  <c r="T73" i="17"/>
  <c r="S74" i="17"/>
  <c r="T74" i="17"/>
  <c r="S75" i="17"/>
  <c r="T75" i="17"/>
  <c r="S76" i="17"/>
  <c r="T76" i="17"/>
  <c r="S77" i="17"/>
  <c r="T77" i="17"/>
  <c r="S78" i="17"/>
  <c r="T78" i="17"/>
  <c r="S79" i="17"/>
  <c r="T79" i="17"/>
  <c r="S80" i="17"/>
  <c r="T80" i="17"/>
  <c r="S81" i="17"/>
  <c r="T81" i="17"/>
  <c r="S82" i="17"/>
  <c r="T82" i="17"/>
  <c r="S83" i="17"/>
  <c r="T83" i="17"/>
  <c r="S84" i="17"/>
  <c r="T84" i="17"/>
  <c r="S85" i="17"/>
  <c r="T85" i="17"/>
  <c r="S86" i="17"/>
  <c r="T86" i="17"/>
  <c r="S87" i="17"/>
  <c r="T87" i="17"/>
  <c r="S88" i="17"/>
  <c r="T88" i="17"/>
  <c r="S89" i="17"/>
  <c r="T89" i="17"/>
  <c r="S90" i="17"/>
  <c r="T90" i="17"/>
  <c r="S91" i="17"/>
  <c r="T91" i="17"/>
  <c r="S92" i="17"/>
  <c r="T92" i="17"/>
  <c r="S93" i="17"/>
  <c r="T93" i="17"/>
  <c r="S94" i="17"/>
  <c r="T94" i="17"/>
  <c r="S95" i="17"/>
  <c r="T95" i="17"/>
  <c r="S96" i="17"/>
  <c r="T96" i="17"/>
  <c r="S97" i="17"/>
  <c r="T97" i="17"/>
  <c r="S98" i="17"/>
  <c r="T98" i="17"/>
  <c r="S99" i="17"/>
  <c r="T99" i="17"/>
  <c r="S100" i="17"/>
  <c r="T100" i="17"/>
  <c r="S101" i="17"/>
  <c r="T101" i="17"/>
  <c r="S102" i="17"/>
  <c r="T102" i="17"/>
  <c r="S103" i="17"/>
  <c r="T103" i="17"/>
  <c r="S104" i="17"/>
  <c r="T104" i="17"/>
  <c r="S105" i="17"/>
  <c r="T105" i="17"/>
  <c r="S106" i="17"/>
  <c r="T106" i="17"/>
  <c r="S107" i="17"/>
  <c r="T107" i="17"/>
  <c r="S108" i="17"/>
  <c r="T108" i="17"/>
  <c r="S109" i="17"/>
  <c r="T109" i="17"/>
  <c r="S110" i="17"/>
  <c r="T110" i="17"/>
  <c r="S111" i="17"/>
  <c r="T111" i="17"/>
  <c r="S112" i="17"/>
  <c r="T112" i="17"/>
  <c r="S113" i="17"/>
  <c r="T113" i="17"/>
  <c r="S114" i="17"/>
  <c r="T114" i="17"/>
  <c r="S115" i="17"/>
  <c r="T115" i="17"/>
  <c r="S116" i="17"/>
  <c r="T116" i="17"/>
  <c r="S117" i="17"/>
  <c r="T117" i="17"/>
  <c r="S118" i="17"/>
  <c r="T118" i="17"/>
  <c r="S119" i="17"/>
  <c r="T119" i="17"/>
  <c r="S120" i="17"/>
  <c r="T120" i="17"/>
  <c r="S121" i="17"/>
  <c r="T121" i="17"/>
  <c r="S122" i="17"/>
  <c r="T122" i="17"/>
  <c r="S123" i="17"/>
  <c r="T123" i="17"/>
  <c r="S124" i="17"/>
  <c r="T124" i="17"/>
  <c r="S125" i="17"/>
  <c r="T125" i="17"/>
  <c r="S126" i="17"/>
  <c r="T126" i="17"/>
  <c r="S127" i="17"/>
  <c r="T127" i="17"/>
  <c r="S128" i="17"/>
  <c r="T128" i="17"/>
  <c r="S129" i="17"/>
  <c r="T129" i="17"/>
  <c r="S130" i="17"/>
  <c r="T130" i="17"/>
  <c r="S131" i="17"/>
  <c r="T131" i="17"/>
  <c r="S132" i="17"/>
  <c r="T132" i="17"/>
  <c r="S133" i="17"/>
  <c r="T133" i="17"/>
  <c r="S134" i="17"/>
  <c r="T134" i="17"/>
  <c r="S135" i="17"/>
  <c r="T135" i="17"/>
  <c r="S136" i="17"/>
  <c r="T136" i="17"/>
  <c r="S137" i="17"/>
  <c r="T137" i="17"/>
  <c r="S138" i="17"/>
  <c r="T138" i="17"/>
  <c r="S139" i="17"/>
  <c r="T139" i="17"/>
  <c r="S140" i="17"/>
  <c r="T140" i="17"/>
  <c r="S141" i="17"/>
  <c r="T141" i="17"/>
  <c r="S142" i="17"/>
  <c r="T142" i="17"/>
  <c r="S143" i="17"/>
  <c r="T143" i="17"/>
  <c r="S144" i="17"/>
  <c r="T144" i="17"/>
  <c r="S145" i="17"/>
  <c r="T145" i="17"/>
  <c r="S146" i="17"/>
  <c r="T146" i="17"/>
  <c r="S147" i="17"/>
  <c r="T147" i="17"/>
  <c r="S148" i="17"/>
  <c r="T148" i="17"/>
  <c r="S149" i="17"/>
  <c r="T149" i="17"/>
  <c r="S150" i="17"/>
  <c r="T150" i="17"/>
  <c r="S151" i="17"/>
  <c r="T151" i="17"/>
  <c r="S152" i="17"/>
  <c r="T152" i="17"/>
  <c r="S153" i="17"/>
  <c r="T153" i="17"/>
  <c r="S154" i="17"/>
  <c r="T154" i="17"/>
  <c r="S155" i="17"/>
  <c r="T155" i="17"/>
  <c r="S156" i="17"/>
  <c r="T156" i="17"/>
  <c r="S157" i="17"/>
  <c r="T157" i="17"/>
  <c r="S158" i="17"/>
  <c r="T158" i="17"/>
  <c r="S4" i="17"/>
  <c r="T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4" i="17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79" i="13"/>
  <c r="D5" i="11"/>
  <c r="D8" i="16"/>
  <c r="T8" i="16"/>
  <c r="B11" i="9" a="1"/>
  <c r="B11" i="9"/>
  <c r="D11" i="9"/>
  <c r="V79" i="13"/>
  <c r="V8" i="16"/>
  <c r="T5" i="11"/>
  <c r="U8" i="16"/>
  <c r="W8" i="16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80" i="13"/>
  <c r="T34" i="15"/>
  <c r="D6" i="11"/>
  <c r="D9" i="16"/>
  <c r="T9" i="16"/>
  <c r="B12" i="9" a="1"/>
  <c r="B12" i="9"/>
  <c r="D12" i="9"/>
  <c r="V80" i="13"/>
  <c r="V34" i="15"/>
  <c r="V9" i="16"/>
  <c r="T6" i="11"/>
  <c r="U9" i="16"/>
  <c r="W9" i="16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81" i="13"/>
  <c r="T36" i="15"/>
  <c r="D7" i="11"/>
  <c r="D10" i="16"/>
  <c r="T10" i="16"/>
  <c r="B13" i="9" a="1"/>
  <c r="B13" i="9"/>
  <c r="D13" i="9"/>
  <c r="V81" i="13"/>
  <c r="V36" i="15"/>
  <c r="V10" i="16"/>
  <c r="T7" i="11"/>
  <c r="U10" i="16"/>
  <c r="W10" i="16"/>
  <c r="T60" i="14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82" i="13"/>
  <c r="T38" i="15"/>
  <c r="D8" i="11"/>
  <c r="D11" i="16"/>
  <c r="T11" i="16"/>
  <c r="V60" i="14"/>
  <c r="B14" i="9" a="1"/>
  <c r="B14" i="9"/>
  <c r="D14" i="9"/>
  <c r="V82" i="13"/>
  <c r="V38" i="15"/>
  <c r="V11" i="16"/>
  <c r="T8" i="11"/>
  <c r="U11" i="16"/>
  <c r="W11" i="16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83" i="13"/>
  <c r="T39" i="15"/>
  <c r="D9" i="11"/>
  <c r="D12" i="16"/>
  <c r="T12" i="16"/>
  <c r="B15" i="9" a="1"/>
  <c r="B15" i="9"/>
  <c r="D15" i="9"/>
  <c r="V83" i="13"/>
  <c r="V39" i="15"/>
  <c r="V12" i="16"/>
  <c r="T9" i="11"/>
  <c r="U12" i="16"/>
  <c r="W12" i="16"/>
  <c r="T62" i="14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84" i="13"/>
  <c r="D10" i="11"/>
  <c r="D13" i="16"/>
  <c r="T13" i="16"/>
  <c r="V62" i="14"/>
  <c r="B16" i="9" a="1"/>
  <c r="B16" i="9"/>
  <c r="D16" i="9"/>
  <c r="V84" i="13"/>
  <c r="V13" i="16"/>
  <c r="T10" i="11"/>
  <c r="U13" i="16"/>
  <c r="W13" i="16"/>
  <c r="T63" i="14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40" i="15"/>
  <c r="D11" i="11"/>
  <c r="D14" i="16"/>
  <c r="T14" i="16"/>
  <c r="V63" i="14"/>
  <c r="B17" i="9" a="1"/>
  <c r="B17" i="9"/>
  <c r="D17" i="9"/>
  <c r="V40" i="15"/>
  <c r="V14" i="16"/>
  <c r="T11" i="11"/>
  <c r="U14" i="16"/>
  <c r="W14" i="16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86" i="13"/>
  <c r="T41" i="15"/>
  <c r="D12" i="11"/>
  <c r="D15" i="16"/>
  <c r="T15" i="16"/>
  <c r="B18" i="9" a="1"/>
  <c r="B18" i="9"/>
  <c r="D18" i="9"/>
  <c r="V86" i="13"/>
  <c r="V41" i="15"/>
  <c r="V15" i="16"/>
  <c r="T12" i="11"/>
  <c r="U15" i="16"/>
  <c r="W15" i="16"/>
  <c r="T65" i="14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87" i="13"/>
  <c r="T42" i="15"/>
  <c r="D13" i="11"/>
  <c r="D16" i="16"/>
  <c r="T16" i="16"/>
  <c r="V65" i="14"/>
  <c r="B19" i="9" a="1"/>
  <c r="B19" i="9"/>
  <c r="D19" i="9"/>
  <c r="V87" i="13"/>
  <c r="V42" i="15"/>
  <c r="V16" i="16"/>
  <c r="T13" i="11"/>
  <c r="U16" i="16"/>
  <c r="W16" i="16"/>
  <c r="T66" i="14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88" i="13"/>
  <c r="T43" i="15"/>
  <c r="D14" i="11"/>
  <c r="D17" i="16"/>
  <c r="T17" i="16"/>
  <c r="V66" i="14"/>
  <c r="B20" i="9" a="1"/>
  <c r="B20" i="9"/>
  <c r="V88" i="13"/>
  <c r="V43" i="15"/>
  <c r="V17" i="16"/>
  <c r="T14" i="11"/>
  <c r="U17" i="16"/>
  <c r="W17" i="16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89" i="13"/>
  <c r="T44" i="15"/>
  <c r="D15" i="11"/>
  <c r="D18" i="16"/>
  <c r="T18" i="16"/>
  <c r="B21" i="9" a="1"/>
  <c r="B21" i="9"/>
  <c r="D21" i="9"/>
  <c r="V89" i="13"/>
  <c r="V44" i="15"/>
  <c r="V18" i="16"/>
  <c r="T15" i="11"/>
  <c r="U18" i="16"/>
  <c r="W18" i="16"/>
  <c r="T67" i="14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90" i="13"/>
  <c r="T45" i="15"/>
  <c r="D16" i="11"/>
  <c r="D19" i="16"/>
  <c r="T19" i="16"/>
  <c r="V67" i="14"/>
  <c r="B22" i="9" a="1"/>
  <c r="B22" i="9"/>
  <c r="D22" i="9"/>
  <c r="V90" i="13"/>
  <c r="V45" i="15"/>
  <c r="V19" i="16"/>
  <c r="T16" i="11"/>
  <c r="U19" i="16"/>
  <c r="W19" i="16"/>
  <c r="T68" i="14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46" i="15"/>
  <c r="D17" i="11"/>
  <c r="D20" i="16"/>
  <c r="T20" i="16"/>
  <c r="V68" i="14"/>
  <c r="B23" i="9" a="1"/>
  <c r="B23" i="9"/>
  <c r="D23" i="9"/>
  <c r="V46" i="15"/>
  <c r="V20" i="16"/>
  <c r="T17" i="11"/>
  <c r="U20" i="16"/>
  <c r="W20" i="16"/>
  <c r="T69" i="14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91" i="13"/>
  <c r="T47" i="15"/>
  <c r="D18" i="11"/>
  <c r="D21" i="16"/>
  <c r="T21" i="16"/>
  <c r="V69" i="14"/>
  <c r="B24" i="9" a="1"/>
  <c r="B24" i="9"/>
  <c r="D24" i="9"/>
  <c r="V91" i="13"/>
  <c r="V47" i="15"/>
  <c r="V21" i="16"/>
  <c r="T18" i="11"/>
  <c r="U21" i="16"/>
  <c r="W21" i="16"/>
  <c r="T70" i="14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93" i="13"/>
  <c r="T49" i="15"/>
  <c r="D19" i="11"/>
  <c r="D22" i="16"/>
  <c r="T22" i="16"/>
  <c r="V70" i="14"/>
  <c r="B25" i="9" a="1"/>
  <c r="B25" i="9"/>
  <c r="D25" i="9"/>
  <c r="V93" i="13"/>
  <c r="V49" i="15"/>
  <c r="V22" i="16"/>
  <c r="T19" i="11"/>
  <c r="U22" i="16"/>
  <c r="W22" i="16"/>
  <c r="T71" i="14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D20" i="11"/>
  <c r="D23" i="16"/>
  <c r="T23" i="16"/>
  <c r="V71" i="14"/>
  <c r="B26" i="9" a="1"/>
  <c r="B26" i="9"/>
  <c r="D26" i="9"/>
  <c r="V23" i="16"/>
  <c r="T20" i="11"/>
  <c r="U23" i="16"/>
  <c r="W23" i="16"/>
  <c r="T73" i="14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96" i="13"/>
  <c r="D21" i="11"/>
  <c r="D24" i="16"/>
  <c r="T24" i="16"/>
  <c r="V73" i="14"/>
  <c r="B27" i="9" a="1"/>
  <c r="B27" i="9"/>
  <c r="D27" i="9"/>
  <c r="V96" i="13"/>
  <c r="V24" i="16"/>
  <c r="T21" i="11"/>
  <c r="U24" i="16"/>
  <c r="W24" i="16"/>
  <c r="T74" i="14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50" i="15"/>
  <c r="D22" i="11"/>
  <c r="D25" i="16"/>
  <c r="T25" i="16"/>
  <c r="V74" i="14"/>
  <c r="B28" i="9" a="1"/>
  <c r="B28" i="9"/>
  <c r="D28" i="9"/>
  <c r="V50" i="15"/>
  <c r="V25" i="16"/>
  <c r="T22" i="11"/>
  <c r="U25" i="16"/>
  <c r="W25" i="16"/>
  <c r="T75" i="14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98" i="13"/>
  <c r="T52" i="15"/>
  <c r="D23" i="11"/>
  <c r="D26" i="16"/>
  <c r="T26" i="16"/>
  <c r="V75" i="14"/>
  <c r="B29" i="9" a="1"/>
  <c r="B29" i="9"/>
  <c r="D29" i="9"/>
  <c r="V98" i="13"/>
  <c r="V52" i="15"/>
  <c r="V26" i="16"/>
  <c r="T23" i="11"/>
  <c r="U26" i="16"/>
  <c r="W26" i="16"/>
  <c r="T76" i="14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53" i="15"/>
  <c r="D24" i="11"/>
  <c r="D27" i="16"/>
  <c r="T27" i="16"/>
  <c r="V76" i="14"/>
  <c r="B30" i="9" a="1"/>
  <c r="B30" i="9"/>
  <c r="D30" i="9"/>
  <c r="V53" i="15"/>
  <c r="V27" i="16"/>
  <c r="T24" i="11"/>
  <c r="U27" i="16"/>
  <c r="W27" i="16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99" i="13"/>
  <c r="T54" i="15"/>
  <c r="D25" i="11"/>
  <c r="D28" i="16"/>
  <c r="T28" i="16"/>
  <c r="B31" i="9" a="1"/>
  <c r="B31" i="9"/>
  <c r="D31" i="9"/>
  <c r="V99" i="13"/>
  <c r="V54" i="15"/>
  <c r="V28" i="16"/>
  <c r="T25" i="11"/>
  <c r="U28" i="16"/>
  <c r="W28" i="16"/>
  <c r="T77" i="14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100" i="13"/>
  <c r="T55" i="15"/>
  <c r="D26" i="11"/>
  <c r="D29" i="16"/>
  <c r="T29" i="16"/>
  <c r="V77" i="14"/>
  <c r="B32" i="9" a="1"/>
  <c r="B32" i="9"/>
  <c r="D32" i="9"/>
  <c r="V100" i="13"/>
  <c r="V55" i="15"/>
  <c r="V29" i="16"/>
  <c r="T26" i="11"/>
  <c r="U29" i="16"/>
  <c r="W29" i="16"/>
  <c r="T10" i="14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10" i="13"/>
  <c r="T125" i="15"/>
  <c r="D27" i="11"/>
  <c r="D30" i="16"/>
  <c r="T30" i="16"/>
  <c r="V10" i="14"/>
  <c r="B33" i="9" a="1"/>
  <c r="B33" i="9"/>
  <c r="D33" i="9"/>
  <c r="V10" i="13"/>
  <c r="V125" i="15"/>
  <c r="V30" i="16"/>
  <c r="T27" i="11"/>
  <c r="U30" i="16"/>
  <c r="W30" i="16"/>
  <c r="T11" i="14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11" i="13"/>
  <c r="T126" i="15"/>
  <c r="D28" i="11"/>
  <c r="D31" i="16"/>
  <c r="T31" i="16"/>
  <c r="V11" i="14"/>
  <c r="V11" i="13"/>
  <c r="V126" i="15"/>
  <c r="V31" i="16"/>
  <c r="T28" i="11"/>
  <c r="U31" i="16"/>
  <c r="W31" i="16"/>
  <c r="T12" i="14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12" i="13"/>
  <c r="T127" i="15"/>
  <c r="D29" i="11"/>
  <c r="D32" i="16"/>
  <c r="T32" i="16"/>
  <c r="V12" i="14"/>
  <c r="V12" i="13"/>
  <c r="V127" i="15"/>
  <c r="V32" i="16"/>
  <c r="T29" i="11"/>
  <c r="U32" i="16"/>
  <c r="W32" i="16"/>
  <c r="T14" i="14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13" i="13"/>
  <c r="T128" i="15"/>
  <c r="D30" i="11"/>
  <c r="D33" i="16"/>
  <c r="T33" i="16"/>
  <c r="V14" i="14"/>
  <c r="B36" i="9" a="1"/>
  <c r="B36" i="9"/>
  <c r="D36" i="9"/>
  <c r="V13" i="13"/>
  <c r="V128" i="15"/>
  <c r="V33" i="16"/>
  <c r="T30" i="11"/>
  <c r="U33" i="16"/>
  <c r="W33" i="16"/>
  <c r="T15" i="14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14" i="13"/>
  <c r="D31" i="11"/>
  <c r="D34" i="16"/>
  <c r="T34" i="16"/>
  <c r="V15" i="14"/>
  <c r="B37" i="9" a="1"/>
  <c r="B37" i="9"/>
  <c r="D37" i="9"/>
  <c r="V14" i="13"/>
  <c r="V34" i="16"/>
  <c r="T31" i="11"/>
  <c r="U34" i="16"/>
  <c r="W34" i="16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15" i="13"/>
  <c r="T130" i="15"/>
  <c r="D32" i="11"/>
  <c r="D35" i="16"/>
  <c r="T35" i="16"/>
  <c r="B38" i="9" a="1"/>
  <c r="B38" i="9"/>
  <c r="D38" i="9"/>
  <c r="V15" i="13"/>
  <c r="V130" i="15"/>
  <c r="V35" i="16"/>
  <c r="T32" i="11"/>
  <c r="U35" i="16"/>
  <c r="W35" i="16"/>
  <c r="T16" i="14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16" i="13"/>
  <c r="T131" i="15"/>
  <c r="D33" i="11"/>
  <c r="D36" i="16"/>
  <c r="T36" i="16"/>
  <c r="V16" i="14"/>
  <c r="B39" i="9" a="1"/>
  <c r="B39" i="9"/>
  <c r="D39" i="9"/>
  <c r="V16" i="13"/>
  <c r="V131" i="15"/>
  <c r="V36" i="16"/>
  <c r="T33" i="11"/>
  <c r="U36" i="16"/>
  <c r="W36" i="16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17" i="13"/>
  <c r="T132" i="15"/>
  <c r="D34" i="11"/>
  <c r="D37" i="16"/>
  <c r="T37" i="16"/>
  <c r="B40" i="9" a="1"/>
  <c r="B40" i="9"/>
  <c r="D40" i="9"/>
  <c r="V17" i="13"/>
  <c r="V132" i="15"/>
  <c r="V37" i="16"/>
  <c r="T34" i="11"/>
  <c r="U37" i="16"/>
  <c r="W37" i="16"/>
  <c r="T18" i="14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18" i="13"/>
  <c r="D35" i="11"/>
  <c r="D38" i="16"/>
  <c r="T38" i="16"/>
  <c r="V18" i="14"/>
  <c r="B41" i="9" a="1"/>
  <c r="B41" i="9"/>
  <c r="D41" i="9"/>
  <c r="V18" i="13"/>
  <c r="V38" i="16"/>
  <c r="T35" i="11"/>
  <c r="U38" i="16"/>
  <c r="W38" i="16"/>
  <c r="T19" i="14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19" i="13"/>
  <c r="T134" i="15"/>
  <c r="D36" i="11"/>
  <c r="D39" i="16"/>
  <c r="T39" i="16"/>
  <c r="V19" i="14"/>
  <c r="B42" i="9" a="1"/>
  <c r="B42" i="9"/>
  <c r="D42" i="9"/>
  <c r="V19" i="13"/>
  <c r="V134" i="15"/>
  <c r="V39" i="16"/>
  <c r="T36" i="11"/>
  <c r="U39" i="16"/>
  <c r="W39" i="16"/>
  <c r="T20" i="14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20" i="13"/>
  <c r="T135" i="15"/>
  <c r="D37" i="11"/>
  <c r="D40" i="16"/>
  <c r="T40" i="16"/>
  <c r="V20" i="14"/>
  <c r="B43" i="9" a="1"/>
  <c r="B43" i="9"/>
  <c r="D43" i="9"/>
  <c r="V20" i="13"/>
  <c r="V135" i="15"/>
  <c r="V40" i="16"/>
  <c r="T37" i="11"/>
  <c r="U40" i="16"/>
  <c r="W40" i="16"/>
  <c r="T21" i="14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21" i="13"/>
  <c r="T136" i="15"/>
  <c r="D38" i="11"/>
  <c r="D41" i="16"/>
  <c r="T41" i="16"/>
  <c r="V21" i="14"/>
  <c r="B44" i="9" a="1"/>
  <c r="B44" i="9"/>
  <c r="D44" i="9"/>
  <c r="V21" i="13"/>
  <c r="V136" i="15"/>
  <c r="V41" i="16"/>
  <c r="T38" i="11"/>
  <c r="U41" i="16"/>
  <c r="W41" i="16"/>
  <c r="T22" i="14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22" i="13"/>
  <c r="T137" i="15"/>
  <c r="D39" i="11"/>
  <c r="D42" i="16"/>
  <c r="T42" i="16"/>
  <c r="V22" i="14"/>
  <c r="B45" i="9" a="1"/>
  <c r="B45" i="9"/>
  <c r="D45" i="9"/>
  <c r="V22" i="13"/>
  <c r="V137" i="15"/>
  <c r="V42" i="16"/>
  <c r="T39" i="11"/>
  <c r="U42" i="16"/>
  <c r="W42" i="16"/>
  <c r="T23" i="14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23" i="13"/>
  <c r="T138" i="15"/>
  <c r="D40" i="11"/>
  <c r="D43" i="16"/>
  <c r="T43" i="16"/>
  <c r="V23" i="14"/>
  <c r="B46" i="9" a="1"/>
  <c r="B46" i="9"/>
  <c r="D46" i="9"/>
  <c r="V23" i="13"/>
  <c r="V138" i="15"/>
  <c r="V43" i="16"/>
  <c r="T40" i="11"/>
  <c r="U43" i="16"/>
  <c r="W43" i="16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24" i="13"/>
  <c r="D41" i="11"/>
  <c r="D44" i="16"/>
  <c r="T44" i="16"/>
  <c r="B47" i="9" a="1"/>
  <c r="B47" i="9"/>
  <c r="D47" i="9"/>
  <c r="V24" i="13"/>
  <c r="V44" i="16"/>
  <c r="T41" i="11"/>
  <c r="U44" i="16"/>
  <c r="W44" i="16"/>
  <c r="T25" i="14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25" i="13"/>
  <c r="T140" i="15"/>
  <c r="D42" i="11"/>
  <c r="D45" i="16"/>
  <c r="T45" i="16"/>
  <c r="V25" i="14"/>
  <c r="B48" i="9" a="1"/>
  <c r="B48" i="9"/>
  <c r="D48" i="9"/>
  <c r="V25" i="13"/>
  <c r="V140" i="15"/>
  <c r="V45" i="16"/>
  <c r="T42" i="11"/>
  <c r="U45" i="16"/>
  <c r="W45" i="16"/>
  <c r="T26" i="14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26" i="13"/>
  <c r="T141" i="15"/>
  <c r="D43" i="11"/>
  <c r="D46" i="16"/>
  <c r="T46" i="16"/>
  <c r="V26" i="14"/>
  <c r="B49" i="9" a="1"/>
  <c r="B49" i="9"/>
  <c r="D49" i="9"/>
  <c r="V26" i="13"/>
  <c r="V141" i="15"/>
  <c r="V46" i="16"/>
  <c r="T43" i="11"/>
  <c r="U46" i="16"/>
  <c r="W46" i="16"/>
  <c r="T27" i="14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27" i="13"/>
  <c r="D44" i="11"/>
  <c r="D47" i="16"/>
  <c r="T47" i="16"/>
  <c r="V27" i="14"/>
  <c r="B50" i="9" a="1"/>
  <c r="B50" i="9"/>
  <c r="D50" i="9"/>
  <c r="V27" i="13"/>
  <c r="V47" i="16"/>
  <c r="T44" i="11"/>
  <c r="U47" i="16"/>
  <c r="W47" i="16"/>
  <c r="T28" i="14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28" i="13"/>
  <c r="D45" i="11"/>
  <c r="D48" i="16"/>
  <c r="T48" i="16"/>
  <c r="V28" i="14"/>
  <c r="B51" i="9" a="1"/>
  <c r="B51" i="9"/>
  <c r="D51" i="9"/>
  <c r="V28" i="13"/>
  <c r="V48" i="16"/>
  <c r="T45" i="11"/>
  <c r="U48" i="16"/>
  <c r="W48" i="16"/>
  <c r="T29" i="14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29" i="13"/>
  <c r="T144" i="15"/>
  <c r="D46" i="11"/>
  <c r="D49" i="16"/>
  <c r="T49" i="16"/>
  <c r="V29" i="14"/>
  <c r="B52" i="9" a="1"/>
  <c r="B52" i="9"/>
  <c r="D52" i="9"/>
  <c r="V29" i="13"/>
  <c r="V144" i="15"/>
  <c r="V49" i="16"/>
  <c r="T46" i="11"/>
  <c r="U49" i="16"/>
  <c r="W49" i="16"/>
  <c r="T30" i="14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30" i="13"/>
  <c r="T145" i="15"/>
  <c r="D47" i="11"/>
  <c r="D50" i="16"/>
  <c r="T50" i="16"/>
  <c r="V30" i="14"/>
  <c r="B53" i="9" a="1"/>
  <c r="B53" i="9"/>
  <c r="D53" i="9"/>
  <c r="V30" i="13"/>
  <c r="V145" i="15"/>
  <c r="V50" i="16"/>
  <c r="T47" i="11"/>
  <c r="U50" i="16"/>
  <c r="W50" i="16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31" i="13"/>
  <c r="D48" i="11"/>
  <c r="D51" i="16"/>
  <c r="T51" i="16"/>
  <c r="B54" i="9" a="1"/>
  <c r="B54" i="9"/>
  <c r="D54" i="9"/>
  <c r="V31" i="13"/>
  <c r="V51" i="16"/>
  <c r="T48" i="11"/>
  <c r="U51" i="16"/>
  <c r="W51" i="16"/>
  <c r="T32" i="14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147" i="15"/>
  <c r="D49" i="11"/>
  <c r="D52" i="16"/>
  <c r="T52" i="16"/>
  <c r="V32" i="14"/>
  <c r="B55" i="9" a="1"/>
  <c r="B55" i="9"/>
  <c r="D55" i="9"/>
  <c r="V147" i="15"/>
  <c r="V52" i="16"/>
  <c r="T49" i="11"/>
  <c r="U52" i="16"/>
  <c r="W52" i="16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102" i="13"/>
  <c r="D50" i="11"/>
  <c r="D53" i="16"/>
  <c r="T53" i="16"/>
  <c r="B56" i="9" a="1"/>
  <c r="B56" i="9"/>
  <c r="D56" i="9"/>
  <c r="V102" i="13"/>
  <c r="V53" i="16"/>
  <c r="T50" i="11"/>
  <c r="U53" i="16"/>
  <c r="W53" i="16"/>
  <c r="T80" i="14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103" i="13"/>
  <c r="T57" i="15"/>
  <c r="D51" i="11"/>
  <c r="D54" i="16"/>
  <c r="T54" i="16"/>
  <c r="V80" i="14"/>
  <c r="B57" i="9" a="1"/>
  <c r="B57" i="9"/>
  <c r="D57" i="9"/>
  <c r="V103" i="13"/>
  <c r="V57" i="15"/>
  <c r="V54" i="16"/>
  <c r="T51" i="11"/>
  <c r="U54" i="16"/>
  <c r="W54" i="16"/>
  <c r="T81" i="14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104" i="13"/>
  <c r="T58" i="15"/>
  <c r="D52" i="11"/>
  <c r="D55" i="16"/>
  <c r="T55" i="16"/>
  <c r="V81" i="14"/>
  <c r="B58" i="9" a="1"/>
  <c r="B58" i="9"/>
  <c r="D58" i="9"/>
  <c r="V104" i="13"/>
  <c r="V58" i="15"/>
  <c r="V55" i="16"/>
  <c r="T52" i="11"/>
  <c r="U55" i="16"/>
  <c r="W55" i="16"/>
  <c r="T82" i="14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5"/>
  <c r="D53" i="11"/>
  <c r="D56" i="16"/>
  <c r="T56" i="16"/>
  <c r="V82" i="14"/>
  <c r="B59" i="9" a="1"/>
  <c r="B59" i="9"/>
  <c r="D59" i="9"/>
  <c r="V59" i="15"/>
  <c r="V56" i="16"/>
  <c r="T53" i="11"/>
  <c r="U56" i="16"/>
  <c r="W56" i="16"/>
  <c r="T83" i="14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105" i="13"/>
  <c r="T60" i="15"/>
  <c r="D54" i="11"/>
  <c r="D57" i="16"/>
  <c r="T57" i="16"/>
  <c r="V83" i="14"/>
  <c r="B60" i="9" a="1"/>
  <c r="B60" i="9"/>
  <c r="D60" i="9"/>
  <c r="V105" i="13"/>
  <c r="V60" i="15"/>
  <c r="V57" i="16"/>
  <c r="T54" i="11"/>
  <c r="U57" i="16"/>
  <c r="W57" i="16"/>
  <c r="T84" i="14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106" i="13"/>
  <c r="T61" i="15"/>
  <c r="D55" i="11"/>
  <c r="D58" i="16"/>
  <c r="T58" i="16"/>
  <c r="V84" i="14"/>
  <c r="B61" i="9" a="1"/>
  <c r="B61" i="9"/>
  <c r="D61" i="9"/>
  <c r="V106" i="13"/>
  <c r="V61" i="15"/>
  <c r="V58" i="16"/>
  <c r="T55" i="11"/>
  <c r="U58" i="16"/>
  <c r="W58" i="16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D56" i="11"/>
  <c r="D59" i="16"/>
  <c r="T59" i="16"/>
  <c r="B62" i="9" a="1"/>
  <c r="B62" i="9"/>
  <c r="D62" i="9"/>
  <c r="V59" i="16"/>
  <c r="T56" i="11"/>
  <c r="U59" i="16"/>
  <c r="W59" i="16"/>
  <c r="T86" i="14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108" i="13"/>
  <c r="T63" i="15"/>
  <c r="D57" i="11"/>
  <c r="D60" i="16"/>
  <c r="T60" i="16"/>
  <c r="V86" i="14"/>
  <c r="B63" i="9" a="1"/>
  <c r="B63" i="9"/>
  <c r="D63" i="9"/>
  <c r="V108" i="13"/>
  <c r="V63" i="15"/>
  <c r="V60" i="16"/>
  <c r="T57" i="11"/>
  <c r="U60" i="16"/>
  <c r="W60" i="16"/>
  <c r="T88" i="14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110" i="13"/>
  <c r="T65" i="15"/>
  <c r="D58" i="11"/>
  <c r="D61" i="16"/>
  <c r="T61" i="16"/>
  <c r="V88" i="14"/>
  <c r="B64" i="9" a="1"/>
  <c r="B64" i="9"/>
  <c r="D64" i="9"/>
  <c r="V110" i="13"/>
  <c r="V65" i="15"/>
  <c r="V61" i="16"/>
  <c r="T58" i="11"/>
  <c r="U61" i="16"/>
  <c r="W61" i="16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D59" i="11"/>
  <c r="D62" i="16"/>
  <c r="T62" i="16"/>
  <c r="B65" i="9" a="1"/>
  <c r="B65" i="9"/>
  <c r="D65" i="9"/>
  <c r="V62" i="16"/>
  <c r="T59" i="11"/>
  <c r="U62" i="16"/>
  <c r="W62" i="16"/>
  <c r="T89" i="14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5"/>
  <c r="D60" i="11"/>
  <c r="D63" i="16"/>
  <c r="T63" i="16"/>
  <c r="V89" i="14"/>
  <c r="B66" i="9" a="1"/>
  <c r="B66" i="9"/>
  <c r="D66" i="9"/>
  <c r="V66" i="15"/>
  <c r="V63" i="16"/>
  <c r="T60" i="11"/>
  <c r="U63" i="16"/>
  <c r="W63" i="16"/>
  <c r="T90" i="14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111" i="13"/>
  <c r="T67" i="15"/>
  <c r="D61" i="11"/>
  <c r="D64" i="16"/>
  <c r="T64" i="16"/>
  <c r="V90" i="14"/>
  <c r="B67" i="9" a="1"/>
  <c r="B67" i="9"/>
  <c r="D67" i="9"/>
  <c r="V111" i="13"/>
  <c r="V67" i="15"/>
  <c r="V64" i="16"/>
  <c r="T61" i="11"/>
  <c r="U64" i="16"/>
  <c r="W64" i="16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112" i="13"/>
  <c r="D62" i="11"/>
  <c r="D65" i="16"/>
  <c r="T65" i="16"/>
  <c r="B68" i="9" a="1"/>
  <c r="B68" i="9"/>
  <c r="D68" i="9"/>
  <c r="V112" i="13"/>
  <c r="V65" i="16"/>
  <c r="T62" i="11"/>
  <c r="U65" i="16"/>
  <c r="W65" i="16"/>
  <c r="T91" i="14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113" i="13"/>
  <c r="T68" i="15"/>
  <c r="D63" i="11"/>
  <c r="D66" i="16"/>
  <c r="T66" i="16"/>
  <c r="V91" i="14"/>
  <c r="B69" i="9" a="1"/>
  <c r="B69" i="9"/>
  <c r="D69" i="9"/>
  <c r="V113" i="13"/>
  <c r="V68" i="15"/>
  <c r="V66" i="16"/>
  <c r="T63" i="11"/>
  <c r="U66" i="16"/>
  <c r="W66" i="16"/>
  <c r="T93" i="14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115" i="13"/>
  <c r="T70" i="15"/>
  <c r="D64" i="11"/>
  <c r="D67" i="16"/>
  <c r="T67" i="16"/>
  <c r="V93" i="14"/>
  <c r="B70" i="9" a="1"/>
  <c r="B70" i="9"/>
  <c r="D70" i="9"/>
  <c r="V115" i="13"/>
  <c r="V70" i="15"/>
  <c r="V67" i="16"/>
  <c r="T64" i="11"/>
  <c r="U67" i="16"/>
  <c r="W67" i="16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116" i="13"/>
  <c r="D65" i="11"/>
  <c r="D68" i="16"/>
  <c r="T68" i="16"/>
  <c r="B71" i="9" a="1"/>
  <c r="B71" i="9"/>
  <c r="D71" i="9"/>
  <c r="V116" i="13"/>
  <c r="V68" i="16"/>
  <c r="T65" i="11"/>
  <c r="U68" i="16"/>
  <c r="W68" i="16"/>
  <c r="T94" i="14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117" i="13"/>
  <c r="T71" i="15"/>
  <c r="D66" i="11"/>
  <c r="D69" i="16"/>
  <c r="T69" i="16"/>
  <c r="V94" i="14"/>
  <c r="B72" i="9" a="1"/>
  <c r="B72" i="9"/>
  <c r="D72" i="9"/>
  <c r="V117" i="13"/>
  <c r="V71" i="15"/>
  <c r="V69" i="16"/>
  <c r="T66" i="11"/>
  <c r="U69" i="16"/>
  <c r="W69" i="16"/>
  <c r="T96" i="14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118" i="13"/>
  <c r="T73" i="15"/>
  <c r="D67" i="11"/>
  <c r="D70" i="16"/>
  <c r="T70" i="16"/>
  <c r="V96" i="14"/>
  <c r="B73" i="9" a="1"/>
  <c r="B73" i="9"/>
  <c r="D73" i="9"/>
  <c r="V118" i="13"/>
  <c r="V73" i="15"/>
  <c r="V70" i="16"/>
  <c r="T67" i="11"/>
  <c r="U70" i="16"/>
  <c r="W70" i="16"/>
  <c r="T97" i="14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119" i="13"/>
  <c r="T74" i="15"/>
  <c r="D68" i="11"/>
  <c r="D71" i="16"/>
  <c r="T71" i="16"/>
  <c r="V97" i="14"/>
  <c r="B74" i="9" a="1"/>
  <c r="B74" i="9"/>
  <c r="D74" i="9"/>
  <c r="V119" i="13"/>
  <c r="V74" i="15"/>
  <c r="V71" i="16"/>
  <c r="T68" i="11"/>
  <c r="U71" i="16"/>
  <c r="W71" i="16"/>
  <c r="T98" i="14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120" i="13"/>
  <c r="T75" i="15"/>
  <c r="D69" i="11"/>
  <c r="D72" i="16"/>
  <c r="T72" i="16"/>
  <c r="V98" i="14"/>
  <c r="B75" i="9" a="1"/>
  <c r="B75" i="9"/>
  <c r="D75" i="9"/>
  <c r="V120" i="13"/>
  <c r="V75" i="15"/>
  <c r="V72" i="16"/>
  <c r="T69" i="11"/>
  <c r="U72" i="16"/>
  <c r="W72" i="16"/>
  <c r="T99" i="14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121" i="13"/>
  <c r="T76" i="15"/>
  <c r="D70" i="11"/>
  <c r="D73" i="16"/>
  <c r="T73" i="16"/>
  <c r="V99" i="14"/>
  <c r="B76" i="9" a="1"/>
  <c r="B76" i="9"/>
  <c r="D76" i="9"/>
  <c r="V121" i="13"/>
  <c r="V76" i="15"/>
  <c r="V73" i="16"/>
  <c r="T70" i="11"/>
  <c r="U73" i="16"/>
  <c r="W73" i="16"/>
  <c r="T100" i="14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122" i="13"/>
  <c r="T77" i="15"/>
  <c r="D71" i="11"/>
  <c r="D74" i="16"/>
  <c r="T74" i="16"/>
  <c r="V100" i="14"/>
  <c r="B77" i="9" a="1"/>
  <c r="B77" i="9"/>
  <c r="D77" i="9"/>
  <c r="V122" i="13"/>
  <c r="V77" i="15"/>
  <c r="V74" i="16"/>
  <c r="T71" i="11"/>
  <c r="U74" i="16"/>
  <c r="W74" i="16"/>
  <c r="T123" i="14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55" i="13"/>
  <c r="T102" i="15"/>
  <c r="D72" i="11"/>
  <c r="D75" i="16"/>
  <c r="T75" i="16"/>
  <c r="V123" i="14"/>
  <c r="B78" i="9" a="1"/>
  <c r="B78" i="9"/>
  <c r="D78" i="9"/>
  <c r="V55" i="13"/>
  <c r="V102" i="15"/>
  <c r="V75" i="16"/>
  <c r="T72" i="11"/>
  <c r="U75" i="16"/>
  <c r="W75" i="16"/>
  <c r="T124" i="14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56" i="13"/>
  <c r="T103" i="15"/>
  <c r="D73" i="11"/>
  <c r="D76" i="16"/>
  <c r="T76" i="16"/>
  <c r="V124" i="14"/>
  <c r="B79" i="9" a="1"/>
  <c r="B79" i="9"/>
  <c r="D79" i="9"/>
  <c r="V56" i="13"/>
  <c r="V103" i="15"/>
  <c r="V76" i="16"/>
  <c r="T73" i="11"/>
  <c r="U76" i="16"/>
  <c r="W76" i="16"/>
  <c r="T125" i="14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57" i="13"/>
  <c r="T104" i="15"/>
  <c r="D74" i="11"/>
  <c r="D77" i="16"/>
  <c r="T77" i="16"/>
  <c r="V125" i="14"/>
  <c r="B80" i="9" a="1"/>
  <c r="B80" i="9"/>
  <c r="D80" i="9"/>
  <c r="V57" i="13"/>
  <c r="V104" i="15"/>
  <c r="V77" i="16"/>
  <c r="T74" i="11"/>
  <c r="U77" i="16"/>
  <c r="W77" i="16"/>
  <c r="T126" i="14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58" i="13"/>
  <c r="T105" i="15"/>
  <c r="D75" i="11"/>
  <c r="D78" i="16"/>
  <c r="T78" i="16"/>
  <c r="V126" i="14"/>
  <c r="B81" i="9" a="1"/>
  <c r="B81" i="9"/>
  <c r="D81" i="9"/>
  <c r="V58" i="13"/>
  <c r="V105" i="15"/>
  <c r="V78" i="16"/>
  <c r="T75" i="11"/>
  <c r="U78" i="16"/>
  <c r="W78" i="16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59" i="13"/>
  <c r="T106" i="15"/>
  <c r="D76" i="11"/>
  <c r="D79" i="16"/>
  <c r="T79" i="16"/>
  <c r="B82" i="9" a="1"/>
  <c r="B82" i="9"/>
  <c r="D82" i="9"/>
  <c r="V59" i="13"/>
  <c r="V106" i="15"/>
  <c r="V79" i="16"/>
  <c r="T76" i="11"/>
  <c r="U79" i="16"/>
  <c r="W79" i="16"/>
  <c r="T127" i="14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60" i="13"/>
  <c r="T107" i="15"/>
  <c r="D77" i="11"/>
  <c r="D80" i="16"/>
  <c r="T80" i="16"/>
  <c r="V127" i="14"/>
  <c r="B83" i="9" a="1"/>
  <c r="B83" i="9"/>
  <c r="D83" i="9"/>
  <c r="V60" i="13"/>
  <c r="V107" i="15"/>
  <c r="V80" i="16"/>
  <c r="T77" i="11"/>
  <c r="U80" i="16"/>
  <c r="W80" i="16"/>
  <c r="T128" i="14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61" i="13"/>
  <c r="T108" i="15"/>
  <c r="D78" i="11"/>
  <c r="D81" i="16"/>
  <c r="T81" i="16"/>
  <c r="V128" i="14"/>
  <c r="B84" i="9" a="1"/>
  <c r="B84" i="9"/>
  <c r="D84" i="9"/>
  <c r="V61" i="13"/>
  <c r="V108" i="15"/>
  <c r="V81" i="16"/>
  <c r="T78" i="11"/>
  <c r="U81" i="16"/>
  <c r="W81" i="16"/>
  <c r="T129" i="14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62" i="13"/>
  <c r="T109" i="15"/>
  <c r="D79" i="11"/>
  <c r="D82" i="16"/>
  <c r="T82" i="16"/>
  <c r="V129" i="14"/>
  <c r="B85" i="9" a="1"/>
  <c r="B85" i="9"/>
  <c r="D85" i="9"/>
  <c r="V62" i="13"/>
  <c r="V109" i="15"/>
  <c r="V82" i="16"/>
  <c r="T79" i="11"/>
  <c r="U82" i="16"/>
  <c r="W82" i="16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63" i="13"/>
  <c r="D80" i="11"/>
  <c r="D83" i="16"/>
  <c r="T83" i="16"/>
  <c r="B86" i="9" a="1"/>
  <c r="B86" i="9"/>
  <c r="D86" i="9"/>
  <c r="V63" i="13"/>
  <c r="V83" i="16"/>
  <c r="T80" i="11"/>
  <c r="U83" i="16"/>
  <c r="W83" i="16"/>
  <c r="T131" i="14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64" i="13"/>
  <c r="T111" i="15"/>
  <c r="D81" i="11"/>
  <c r="D84" i="16"/>
  <c r="T84" i="16"/>
  <c r="V131" i="14"/>
  <c r="B87" i="9" a="1"/>
  <c r="B87" i="9"/>
  <c r="D87" i="9"/>
  <c r="V64" i="13"/>
  <c r="V111" i="15"/>
  <c r="V84" i="16"/>
  <c r="T81" i="11"/>
  <c r="U84" i="16"/>
  <c r="W84" i="16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65" i="13"/>
  <c r="D82" i="11"/>
  <c r="D85" i="16"/>
  <c r="T85" i="16"/>
  <c r="B88" i="9" a="1"/>
  <c r="B88" i="9"/>
  <c r="D88" i="9"/>
  <c r="V65" i="13"/>
  <c r="V85" i="16"/>
  <c r="T82" i="11"/>
  <c r="U85" i="16"/>
  <c r="W85" i="16"/>
  <c r="T132" i="14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66" i="13"/>
  <c r="T112" i="15"/>
  <c r="D83" i="11"/>
  <c r="D86" i="16"/>
  <c r="T86" i="16"/>
  <c r="V132" i="14"/>
  <c r="B89" i="9" a="1"/>
  <c r="B89" i="9"/>
  <c r="D89" i="9"/>
  <c r="V66" i="13"/>
  <c r="V112" i="15"/>
  <c r="V86" i="16"/>
  <c r="T83" i="11"/>
  <c r="U86" i="16"/>
  <c r="W86" i="16"/>
  <c r="T133" i="14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67" i="13"/>
  <c r="T113" i="15"/>
  <c r="D84" i="11"/>
  <c r="D87" i="16"/>
  <c r="T87" i="16"/>
  <c r="V133" i="14"/>
  <c r="B90" i="9" a="1"/>
  <c r="B90" i="9"/>
  <c r="D90" i="9"/>
  <c r="V67" i="13"/>
  <c r="V113" i="15"/>
  <c r="V87" i="16"/>
  <c r="T84" i="11"/>
  <c r="U87" i="16"/>
  <c r="W87" i="16"/>
  <c r="T134" i="14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68" i="13"/>
  <c r="T114" i="15"/>
  <c r="D85" i="11"/>
  <c r="D88" i="16"/>
  <c r="T88" i="16"/>
  <c r="V134" i="14"/>
  <c r="B91" i="9" a="1"/>
  <c r="B91" i="9"/>
  <c r="D91" i="9"/>
  <c r="V68" i="13"/>
  <c r="V114" i="15"/>
  <c r="V88" i="16"/>
  <c r="T85" i="11"/>
  <c r="U88" i="16"/>
  <c r="W88" i="16"/>
  <c r="T137" i="14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69" i="13"/>
  <c r="D86" i="11"/>
  <c r="D89" i="16"/>
  <c r="T89" i="16"/>
  <c r="V137" i="14"/>
  <c r="B92" i="9" a="1"/>
  <c r="B92" i="9"/>
  <c r="D92" i="9"/>
  <c r="V69" i="13"/>
  <c r="V89" i="16"/>
  <c r="T86" i="11"/>
  <c r="U89" i="16"/>
  <c r="W89" i="16"/>
  <c r="T138" i="14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70" i="13"/>
  <c r="T117" i="15"/>
  <c r="D87" i="11"/>
  <c r="D90" i="16"/>
  <c r="T90" i="16"/>
  <c r="V138" i="14"/>
  <c r="B93" i="9" a="1"/>
  <c r="B93" i="9"/>
  <c r="D93" i="9"/>
  <c r="V70" i="13"/>
  <c r="V117" i="15"/>
  <c r="V90" i="16"/>
  <c r="T87" i="11"/>
  <c r="U90" i="16"/>
  <c r="W90" i="16"/>
  <c r="T139" i="14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71" i="13"/>
  <c r="T118" i="15"/>
  <c r="D88" i="11"/>
  <c r="D91" i="16"/>
  <c r="T91" i="16"/>
  <c r="V139" i="14"/>
  <c r="B94" i="9" a="1"/>
  <c r="B94" i="9"/>
  <c r="D94" i="9"/>
  <c r="V71" i="13"/>
  <c r="V118" i="15"/>
  <c r="V91" i="16"/>
  <c r="T88" i="11"/>
  <c r="U91" i="16"/>
  <c r="W91" i="16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119" i="15"/>
  <c r="D89" i="11"/>
  <c r="D92" i="16"/>
  <c r="T92" i="16"/>
  <c r="B95" i="9" a="1"/>
  <c r="B95" i="9"/>
  <c r="D95" i="9"/>
  <c r="V119" i="15"/>
  <c r="V92" i="16"/>
  <c r="T89" i="11"/>
  <c r="U92" i="16"/>
  <c r="W92" i="16"/>
  <c r="T140" i="14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72" i="13"/>
  <c r="T120" i="15"/>
  <c r="D90" i="11"/>
  <c r="D93" i="16"/>
  <c r="T93" i="16"/>
  <c r="V140" i="14"/>
  <c r="B96" i="9" a="1"/>
  <c r="B96" i="9"/>
  <c r="D96" i="9"/>
  <c r="V72" i="13"/>
  <c r="V120" i="15"/>
  <c r="V93" i="16"/>
  <c r="T90" i="11"/>
  <c r="U93" i="16"/>
  <c r="W93" i="16"/>
  <c r="T142" i="14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74" i="13"/>
  <c r="D91" i="11"/>
  <c r="D94" i="16"/>
  <c r="T94" i="16"/>
  <c r="V142" i="14"/>
  <c r="B97" i="9" a="1"/>
  <c r="B97" i="9"/>
  <c r="D97" i="9"/>
  <c r="V74" i="13"/>
  <c r="V94" i="16"/>
  <c r="T91" i="11"/>
  <c r="U94" i="16"/>
  <c r="W94" i="16"/>
  <c r="T143" i="14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75" i="13"/>
  <c r="T122" i="15"/>
  <c r="D92" i="11"/>
  <c r="D95" i="16"/>
  <c r="T95" i="16"/>
  <c r="V143" i="14"/>
  <c r="B98" i="9" a="1"/>
  <c r="B98" i="9"/>
  <c r="D98" i="9"/>
  <c r="V75" i="13"/>
  <c r="V122" i="15"/>
  <c r="V95" i="16"/>
  <c r="T92" i="11"/>
  <c r="U95" i="16"/>
  <c r="W95" i="16"/>
  <c r="T144" i="14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76" i="13"/>
  <c r="T123" i="15"/>
  <c r="D93" i="11"/>
  <c r="D96" i="16"/>
  <c r="T96" i="16"/>
  <c r="V144" i="14"/>
  <c r="B99" i="9" a="1"/>
  <c r="B99" i="9"/>
  <c r="D99" i="9"/>
  <c r="V76" i="13"/>
  <c r="V123" i="15"/>
  <c r="V96" i="16"/>
  <c r="T93" i="11"/>
  <c r="U96" i="16"/>
  <c r="W96" i="16"/>
  <c r="T145" i="14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77" i="13"/>
  <c r="T124" i="15"/>
  <c r="D94" i="11"/>
  <c r="D97" i="16"/>
  <c r="T97" i="16"/>
  <c r="V145" i="14"/>
  <c r="B100" i="9" a="1"/>
  <c r="B100" i="9"/>
  <c r="D100" i="9"/>
  <c r="V77" i="13"/>
  <c r="V124" i="15"/>
  <c r="V97" i="16"/>
  <c r="T94" i="11"/>
  <c r="U97" i="16"/>
  <c r="W97" i="16"/>
  <c r="T33" i="14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24" i="13"/>
  <c r="T10" i="15"/>
  <c r="D95" i="11"/>
  <c r="D98" i="16"/>
  <c r="T98" i="16"/>
  <c r="V33" i="14"/>
  <c r="B101" i="9" a="1"/>
  <c r="B101" i="9"/>
  <c r="D101" i="9"/>
  <c r="V124" i="13"/>
  <c r="V10" i="15"/>
  <c r="V98" i="16"/>
  <c r="T95" i="11"/>
  <c r="U98" i="16"/>
  <c r="W98" i="16"/>
  <c r="T34" i="14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25" i="13"/>
  <c r="D96" i="11"/>
  <c r="D99" i="16"/>
  <c r="T99" i="16"/>
  <c r="V34" i="14"/>
  <c r="B102" i="9" a="1"/>
  <c r="B102" i="9"/>
  <c r="D102" i="9"/>
  <c r="V125" i="13"/>
  <c r="V99" i="16"/>
  <c r="T96" i="11"/>
  <c r="U99" i="16"/>
  <c r="W99" i="16"/>
  <c r="T35" i="14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26" i="13"/>
  <c r="T11" i="15"/>
  <c r="D97" i="11"/>
  <c r="D100" i="16"/>
  <c r="T100" i="16"/>
  <c r="V35" i="14"/>
  <c r="B103" i="9" a="1"/>
  <c r="B103" i="9"/>
  <c r="D103" i="9"/>
  <c r="V126" i="13"/>
  <c r="V11" i="15"/>
  <c r="V100" i="16"/>
  <c r="T97" i="11"/>
  <c r="U100" i="16"/>
  <c r="W100" i="16"/>
  <c r="T36" i="14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27" i="13"/>
  <c r="T12" i="15"/>
  <c r="D98" i="11"/>
  <c r="D101" i="16"/>
  <c r="T101" i="16"/>
  <c r="V36" i="14"/>
  <c r="B104" i="9" a="1"/>
  <c r="B104" i="9"/>
  <c r="D104" i="9"/>
  <c r="V127" i="13"/>
  <c r="V12" i="15"/>
  <c r="V101" i="16"/>
  <c r="T98" i="11"/>
  <c r="U101" i="16"/>
  <c r="W101" i="16"/>
  <c r="T37" i="14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28" i="13"/>
  <c r="T13" i="15"/>
  <c r="D99" i="11"/>
  <c r="D102" i="16"/>
  <c r="T102" i="16"/>
  <c r="V37" i="14"/>
  <c r="B105" i="9" a="1"/>
  <c r="B105" i="9"/>
  <c r="D105" i="9"/>
  <c r="V128" i="13"/>
  <c r="V13" i="15"/>
  <c r="V102" i="16"/>
  <c r="T99" i="11"/>
  <c r="U102" i="16"/>
  <c r="W102" i="16"/>
  <c r="T38" i="14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29" i="13"/>
  <c r="T14" i="15"/>
  <c r="D100" i="11"/>
  <c r="D103" i="16"/>
  <c r="T103" i="16"/>
  <c r="V38" i="14"/>
  <c r="B106" i="9" a="1"/>
  <c r="B106" i="9"/>
  <c r="D106" i="9"/>
  <c r="V129" i="13"/>
  <c r="V14" i="15"/>
  <c r="V103" i="16"/>
  <c r="T100" i="11"/>
  <c r="U103" i="16"/>
  <c r="W103" i="16"/>
  <c r="T39" i="14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30" i="13"/>
  <c r="T15" i="15"/>
  <c r="D101" i="11"/>
  <c r="D104" i="16"/>
  <c r="T104" i="16"/>
  <c r="V39" i="14"/>
  <c r="B107" i="9" a="1"/>
  <c r="B107" i="9"/>
  <c r="D107" i="9"/>
  <c r="V130" i="13"/>
  <c r="V15" i="15"/>
  <c r="V104" i="16"/>
  <c r="T101" i="11"/>
  <c r="U104" i="16"/>
  <c r="W104" i="16"/>
  <c r="T40" i="14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31" i="13"/>
  <c r="T16" i="15"/>
  <c r="D102" i="11"/>
  <c r="D105" i="16"/>
  <c r="T105" i="16"/>
  <c r="V40" i="14"/>
  <c r="B108" i="9" a="1"/>
  <c r="B108" i="9"/>
  <c r="D108" i="9"/>
  <c r="V131" i="13"/>
  <c r="V16" i="15"/>
  <c r="V105" i="16"/>
  <c r="T102" i="11"/>
  <c r="U105" i="16"/>
  <c r="W105" i="16"/>
  <c r="T42" i="14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32" i="13"/>
  <c r="T18" i="15"/>
  <c r="D103" i="11"/>
  <c r="D106" i="16"/>
  <c r="T106" i="16"/>
  <c r="V42" i="14"/>
  <c r="B109" i="9" a="1"/>
  <c r="B109" i="9"/>
  <c r="D109" i="9"/>
  <c r="V132" i="13"/>
  <c r="V18" i="15"/>
  <c r="V106" i="16"/>
  <c r="T103" i="11"/>
  <c r="U106" i="16"/>
  <c r="W106" i="16"/>
  <c r="T43" i="14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33" i="13"/>
  <c r="T19" i="15"/>
  <c r="D104" i="11"/>
  <c r="D107" i="16"/>
  <c r="T107" i="16"/>
  <c r="V43" i="14"/>
  <c r="B110" i="9" a="1"/>
  <c r="B110" i="9"/>
  <c r="D110" i="9"/>
  <c r="V133" i="13"/>
  <c r="V19" i="15"/>
  <c r="V107" i="16"/>
  <c r="T104" i="11"/>
  <c r="U107" i="16"/>
  <c r="W107" i="16"/>
  <c r="T44" i="14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34" i="13"/>
  <c r="T20" i="15"/>
  <c r="D105" i="11"/>
  <c r="D108" i="16"/>
  <c r="T108" i="16"/>
  <c r="V44" i="14"/>
  <c r="B111" i="9" a="1"/>
  <c r="B111" i="9"/>
  <c r="D111" i="9"/>
  <c r="V134" i="13"/>
  <c r="V20" i="15"/>
  <c r="V108" i="16"/>
  <c r="T105" i="11"/>
  <c r="U108" i="16"/>
  <c r="W108" i="16"/>
  <c r="T45" i="14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35" i="13"/>
  <c r="T21" i="15"/>
  <c r="D106" i="11"/>
  <c r="D109" i="16"/>
  <c r="T109" i="16"/>
  <c r="V45" i="14"/>
  <c r="B112" i="9" a="1"/>
  <c r="B112" i="9"/>
  <c r="D112" i="9"/>
  <c r="V135" i="13"/>
  <c r="V21" i="15"/>
  <c r="V109" i="16"/>
  <c r="T106" i="11"/>
  <c r="U109" i="16"/>
  <c r="W109" i="16"/>
  <c r="T46" i="14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22" i="15"/>
  <c r="D107" i="11"/>
  <c r="D110" i="16"/>
  <c r="T110" i="16"/>
  <c r="V46" i="14"/>
  <c r="B113" i="9" a="1"/>
  <c r="B113" i="9"/>
  <c r="D113" i="9"/>
  <c r="V22" i="15"/>
  <c r="V110" i="16"/>
  <c r="T107" i="11"/>
  <c r="U110" i="16"/>
  <c r="W110" i="16"/>
  <c r="T47" i="14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38" i="13"/>
  <c r="T23" i="15"/>
  <c r="D108" i="11"/>
  <c r="D111" i="16"/>
  <c r="T111" i="16"/>
  <c r="V47" i="14"/>
  <c r="B114" i="9" a="1"/>
  <c r="B114" i="9"/>
  <c r="D114" i="9"/>
  <c r="V138" i="13"/>
  <c r="V23" i="15"/>
  <c r="V111" i="16"/>
  <c r="T108" i="11"/>
  <c r="U111" i="16"/>
  <c r="W111" i="16"/>
  <c r="T48" i="14"/>
  <c r="G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37" i="13"/>
  <c r="T24" i="15"/>
  <c r="D109" i="11"/>
  <c r="D112" i="16"/>
  <c r="T112" i="16"/>
  <c r="V48" i="14"/>
  <c r="B115" i="9" a="1"/>
  <c r="B115" i="9"/>
  <c r="D115" i="9"/>
  <c r="V137" i="13"/>
  <c r="V24" i="15"/>
  <c r="V112" i="16"/>
  <c r="T109" i="11"/>
  <c r="U112" i="16"/>
  <c r="W112" i="16"/>
  <c r="T49" i="14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39" i="13"/>
  <c r="T25" i="15"/>
  <c r="D110" i="11"/>
  <c r="D113" i="16"/>
  <c r="T113" i="16"/>
  <c r="V49" i="14"/>
  <c r="B116" i="9" a="1"/>
  <c r="B116" i="9"/>
  <c r="D116" i="9"/>
  <c r="V139" i="13"/>
  <c r="V25" i="15"/>
  <c r="V113" i="16"/>
  <c r="T110" i="11"/>
  <c r="U113" i="16"/>
  <c r="W113" i="16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40" i="13"/>
  <c r="T26" i="15"/>
  <c r="D111" i="11"/>
  <c r="D114" i="16"/>
  <c r="T114" i="16"/>
  <c r="B117" i="9" a="1"/>
  <c r="B117" i="9"/>
  <c r="D117" i="9"/>
  <c r="V140" i="13"/>
  <c r="V26" i="15"/>
  <c r="V114" i="16"/>
  <c r="T111" i="11"/>
  <c r="U114" i="16"/>
  <c r="W114" i="16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D112" i="11"/>
  <c r="D115" i="16"/>
  <c r="T115" i="16"/>
  <c r="B118" i="9" a="1"/>
  <c r="B118" i="9"/>
  <c r="D118" i="9"/>
  <c r="V115" i="16"/>
  <c r="T112" i="11"/>
  <c r="U115" i="16"/>
  <c r="W115" i="16"/>
  <c r="T50" i="14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41" i="13"/>
  <c r="T27" i="15"/>
  <c r="D113" i="11"/>
  <c r="D116" i="16"/>
  <c r="T116" i="16"/>
  <c r="V50" i="14"/>
  <c r="B119" i="9" a="1"/>
  <c r="B119" i="9"/>
  <c r="D119" i="9"/>
  <c r="V141" i="13"/>
  <c r="V27" i="15"/>
  <c r="V116" i="16"/>
  <c r="T113" i="11"/>
  <c r="U116" i="16"/>
  <c r="W116" i="16"/>
  <c r="T51" i="14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42" i="13"/>
  <c r="T28" i="15"/>
  <c r="D114" i="11"/>
  <c r="D117" i="16"/>
  <c r="T117" i="16"/>
  <c r="V51" i="14"/>
  <c r="B120" i="9" a="1"/>
  <c r="B120" i="9"/>
  <c r="D120" i="9"/>
  <c r="V142" i="13"/>
  <c r="V28" i="15"/>
  <c r="V117" i="16"/>
  <c r="T114" i="11"/>
  <c r="U117" i="16"/>
  <c r="W117" i="16"/>
  <c r="T53" i="14"/>
  <c r="G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44" i="13"/>
  <c r="T30" i="15"/>
  <c r="D115" i="11"/>
  <c r="D118" i="16"/>
  <c r="T118" i="16"/>
  <c r="V53" i="14"/>
  <c r="B121" i="9" a="1"/>
  <c r="B121" i="9"/>
  <c r="D121" i="9"/>
  <c r="V144" i="13"/>
  <c r="V30" i="15"/>
  <c r="V118" i="16"/>
  <c r="T115" i="11"/>
  <c r="U118" i="16"/>
  <c r="W118" i="16"/>
  <c r="T54" i="14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45" i="13"/>
  <c r="T31" i="15"/>
  <c r="D116" i="11"/>
  <c r="D119" i="16"/>
  <c r="T119" i="16"/>
  <c r="V54" i="14"/>
  <c r="B122" i="9" a="1"/>
  <c r="B122" i="9"/>
  <c r="D122" i="9"/>
  <c r="V145" i="13"/>
  <c r="V31" i="15"/>
  <c r="V119" i="16"/>
  <c r="T116" i="11"/>
  <c r="U119" i="16"/>
  <c r="W119" i="16"/>
  <c r="T55" i="14"/>
  <c r="G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46" i="13"/>
  <c r="T32" i="15"/>
  <c r="D117" i="11"/>
  <c r="D120" i="16"/>
  <c r="T120" i="16"/>
  <c r="V55" i="14"/>
  <c r="B123" i="9" a="1"/>
  <c r="B123" i="9"/>
  <c r="D123" i="9"/>
  <c r="V146" i="13"/>
  <c r="V32" i="15"/>
  <c r="V120" i="16"/>
  <c r="T117" i="11"/>
  <c r="U120" i="16"/>
  <c r="W120" i="16"/>
  <c r="T102" i="14"/>
  <c r="G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33" i="13"/>
  <c r="T80" i="15"/>
  <c r="D118" i="11"/>
  <c r="D121" i="16"/>
  <c r="T121" i="16"/>
  <c r="V102" i="14"/>
  <c r="B124" i="9" a="1"/>
  <c r="B124" i="9"/>
  <c r="D124" i="9"/>
  <c r="V33" i="13"/>
  <c r="V80" i="15"/>
  <c r="V121" i="16"/>
  <c r="T118" i="11"/>
  <c r="U121" i="16"/>
  <c r="W121" i="16"/>
  <c r="T103" i="14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34" i="13"/>
  <c r="T81" i="15"/>
  <c r="D119" i="11"/>
  <c r="D122" i="16"/>
  <c r="T122" i="16"/>
  <c r="V103" i="14"/>
  <c r="B125" i="9" a="1"/>
  <c r="B125" i="9"/>
  <c r="D125" i="9"/>
  <c r="V34" i="13"/>
  <c r="V81" i="15"/>
  <c r="V122" i="16"/>
  <c r="T119" i="11"/>
  <c r="U122" i="16"/>
  <c r="W122" i="16"/>
  <c r="T104" i="14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35" i="13"/>
  <c r="T83" i="15"/>
  <c r="D120" i="11"/>
  <c r="D123" i="16"/>
  <c r="T123" i="16"/>
  <c r="V104" i="14"/>
  <c r="B126" i="9" a="1"/>
  <c r="B126" i="9"/>
  <c r="D126" i="9"/>
  <c r="V35" i="13"/>
  <c r="V83" i="15"/>
  <c r="V123" i="16"/>
  <c r="T120" i="11"/>
  <c r="U123" i="16"/>
  <c r="W123" i="16"/>
  <c r="T105" i="14"/>
  <c r="G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36" i="13"/>
  <c r="T84" i="15"/>
  <c r="D121" i="11"/>
  <c r="D124" i="16"/>
  <c r="T124" i="16"/>
  <c r="V105" i="14"/>
  <c r="B127" i="9" a="1"/>
  <c r="B127" i="9"/>
  <c r="D127" i="9"/>
  <c r="V36" i="13"/>
  <c r="V84" i="15"/>
  <c r="V124" i="16"/>
  <c r="T121" i="11"/>
  <c r="U124" i="16"/>
  <c r="W124" i="16"/>
  <c r="T106" i="14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37" i="13"/>
  <c r="T85" i="15"/>
  <c r="D122" i="11"/>
  <c r="D125" i="16"/>
  <c r="T125" i="16"/>
  <c r="V106" i="14"/>
  <c r="B128" i="9" a="1"/>
  <c r="B128" i="9"/>
  <c r="D128" i="9"/>
  <c r="V37" i="13"/>
  <c r="V85" i="15"/>
  <c r="V125" i="16"/>
  <c r="T122" i="11"/>
  <c r="U125" i="16"/>
  <c r="W125" i="16"/>
  <c r="T107" i="14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38" i="13"/>
  <c r="D123" i="11"/>
  <c r="D126" i="16"/>
  <c r="T126" i="16"/>
  <c r="V107" i="14"/>
  <c r="B129" i="9" a="1"/>
  <c r="B129" i="9"/>
  <c r="D129" i="9"/>
  <c r="V38" i="13"/>
  <c r="V126" i="16"/>
  <c r="T123" i="11"/>
  <c r="U126" i="16"/>
  <c r="W126" i="16"/>
  <c r="T108" i="14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39" i="13"/>
  <c r="T86" i="15"/>
  <c r="D124" i="11"/>
  <c r="D127" i="16"/>
  <c r="T127" i="16"/>
  <c r="V108" i="14"/>
  <c r="B130" i="9" a="1"/>
  <c r="B130" i="9"/>
  <c r="D130" i="9"/>
  <c r="V39" i="13"/>
  <c r="V86" i="15"/>
  <c r="V127" i="16"/>
  <c r="T124" i="11"/>
  <c r="U127" i="16"/>
  <c r="W127" i="16"/>
  <c r="T109" i="14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40" i="13"/>
  <c r="T87" i="15"/>
  <c r="D125" i="11"/>
  <c r="D128" i="16"/>
  <c r="T128" i="16"/>
  <c r="V109" i="14"/>
  <c r="B131" i="9" a="1"/>
  <c r="B131" i="9"/>
  <c r="D131" i="9"/>
  <c r="V40" i="13"/>
  <c r="V87" i="15"/>
  <c r="V128" i="16"/>
  <c r="T125" i="11"/>
  <c r="U128" i="16"/>
  <c r="W128" i="16"/>
  <c r="T110" i="14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41" i="13"/>
  <c r="T89" i="15"/>
  <c r="D126" i="11"/>
  <c r="D129" i="16"/>
  <c r="T129" i="16"/>
  <c r="V110" i="14"/>
  <c r="B132" i="9" a="1"/>
  <c r="B132" i="9"/>
  <c r="D132" i="9"/>
  <c r="V41" i="13"/>
  <c r="V89" i="15"/>
  <c r="V129" i="16"/>
  <c r="T126" i="11"/>
  <c r="U129" i="16"/>
  <c r="W129" i="16"/>
  <c r="T112" i="14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43" i="13"/>
  <c r="D127" i="11"/>
  <c r="D130" i="16"/>
  <c r="T130" i="16"/>
  <c r="V112" i="14"/>
  <c r="B133" i="9" a="1"/>
  <c r="B133" i="9"/>
  <c r="D133" i="9"/>
  <c r="V43" i="13"/>
  <c r="V130" i="16"/>
  <c r="T127" i="11"/>
  <c r="U130" i="16"/>
  <c r="W130" i="16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44" i="13"/>
  <c r="T91" i="15"/>
  <c r="D128" i="11"/>
  <c r="D131" i="16"/>
  <c r="T131" i="16"/>
  <c r="B134" i="9" a="1"/>
  <c r="B134" i="9"/>
  <c r="D134" i="9"/>
  <c r="V44" i="13"/>
  <c r="V91" i="15"/>
  <c r="V131" i="16"/>
  <c r="T128" i="11"/>
  <c r="U131" i="16"/>
  <c r="W131" i="16"/>
  <c r="T113" i="14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45" i="13"/>
  <c r="T92" i="15"/>
  <c r="D129" i="11"/>
  <c r="D132" i="16"/>
  <c r="T132" i="16"/>
  <c r="V113" i="14"/>
  <c r="B135" i="9" a="1"/>
  <c r="B135" i="9"/>
  <c r="D135" i="9"/>
  <c r="V45" i="13"/>
  <c r="V92" i="15"/>
  <c r="V132" i="16"/>
  <c r="T129" i="11"/>
  <c r="U132" i="16"/>
  <c r="W132" i="16"/>
  <c r="T114" i="14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46" i="13"/>
  <c r="T93" i="15"/>
  <c r="D130" i="11"/>
  <c r="D133" i="16"/>
  <c r="T133" i="16"/>
  <c r="V114" i="14"/>
  <c r="B136" i="9" a="1"/>
  <c r="B136" i="9"/>
  <c r="D136" i="9"/>
  <c r="V46" i="13"/>
  <c r="V93" i="15"/>
  <c r="V133" i="16"/>
  <c r="T130" i="11"/>
  <c r="U133" i="16"/>
  <c r="W133" i="16"/>
  <c r="T115" i="14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47" i="13"/>
  <c r="T94" i="15"/>
  <c r="D131" i="11"/>
  <c r="D134" i="16"/>
  <c r="T134" i="16"/>
  <c r="V115" i="14"/>
  <c r="B137" i="9" a="1"/>
  <c r="B137" i="9"/>
  <c r="D137" i="9"/>
  <c r="V47" i="13"/>
  <c r="V94" i="15"/>
  <c r="V134" i="16"/>
  <c r="T131" i="11"/>
  <c r="U134" i="16"/>
  <c r="W134" i="16"/>
  <c r="T116" i="14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48" i="13"/>
  <c r="T95" i="15"/>
  <c r="D132" i="11"/>
  <c r="D135" i="16"/>
  <c r="T135" i="16"/>
  <c r="V116" i="14"/>
  <c r="B138" i="9" a="1"/>
  <c r="B138" i="9"/>
  <c r="D138" i="9"/>
  <c r="V48" i="13"/>
  <c r="V95" i="15"/>
  <c r="V135" i="16"/>
  <c r="T132" i="11"/>
  <c r="U135" i="16"/>
  <c r="W135" i="16"/>
  <c r="G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49" i="13"/>
  <c r="D133" i="11"/>
  <c r="D136" i="16"/>
  <c r="T136" i="16"/>
  <c r="B139" i="9" a="1"/>
  <c r="B139" i="9"/>
  <c r="D139" i="9"/>
  <c r="V49" i="13"/>
  <c r="V136" i="16"/>
  <c r="T133" i="11"/>
  <c r="U136" i="16"/>
  <c r="W136" i="16"/>
  <c r="T117" i="14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50" i="13"/>
  <c r="T97" i="15"/>
  <c r="D134" i="11"/>
  <c r="D137" i="16"/>
  <c r="T137" i="16"/>
  <c r="V117" i="14"/>
  <c r="B140" i="9" a="1"/>
  <c r="B140" i="9"/>
  <c r="D140" i="9"/>
  <c r="V50" i="13"/>
  <c r="V97" i="15"/>
  <c r="V137" i="16"/>
  <c r="T134" i="11"/>
  <c r="U137" i="16"/>
  <c r="W137" i="16"/>
  <c r="T118" i="14"/>
  <c r="G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51" i="13"/>
  <c r="T98" i="15"/>
  <c r="D135" i="11"/>
  <c r="D138" i="16"/>
  <c r="T138" i="16"/>
  <c r="V118" i="14"/>
  <c r="B141" i="9" a="1"/>
  <c r="B141" i="9"/>
  <c r="D141" i="9"/>
  <c r="V51" i="13"/>
  <c r="V98" i="15"/>
  <c r="V138" i="16"/>
  <c r="T135" i="11"/>
  <c r="U138" i="16"/>
  <c r="W138" i="16"/>
  <c r="T120" i="14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52" i="13"/>
  <c r="T99" i="15"/>
  <c r="D136" i="11"/>
  <c r="D139" i="16"/>
  <c r="T139" i="16"/>
  <c r="V120" i="14"/>
  <c r="B142" i="9" a="1"/>
  <c r="B142" i="9"/>
  <c r="D142" i="9"/>
  <c r="V52" i="13"/>
  <c r="V99" i="15"/>
  <c r="V139" i="16"/>
  <c r="T136" i="11"/>
  <c r="U139" i="16"/>
  <c r="W139" i="16"/>
  <c r="T121" i="14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53" i="13"/>
  <c r="D137" i="11"/>
  <c r="D140" i="16"/>
  <c r="T140" i="16"/>
  <c r="V121" i="14"/>
  <c r="B143" i="9" a="1"/>
  <c r="B143" i="9"/>
  <c r="D143" i="9"/>
  <c r="V53" i="13"/>
  <c r="V140" i="16"/>
  <c r="T137" i="11"/>
  <c r="U140" i="16"/>
  <c r="W140" i="16"/>
  <c r="T122" i="14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54" i="13"/>
  <c r="T100" i="15"/>
  <c r="D138" i="11"/>
  <c r="D141" i="16"/>
  <c r="T141" i="16"/>
  <c r="V122" i="14"/>
  <c r="B144" i="9" a="1"/>
  <c r="B144" i="9"/>
  <c r="D144" i="9"/>
  <c r="V54" i="13"/>
  <c r="V100" i="15"/>
  <c r="V141" i="16"/>
  <c r="T138" i="11"/>
  <c r="U141" i="16"/>
  <c r="W141" i="16"/>
  <c r="T31" i="14"/>
  <c r="T32" i="13"/>
  <c r="T146" i="15"/>
  <c r="D139" i="11"/>
  <c r="D142" i="16"/>
  <c r="T142" i="16"/>
  <c r="V31" i="14"/>
  <c r="V32" i="13"/>
  <c r="V146" i="15"/>
  <c r="V142" i="16"/>
  <c r="T139" i="11"/>
  <c r="U142" i="16"/>
  <c r="W142" i="16"/>
  <c r="T111" i="14"/>
  <c r="T42" i="13"/>
  <c r="T90" i="15"/>
  <c r="D140" i="11"/>
  <c r="D143" i="16"/>
  <c r="T143" i="16"/>
  <c r="V111" i="14"/>
  <c r="V42" i="13"/>
  <c r="V90" i="15"/>
  <c r="V143" i="16"/>
  <c r="T140" i="11"/>
  <c r="U143" i="16"/>
  <c r="W143" i="16"/>
  <c r="T141" i="14"/>
  <c r="T73" i="13"/>
  <c r="T121" i="15"/>
  <c r="D141" i="11"/>
  <c r="D144" i="16"/>
  <c r="T144" i="16"/>
  <c r="V141" i="14"/>
  <c r="V73" i="13"/>
  <c r="V121" i="15"/>
  <c r="V144" i="16"/>
  <c r="T141" i="11"/>
  <c r="U144" i="16"/>
  <c r="W144" i="16"/>
  <c r="T85" i="13"/>
  <c r="D142" i="11"/>
  <c r="D145" i="16"/>
  <c r="T145" i="16"/>
  <c r="V85" i="13"/>
  <c r="V145" i="16"/>
  <c r="T142" i="11"/>
  <c r="U145" i="16"/>
  <c r="W145" i="16"/>
  <c r="T92" i="13"/>
  <c r="T48" i="15"/>
  <c r="D143" i="11"/>
  <c r="D146" i="16"/>
  <c r="T146" i="16"/>
  <c r="V92" i="13"/>
  <c r="V48" i="15"/>
  <c r="V146" i="16"/>
  <c r="T143" i="11"/>
  <c r="U146" i="16"/>
  <c r="W146" i="16"/>
  <c r="T72" i="14"/>
  <c r="T94" i="13"/>
  <c r="D144" i="11"/>
  <c r="D147" i="16"/>
  <c r="T147" i="16"/>
  <c r="V72" i="14"/>
  <c r="V94" i="13"/>
  <c r="V147" i="16"/>
  <c r="T144" i="11"/>
  <c r="U147" i="16"/>
  <c r="W147" i="16"/>
  <c r="T95" i="13"/>
  <c r="D145" i="11"/>
  <c r="D148" i="16"/>
  <c r="T148" i="16"/>
  <c r="V95" i="13"/>
  <c r="V148" i="16"/>
  <c r="T145" i="11"/>
  <c r="U148" i="16"/>
  <c r="W148" i="16"/>
  <c r="T97" i="13"/>
  <c r="T51" i="15"/>
  <c r="D146" i="11"/>
  <c r="D149" i="16"/>
  <c r="T149" i="16"/>
  <c r="V97" i="13"/>
  <c r="V51" i="15"/>
  <c r="V149" i="16"/>
  <c r="T146" i="11"/>
  <c r="U149" i="16"/>
  <c r="W149" i="16"/>
  <c r="T79" i="14"/>
  <c r="T101" i="13"/>
  <c r="T56" i="15"/>
  <c r="D147" i="11"/>
  <c r="D150" i="16"/>
  <c r="T150" i="16"/>
  <c r="V79" i="14"/>
  <c r="V101" i="13"/>
  <c r="V56" i="15"/>
  <c r="V150" i="16"/>
  <c r="T147" i="11"/>
  <c r="U150" i="16"/>
  <c r="W150" i="16"/>
  <c r="T85" i="14"/>
  <c r="T107" i="13"/>
  <c r="T62" i="15"/>
  <c r="D148" i="11"/>
  <c r="D151" i="16"/>
  <c r="T151" i="16"/>
  <c r="V85" i="14"/>
  <c r="V107" i="13"/>
  <c r="V62" i="15"/>
  <c r="V151" i="16"/>
  <c r="T148" i="11"/>
  <c r="U151" i="16"/>
  <c r="W151" i="16"/>
  <c r="T87" i="14"/>
  <c r="T109" i="13"/>
  <c r="T64" i="15"/>
  <c r="D149" i="11"/>
  <c r="D152" i="16"/>
  <c r="T152" i="16"/>
  <c r="V87" i="14"/>
  <c r="V109" i="13"/>
  <c r="V64" i="15"/>
  <c r="V152" i="16"/>
  <c r="T149" i="11"/>
  <c r="U152" i="16"/>
  <c r="W152" i="16"/>
  <c r="T92" i="14"/>
  <c r="T114" i="13"/>
  <c r="T69" i="15"/>
  <c r="D150" i="11"/>
  <c r="D153" i="16"/>
  <c r="T153" i="16"/>
  <c r="V92" i="14"/>
  <c r="V114" i="13"/>
  <c r="V69" i="15"/>
  <c r="V153" i="16"/>
  <c r="T150" i="11"/>
  <c r="U153" i="16"/>
  <c r="W153" i="16"/>
  <c r="T101" i="14"/>
  <c r="T123" i="13"/>
  <c r="T78" i="15"/>
  <c r="D151" i="11"/>
  <c r="D154" i="16"/>
  <c r="T154" i="16"/>
  <c r="V101" i="14"/>
  <c r="V123" i="13"/>
  <c r="V78" i="15"/>
  <c r="V154" i="16"/>
  <c r="T151" i="11"/>
  <c r="U154" i="16"/>
  <c r="W154" i="16"/>
  <c r="T136" i="13"/>
  <c r="D152" i="11"/>
  <c r="D155" i="16"/>
  <c r="T155" i="16"/>
  <c r="V136" i="13"/>
  <c r="V155" i="16"/>
  <c r="T152" i="11"/>
  <c r="U155" i="16"/>
  <c r="W155" i="16"/>
  <c r="T52" i="14"/>
  <c r="T143" i="13"/>
  <c r="T29" i="15"/>
  <c r="D153" i="11"/>
  <c r="D156" i="16"/>
  <c r="T156" i="16"/>
  <c r="V52" i="14"/>
  <c r="V143" i="13"/>
  <c r="V29" i="15"/>
  <c r="V156" i="16"/>
  <c r="T153" i="11"/>
  <c r="U156" i="16"/>
  <c r="W156" i="16"/>
  <c r="T13" i="14"/>
  <c r="D154" i="11"/>
  <c r="D157" i="16"/>
  <c r="T157" i="16"/>
  <c r="V13" i="14"/>
  <c r="V157" i="16"/>
  <c r="T154" i="11"/>
  <c r="U157" i="16"/>
  <c r="W157" i="16"/>
  <c r="T17" i="14"/>
  <c r="D155" i="11"/>
  <c r="D158" i="16"/>
  <c r="T158" i="16"/>
  <c r="V17" i="14"/>
  <c r="V158" i="16"/>
  <c r="T155" i="11"/>
  <c r="U158" i="16"/>
  <c r="W158" i="16"/>
  <c r="T24" i="14"/>
  <c r="T139" i="15"/>
  <c r="D156" i="11"/>
  <c r="D159" i="16"/>
  <c r="T159" i="16"/>
  <c r="V24" i="14"/>
  <c r="V139" i="15"/>
  <c r="V159" i="16"/>
  <c r="T156" i="11"/>
  <c r="U159" i="16"/>
  <c r="W159" i="16"/>
  <c r="T41" i="14"/>
  <c r="T17" i="15"/>
  <c r="D157" i="11"/>
  <c r="D160" i="16"/>
  <c r="T160" i="16"/>
  <c r="V41" i="14"/>
  <c r="V17" i="15"/>
  <c r="V160" i="16"/>
  <c r="T157" i="11"/>
  <c r="U160" i="16"/>
  <c r="W160" i="16"/>
  <c r="T57" i="14"/>
  <c r="D158" i="11"/>
  <c r="D161" i="16"/>
  <c r="T161" i="16"/>
  <c r="V57" i="14"/>
  <c r="V161" i="16"/>
  <c r="T158" i="11"/>
  <c r="U161" i="16"/>
  <c r="W161" i="16"/>
  <c r="T58" i="14"/>
  <c r="T35" i="15"/>
  <c r="D159" i="11"/>
  <c r="D162" i="16"/>
  <c r="T162" i="16"/>
  <c r="V58" i="14"/>
  <c r="V35" i="15"/>
  <c r="V162" i="16"/>
  <c r="T159" i="11"/>
  <c r="U162" i="16"/>
  <c r="W162" i="16"/>
  <c r="T59" i="14"/>
  <c r="T37" i="15"/>
  <c r="D160" i="11"/>
  <c r="D163" i="16"/>
  <c r="T163" i="16"/>
  <c r="V59" i="14"/>
  <c r="V37" i="15"/>
  <c r="V163" i="16"/>
  <c r="T160" i="11"/>
  <c r="U163" i="16"/>
  <c r="W163" i="16"/>
  <c r="T61" i="14"/>
  <c r="D161" i="11"/>
  <c r="D164" i="16"/>
  <c r="T164" i="16"/>
  <c r="V61" i="14"/>
  <c r="V164" i="16"/>
  <c r="T161" i="11"/>
  <c r="U164" i="16"/>
  <c r="W164" i="16"/>
  <c r="T64" i="14"/>
  <c r="D162" i="11"/>
  <c r="D165" i="16"/>
  <c r="T165" i="16"/>
  <c r="V64" i="14"/>
  <c r="V165" i="16"/>
  <c r="T162" i="11"/>
  <c r="U165" i="16"/>
  <c r="W165" i="16"/>
  <c r="T78" i="14"/>
  <c r="D163" i="11"/>
  <c r="D166" i="16"/>
  <c r="T166" i="16"/>
  <c r="V78" i="14"/>
  <c r="V166" i="16"/>
  <c r="T163" i="11"/>
  <c r="U166" i="16"/>
  <c r="W166" i="16"/>
  <c r="T95" i="14"/>
  <c r="D164" i="11"/>
  <c r="D167" i="16"/>
  <c r="T167" i="16"/>
  <c r="V95" i="14"/>
  <c r="V167" i="16"/>
  <c r="T164" i="11"/>
  <c r="U167" i="16"/>
  <c r="W167" i="16"/>
  <c r="T119" i="14"/>
  <c r="D165" i="11"/>
  <c r="D168" i="16"/>
  <c r="T168" i="16"/>
  <c r="V119" i="14"/>
  <c r="V168" i="16"/>
  <c r="T165" i="11"/>
  <c r="U168" i="16"/>
  <c r="W168" i="16"/>
  <c r="T130" i="14"/>
  <c r="T110" i="15"/>
  <c r="D166" i="11"/>
  <c r="D169" i="16"/>
  <c r="T169" i="16"/>
  <c r="V130" i="14"/>
  <c r="V110" i="15"/>
  <c r="V169" i="16"/>
  <c r="T166" i="11"/>
  <c r="U169" i="16"/>
  <c r="W169" i="16"/>
  <c r="T135" i="14"/>
  <c r="D167" i="11"/>
  <c r="D170" i="16"/>
  <c r="T170" i="16"/>
  <c r="V135" i="14"/>
  <c r="V170" i="16"/>
  <c r="T167" i="11"/>
  <c r="U170" i="16"/>
  <c r="W170" i="16"/>
  <c r="T136" i="14"/>
  <c r="T115" i="15"/>
  <c r="D168" i="11"/>
  <c r="D171" i="16"/>
  <c r="T171" i="16"/>
  <c r="V136" i="14"/>
  <c r="V115" i="15"/>
  <c r="V171" i="16"/>
  <c r="T168" i="11"/>
  <c r="U171" i="16"/>
  <c r="W171" i="16"/>
  <c r="T72" i="15"/>
  <c r="D169" i="11"/>
  <c r="D172" i="16"/>
  <c r="T172" i="16"/>
  <c r="V72" i="15"/>
  <c r="V172" i="16"/>
  <c r="T169" i="11"/>
  <c r="U172" i="16"/>
  <c r="W172" i="16"/>
  <c r="T79" i="15"/>
  <c r="D170" i="11"/>
  <c r="D173" i="16"/>
  <c r="T173" i="16"/>
  <c r="V79" i="15"/>
  <c r="V173" i="16"/>
  <c r="T170" i="11"/>
  <c r="U173" i="16"/>
  <c r="W173" i="16"/>
  <c r="T82" i="15"/>
  <c r="D171" i="11"/>
  <c r="D174" i="16"/>
  <c r="T174" i="16"/>
  <c r="V82" i="15"/>
  <c r="V174" i="16"/>
  <c r="T171" i="11"/>
  <c r="U174" i="16"/>
  <c r="W174" i="16"/>
  <c r="T88" i="15"/>
  <c r="D172" i="11"/>
  <c r="D175" i="16"/>
  <c r="T175" i="16"/>
  <c r="V88" i="15"/>
  <c r="V175" i="16"/>
  <c r="T172" i="11"/>
  <c r="U175" i="16"/>
  <c r="W175" i="16"/>
  <c r="T96" i="15"/>
  <c r="D173" i="11"/>
  <c r="D176" i="16"/>
  <c r="T176" i="16"/>
  <c r="V96" i="15"/>
  <c r="V176" i="16"/>
  <c r="T173" i="11"/>
  <c r="U176" i="16"/>
  <c r="W176" i="16"/>
  <c r="T101" i="15"/>
  <c r="D174" i="11"/>
  <c r="D177" i="16"/>
  <c r="T177" i="16"/>
  <c r="V101" i="15"/>
  <c r="V177" i="16"/>
  <c r="T174" i="11"/>
  <c r="U177" i="16"/>
  <c r="W177" i="16"/>
  <c r="T116" i="15"/>
  <c r="D175" i="11"/>
  <c r="D178" i="16"/>
  <c r="T178" i="16"/>
  <c r="V116" i="15"/>
  <c r="V178" i="16"/>
  <c r="T175" i="11"/>
  <c r="U178" i="16"/>
  <c r="W178" i="16"/>
  <c r="T129" i="15"/>
  <c r="D176" i="11"/>
  <c r="D179" i="16"/>
  <c r="T179" i="16"/>
  <c r="V129" i="15"/>
  <c r="V179" i="16"/>
  <c r="T176" i="11"/>
  <c r="U179" i="16"/>
  <c r="W179" i="16"/>
  <c r="T133" i="15"/>
  <c r="D177" i="11"/>
  <c r="D180" i="16"/>
  <c r="T180" i="16"/>
  <c r="V133" i="15"/>
  <c r="V180" i="16"/>
  <c r="T177" i="11"/>
  <c r="U180" i="16"/>
  <c r="W180" i="16"/>
  <c r="T142" i="15"/>
  <c r="D178" i="11"/>
  <c r="D181" i="16"/>
  <c r="T181" i="16"/>
  <c r="V142" i="15"/>
  <c r="V181" i="16"/>
  <c r="T178" i="11"/>
  <c r="U181" i="16"/>
  <c r="W181" i="16"/>
  <c r="T143" i="15"/>
  <c r="D179" i="11"/>
  <c r="D182" i="16"/>
  <c r="T182" i="16"/>
  <c r="V143" i="15"/>
  <c r="V182" i="16"/>
  <c r="T179" i="11"/>
  <c r="U182" i="16"/>
  <c r="W182" i="16"/>
  <c r="T56" i="14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78" i="13"/>
  <c r="T33" i="15"/>
  <c r="D4" i="11"/>
  <c r="D7" i="16"/>
  <c r="T7" i="16"/>
  <c r="V56" i="14"/>
  <c r="B10" i="9" a="1"/>
  <c r="B10" i="9"/>
  <c r="D10" i="9"/>
  <c r="V78" i="13"/>
  <c r="V33" i="15"/>
  <c r="V7" i="16"/>
  <c r="T4" i="11"/>
  <c r="U7" i="16"/>
  <c r="W7" i="16"/>
  <c r="S4" i="11"/>
  <c r="S7" i="16"/>
  <c r="S5" i="11"/>
  <c r="S8" i="16"/>
  <c r="S6" i="11"/>
  <c r="S9" i="16"/>
  <c r="S7" i="11"/>
  <c r="S10" i="16"/>
  <c r="S8" i="11"/>
  <c r="S11" i="16"/>
  <c r="S9" i="11"/>
  <c r="S12" i="16"/>
  <c r="S10" i="11"/>
  <c r="S13" i="16"/>
  <c r="S11" i="11"/>
  <c r="S14" i="16"/>
  <c r="S12" i="11"/>
  <c r="S15" i="16"/>
  <c r="S13" i="11"/>
  <c r="S16" i="16"/>
  <c r="S14" i="11"/>
  <c r="S17" i="16"/>
  <c r="S15" i="11"/>
  <c r="S18" i="16"/>
  <c r="S16" i="11"/>
  <c r="S19" i="16"/>
  <c r="S17" i="11"/>
  <c r="S20" i="16"/>
  <c r="S18" i="11"/>
  <c r="S21" i="16"/>
  <c r="S19" i="11"/>
  <c r="S22" i="16"/>
  <c r="S20" i="11"/>
  <c r="S23" i="16"/>
  <c r="S21" i="11"/>
  <c r="S24" i="16"/>
  <c r="S22" i="11"/>
  <c r="S25" i="16"/>
  <c r="S23" i="11"/>
  <c r="S26" i="16"/>
  <c r="S24" i="11"/>
  <c r="S27" i="16"/>
  <c r="S25" i="11"/>
  <c r="S28" i="16"/>
  <c r="S26" i="11"/>
  <c r="S29" i="16"/>
  <c r="S27" i="11"/>
  <c r="S30" i="16"/>
  <c r="S28" i="11"/>
  <c r="S31" i="16"/>
  <c r="S29" i="11"/>
  <c r="S32" i="16"/>
  <c r="S30" i="11"/>
  <c r="S33" i="16"/>
  <c r="S31" i="11"/>
  <c r="S34" i="16"/>
  <c r="S32" i="11"/>
  <c r="S35" i="16"/>
  <c r="S33" i="11"/>
  <c r="S36" i="16"/>
  <c r="S34" i="11"/>
  <c r="S37" i="16"/>
  <c r="S35" i="11"/>
  <c r="S38" i="16"/>
  <c r="S36" i="11"/>
  <c r="S39" i="16"/>
  <c r="S37" i="11"/>
  <c r="S40" i="16"/>
  <c r="S38" i="11"/>
  <c r="S41" i="16"/>
  <c r="S39" i="11"/>
  <c r="S42" i="16"/>
  <c r="S40" i="11"/>
  <c r="S43" i="16"/>
  <c r="S41" i="11"/>
  <c r="S44" i="16"/>
  <c r="S42" i="11"/>
  <c r="S45" i="16"/>
  <c r="S43" i="11"/>
  <c r="S46" i="16"/>
  <c r="S44" i="11"/>
  <c r="S47" i="16"/>
  <c r="S45" i="11"/>
  <c r="S48" i="16"/>
  <c r="S46" i="11"/>
  <c r="S49" i="16"/>
  <c r="S47" i="11"/>
  <c r="S50" i="16"/>
  <c r="S48" i="11"/>
  <c r="S51" i="16"/>
  <c r="S49" i="11"/>
  <c r="S52" i="16"/>
  <c r="S50" i="11"/>
  <c r="S53" i="16"/>
  <c r="S51" i="11"/>
  <c r="S54" i="16"/>
  <c r="S52" i="11"/>
  <c r="S55" i="16"/>
  <c r="S53" i="11"/>
  <c r="S56" i="16"/>
  <c r="S54" i="11"/>
  <c r="S57" i="16"/>
  <c r="S55" i="11"/>
  <c r="S58" i="16"/>
  <c r="S56" i="11"/>
  <c r="S59" i="16"/>
  <c r="S57" i="11"/>
  <c r="S60" i="16"/>
  <c r="S58" i="11"/>
  <c r="S61" i="16"/>
  <c r="S59" i="11"/>
  <c r="S62" i="16"/>
  <c r="S60" i="11"/>
  <c r="S63" i="16"/>
  <c r="S61" i="11"/>
  <c r="S64" i="16"/>
  <c r="S62" i="11"/>
  <c r="S65" i="16"/>
  <c r="S63" i="11"/>
  <c r="S66" i="16"/>
  <c r="S64" i="11"/>
  <c r="S67" i="16"/>
  <c r="S65" i="11"/>
  <c r="S68" i="16"/>
  <c r="S66" i="11"/>
  <c r="S69" i="16"/>
  <c r="S67" i="11"/>
  <c r="S70" i="16"/>
  <c r="S68" i="11"/>
  <c r="S71" i="16"/>
  <c r="S69" i="11"/>
  <c r="S72" i="16"/>
  <c r="S70" i="11"/>
  <c r="S73" i="16"/>
  <c r="S71" i="11"/>
  <c r="S74" i="16"/>
  <c r="S72" i="11"/>
  <c r="S75" i="16"/>
  <c r="S73" i="11"/>
  <c r="S76" i="16"/>
  <c r="S74" i="11"/>
  <c r="S77" i="16"/>
  <c r="S75" i="11"/>
  <c r="S78" i="16"/>
  <c r="S76" i="11"/>
  <c r="S79" i="16"/>
  <c r="S77" i="11"/>
  <c r="S80" i="16"/>
  <c r="S78" i="11"/>
  <c r="S81" i="16"/>
  <c r="S79" i="11"/>
  <c r="S82" i="16"/>
  <c r="S80" i="11"/>
  <c r="S83" i="16"/>
  <c r="S81" i="11"/>
  <c r="S84" i="16"/>
  <c r="S82" i="11"/>
  <c r="S85" i="16"/>
  <c r="S83" i="11"/>
  <c r="S86" i="16"/>
  <c r="S84" i="11"/>
  <c r="S87" i="16"/>
  <c r="S85" i="11"/>
  <c r="S88" i="16"/>
  <c r="S86" i="11"/>
  <c r="S89" i="16"/>
  <c r="S87" i="11"/>
  <c r="S90" i="16"/>
  <c r="S88" i="11"/>
  <c r="S91" i="16"/>
  <c r="S89" i="11"/>
  <c r="S92" i="16"/>
  <c r="S90" i="11"/>
  <c r="S93" i="16"/>
  <c r="S91" i="11"/>
  <c r="S94" i="16"/>
  <c r="S92" i="11"/>
  <c r="S95" i="16"/>
  <c r="S93" i="11"/>
  <c r="S96" i="16"/>
  <c r="S94" i="11"/>
  <c r="S97" i="16"/>
  <c r="S95" i="11"/>
  <c r="S98" i="16"/>
  <c r="S96" i="11"/>
  <c r="S99" i="16"/>
  <c r="S97" i="11"/>
  <c r="S100" i="16"/>
  <c r="S98" i="11"/>
  <c r="S101" i="16"/>
  <c r="S99" i="11"/>
  <c r="S102" i="16"/>
  <c r="S100" i="11"/>
  <c r="S103" i="16"/>
  <c r="S101" i="11"/>
  <c r="S104" i="16"/>
  <c r="S102" i="11"/>
  <c r="S105" i="16"/>
  <c r="S103" i="11"/>
  <c r="S106" i="16"/>
  <c r="S104" i="11"/>
  <c r="S107" i="16"/>
  <c r="S105" i="11"/>
  <c r="S108" i="16"/>
  <c r="S106" i="11"/>
  <c r="S109" i="16"/>
  <c r="S107" i="11"/>
  <c r="S110" i="16"/>
  <c r="S108" i="11"/>
  <c r="S111" i="16"/>
  <c r="S109" i="11"/>
  <c r="S112" i="16"/>
  <c r="S110" i="11"/>
  <c r="S113" i="16"/>
  <c r="S111" i="11"/>
  <c r="S114" i="16"/>
  <c r="S112" i="11"/>
  <c r="S115" i="16"/>
  <c r="S113" i="11"/>
  <c r="S116" i="16"/>
  <c r="S114" i="11"/>
  <c r="S117" i="16"/>
  <c r="S115" i="11"/>
  <c r="S118" i="16"/>
  <c r="S116" i="11"/>
  <c r="S119" i="16"/>
  <c r="S117" i="11"/>
  <c r="S120" i="16"/>
  <c r="S118" i="11"/>
  <c r="S121" i="16"/>
  <c r="S119" i="11"/>
  <c r="S122" i="16"/>
  <c r="S120" i="11"/>
  <c r="S123" i="16"/>
  <c r="S121" i="11"/>
  <c r="S124" i="16"/>
  <c r="S122" i="11"/>
  <c r="S125" i="16"/>
  <c r="S123" i="11"/>
  <c r="S126" i="16"/>
  <c r="S124" i="11"/>
  <c r="S127" i="16"/>
  <c r="S125" i="11"/>
  <c r="S128" i="16"/>
  <c r="S126" i="11"/>
  <c r="S129" i="16"/>
  <c r="S127" i="11"/>
  <c r="S130" i="16"/>
  <c r="S128" i="11"/>
  <c r="S131" i="16"/>
  <c r="S129" i="11"/>
  <c r="S132" i="16"/>
  <c r="S130" i="11"/>
  <c r="S133" i="16"/>
  <c r="S131" i="11"/>
  <c r="S134" i="16"/>
  <c r="S132" i="11"/>
  <c r="S135" i="16"/>
  <c r="S133" i="11"/>
  <c r="S136" i="16"/>
  <c r="S134" i="11"/>
  <c r="S137" i="16"/>
  <c r="S135" i="11"/>
  <c r="S138" i="16"/>
  <c r="S136" i="11"/>
  <c r="S139" i="16"/>
  <c r="S137" i="11"/>
  <c r="S140" i="16"/>
  <c r="S138" i="11"/>
  <c r="S141" i="16"/>
  <c r="S139" i="11"/>
  <c r="S142" i="16"/>
  <c r="S140" i="11"/>
  <c r="S143" i="16"/>
  <c r="S141" i="11"/>
  <c r="S144" i="16"/>
  <c r="S142" i="11"/>
  <c r="S145" i="16"/>
  <c r="S143" i="11"/>
  <c r="S146" i="16"/>
  <c r="S144" i="11"/>
  <c r="S147" i="16"/>
  <c r="S145" i="11"/>
  <c r="S148" i="16"/>
  <c r="S146" i="11"/>
  <c r="S149" i="16"/>
  <c r="S147" i="11"/>
  <c r="S150" i="16"/>
  <c r="S148" i="11"/>
  <c r="S151" i="16"/>
  <c r="S149" i="11"/>
  <c r="S152" i="16"/>
  <c r="S150" i="11"/>
  <c r="S153" i="16"/>
  <c r="S151" i="11"/>
  <c r="S154" i="16"/>
  <c r="S152" i="11"/>
  <c r="S155" i="16"/>
  <c r="S153" i="11"/>
  <c r="S156" i="16"/>
  <c r="S154" i="11"/>
  <c r="S157" i="16"/>
  <c r="S155" i="11"/>
  <c r="S158" i="16"/>
  <c r="S156" i="11"/>
  <c r="S159" i="16"/>
  <c r="S157" i="11"/>
  <c r="S160" i="16"/>
  <c r="S158" i="11"/>
  <c r="S161" i="16"/>
  <c r="S159" i="11"/>
  <c r="S162" i="16"/>
  <c r="S160" i="11"/>
  <c r="S163" i="16"/>
  <c r="S161" i="11"/>
  <c r="S164" i="16"/>
  <c r="S162" i="11"/>
  <c r="S165" i="16"/>
  <c r="S163" i="11"/>
  <c r="S166" i="16"/>
  <c r="S164" i="11"/>
  <c r="S167" i="16"/>
  <c r="S165" i="11"/>
  <c r="S168" i="16"/>
  <c r="S166" i="11"/>
  <c r="S169" i="16"/>
  <c r="S167" i="11"/>
  <c r="S170" i="16"/>
  <c r="S168" i="11"/>
  <c r="S171" i="16"/>
  <c r="S169" i="11"/>
  <c r="S172" i="16"/>
  <c r="S170" i="11"/>
  <c r="S173" i="16"/>
  <c r="S171" i="11"/>
  <c r="S174" i="16"/>
  <c r="S172" i="11"/>
  <c r="S175" i="16"/>
  <c r="S173" i="11"/>
  <c r="S176" i="16"/>
  <c r="S174" i="11"/>
  <c r="S177" i="16"/>
  <c r="S175" i="11"/>
  <c r="S178" i="16"/>
  <c r="S176" i="11"/>
  <c r="S179" i="16"/>
  <c r="S177" i="11"/>
  <c r="S180" i="16"/>
  <c r="S178" i="11"/>
  <c r="S181" i="16"/>
  <c r="S179" i="11"/>
  <c r="S182" i="16"/>
  <c r="G4" i="11"/>
  <c r="G7" i="16"/>
  <c r="H4" i="11"/>
  <c r="H7" i="16"/>
  <c r="I4" i="11"/>
  <c r="I7" i="16"/>
  <c r="J4" i="11"/>
  <c r="J7" i="16"/>
  <c r="K4" i="11"/>
  <c r="K7" i="16"/>
  <c r="L4" i="11"/>
  <c r="L7" i="16"/>
  <c r="M4" i="11"/>
  <c r="M7" i="16"/>
  <c r="N4" i="11"/>
  <c r="N7" i="16"/>
  <c r="O4" i="11"/>
  <c r="O7" i="16"/>
  <c r="P4" i="11"/>
  <c r="P7" i="16"/>
  <c r="Q4" i="11"/>
  <c r="Q7" i="16"/>
  <c r="R4" i="11"/>
  <c r="R7" i="16"/>
  <c r="G5" i="11"/>
  <c r="G8" i="16"/>
  <c r="H5" i="11"/>
  <c r="H8" i="16"/>
  <c r="I5" i="11"/>
  <c r="I8" i="16"/>
  <c r="J5" i="11"/>
  <c r="J8" i="16"/>
  <c r="K5" i="11"/>
  <c r="K8" i="16"/>
  <c r="L5" i="11"/>
  <c r="L8" i="16"/>
  <c r="M5" i="11"/>
  <c r="M8" i="16"/>
  <c r="N5" i="11"/>
  <c r="N8" i="16"/>
  <c r="O5" i="11"/>
  <c r="O8" i="16"/>
  <c r="P5" i="11"/>
  <c r="P8" i="16"/>
  <c r="Q5" i="11"/>
  <c r="Q8" i="16"/>
  <c r="R5" i="11"/>
  <c r="R8" i="16"/>
  <c r="G6" i="11"/>
  <c r="G9" i="16"/>
  <c r="H6" i="11"/>
  <c r="H9" i="16"/>
  <c r="I6" i="11"/>
  <c r="I9" i="16"/>
  <c r="J6" i="11"/>
  <c r="J9" i="16"/>
  <c r="K6" i="11"/>
  <c r="K9" i="16"/>
  <c r="L6" i="11"/>
  <c r="L9" i="16"/>
  <c r="M6" i="11"/>
  <c r="M9" i="16"/>
  <c r="N6" i="11"/>
  <c r="N9" i="16"/>
  <c r="O6" i="11"/>
  <c r="O9" i="16"/>
  <c r="P6" i="11"/>
  <c r="P9" i="16"/>
  <c r="Q6" i="11"/>
  <c r="Q9" i="16"/>
  <c r="R6" i="11"/>
  <c r="R9" i="16"/>
  <c r="G7" i="11"/>
  <c r="G10" i="16"/>
  <c r="H7" i="11"/>
  <c r="H10" i="16"/>
  <c r="I7" i="11"/>
  <c r="I10" i="16"/>
  <c r="J7" i="11"/>
  <c r="J10" i="16"/>
  <c r="K7" i="11"/>
  <c r="K10" i="16"/>
  <c r="L7" i="11"/>
  <c r="L10" i="16"/>
  <c r="M7" i="11"/>
  <c r="M10" i="16"/>
  <c r="N7" i="11"/>
  <c r="N10" i="16"/>
  <c r="O7" i="11"/>
  <c r="O10" i="16"/>
  <c r="P7" i="11"/>
  <c r="P10" i="16"/>
  <c r="Q7" i="11"/>
  <c r="Q10" i="16"/>
  <c r="R7" i="11"/>
  <c r="R10" i="16"/>
  <c r="G8" i="11"/>
  <c r="G11" i="16"/>
  <c r="H8" i="11"/>
  <c r="H11" i="16"/>
  <c r="I8" i="11"/>
  <c r="I11" i="16"/>
  <c r="J8" i="11"/>
  <c r="J11" i="16"/>
  <c r="K8" i="11"/>
  <c r="K11" i="16"/>
  <c r="L8" i="11"/>
  <c r="L11" i="16"/>
  <c r="M8" i="11"/>
  <c r="M11" i="16"/>
  <c r="N8" i="11"/>
  <c r="N11" i="16"/>
  <c r="O8" i="11"/>
  <c r="O11" i="16"/>
  <c r="P8" i="11"/>
  <c r="P11" i="16"/>
  <c r="Q8" i="11"/>
  <c r="Q11" i="16"/>
  <c r="R8" i="11"/>
  <c r="R11" i="16"/>
  <c r="G9" i="11"/>
  <c r="G12" i="16"/>
  <c r="H9" i="11"/>
  <c r="H12" i="16"/>
  <c r="I9" i="11"/>
  <c r="I12" i="16"/>
  <c r="J9" i="11"/>
  <c r="J12" i="16"/>
  <c r="K9" i="11"/>
  <c r="K12" i="16"/>
  <c r="L9" i="11"/>
  <c r="L12" i="16"/>
  <c r="M9" i="11"/>
  <c r="M12" i="16"/>
  <c r="N9" i="11"/>
  <c r="N12" i="16"/>
  <c r="O9" i="11"/>
  <c r="O12" i="16"/>
  <c r="P9" i="11"/>
  <c r="P12" i="16"/>
  <c r="Q9" i="11"/>
  <c r="Q12" i="16"/>
  <c r="R9" i="11"/>
  <c r="R12" i="16"/>
  <c r="G10" i="11"/>
  <c r="G13" i="16"/>
  <c r="H10" i="11"/>
  <c r="H13" i="16"/>
  <c r="I10" i="11"/>
  <c r="I13" i="16"/>
  <c r="J10" i="11"/>
  <c r="J13" i="16"/>
  <c r="K10" i="11"/>
  <c r="K13" i="16"/>
  <c r="L10" i="11"/>
  <c r="L13" i="16"/>
  <c r="M10" i="11"/>
  <c r="M13" i="16"/>
  <c r="N10" i="11"/>
  <c r="N13" i="16"/>
  <c r="O10" i="11"/>
  <c r="O13" i="16"/>
  <c r="P10" i="11"/>
  <c r="P13" i="16"/>
  <c r="Q10" i="11"/>
  <c r="Q13" i="16"/>
  <c r="R10" i="11"/>
  <c r="R13" i="16"/>
  <c r="G11" i="11"/>
  <c r="G14" i="16"/>
  <c r="H11" i="11"/>
  <c r="H14" i="16"/>
  <c r="I11" i="11"/>
  <c r="I14" i="16"/>
  <c r="J11" i="11"/>
  <c r="J14" i="16"/>
  <c r="K11" i="11"/>
  <c r="K14" i="16"/>
  <c r="L11" i="11"/>
  <c r="L14" i="16"/>
  <c r="M11" i="11"/>
  <c r="M14" i="16"/>
  <c r="N11" i="11"/>
  <c r="N14" i="16"/>
  <c r="O11" i="11"/>
  <c r="O14" i="16"/>
  <c r="P11" i="11"/>
  <c r="P14" i="16"/>
  <c r="Q11" i="11"/>
  <c r="Q14" i="16"/>
  <c r="R11" i="11"/>
  <c r="R14" i="16"/>
  <c r="G12" i="11"/>
  <c r="G15" i="16"/>
  <c r="H12" i="11"/>
  <c r="H15" i="16"/>
  <c r="I12" i="11"/>
  <c r="I15" i="16"/>
  <c r="J12" i="11"/>
  <c r="J15" i="16"/>
  <c r="K12" i="11"/>
  <c r="K15" i="16"/>
  <c r="L12" i="11"/>
  <c r="L15" i="16"/>
  <c r="M12" i="11"/>
  <c r="M15" i="16"/>
  <c r="N12" i="11"/>
  <c r="N15" i="16"/>
  <c r="O12" i="11"/>
  <c r="O15" i="16"/>
  <c r="P12" i="11"/>
  <c r="P15" i="16"/>
  <c r="Q12" i="11"/>
  <c r="Q15" i="16"/>
  <c r="R12" i="11"/>
  <c r="R15" i="16"/>
  <c r="G13" i="11"/>
  <c r="G16" i="16"/>
  <c r="H13" i="11"/>
  <c r="H16" i="16"/>
  <c r="I13" i="11"/>
  <c r="I16" i="16"/>
  <c r="J13" i="11"/>
  <c r="J16" i="16"/>
  <c r="K13" i="11"/>
  <c r="K16" i="16"/>
  <c r="L13" i="11"/>
  <c r="L16" i="16"/>
  <c r="M13" i="11"/>
  <c r="M16" i="16"/>
  <c r="N13" i="11"/>
  <c r="N16" i="16"/>
  <c r="O13" i="11"/>
  <c r="O16" i="16"/>
  <c r="P13" i="11"/>
  <c r="P16" i="16"/>
  <c r="Q13" i="11"/>
  <c r="Q16" i="16"/>
  <c r="R13" i="11"/>
  <c r="R16" i="16"/>
  <c r="G14" i="11"/>
  <c r="G17" i="16"/>
  <c r="H14" i="11"/>
  <c r="H17" i="16"/>
  <c r="I14" i="11"/>
  <c r="I17" i="16"/>
  <c r="J14" i="11"/>
  <c r="J17" i="16"/>
  <c r="K14" i="11"/>
  <c r="K17" i="16"/>
  <c r="L14" i="11"/>
  <c r="L17" i="16"/>
  <c r="M14" i="11"/>
  <c r="M17" i="16"/>
  <c r="N14" i="11"/>
  <c r="N17" i="16"/>
  <c r="O14" i="11"/>
  <c r="O17" i="16"/>
  <c r="P14" i="11"/>
  <c r="P17" i="16"/>
  <c r="Q14" i="11"/>
  <c r="Q17" i="16"/>
  <c r="R14" i="11"/>
  <c r="R17" i="16"/>
  <c r="G15" i="11"/>
  <c r="G18" i="16"/>
  <c r="H15" i="11"/>
  <c r="H18" i="16"/>
  <c r="I15" i="11"/>
  <c r="I18" i="16"/>
  <c r="J15" i="11"/>
  <c r="J18" i="16"/>
  <c r="K15" i="11"/>
  <c r="K18" i="16"/>
  <c r="L15" i="11"/>
  <c r="L18" i="16"/>
  <c r="M15" i="11"/>
  <c r="M18" i="16"/>
  <c r="N15" i="11"/>
  <c r="N18" i="16"/>
  <c r="O15" i="11"/>
  <c r="O18" i="16"/>
  <c r="P15" i="11"/>
  <c r="P18" i="16"/>
  <c r="Q15" i="11"/>
  <c r="Q18" i="16"/>
  <c r="R15" i="11"/>
  <c r="R18" i="16"/>
  <c r="G16" i="11"/>
  <c r="G19" i="16"/>
  <c r="H16" i="11"/>
  <c r="H19" i="16"/>
  <c r="I16" i="11"/>
  <c r="I19" i="16"/>
  <c r="J16" i="11"/>
  <c r="J19" i="16"/>
  <c r="K16" i="11"/>
  <c r="K19" i="16"/>
  <c r="L16" i="11"/>
  <c r="L19" i="16"/>
  <c r="M16" i="11"/>
  <c r="M19" i="16"/>
  <c r="N16" i="11"/>
  <c r="N19" i="16"/>
  <c r="O16" i="11"/>
  <c r="O19" i="16"/>
  <c r="P16" i="11"/>
  <c r="P19" i="16"/>
  <c r="Q16" i="11"/>
  <c r="Q19" i="16"/>
  <c r="R16" i="11"/>
  <c r="R19" i="16"/>
  <c r="G17" i="11"/>
  <c r="G20" i="16"/>
  <c r="H17" i="11"/>
  <c r="H20" i="16"/>
  <c r="I17" i="11"/>
  <c r="I20" i="16"/>
  <c r="J17" i="11"/>
  <c r="J20" i="16"/>
  <c r="K17" i="11"/>
  <c r="K20" i="16"/>
  <c r="L17" i="11"/>
  <c r="L20" i="16"/>
  <c r="M17" i="11"/>
  <c r="M20" i="16"/>
  <c r="N17" i="11"/>
  <c r="N20" i="16"/>
  <c r="O17" i="11"/>
  <c r="O20" i="16"/>
  <c r="P17" i="11"/>
  <c r="P20" i="16"/>
  <c r="Q17" i="11"/>
  <c r="Q20" i="16"/>
  <c r="R17" i="11"/>
  <c r="R20" i="16"/>
  <c r="G18" i="11"/>
  <c r="G21" i="16"/>
  <c r="H18" i="11"/>
  <c r="H21" i="16"/>
  <c r="I18" i="11"/>
  <c r="I21" i="16"/>
  <c r="J18" i="11"/>
  <c r="J21" i="16"/>
  <c r="K18" i="11"/>
  <c r="K21" i="16"/>
  <c r="L18" i="11"/>
  <c r="L21" i="16"/>
  <c r="M18" i="11"/>
  <c r="M21" i="16"/>
  <c r="N18" i="11"/>
  <c r="N21" i="16"/>
  <c r="O18" i="11"/>
  <c r="O21" i="16"/>
  <c r="P18" i="11"/>
  <c r="P21" i="16"/>
  <c r="Q18" i="11"/>
  <c r="Q21" i="16"/>
  <c r="R18" i="11"/>
  <c r="R21" i="16"/>
  <c r="G19" i="11"/>
  <c r="G22" i="16"/>
  <c r="H19" i="11"/>
  <c r="H22" i="16"/>
  <c r="I19" i="11"/>
  <c r="I22" i="16"/>
  <c r="J19" i="11"/>
  <c r="J22" i="16"/>
  <c r="K19" i="11"/>
  <c r="K22" i="16"/>
  <c r="L19" i="11"/>
  <c r="L22" i="16"/>
  <c r="M19" i="11"/>
  <c r="M22" i="16"/>
  <c r="N19" i="11"/>
  <c r="N22" i="16"/>
  <c r="O19" i="11"/>
  <c r="O22" i="16"/>
  <c r="P19" i="11"/>
  <c r="P22" i="16"/>
  <c r="Q19" i="11"/>
  <c r="Q22" i="16"/>
  <c r="R19" i="11"/>
  <c r="R22" i="16"/>
  <c r="G20" i="11"/>
  <c r="G23" i="16"/>
  <c r="H20" i="11"/>
  <c r="H23" i="16"/>
  <c r="I20" i="11"/>
  <c r="I23" i="16"/>
  <c r="J20" i="11"/>
  <c r="J23" i="16"/>
  <c r="K20" i="11"/>
  <c r="K23" i="16"/>
  <c r="L20" i="11"/>
  <c r="L23" i="16"/>
  <c r="M20" i="11"/>
  <c r="M23" i="16"/>
  <c r="N20" i="11"/>
  <c r="N23" i="16"/>
  <c r="O20" i="11"/>
  <c r="O23" i="16"/>
  <c r="P20" i="11"/>
  <c r="P23" i="16"/>
  <c r="Q20" i="11"/>
  <c r="Q23" i="16"/>
  <c r="R20" i="11"/>
  <c r="R23" i="16"/>
  <c r="G21" i="11"/>
  <c r="G24" i="16"/>
  <c r="H21" i="11"/>
  <c r="H24" i="16"/>
  <c r="I21" i="11"/>
  <c r="I24" i="16"/>
  <c r="J21" i="11"/>
  <c r="J24" i="16"/>
  <c r="K21" i="11"/>
  <c r="K24" i="16"/>
  <c r="L21" i="11"/>
  <c r="L24" i="16"/>
  <c r="M21" i="11"/>
  <c r="M24" i="16"/>
  <c r="N21" i="11"/>
  <c r="N24" i="16"/>
  <c r="O21" i="11"/>
  <c r="O24" i="16"/>
  <c r="P21" i="11"/>
  <c r="P24" i="16"/>
  <c r="Q21" i="11"/>
  <c r="Q24" i="16"/>
  <c r="R21" i="11"/>
  <c r="R24" i="16"/>
  <c r="G22" i="11"/>
  <c r="G25" i="16"/>
  <c r="H22" i="11"/>
  <c r="H25" i="16"/>
  <c r="I22" i="11"/>
  <c r="I25" i="16"/>
  <c r="J22" i="11"/>
  <c r="J25" i="16"/>
  <c r="K22" i="11"/>
  <c r="K25" i="16"/>
  <c r="L22" i="11"/>
  <c r="L25" i="16"/>
  <c r="M22" i="11"/>
  <c r="M25" i="16"/>
  <c r="N22" i="11"/>
  <c r="N25" i="16"/>
  <c r="O22" i="11"/>
  <c r="O25" i="16"/>
  <c r="P22" i="11"/>
  <c r="P25" i="16"/>
  <c r="Q22" i="11"/>
  <c r="Q25" i="16"/>
  <c r="R22" i="11"/>
  <c r="R25" i="16"/>
  <c r="G23" i="11"/>
  <c r="G26" i="16"/>
  <c r="H23" i="11"/>
  <c r="H26" i="16"/>
  <c r="I23" i="11"/>
  <c r="I26" i="16"/>
  <c r="J23" i="11"/>
  <c r="J26" i="16"/>
  <c r="K23" i="11"/>
  <c r="K26" i="16"/>
  <c r="L23" i="11"/>
  <c r="L26" i="16"/>
  <c r="M23" i="11"/>
  <c r="M26" i="16"/>
  <c r="N23" i="11"/>
  <c r="N26" i="16"/>
  <c r="O23" i="11"/>
  <c r="O26" i="16"/>
  <c r="P23" i="11"/>
  <c r="P26" i="16"/>
  <c r="Q23" i="11"/>
  <c r="Q26" i="16"/>
  <c r="R23" i="11"/>
  <c r="R26" i="16"/>
  <c r="G24" i="11"/>
  <c r="G27" i="16"/>
  <c r="H24" i="11"/>
  <c r="H27" i="16"/>
  <c r="I24" i="11"/>
  <c r="I27" i="16"/>
  <c r="J24" i="11"/>
  <c r="J27" i="16"/>
  <c r="K24" i="11"/>
  <c r="K27" i="16"/>
  <c r="L24" i="11"/>
  <c r="L27" i="16"/>
  <c r="M24" i="11"/>
  <c r="M27" i="16"/>
  <c r="N24" i="11"/>
  <c r="N27" i="16"/>
  <c r="O24" i="11"/>
  <c r="O27" i="16"/>
  <c r="P24" i="11"/>
  <c r="P27" i="16"/>
  <c r="Q24" i="11"/>
  <c r="Q27" i="16"/>
  <c r="R24" i="11"/>
  <c r="R27" i="16"/>
  <c r="G25" i="11"/>
  <c r="G28" i="16"/>
  <c r="H25" i="11"/>
  <c r="H28" i="16"/>
  <c r="I25" i="11"/>
  <c r="I28" i="16"/>
  <c r="J25" i="11"/>
  <c r="J28" i="16"/>
  <c r="K25" i="11"/>
  <c r="K28" i="16"/>
  <c r="L25" i="11"/>
  <c r="L28" i="16"/>
  <c r="M25" i="11"/>
  <c r="M28" i="16"/>
  <c r="N25" i="11"/>
  <c r="N28" i="16"/>
  <c r="O25" i="11"/>
  <c r="O28" i="16"/>
  <c r="P25" i="11"/>
  <c r="P28" i="16"/>
  <c r="Q25" i="11"/>
  <c r="Q28" i="16"/>
  <c r="R25" i="11"/>
  <c r="R28" i="16"/>
  <c r="G26" i="11"/>
  <c r="G29" i="16"/>
  <c r="H26" i="11"/>
  <c r="H29" i="16"/>
  <c r="I26" i="11"/>
  <c r="I29" i="16"/>
  <c r="J26" i="11"/>
  <c r="J29" i="16"/>
  <c r="K26" i="11"/>
  <c r="K29" i="16"/>
  <c r="L26" i="11"/>
  <c r="L29" i="16"/>
  <c r="M26" i="11"/>
  <c r="M29" i="16"/>
  <c r="N26" i="11"/>
  <c r="N29" i="16"/>
  <c r="O26" i="11"/>
  <c r="O29" i="16"/>
  <c r="P26" i="11"/>
  <c r="P29" i="16"/>
  <c r="Q26" i="11"/>
  <c r="Q29" i="16"/>
  <c r="R26" i="11"/>
  <c r="R29" i="16"/>
  <c r="G27" i="11"/>
  <c r="G30" i="16"/>
  <c r="H27" i="11"/>
  <c r="H30" i="16"/>
  <c r="I27" i="11"/>
  <c r="I30" i="16"/>
  <c r="J27" i="11"/>
  <c r="J30" i="16"/>
  <c r="K27" i="11"/>
  <c r="K30" i="16"/>
  <c r="L27" i="11"/>
  <c r="L30" i="16"/>
  <c r="M27" i="11"/>
  <c r="M30" i="16"/>
  <c r="N27" i="11"/>
  <c r="N30" i="16"/>
  <c r="O27" i="11"/>
  <c r="O30" i="16"/>
  <c r="P27" i="11"/>
  <c r="P30" i="16"/>
  <c r="Q27" i="11"/>
  <c r="Q30" i="16"/>
  <c r="R27" i="11"/>
  <c r="R30" i="16"/>
  <c r="G28" i="11"/>
  <c r="G31" i="16"/>
  <c r="H28" i="11"/>
  <c r="H31" i="16"/>
  <c r="I28" i="11"/>
  <c r="I31" i="16"/>
  <c r="J28" i="11"/>
  <c r="J31" i="16"/>
  <c r="K28" i="11"/>
  <c r="K31" i="16"/>
  <c r="L28" i="11"/>
  <c r="L31" i="16"/>
  <c r="M28" i="11"/>
  <c r="M31" i="16"/>
  <c r="N28" i="11"/>
  <c r="N31" i="16"/>
  <c r="O28" i="11"/>
  <c r="O31" i="16"/>
  <c r="P28" i="11"/>
  <c r="P31" i="16"/>
  <c r="Q28" i="11"/>
  <c r="Q31" i="16"/>
  <c r="R28" i="11"/>
  <c r="R31" i="16"/>
  <c r="G29" i="11"/>
  <c r="G32" i="16"/>
  <c r="H29" i="11"/>
  <c r="H32" i="16"/>
  <c r="I29" i="11"/>
  <c r="I32" i="16"/>
  <c r="J29" i="11"/>
  <c r="J32" i="16"/>
  <c r="K29" i="11"/>
  <c r="K32" i="16"/>
  <c r="L29" i="11"/>
  <c r="L32" i="16"/>
  <c r="M29" i="11"/>
  <c r="M32" i="16"/>
  <c r="N29" i="11"/>
  <c r="N32" i="16"/>
  <c r="O29" i="11"/>
  <c r="O32" i="16"/>
  <c r="P29" i="11"/>
  <c r="P32" i="16"/>
  <c r="Q29" i="11"/>
  <c r="Q32" i="16"/>
  <c r="R29" i="11"/>
  <c r="R32" i="16"/>
  <c r="G30" i="11"/>
  <c r="G33" i="16"/>
  <c r="H30" i="11"/>
  <c r="H33" i="16"/>
  <c r="I30" i="11"/>
  <c r="I33" i="16"/>
  <c r="J30" i="11"/>
  <c r="J33" i="16"/>
  <c r="K30" i="11"/>
  <c r="K33" i="16"/>
  <c r="L30" i="11"/>
  <c r="L33" i="16"/>
  <c r="M30" i="11"/>
  <c r="M33" i="16"/>
  <c r="N30" i="11"/>
  <c r="N33" i="16"/>
  <c r="O30" i="11"/>
  <c r="O33" i="16"/>
  <c r="P30" i="11"/>
  <c r="P33" i="16"/>
  <c r="Q30" i="11"/>
  <c r="Q33" i="16"/>
  <c r="R30" i="11"/>
  <c r="R33" i="16"/>
  <c r="G31" i="11"/>
  <c r="G34" i="16"/>
  <c r="H31" i="11"/>
  <c r="H34" i="16"/>
  <c r="I31" i="11"/>
  <c r="I34" i="16"/>
  <c r="J31" i="11"/>
  <c r="J34" i="16"/>
  <c r="K31" i="11"/>
  <c r="K34" i="16"/>
  <c r="L31" i="11"/>
  <c r="L34" i="16"/>
  <c r="M31" i="11"/>
  <c r="M34" i="16"/>
  <c r="N31" i="11"/>
  <c r="N34" i="16"/>
  <c r="O31" i="11"/>
  <c r="O34" i="16"/>
  <c r="P31" i="11"/>
  <c r="P34" i="16"/>
  <c r="Q31" i="11"/>
  <c r="Q34" i="16"/>
  <c r="R31" i="11"/>
  <c r="R34" i="16"/>
  <c r="G32" i="11"/>
  <c r="G35" i="16"/>
  <c r="H32" i="11"/>
  <c r="H35" i="16"/>
  <c r="I32" i="11"/>
  <c r="I35" i="16"/>
  <c r="J32" i="11"/>
  <c r="J35" i="16"/>
  <c r="K32" i="11"/>
  <c r="K35" i="16"/>
  <c r="L32" i="11"/>
  <c r="L35" i="16"/>
  <c r="M32" i="11"/>
  <c r="M35" i="16"/>
  <c r="N32" i="11"/>
  <c r="N35" i="16"/>
  <c r="O32" i="11"/>
  <c r="O35" i="16"/>
  <c r="P32" i="11"/>
  <c r="P35" i="16"/>
  <c r="Q32" i="11"/>
  <c r="Q35" i="16"/>
  <c r="R32" i="11"/>
  <c r="R35" i="16"/>
  <c r="G33" i="11"/>
  <c r="G36" i="16"/>
  <c r="H33" i="11"/>
  <c r="H36" i="16"/>
  <c r="I33" i="11"/>
  <c r="I36" i="16"/>
  <c r="J33" i="11"/>
  <c r="J36" i="16"/>
  <c r="K33" i="11"/>
  <c r="K36" i="16"/>
  <c r="L33" i="11"/>
  <c r="L36" i="16"/>
  <c r="M33" i="11"/>
  <c r="M36" i="16"/>
  <c r="N33" i="11"/>
  <c r="N36" i="16"/>
  <c r="O33" i="11"/>
  <c r="O36" i="16"/>
  <c r="P33" i="11"/>
  <c r="P36" i="16"/>
  <c r="Q33" i="11"/>
  <c r="Q36" i="16"/>
  <c r="R33" i="11"/>
  <c r="R36" i="16"/>
  <c r="G34" i="11"/>
  <c r="G37" i="16"/>
  <c r="H34" i="11"/>
  <c r="H37" i="16"/>
  <c r="I34" i="11"/>
  <c r="I37" i="16"/>
  <c r="J34" i="11"/>
  <c r="J37" i="16"/>
  <c r="K34" i="11"/>
  <c r="K37" i="16"/>
  <c r="L34" i="11"/>
  <c r="L37" i="16"/>
  <c r="M34" i="11"/>
  <c r="M37" i="16"/>
  <c r="N34" i="11"/>
  <c r="N37" i="16"/>
  <c r="O34" i="11"/>
  <c r="O37" i="16"/>
  <c r="P34" i="11"/>
  <c r="P37" i="16"/>
  <c r="Q34" i="11"/>
  <c r="Q37" i="16"/>
  <c r="R34" i="11"/>
  <c r="R37" i="16"/>
  <c r="G35" i="11"/>
  <c r="G38" i="16"/>
  <c r="H35" i="11"/>
  <c r="H38" i="16"/>
  <c r="I35" i="11"/>
  <c r="I38" i="16"/>
  <c r="J35" i="11"/>
  <c r="J38" i="16"/>
  <c r="K35" i="11"/>
  <c r="K38" i="16"/>
  <c r="L35" i="11"/>
  <c r="L38" i="16"/>
  <c r="M35" i="11"/>
  <c r="M38" i="16"/>
  <c r="N35" i="11"/>
  <c r="N38" i="16"/>
  <c r="O35" i="11"/>
  <c r="O38" i="16"/>
  <c r="P35" i="11"/>
  <c r="P38" i="16"/>
  <c r="Q35" i="11"/>
  <c r="Q38" i="16"/>
  <c r="R35" i="11"/>
  <c r="R38" i="16"/>
  <c r="G36" i="11"/>
  <c r="G39" i="16"/>
  <c r="H36" i="11"/>
  <c r="H39" i="16"/>
  <c r="I36" i="11"/>
  <c r="I39" i="16"/>
  <c r="J36" i="11"/>
  <c r="J39" i="16"/>
  <c r="K36" i="11"/>
  <c r="K39" i="16"/>
  <c r="L36" i="11"/>
  <c r="L39" i="16"/>
  <c r="M36" i="11"/>
  <c r="M39" i="16"/>
  <c r="N36" i="11"/>
  <c r="N39" i="16"/>
  <c r="O36" i="11"/>
  <c r="O39" i="16"/>
  <c r="P36" i="11"/>
  <c r="P39" i="16"/>
  <c r="Q36" i="11"/>
  <c r="Q39" i="16"/>
  <c r="R36" i="11"/>
  <c r="R39" i="16"/>
  <c r="G37" i="11"/>
  <c r="G40" i="16"/>
  <c r="H37" i="11"/>
  <c r="H40" i="16"/>
  <c r="I37" i="11"/>
  <c r="I40" i="16"/>
  <c r="J37" i="11"/>
  <c r="J40" i="16"/>
  <c r="K37" i="11"/>
  <c r="K40" i="16"/>
  <c r="L37" i="11"/>
  <c r="L40" i="16"/>
  <c r="M37" i="11"/>
  <c r="M40" i="16"/>
  <c r="N37" i="11"/>
  <c r="N40" i="16"/>
  <c r="O37" i="11"/>
  <c r="O40" i="16"/>
  <c r="P37" i="11"/>
  <c r="P40" i="16"/>
  <c r="Q37" i="11"/>
  <c r="Q40" i="16"/>
  <c r="R37" i="11"/>
  <c r="R40" i="16"/>
  <c r="G38" i="11"/>
  <c r="G41" i="16"/>
  <c r="H38" i="11"/>
  <c r="H41" i="16"/>
  <c r="I38" i="11"/>
  <c r="I41" i="16"/>
  <c r="J38" i="11"/>
  <c r="J41" i="16"/>
  <c r="K38" i="11"/>
  <c r="K41" i="16"/>
  <c r="L38" i="11"/>
  <c r="L41" i="16"/>
  <c r="M38" i="11"/>
  <c r="M41" i="16"/>
  <c r="N38" i="11"/>
  <c r="N41" i="16"/>
  <c r="O38" i="11"/>
  <c r="O41" i="16"/>
  <c r="P38" i="11"/>
  <c r="P41" i="16"/>
  <c r="Q38" i="11"/>
  <c r="Q41" i="16"/>
  <c r="R38" i="11"/>
  <c r="R41" i="16"/>
  <c r="G39" i="11"/>
  <c r="G42" i="16"/>
  <c r="H39" i="11"/>
  <c r="H42" i="16"/>
  <c r="I39" i="11"/>
  <c r="I42" i="16"/>
  <c r="J39" i="11"/>
  <c r="J42" i="16"/>
  <c r="K39" i="11"/>
  <c r="K42" i="16"/>
  <c r="L39" i="11"/>
  <c r="L42" i="16"/>
  <c r="M39" i="11"/>
  <c r="M42" i="16"/>
  <c r="N39" i="11"/>
  <c r="N42" i="16"/>
  <c r="O39" i="11"/>
  <c r="O42" i="16"/>
  <c r="P39" i="11"/>
  <c r="P42" i="16"/>
  <c r="Q39" i="11"/>
  <c r="Q42" i="16"/>
  <c r="R39" i="11"/>
  <c r="R42" i="16"/>
  <c r="G40" i="11"/>
  <c r="G43" i="16"/>
  <c r="H40" i="11"/>
  <c r="H43" i="16"/>
  <c r="I40" i="11"/>
  <c r="I43" i="16"/>
  <c r="J40" i="11"/>
  <c r="J43" i="16"/>
  <c r="K40" i="11"/>
  <c r="K43" i="16"/>
  <c r="L40" i="11"/>
  <c r="L43" i="16"/>
  <c r="M40" i="11"/>
  <c r="M43" i="16"/>
  <c r="N40" i="11"/>
  <c r="N43" i="16"/>
  <c r="O40" i="11"/>
  <c r="O43" i="16"/>
  <c r="P40" i="11"/>
  <c r="P43" i="16"/>
  <c r="Q40" i="11"/>
  <c r="Q43" i="16"/>
  <c r="R40" i="11"/>
  <c r="R43" i="16"/>
  <c r="G41" i="11"/>
  <c r="G44" i="16"/>
  <c r="H41" i="11"/>
  <c r="H44" i="16"/>
  <c r="I41" i="11"/>
  <c r="I44" i="16"/>
  <c r="J41" i="11"/>
  <c r="J44" i="16"/>
  <c r="K41" i="11"/>
  <c r="K44" i="16"/>
  <c r="L41" i="11"/>
  <c r="L44" i="16"/>
  <c r="M41" i="11"/>
  <c r="M44" i="16"/>
  <c r="N41" i="11"/>
  <c r="N44" i="16"/>
  <c r="O41" i="11"/>
  <c r="O44" i="16"/>
  <c r="P41" i="11"/>
  <c r="P44" i="16"/>
  <c r="Q41" i="11"/>
  <c r="Q44" i="16"/>
  <c r="R41" i="11"/>
  <c r="R44" i="16"/>
  <c r="G42" i="11"/>
  <c r="G45" i="16"/>
  <c r="H42" i="11"/>
  <c r="H45" i="16"/>
  <c r="I42" i="11"/>
  <c r="I45" i="16"/>
  <c r="J42" i="11"/>
  <c r="J45" i="16"/>
  <c r="K42" i="11"/>
  <c r="K45" i="16"/>
  <c r="L42" i="11"/>
  <c r="L45" i="16"/>
  <c r="M42" i="11"/>
  <c r="M45" i="16"/>
  <c r="N42" i="11"/>
  <c r="N45" i="16"/>
  <c r="O42" i="11"/>
  <c r="O45" i="16"/>
  <c r="P42" i="11"/>
  <c r="P45" i="16"/>
  <c r="Q42" i="11"/>
  <c r="Q45" i="16"/>
  <c r="R42" i="11"/>
  <c r="R45" i="16"/>
  <c r="G43" i="11"/>
  <c r="G46" i="16"/>
  <c r="H43" i="11"/>
  <c r="H46" i="16"/>
  <c r="I43" i="11"/>
  <c r="I46" i="16"/>
  <c r="J43" i="11"/>
  <c r="J46" i="16"/>
  <c r="K43" i="11"/>
  <c r="K46" i="16"/>
  <c r="L43" i="11"/>
  <c r="L46" i="16"/>
  <c r="M43" i="11"/>
  <c r="M46" i="16"/>
  <c r="N43" i="11"/>
  <c r="N46" i="16"/>
  <c r="O43" i="11"/>
  <c r="O46" i="16"/>
  <c r="P43" i="11"/>
  <c r="P46" i="16"/>
  <c r="Q43" i="11"/>
  <c r="Q46" i="16"/>
  <c r="R43" i="11"/>
  <c r="R46" i="16"/>
  <c r="G44" i="11"/>
  <c r="G47" i="16"/>
  <c r="H44" i="11"/>
  <c r="H47" i="16"/>
  <c r="I44" i="11"/>
  <c r="I47" i="16"/>
  <c r="J44" i="11"/>
  <c r="J47" i="16"/>
  <c r="K44" i="11"/>
  <c r="K47" i="16"/>
  <c r="L44" i="11"/>
  <c r="L47" i="16"/>
  <c r="M44" i="11"/>
  <c r="M47" i="16"/>
  <c r="N44" i="11"/>
  <c r="N47" i="16"/>
  <c r="O44" i="11"/>
  <c r="O47" i="16"/>
  <c r="P44" i="11"/>
  <c r="P47" i="16"/>
  <c r="Q44" i="11"/>
  <c r="Q47" i="16"/>
  <c r="R44" i="11"/>
  <c r="R47" i="16"/>
  <c r="G45" i="11"/>
  <c r="G48" i="16"/>
  <c r="H45" i="11"/>
  <c r="H48" i="16"/>
  <c r="I45" i="11"/>
  <c r="I48" i="16"/>
  <c r="J45" i="11"/>
  <c r="J48" i="16"/>
  <c r="K45" i="11"/>
  <c r="K48" i="16"/>
  <c r="L45" i="11"/>
  <c r="L48" i="16"/>
  <c r="M45" i="11"/>
  <c r="M48" i="16"/>
  <c r="N45" i="11"/>
  <c r="N48" i="16"/>
  <c r="O45" i="11"/>
  <c r="O48" i="16"/>
  <c r="P45" i="11"/>
  <c r="P48" i="16"/>
  <c r="Q45" i="11"/>
  <c r="Q48" i="16"/>
  <c r="R45" i="11"/>
  <c r="R48" i="16"/>
  <c r="G46" i="11"/>
  <c r="G49" i="16"/>
  <c r="H46" i="11"/>
  <c r="H49" i="16"/>
  <c r="I46" i="11"/>
  <c r="I49" i="16"/>
  <c r="J46" i="11"/>
  <c r="J49" i="16"/>
  <c r="K46" i="11"/>
  <c r="K49" i="16"/>
  <c r="L46" i="11"/>
  <c r="L49" i="16"/>
  <c r="M46" i="11"/>
  <c r="M49" i="16"/>
  <c r="N46" i="11"/>
  <c r="N49" i="16"/>
  <c r="O46" i="11"/>
  <c r="O49" i="16"/>
  <c r="P46" i="11"/>
  <c r="P49" i="16"/>
  <c r="Q46" i="11"/>
  <c r="Q49" i="16"/>
  <c r="R46" i="11"/>
  <c r="R49" i="16"/>
  <c r="G47" i="11"/>
  <c r="G50" i="16"/>
  <c r="H47" i="11"/>
  <c r="H50" i="16"/>
  <c r="I47" i="11"/>
  <c r="I50" i="16"/>
  <c r="J47" i="11"/>
  <c r="J50" i="16"/>
  <c r="K47" i="11"/>
  <c r="K50" i="16"/>
  <c r="L47" i="11"/>
  <c r="L50" i="16"/>
  <c r="M47" i="11"/>
  <c r="M50" i="16"/>
  <c r="N47" i="11"/>
  <c r="N50" i="16"/>
  <c r="O47" i="11"/>
  <c r="O50" i="16"/>
  <c r="P47" i="11"/>
  <c r="P50" i="16"/>
  <c r="Q47" i="11"/>
  <c r="Q50" i="16"/>
  <c r="R47" i="11"/>
  <c r="R50" i="16"/>
  <c r="G48" i="11"/>
  <c r="G51" i="16"/>
  <c r="H48" i="11"/>
  <c r="H51" i="16"/>
  <c r="I48" i="11"/>
  <c r="I51" i="16"/>
  <c r="J48" i="11"/>
  <c r="J51" i="16"/>
  <c r="K48" i="11"/>
  <c r="K51" i="16"/>
  <c r="L48" i="11"/>
  <c r="L51" i="16"/>
  <c r="M48" i="11"/>
  <c r="M51" i="16"/>
  <c r="N48" i="11"/>
  <c r="N51" i="16"/>
  <c r="O48" i="11"/>
  <c r="O51" i="16"/>
  <c r="P48" i="11"/>
  <c r="P51" i="16"/>
  <c r="Q48" i="11"/>
  <c r="Q51" i="16"/>
  <c r="R48" i="11"/>
  <c r="R51" i="16"/>
  <c r="G49" i="11"/>
  <c r="G52" i="16"/>
  <c r="H49" i="11"/>
  <c r="H52" i="16"/>
  <c r="I49" i="11"/>
  <c r="I52" i="16"/>
  <c r="J49" i="11"/>
  <c r="J52" i="16"/>
  <c r="K49" i="11"/>
  <c r="K52" i="16"/>
  <c r="L49" i="11"/>
  <c r="L52" i="16"/>
  <c r="M49" i="11"/>
  <c r="M52" i="16"/>
  <c r="N49" i="11"/>
  <c r="N52" i="16"/>
  <c r="O49" i="11"/>
  <c r="O52" i="16"/>
  <c r="P49" i="11"/>
  <c r="P52" i="16"/>
  <c r="Q49" i="11"/>
  <c r="Q52" i="16"/>
  <c r="R49" i="11"/>
  <c r="R52" i="16"/>
  <c r="G50" i="11"/>
  <c r="G53" i="16"/>
  <c r="H50" i="11"/>
  <c r="H53" i="16"/>
  <c r="I50" i="11"/>
  <c r="I53" i="16"/>
  <c r="J50" i="11"/>
  <c r="J53" i="16"/>
  <c r="K50" i="11"/>
  <c r="K53" i="16"/>
  <c r="L50" i="11"/>
  <c r="L53" i="16"/>
  <c r="M50" i="11"/>
  <c r="M53" i="16"/>
  <c r="N50" i="11"/>
  <c r="N53" i="16"/>
  <c r="O50" i="11"/>
  <c r="O53" i="16"/>
  <c r="P50" i="11"/>
  <c r="P53" i="16"/>
  <c r="Q50" i="11"/>
  <c r="Q53" i="16"/>
  <c r="R50" i="11"/>
  <c r="R53" i="16"/>
  <c r="G51" i="11"/>
  <c r="G54" i="16"/>
  <c r="H51" i="11"/>
  <c r="H54" i="16"/>
  <c r="I51" i="11"/>
  <c r="I54" i="16"/>
  <c r="J51" i="11"/>
  <c r="J54" i="16"/>
  <c r="K51" i="11"/>
  <c r="K54" i="16"/>
  <c r="L51" i="11"/>
  <c r="L54" i="16"/>
  <c r="M51" i="11"/>
  <c r="M54" i="16"/>
  <c r="N51" i="11"/>
  <c r="N54" i="16"/>
  <c r="O51" i="11"/>
  <c r="O54" i="16"/>
  <c r="P51" i="11"/>
  <c r="P54" i="16"/>
  <c r="Q51" i="11"/>
  <c r="Q54" i="16"/>
  <c r="R51" i="11"/>
  <c r="R54" i="16"/>
  <c r="G52" i="11"/>
  <c r="G55" i="16"/>
  <c r="H52" i="11"/>
  <c r="H55" i="16"/>
  <c r="I52" i="11"/>
  <c r="I55" i="16"/>
  <c r="J52" i="11"/>
  <c r="J55" i="16"/>
  <c r="K52" i="11"/>
  <c r="K55" i="16"/>
  <c r="L52" i="11"/>
  <c r="L55" i="16"/>
  <c r="M52" i="11"/>
  <c r="M55" i="16"/>
  <c r="N52" i="11"/>
  <c r="N55" i="16"/>
  <c r="O52" i="11"/>
  <c r="O55" i="16"/>
  <c r="P52" i="11"/>
  <c r="P55" i="16"/>
  <c r="Q52" i="11"/>
  <c r="Q55" i="16"/>
  <c r="R52" i="11"/>
  <c r="R55" i="16"/>
  <c r="G53" i="11"/>
  <c r="G56" i="16"/>
  <c r="H53" i="11"/>
  <c r="H56" i="16"/>
  <c r="I53" i="11"/>
  <c r="I56" i="16"/>
  <c r="J53" i="11"/>
  <c r="J56" i="16"/>
  <c r="K53" i="11"/>
  <c r="K56" i="16"/>
  <c r="L53" i="11"/>
  <c r="L56" i="16"/>
  <c r="M53" i="11"/>
  <c r="M56" i="16"/>
  <c r="N53" i="11"/>
  <c r="N56" i="16"/>
  <c r="O53" i="11"/>
  <c r="O56" i="16"/>
  <c r="P53" i="11"/>
  <c r="P56" i="16"/>
  <c r="Q53" i="11"/>
  <c r="Q56" i="16"/>
  <c r="R53" i="11"/>
  <c r="R56" i="16"/>
  <c r="G54" i="11"/>
  <c r="G57" i="16"/>
  <c r="H54" i="11"/>
  <c r="H57" i="16"/>
  <c r="I54" i="11"/>
  <c r="I57" i="16"/>
  <c r="J54" i="11"/>
  <c r="J57" i="16"/>
  <c r="K54" i="11"/>
  <c r="K57" i="16"/>
  <c r="L54" i="11"/>
  <c r="L57" i="16"/>
  <c r="M54" i="11"/>
  <c r="M57" i="16"/>
  <c r="N54" i="11"/>
  <c r="N57" i="16"/>
  <c r="O54" i="11"/>
  <c r="O57" i="16"/>
  <c r="P54" i="11"/>
  <c r="P57" i="16"/>
  <c r="Q54" i="11"/>
  <c r="Q57" i="16"/>
  <c r="R54" i="11"/>
  <c r="R57" i="16"/>
  <c r="G55" i="11"/>
  <c r="G58" i="16"/>
  <c r="H55" i="11"/>
  <c r="H58" i="16"/>
  <c r="I55" i="11"/>
  <c r="I58" i="16"/>
  <c r="J55" i="11"/>
  <c r="J58" i="16"/>
  <c r="K55" i="11"/>
  <c r="K58" i="16"/>
  <c r="L55" i="11"/>
  <c r="L58" i="16"/>
  <c r="M55" i="11"/>
  <c r="M58" i="16"/>
  <c r="N55" i="11"/>
  <c r="N58" i="16"/>
  <c r="O55" i="11"/>
  <c r="O58" i="16"/>
  <c r="P55" i="11"/>
  <c r="P58" i="16"/>
  <c r="Q55" i="11"/>
  <c r="Q58" i="16"/>
  <c r="R55" i="11"/>
  <c r="R58" i="16"/>
  <c r="G56" i="11"/>
  <c r="G59" i="16"/>
  <c r="H56" i="11"/>
  <c r="H59" i="16"/>
  <c r="I56" i="11"/>
  <c r="I59" i="16"/>
  <c r="J56" i="11"/>
  <c r="J59" i="16"/>
  <c r="K56" i="11"/>
  <c r="K59" i="16"/>
  <c r="L56" i="11"/>
  <c r="L59" i="16"/>
  <c r="M56" i="11"/>
  <c r="M59" i="16"/>
  <c r="N56" i="11"/>
  <c r="N59" i="16"/>
  <c r="O56" i="11"/>
  <c r="O59" i="16"/>
  <c r="P56" i="11"/>
  <c r="P59" i="16"/>
  <c r="Q56" i="11"/>
  <c r="Q59" i="16"/>
  <c r="R56" i="11"/>
  <c r="R59" i="16"/>
  <c r="G57" i="11"/>
  <c r="G60" i="16"/>
  <c r="H57" i="11"/>
  <c r="H60" i="16"/>
  <c r="I57" i="11"/>
  <c r="I60" i="16"/>
  <c r="J57" i="11"/>
  <c r="J60" i="16"/>
  <c r="K57" i="11"/>
  <c r="K60" i="16"/>
  <c r="L57" i="11"/>
  <c r="L60" i="16"/>
  <c r="M57" i="11"/>
  <c r="M60" i="16"/>
  <c r="N57" i="11"/>
  <c r="N60" i="16"/>
  <c r="O57" i="11"/>
  <c r="O60" i="16"/>
  <c r="P57" i="11"/>
  <c r="P60" i="16"/>
  <c r="Q57" i="11"/>
  <c r="Q60" i="16"/>
  <c r="R57" i="11"/>
  <c r="R60" i="16"/>
  <c r="G58" i="11"/>
  <c r="G61" i="16"/>
  <c r="H58" i="11"/>
  <c r="H61" i="16"/>
  <c r="I58" i="11"/>
  <c r="I61" i="16"/>
  <c r="J58" i="11"/>
  <c r="J61" i="16"/>
  <c r="K58" i="11"/>
  <c r="K61" i="16"/>
  <c r="L58" i="11"/>
  <c r="L61" i="16"/>
  <c r="M58" i="11"/>
  <c r="M61" i="16"/>
  <c r="N58" i="11"/>
  <c r="N61" i="16"/>
  <c r="O58" i="11"/>
  <c r="O61" i="16"/>
  <c r="P58" i="11"/>
  <c r="P61" i="16"/>
  <c r="Q58" i="11"/>
  <c r="Q61" i="16"/>
  <c r="R58" i="11"/>
  <c r="R61" i="16"/>
  <c r="G59" i="11"/>
  <c r="G62" i="16"/>
  <c r="H59" i="11"/>
  <c r="H62" i="16"/>
  <c r="I59" i="11"/>
  <c r="I62" i="16"/>
  <c r="J59" i="11"/>
  <c r="J62" i="16"/>
  <c r="K59" i="11"/>
  <c r="K62" i="16"/>
  <c r="L59" i="11"/>
  <c r="L62" i="16"/>
  <c r="M59" i="11"/>
  <c r="M62" i="16"/>
  <c r="N59" i="11"/>
  <c r="N62" i="16"/>
  <c r="O59" i="11"/>
  <c r="O62" i="16"/>
  <c r="P59" i="11"/>
  <c r="P62" i="16"/>
  <c r="Q59" i="11"/>
  <c r="Q62" i="16"/>
  <c r="R59" i="11"/>
  <c r="R62" i="16"/>
  <c r="G60" i="11"/>
  <c r="G63" i="16"/>
  <c r="H60" i="11"/>
  <c r="H63" i="16"/>
  <c r="I60" i="11"/>
  <c r="I63" i="16"/>
  <c r="J60" i="11"/>
  <c r="J63" i="16"/>
  <c r="K60" i="11"/>
  <c r="K63" i="16"/>
  <c r="L60" i="11"/>
  <c r="L63" i="16"/>
  <c r="M60" i="11"/>
  <c r="M63" i="16"/>
  <c r="N60" i="11"/>
  <c r="N63" i="16"/>
  <c r="O60" i="11"/>
  <c r="O63" i="16"/>
  <c r="P60" i="11"/>
  <c r="P63" i="16"/>
  <c r="Q60" i="11"/>
  <c r="Q63" i="16"/>
  <c r="R60" i="11"/>
  <c r="R63" i="16"/>
  <c r="G61" i="11"/>
  <c r="G64" i="16"/>
  <c r="H61" i="11"/>
  <c r="H64" i="16"/>
  <c r="I61" i="11"/>
  <c r="I64" i="16"/>
  <c r="J61" i="11"/>
  <c r="J64" i="16"/>
  <c r="K61" i="11"/>
  <c r="K64" i="16"/>
  <c r="L61" i="11"/>
  <c r="L64" i="16"/>
  <c r="M61" i="11"/>
  <c r="M64" i="16"/>
  <c r="N61" i="11"/>
  <c r="N64" i="16"/>
  <c r="O61" i="11"/>
  <c r="O64" i="16"/>
  <c r="P61" i="11"/>
  <c r="P64" i="16"/>
  <c r="Q61" i="11"/>
  <c r="Q64" i="16"/>
  <c r="R61" i="11"/>
  <c r="R64" i="16"/>
  <c r="G62" i="11"/>
  <c r="G65" i="16"/>
  <c r="H62" i="11"/>
  <c r="H65" i="16"/>
  <c r="I62" i="11"/>
  <c r="I65" i="16"/>
  <c r="J62" i="11"/>
  <c r="J65" i="16"/>
  <c r="K62" i="11"/>
  <c r="K65" i="16"/>
  <c r="L62" i="11"/>
  <c r="L65" i="16"/>
  <c r="M62" i="11"/>
  <c r="M65" i="16"/>
  <c r="N62" i="11"/>
  <c r="N65" i="16"/>
  <c r="O62" i="11"/>
  <c r="O65" i="16"/>
  <c r="P62" i="11"/>
  <c r="P65" i="16"/>
  <c r="Q62" i="11"/>
  <c r="Q65" i="16"/>
  <c r="R62" i="11"/>
  <c r="R65" i="16"/>
  <c r="G63" i="11"/>
  <c r="G66" i="16"/>
  <c r="H63" i="11"/>
  <c r="H66" i="16"/>
  <c r="I63" i="11"/>
  <c r="I66" i="16"/>
  <c r="J63" i="11"/>
  <c r="J66" i="16"/>
  <c r="K63" i="11"/>
  <c r="K66" i="16"/>
  <c r="L63" i="11"/>
  <c r="L66" i="16"/>
  <c r="M63" i="11"/>
  <c r="M66" i="16"/>
  <c r="N63" i="11"/>
  <c r="N66" i="16"/>
  <c r="O63" i="11"/>
  <c r="O66" i="16"/>
  <c r="P63" i="11"/>
  <c r="P66" i="16"/>
  <c r="Q63" i="11"/>
  <c r="Q66" i="16"/>
  <c r="R63" i="11"/>
  <c r="R66" i="16"/>
  <c r="G64" i="11"/>
  <c r="G67" i="16"/>
  <c r="H64" i="11"/>
  <c r="H67" i="16"/>
  <c r="I64" i="11"/>
  <c r="I67" i="16"/>
  <c r="J64" i="11"/>
  <c r="J67" i="16"/>
  <c r="K64" i="11"/>
  <c r="K67" i="16"/>
  <c r="L64" i="11"/>
  <c r="L67" i="16"/>
  <c r="M64" i="11"/>
  <c r="M67" i="16"/>
  <c r="N64" i="11"/>
  <c r="N67" i="16"/>
  <c r="O64" i="11"/>
  <c r="O67" i="16"/>
  <c r="P64" i="11"/>
  <c r="P67" i="16"/>
  <c r="Q64" i="11"/>
  <c r="Q67" i="16"/>
  <c r="R64" i="11"/>
  <c r="R67" i="16"/>
  <c r="G65" i="11"/>
  <c r="G68" i="16"/>
  <c r="H65" i="11"/>
  <c r="H68" i="16"/>
  <c r="I65" i="11"/>
  <c r="I68" i="16"/>
  <c r="J65" i="11"/>
  <c r="J68" i="16"/>
  <c r="K65" i="11"/>
  <c r="K68" i="16"/>
  <c r="L65" i="11"/>
  <c r="L68" i="16"/>
  <c r="M65" i="11"/>
  <c r="M68" i="16"/>
  <c r="N65" i="11"/>
  <c r="N68" i="16"/>
  <c r="O65" i="11"/>
  <c r="O68" i="16"/>
  <c r="P65" i="11"/>
  <c r="P68" i="16"/>
  <c r="Q65" i="11"/>
  <c r="Q68" i="16"/>
  <c r="R65" i="11"/>
  <c r="R68" i="16"/>
  <c r="G66" i="11"/>
  <c r="G69" i="16"/>
  <c r="H66" i="11"/>
  <c r="H69" i="16"/>
  <c r="I66" i="11"/>
  <c r="I69" i="16"/>
  <c r="J66" i="11"/>
  <c r="J69" i="16"/>
  <c r="K66" i="11"/>
  <c r="K69" i="16"/>
  <c r="L66" i="11"/>
  <c r="L69" i="16"/>
  <c r="M66" i="11"/>
  <c r="M69" i="16"/>
  <c r="N66" i="11"/>
  <c r="N69" i="16"/>
  <c r="O66" i="11"/>
  <c r="O69" i="16"/>
  <c r="P66" i="11"/>
  <c r="P69" i="16"/>
  <c r="Q66" i="11"/>
  <c r="Q69" i="16"/>
  <c r="R66" i="11"/>
  <c r="R69" i="16"/>
  <c r="G67" i="11"/>
  <c r="G70" i="16"/>
  <c r="H67" i="11"/>
  <c r="H70" i="16"/>
  <c r="I67" i="11"/>
  <c r="I70" i="16"/>
  <c r="J67" i="11"/>
  <c r="J70" i="16"/>
  <c r="K67" i="11"/>
  <c r="K70" i="16"/>
  <c r="L67" i="11"/>
  <c r="L70" i="16"/>
  <c r="M67" i="11"/>
  <c r="M70" i="16"/>
  <c r="N67" i="11"/>
  <c r="N70" i="16"/>
  <c r="O67" i="11"/>
  <c r="O70" i="16"/>
  <c r="P67" i="11"/>
  <c r="P70" i="16"/>
  <c r="Q67" i="11"/>
  <c r="Q70" i="16"/>
  <c r="R67" i="11"/>
  <c r="R70" i="16"/>
  <c r="G68" i="11"/>
  <c r="G71" i="16"/>
  <c r="H68" i="11"/>
  <c r="H71" i="16"/>
  <c r="I68" i="11"/>
  <c r="I71" i="16"/>
  <c r="J68" i="11"/>
  <c r="J71" i="16"/>
  <c r="K68" i="11"/>
  <c r="K71" i="16"/>
  <c r="L68" i="11"/>
  <c r="L71" i="16"/>
  <c r="M68" i="11"/>
  <c r="M71" i="16"/>
  <c r="N68" i="11"/>
  <c r="N71" i="16"/>
  <c r="O68" i="11"/>
  <c r="O71" i="16"/>
  <c r="P68" i="11"/>
  <c r="P71" i="16"/>
  <c r="Q68" i="11"/>
  <c r="Q71" i="16"/>
  <c r="R68" i="11"/>
  <c r="R71" i="16"/>
  <c r="G69" i="11"/>
  <c r="G72" i="16"/>
  <c r="H69" i="11"/>
  <c r="H72" i="16"/>
  <c r="I69" i="11"/>
  <c r="I72" i="16"/>
  <c r="J69" i="11"/>
  <c r="J72" i="16"/>
  <c r="K69" i="11"/>
  <c r="K72" i="16"/>
  <c r="L69" i="11"/>
  <c r="L72" i="16"/>
  <c r="M69" i="11"/>
  <c r="M72" i="16"/>
  <c r="N69" i="11"/>
  <c r="N72" i="16"/>
  <c r="O69" i="11"/>
  <c r="O72" i="16"/>
  <c r="P69" i="11"/>
  <c r="P72" i="16"/>
  <c r="Q69" i="11"/>
  <c r="Q72" i="16"/>
  <c r="R69" i="11"/>
  <c r="R72" i="16"/>
  <c r="G70" i="11"/>
  <c r="G73" i="16"/>
  <c r="H70" i="11"/>
  <c r="H73" i="16"/>
  <c r="I70" i="11"/>
  <c r="I73" i="16"/>
  <c r="J70" i="11"/>
  <c r="J73" i="16"/>
  <c r="K70" i="11"/>
  <c r="K73" i="16"/>
  <c r="L70" i="11"/>
  <c r="L73" i="16"/>
  <c r="M70" i="11"/>
  <c r="M73" i="16"/>
  <c r="N70" i="11"/>
  <c r="N73" i="16"/>
  <c r="O70" i="11"/>
  <c r="O73" i="16"/>
  <c r="P70" i="11"/>
  <c r="P73" i="16"/>
  <c r="Q70" i="11"/>
  <c r="Q73" i="16"/>
  <c r="R70" i="11"/>
  <c r="R73" i="16"/>
  <c r="G71" i="11"/>
  <c r="G74" i="16"/>
  <c r="H71" i="11"/>
  <c r="H74" i="16"/>
  <c r="I71" i="11"/>
  <c r="I74" i="16"/>
  <c r="J71" i="11"/>
  <c r="J74" i="16"/>
  <c r="K71" i="11"/>
  <c r="K74" i="16"/>
  <c r="L71" i="11"/>
  <c r="L74" i="16"/>
  <c r="M71" i="11"/>
  <c r="M74" i="16"/>
  <c r="N71" i="11"/>
  <c r="N74" i="16"/>
  <c r="O71" i="11"/>
  <c r="O74" i="16"/>
  <c r="P71" i="11"/>
  <c r="P74" i="16"/>
  <c r="Q71" i="11"/>
  <c r="Q74" i="16"/>
  <c r="R71" i="11"/>
  <c r="R74" i="16"/>
  <c r="G72" i="11"/>
  <c r="G75" i="16"/>
  <c r="H72" i="11"/>
  <c r="H75" i="16"/>
  <c r="I72" i="11"/>
  <c r="I75" i="16"/>
  <c r="J72" i="11"/>
  <c r="J75" i="16"/>
  <c r="K72" i="11"/>
  <c r="K75" i="16"/>
  <c r="L72" i="11"/>
  <c r="L75" i="16"/>
  <c r="M72" i="11"/>
  <c r="M75" i="16"/>
  <c r="N72" i="11"/>
  <c r="N75" i="16"/>
  <c r="O72" i="11"/>
  <c r="O75" i="16"/>
  <c r="P72" i="11"/>
  <c r="P75" i="16"/>
  <c r="Q72" i="11"/>
  <c r="Q75" i="16"/>
  <c r="R72" i="11"/>
  <c r="R75" i="16"/>
  <c r="G73" i="11"/>
  <c r="G76" i="16"/>
  <c r="H73" i="11"/>
  <c r="H76" i="16"/>
  <c r="I73" i="11"/>
  <c r="I76" i="16"/>
  <c r="J73" i="11"/>
  <c r="J76" i="16"/>
  <c r="K73" i="11"/>
  <c r="K76" i="16"/>
  <c r="L73" i="11"/>
  <c r="L76" i="16"/>
  <c r="M73" i="11"/>
  <c r="M76" i="16"/>
  <c r="N73" i="11"/>
  <c r="N76" i="16"/>
  <c r="O73" i="11"/>
  <c r="O76" i="16"/>
  <c r="P73" i="11"/>
  <c r="P76" i="16"/>
  <c r="Q73" i="11"/>
  <c r="Q76" i="16"/>
  <c r="R73" i="11"/>
  <c r="R76" i="16"/>
  <c r="G74" i="11"/>
  <c r="G77" i="16"/>
  <c r="H74" i="11"/>
  <c r="H77" i="16"/>
  <c r="I74" i="11"/>
  <c r="I77" i="16"/>
  <c r="J74" i="11"/>
  <c r="J77" i="16"/>
  <c r="K74" i="11"/>
  <c r="K77" i="16"/>
  <c r="L74" i="11"/>
  <c r="L77" i="16"/>
  <c r="M74" i="11"/>
  <c r="M77" i="16"/>
  <c r="N74" i="11"/>
  <c r="N77" i="16"/>
  <c r="O74" i="11"/>
  <c r="O77" i="16"/>
  <c r="P74" i="11"/>
  <c r="P77" i="16"/>
  <c r="Q74" i="11"/>
  <c r="Q77" i="16"/>
  <c r="R74" i="11"/>
  <c r="R77" i="16"/>
  <c r="G75" i="11"/>
  <c r="G78" i="16"/>
  <c r="H75" i="11"/>
  <c r="H78" i="16"/>
  <c r="I75" i="11"/>
  <c r="I78" i="16"/>
  <c r="J75" i="11"/>
  <c r="J78" i="16"/>
  <c r="K75" i="11"/>
  <c r="K78" i="16"/>
  <c r="L75" i="11"/>
  <c r="L78" i="16"/>
  <c r="M75" i="11"/>
  <c r="M78" i="16"/>
  <c r="N75" i="11"/>
  <c r="N78" i="16"/>
  <c r="O75" i="11"/>
  <c r="O78" i="16"/>
  <c r="P75" i="11"/>
  <c r="P78" i="16"/>
  <c r="Q75" i="11"/>
  <c r="Q78" i="16"/>
  <c r="R75" i="11"/>
  <c r="R78" i="16"/>
  <c r="G76" i="11"/>
  <c r="G79" i="16"/>
  <c r="H76" i="11"/>
  <c r="H79" i="16"/>
  <c r="I76" i="11"/>
  <c r="I79" i="16"/>
  <c r="J76" i="11"/>
  <c r="J79" i="16"/>
  <c r="K76" i="11"/>
  <c r="K79" i="16"/>
  <c r="L76" i="11"/>
  <c r="L79" i="16"/>
  <c r="M76" i="11"/>
  <c r="M79" i="16"/>
  <c r="N76" i="11"/>
  <c r="N79" i="16"/>
  <c r="O76" i="11"/>
  <c r="O79" i="16"/>
  <c r="P76" i="11"/>
  <c r="P79" i="16"/>
  <c r="Q76" i="11"/>
  <c r="Q79" i="16"/>
  <c r="R76" i="11"/>
  <c r="R79" i="16"/>
  <c r="G77" i="11"/>
  <c r="G80" i="16"/>
  <c r="H77" i="11"/>
  <c r="H80" i="16"/>
  <c r="I77" i="11"/>
  <c r="I80" i="16"/>
  <c r="J77" i="11"/>
  <c r="J80" i="16"/>
  <c r="K77" i="11"/>
  <c r="K80" i="16"/>
  <c r="L77" i="11"/>
  <c r="L80" i="16"/>
  <c r="M77" i="11"/>
  <c r="M80" i="16"/>
  <c r="N77" i="11"/>
  <c r="N80" i="16"/>
  <c r="O77" i="11"/>
  <c r="O80" i="16"/>
  <c r="P77" i="11"/>
  <c r="P80" i="16"/>
  <c r="Q77" i="11"/>
  <c r="Q80" i="16"/>
  <c r="R77" i="11"/>
  <c r="R80" i="16"/>
  <c r="G78" i="11"/>
  <c r="G81" i="16"/>
  <c r="H78" i="11"/>
  <c r="H81" i="16"/>
  <c r="I78" i="11"/>
  <c r="I81" i="16"/>
  <c r="J78" i="11"/>
  <c r="J81" i="16"/>
  <c r="K78" i="11"/>
  <c r="K81" i="16"/>
  <c r="L78" i="11"/>
  <c r="L81" i="16"/>
  <c r="M78" i="11"/>
  <c r="M81" i="16"/>
  <c r="N78" i="11"/>
  <c r="N81" i="16"/>
  <c r="O78" i="11"/>
  <c r="O81" i="16"/>
  <c r="P78" i="11"/>
  <c r="P81" i="16"/>
  <c r="Q78" i="11"/>
  <c r="Q81" i="16"/>
  <c r="R78" i="11"/>
  <c r="R81" i="16"/>
  <c r="G79" i="11"/>
  <c r="G82" i="16"/>
  <c r="H79" i="11"/>
  <c r="H82" i="16"/>
  <c r="I79" i="11"/>
  <c r="I82" i="16"/>
  <c r="J79" i="11"/>
  <c r="J82" i="16"/>
  <c r="K79" i="11"/>
  <c r="K82" i="16"/>
  <c r="L79" i="11"/>
  <c r="L82" i="16"/>
  <c r="M79" i="11"/>
  <c r="M82" i="16"/>
  <c r="N79" i="11"/>
  <c r="N82" i="16"/>
  <c r="O79" i="11"/>
  <c r="O82" i="16"/>
  <c r="P79" i="11"/>
  <c r="P82" i="16"/>
  <c r="Q79" i="11"/>
  <c r="Q82" i="16"/>
  <c r="R79" i="11"/>
  <c r="R82" i="16"/>
  <c r="G80" i="11"/>
  <c r="G83" i="16"/>
  <c r="H80" i="11"/>
  <c r="H83" i="16"/>
  <c r="I80" i="11"/>
  <c r="I83" i="16"/>
  <c r="J80" i="11"/>
  <c r="J83" i="16"/>
  <c r="K80" i="11"/>
  <c r="K83" i="16"/>
  <c r="L80" i="11"/>
  <c r="L83" i="16"/>
  <c r="M80" i="11"/>
  <c r="M83" i="16"/>
  <c r="N80" i="11"/>
  <c r="N83" i="16"/>
  <c r="O80" i="11"/>
  <c r="O83" i="16"/>
  <c r="P80" i="11"/>
  <c r="P83" i="16"/>
  <c r="Q80" i="11"/>
  <c r="Q83" i="16"/>
  <c r="R80" i="11"/>
  <c r="R83" i="16"/>
  <c r="G81" i="11"/>
  <c r="G84" i="16"/>
  <c r="H81" i="11"/>
  <c r="H84" i="16"/>
  <c r="I81" i="11"/>
  <c r="I84" i="16"/>
  <c r="J81" i="11"/>
  <c r="J84" i="16"/>
  <c r="K81" i="11"/>
  <c r="K84" i="16"/>
  <c r="L81" i="11"/>
  <c r="L84" i="16"/>
  <c r="M81" i="11"/>
  <c r="M84" i="16"/>
  <c r="N81" i="11"/>
  <c r="N84" i="16"/>
  <c r="O81" i="11"/>
  <c r="O84" i="16"/>
  <c r="P81" i="11"/>
  <c r="P84" i="16"/>
  <c r="Q81" i="11"/>
  <c r="Q84" i="16"/>
  <c r="R81" i="11"/>
  <c r="R84" i="16"/>
  <c r="G82" i="11"/>
  <c r="G85" i="16"/>
  <c r="H82" i="11"/>
  <c r="H85" i="16"/>
  <c r="I82" i="11"/>
  <c r="I85" i="16"/>
  <c r="J82" i="11"/>
  <c r="J85" i="16"/>
  <c r="K82" i="11"/>
  <c r="K85" i="16"/>
  <c r="L82" i="11"/>
  <c r="L85" i="16"/>
  <c r="M82" i="11"/>
  <c r="M85" i="16"/>
  <c r="N82" i="11"/>
  <c r="N85" i="16"/>
  <c r="O82" i="11"/>
  <c r="O85" i="16"/>
  <c r="P82" i="11"/>
  <c r="P85" i="16"/>
  <c r="Q82" i="11"/>
  <c r="Q85" i="16"/>
  <c r="R82" i="11"/>
  <c r="R85" i="16"/>
  <c r="G83" i="11"/>
  <c r="G86" i="16"/>
  <c r="H83" i="11"/>
  <c r="H86" i="16"/>
  <c r="I83" i="11"/>
  <c r="I86" i="16"/>
  <c r="J83" i="11"/>
  <c r="J86" i="16"/>
  <c r="K83" i="11"/>
  <c r="K86" i="16"/>
  <c r="L83" i="11"/>
  <c r="L86" i="16"/>
  <c r="M83" i="11"/>
  <c r="M86" i="16"/>
  <c r="N83" i="11"/>
  <c r="N86" i="16"/>
  <c r="O83" i="11"/>
  <c r="O86" i="16"/>
  <c r="P83" i="11"/>
  <c r="P86" i="16"/>
  <c r="Q83" i="11"/>
  <c r="Q86" i="16"/>
  <c r="R83" i="11"/>
  <c r="R86" i="16"/>
  <c r="G84" i="11"/>
  <c r="G87" i="16"/>
  <c r="H84" i="11"/>
  <c r="H87" i="16"/>
  <c r="I84" i="11"/>
  <c r="I87" i="16"/>
  <c r="J84" i="11"/>
  <c r="J87" i="16"/>
  <c r="K84" i="11"/>
  <c r="K87" i="16"/>
  <c r="L84" i="11"/>
  <c r="L87" i="16"/>
  <c r="M84" i="11"/>
  <c r="M87" i="16"/>
  <c r="N84" i="11"/>
  <c r="N87" i="16"/>
  <c r="O84" i="11"/>
  <c r="O87" i="16"/>
  <c r="P84" i="11"/>
  <c r="P87" i="16"/>
  <c r="Q84" i="11"/>
  <c r="Q87" i="16"/>
  <c r="R84" i="11"/>
  <c r="R87" i="16"/>
  <c r="G85" i="11"/>
  <c r="G88" i="16"/>
  <c r="H85" i="11"/>
  <c r="H88" i="16"/>
  <c r="I85" i="11"/>
  <c r="I88" i="16"/>
  <c r="J85" i="11"/>
  <c r="J88" i="16"/>
  <c r="K85" i="11"/>
  <c r="K88" i="16"/>
  <c r="L85" i="11"/>
  <c r="L88" i="16"/>
  <c r="M85" i="11"/>
  <c r="M88" i="16"/>
  <c r="N85" i="11"/>
  <c r="N88" i="16"/>
  <c r="O85" i="11"/>
  <c r="O88" i="16"/>
  <c r="P85" i="11"/>
  <c r="P88" i="16"/>
  <c r="Q85" i="11"/>
  <c r="Q88" i="16"/>
  <c r="R85" i="11"/>
  <c r="R88" i="16"/>
  <c r="G86" i="11"/>
  <c r="G89" i="16"/>
  <c r="H86" i="11"/>
  <c r="H89" i="16"/>
  <c r="I86" i="11"/>
  <c r="I89" i="16"/>
  <c r="J86" i="11"/>
  <c r="J89" i="16"/>
  <c r="K86" i="11"/>
  <c r="K89" i="16"/>
  <c r="L86" i="11"/>
  <c r="L89" i="16"/>
  <c r="M86" i="11"/>
  <c r="M89" i="16"/>
  <c r="N86" i="11"/>
  <c r="N89" i="16"/>
  <c r="O86" i="11"/>
  <c r="O89" i="16"/>
  <c r="P86" i="11"/>
  <c r="P89" i="16"/>
  <c r="Q86" i="11"/>
  <c r="Q89" i="16"/>
  <c r="R86" i="11"/>
  <c r="R89" i="16"/>
  <c r="G87" i="11"/>
  <c r="G90" i="16"/>
  <c r="H87" i="11"/>
  <c r="H90" i="16"/>
  <c r="I87" i="11"/>
  <c r="I90" i="16"/>
  <c r="J87" i="11"/>
  <c r="J90" i="16"/>
  <c r="K87" i="11"/>
  <c r="K90" i="16"/>
  <c r="L87" i="11"/>
  <c r="L90" i="16"/>
  <c r="M87" i="11"/>
  <c r="M90" i="16"/>
  <c r="N87" i="11"/>
  <c r="N90" i="16"/>
  <c r="O87" i="11"/>
  <c r="O90" i="16"/>
  <c r="P87" i="11"/>
  <c r="P90" i="16"/>
  <c r="Q87" i="11"/>
  <c r="Q90" i="16"/>
  <c r="R87" i="11"/>
  <c r="R90" i="16"/>
  <c r="G88" i="11"/>
  <c r="G91" i="16"/>
  <c r="H88" i="11"/>
  <c r="H91" i="16"/>
  <c r="I88" i="11"/>
  <c r="I91" i="16"/>
  <c r="J88" i="11"/>
  <c r="J91" i="16"/>
  <c r="K88" i="11"/>
  <c r="K91" i="16"/>
  <c r="L88" i="11"/>
  <c r="L91" i="16"/>
  <c r="M88" i="11"/>
  <c r="M91" i="16"/>
  <c r="N88" i="11"/>
  <c r="N91" i="16"/>
  <c r="O88" i="11"/>
  <c r="O91" i="16"/>
  <c r="P88" i="11"/>
  <c r="P91" i="16"/>
  <c r="Q88" i="11"/>
  <c r="Q91" i="16"/>
  <c r="R88" i="11"/>
  <c r="R91" i="16"/>
  <c r="G89" i="11"/>
  <c r="G92" i="16"/>
  <c r="H89" i="11"/>
  <c r="H92" i="16"/>
  <c r="I89" i="11"/>
  <c r="I92" i="16"/>
  <c r="J89" i="11"/>
  <c r="J92" i="16"/>
  <c r="K89" i="11"/>
  <c r="K92" i="16"/>
  <c r="L89" i="11"/>
  <c r="L92" i="16"/>
  <c r="M89" i="11"/>
  <c r="M92" i="16"/>
  <c r="N89" i="11"/>
  <c r="N92" i="16"/>
  <c r="O89" i="11"/>
  <c r="O92" i="16"/>
  <c r="P89" i="11"/>
  <c r="P92" i="16"/>
  <c r="Q89" i="11"/>
  <c r="Q92" i="16"/>
  <c r="R89" i="11"/>
  <c r="R92" i="16"/>
  <c r="G90" i="11"/>
  <c r="G93" i="16"/>
  <c r="H90" i="11"/>
  <c r="H93" i="16"/>
  <c r="I90" i="11"/>
  <c r="I93" i="16"/>
  <c r="J90" i="11"/>
  <c r="J93" i="16"/>
  <c r="K90" i="11"/>
  <c r="K93" i="16"/>
  <c r="L90" i="11"/>
  <c r="L93" i="16"/>
  <c r="M90" i="11"/>
  <c r="M93" i="16"/>
  <c r="N90" i="11"/>
  <c r="N93" i="16"/>
  <c r="O90" i="11"/>
  <c r="O93" i="16"/>
  <c r="P90" i="11"/>
  <c r="P93" i="16"/>
  <c r="Q90" i="11"/>
  <c r="Q93" i="16"/>
  <c r="R90" i="11"/>
  <c r="R93" i="16"/>
  <c r="G91" i="11"/>
  <c r="G94" i="16"/>
  <c r="H91" i="11"/>
  <c r="H94" i="16"/>
  <c r="I91" i="11"/>
  <c r="I94" i="16"/>
  <c r="J91" i="11"/>
  <c r="J94" i="16"/>
  <c r="K91" i="11"/>
  <c r="K94" i="16"/>
  <c r="L91" i="11"/>
  <c r="L94" i="16"/>
  <c r="M91" i="11"/>
  <c r="M94" i="16"/>
  <c r="N91" i="11"/>
  <c r="N94" i="16"/>
  <c r="O91" i="11"/>
  <c r="O94" i="16"/>
  <c r="P91" i="11"/>
  <c r="P94" i="16"/>
  <c r="Q91" i="11"/>
  <c r="Q94" i="16"/>
  <c r="R91" i="11"/>
  <c r="R94" i="16"/>
  <c r="G92" i="11"/>
  <c r="G95" i="16"/>
  <c r="H92" i="11"/>
  <c r="H95" i="16"/>
  <c r="I92" i="11"/>
  <c r="I95" i="16"/>
  <c r="J92" i="11"/>
  <c r="J95" i="16"/>
  <c r="K92" i="11"/>
  <c r="K95" i="16"/>
  <c r="L92" i="11"/>
  <c r="L95" i="16"/>
  <c r="M92" i="11"/>
  <c r="M95" i="16"/>
  <c r="N92" i="11"/>
  <c r="N95" i="16"/>
  <c r="O92" i="11"/>
  <c r="O95" i="16"/>
  <c r="P92" i="11"/>
  <c r="P95" i="16"/>
  <c r="Q92" i="11"/>
  <c r="Q95" i="16"/>
  <c r="R92" i="11"/>
  <c r="R95" i="16"/>
  <c r="G93" i="11"/>
  <c r="G96" i="16"/>
  <c r="H93" i="11"/>
  <c r="H96" i="16"/>
  <c r="I93" i="11"/>
  <c r="I96" i="16"/>
  <c r="J93" i="11"/>
  <c r="J96" i="16"/>
  <c r="K93" i="11"/>
  <c r="K96" i="16"/>
  <c r="L93" i="11"/>
  <c r="L96" i="16"/>
  <c r="M93" i="11"/>
  <c r="M96" i="16"/>
  <c r="N93" i="11"/>
  <c r="N96" i="16"/>
  <c r="O93" i="11"/>
  <c r="O96" i="16"/>
  <c r="P93" i="11"/>
  <c r="P96" i="16"/>
  <c r="Q93" i="11"/>
  <c r="Q96" i="16"/>
  <c r="R93" i="11"/>
  <c r="R96" i="16"/>
  <c r="G94" i="11"/>
  <c r="G97" i="16"/>
  <c r="H94" i="11"/>
  <c r="H97" i="16"/>
  <c r="I94" i="11"/>
  <c r="I97" i="16"/>
  <c r="J94" i="11"/>
  <c r="J97" i="16"/>
  <c r="K94" i="11"/>
  <c r="K97" i="16"/>
  <c r="L94" i="11"/>
  <c r="L97" i="16"/>
  <c r="M94" i="11"/>
  <c r="M97" i="16"/>
  <c r="N94" i="11"/>
  <c r="N97" i="16"/>
  <c r="O94" i="11"/>
  <c r="O97" i="16"/>
  <c r="P94" i="11"/>
  <c r="P97" i="16"/>
  <c r="Q94" i="11"/>
  <c r="Q97" i="16"/>
  <c r="R94" i="11"/>
  <c r="R97" i="16"/>
  <c r="G95" i="11"/>
  <c r="G98" i="16"/>
  <c r="H95" i="11"/>
  <c r="H98" i="16"/>
  <c r="I95" i="11"/>
  <c r="I98" i="16"/>
  <c r="J95" i="11"/>
  <c r="J98" i="16"/>
  <c r="K95" i="11"/>
  <c r="K98" i="16"/>
  <c r="L95" i="11"/>
  <c r="L98" i="16"/>
  <c r="M95" i="11"/>
  <c r="M98" i="16"/>
  <c r="N95" i="11"/>
  <c r="N98" i="16"/>
  <c r="O95" i="11"/>
  <c r="O98" i="16"/>
  <c r="P95" i="11"/>
  <c r="P98" i="16"/>
  <c r="Q95" i="11"/>
  <c r="Q98" i="16"/>
  <c r="R95" i="11"/>
  <c r="R98" i="16"/>
  <c r="G96" i="11"/>
  <c r="G99" i="16"/>
  <c r="H96" i="11"/>
  <c r="H99" i="16"/>
  <c r="I96" i="11"/>
  <c r="I99" i="16"/>
  <c r="J96" i="11"/>
  <c r="J99" i="16"/>
  <c r="K96" i="11"/>
  <c r="K99" i="16"/>
  <c r="L96" i="11"/>
  <c r="L99" i="16"/>
  <c r="M96" i="11"/>
  <c r="M99" i="16"/>
  <c r="N96" i="11"/>
  <c r="N99" i="16"/>
  <c r="O96" i="11"/>
  <c r="O99" i="16"/>
  <c r="P96" i="11"/>
  <c r="P99" i="16"/>
  <c r="Q96" i="11"/>
  <c r="Q99" i="16"/>
  <c r="R96" i="11"/>
  <c r="R99" i="16"/>
  <c r="G97" i="11"/>
  <c r="G100" i="16"/>
  <c r="H97" i="11"/>
  <c r="H100" i="16"/>
  <c r="I97" i="11"/>
  <c r="I100" i="16"/>
  <c r="J97" i="11"/>
  <c r="J100" i="16"/>
  <c r="K97" i="11"/>
  <c r="K100" i="16"/>
  <c r="L97" i="11"/>
  <c r="L100" i="16"/>
  <c r="M97" i="11"/>
  <c r="M100" i="16"/>
  <c r="N97" i="11"/>
  <c r="N100" i="16"/>
  <c r="O97" i="11"/>
  <c r="O100" i="16"/>
  <c r="P97" i="11"/>
  <c r="P100" i="16"/>
  <c r="Q97" i="11"/>
  <c r="Q100" i="16"/>
  <c r="R97" i="11"/>
  <c r="R100" i="16"/>
  <c r="G98" i="11"/>
  <c r="G101" i="16"/>
  <c r="H98" i="11"/>
  <c r="H101" i="16"/>
  <c r="I98" i="11"/>
  <c r="I101" i="16"/>
  <c r="J98" i="11"/>
  <c r="J101" i="16"/>
  <c r="K98" i="11"/>
  <c r="K101" i="16"/>
  <c r="L98" i="11"/>
  <c r="L101" i="16"/>
  <c r="M98" i="11"/>
  <c r="M101" i="16"/>
  <c r="N98" i="11"/>
  <c r="N101" i="16"/>
  <c r="O98" i="11"/>
  <c r="O101" i="16"/>
  <c r="P98" i="11"/>
  <c r="P101" i="16"/>
  <c r="Q98" i="11"/>
  <c r="Q101" i="16"/>
  <c r="R98" i="11"/>
  <c r="R101" i="16"/>
  <c r="G99" i="11"/>
  <c r="G102" i="16"/>
  <c r="H99" i="11"/>
  <c r="H102" i="16"/>
  <c r="I99" i="11"/>
  <c r="I102" i="16"/>
  <c r="J99" i="11"/>
  <c r="J102" i="16"/>
  <c r="K99" i="11"/>
  <c r="K102" i="16"/>
  <c r="L99" i="11"/>
  <c r="L102" i="16"/>
  <c r="M99" i="11"/>
  <c r="M102" i="16"/>
  <c r="N99" i="11"/>
  <c r="N102" i="16"/>
  <c r="O99" i="11"/>
  <c r="O102" i="16"/>
  <c r="P99" i="11"/>
  <c r="P102" i="16"/>
  <c r="Q99" i="11"/>
  <c r="Q102" i="16"/>
  <c r="R99" i="11"/>
  <c r="R102" i="16"/>
  <c r="G100" i="11"/>
  <c r="G103" i="16"/>
  <c r="H100" i="11"/>
  <c r="H103" i="16"/>
  <c r="I100" i="11"/>
  <c r="I103" i="16"/>
  <c r="J100" i="11"/>
  <c r="J103" i="16"/>
  <c r="K100" i="11"/>
  <c r="K103" i="16"/>
  <c r="L100" i="11"/>
  <c r="L103" i="16"/>
  <c r="M100" i="11"/>
  <c r="M103" i="16"/>
  <c r="N100" i="11"/>
  <c r="N103" i="16"/>
  <c r="O100" i="11"/>
  <c r="O103" i="16"/>
  <c r="P100" i="11"/>
  <c r="P103" i="16"/>
  <c r="Q100" i="11"/>
  <c r="Q103" i="16"/>
  <c r="R100" i="11"/>
  <c r="R103" i="16"/>
  <c r="G101" i="11"/>
  <c r="G104" i="16"/>
  <c r="H101" i="11"/>
  <c r="H104" i="16"/>
  <c r="I101" i="11"/>
  <c r="I104" i="16"/>
  <c r="J101" i="11"/>
  <c r="J104" i="16"/>
  <c r="K101" i="11"/>
  <c r="K104" i="16"/>
  <c r="L101" i="11"/>
  <c r="L104" i="16"/>
  <c r="M101" i="11"/>
  <c r="M104" i="16"/>
  <c r="N101" i="11"/>
  <c r="N104" i="16"/>
  <c r="O101" i="11"/>
  <c r="O104" i="16"/>
  <c r="P101" i="11"/>
  <c r="P104" i="16"/>
  <c r="Q101" i="11"/>
  <c r="Q104" i="16"/>
  <c r="R101" i="11"/>
  <c r="R104" i="16"/>
  <c r="G102" i="11"/>
  <c r="G105" i="16"/>
  <c r="H102" i="11"/>
  <c r="H105" i="16"/>
  <c r="I102" i="11"/>
  <c r="I105" i="16"/>
  <c r="J102" i="11"/>
  <c r="J105" i="16"/>
  <c r="K102" i="11"/>
  <c r="K105" i="16"/>
  <c r="L102" i="11"/>
  <c r="L105" i="16"/>
  <c r="M102" i="11"/>
  <c r="M105" i="16"/>
  <c r="N102" i="11"/>
  <c r="N105" i="16"/>
  <c r="O102" i="11"/>
  <c r="O105" i="16"/>
  <c r="P102" i="11"/>
  <c r="P105" i="16"/>
  <c r="Q102" i="11"/>
  <c r="Q105" i="16"/>
  <c r="R102" i="11"/>
  <c r="R105" i="16"/>
  <c r="G103" i="11"/>
  <c r="G106" i="16"/>
  <c r="H103" i="11"/>
  <c r="H106" i="16"/>
  <c r="I103" i="11"/>
  <c r="I106" i="16"/>
  <c r="J103" i="11"/>
  <c r="J106" i="16"/>
  <c r="K103" i="11"/>
  <c r="K106" i="16"/>
  <c r="L103" i="11"/>
  <c r="L106" i="16"/>
  <c r="M103" i="11"/>
  <c r="M106" i="16"/>
  <c r="N103" i="11"/>
  <c r="N106" i="16"/>
  <c r="O103" i="11"/>
  <c r="O106" i="16"/>
  <c r="P103" i="11"/>
  <c r="P106" i="16"/>
  <c r="Q103" i="11"/>
  <c r="Q106" i="16"/>
  <c r="R103" i="11"/>
  <c r="R106" i="16"/>
  <c r="G104" i="11"/>
  <c r="G107" i="16"/>
  <c r="H104" i="11"/>
  <c r="H107" i="16"/>
  <c r="I104" i="11"/>
  <c r="I107" i="16"/>
  <c r="J104" i="11"/>
  <c r="J107" i="16"/>
  <c r="K104" i="11"/>
  <c r="K107" i="16"/>
  <c r="L104" i="11"/>
  <c r="L107" i="16"/>
  <c r="M104" i="11"/>
  <c r="M107" i="16"/>
  <c r="N104" i="11"/>
  <c r="N107" i="16"/>
  <c r="O104" i="11"/>
  <c r="O107" i="16"/>
  <c r="P104" i="11"/>
  <c r="P107" i="16"/>
  <c r="Q104" i="11"/>
  <c r="Q107" i="16"/>
  <c r="R104" i="11"/>
  <c r="R107" i="16"/>
  <c r="G105" i="11"/>
  <c r="G108" i="16"/>
  <c r="H105" i="11"/>
  <c r="H108" i="16"/>
  <c r="I105" i="11"/>
  <c r="I108" i="16"/>
  <c r="J105" i="11"/>
  <c r="J108" i="16"/>
  <c r="K105" i="11"/>
  <c r="K108" i="16"/>
  <c r="L105" i="11"/>
  <c r="L108" i="16"/>
  <c r="M105" i="11"/>
  <c r="M108" i="16"/>
  <c r="N105" i="11"/>
  <c r="N108" i="16"/>
  <c r="O105" i="11"/>
  <c r="O108" i="16"/>
  <c r="P105" i="11"/>
  <c r="P108" i="16"/>
  <c r="Q105" i="11"/>
  <c r="Q108" i="16"/>
  <c r="R105" i="11"/>
  <c r="R108" i="16"/>
  <c r="G106" i="11"/>
  <c r="G109" i="16"/>
  <c r="H106" i="11"/>
  <c r="H109" i="16"/>
  <c r="I106" i="11"/>
  <c r="I109" i="16"/>
  <c r="J106" i="11"/>
  <c r="J109" i="16"/>
  <c r="K106" i="11"/>
  <c r="K109" i="16"/>
  <c r="L106" i="11"/>
  <c r="L109" i="16"/>
  <c r="M106" i="11"/>
  <c r="M109" i="16"/>
  <c r="N106" i="11"/>
  <c r="N109" i="16"/>
  <c r="O106" i="11"/>
  <c r="O109" i="16"/>
  <c r="P106" i="11"/>
  <c r="P109" i="16"/>
  <c r="Q106" i="11"/>
  <c r="Q109" i="16"/>
  <c r="R106" i="11"/>
  <c r="R109" i="16"/>
  <c r="G107" i="11"/>
  <c r="G110" i="16"/>
  <c r="H107" i="11"/>
  <c r="H110" i="16"/>
  <c r="I107" i="11"/>
  <c r="I110" i="16"/>
  <c r="J107" i="11"/>
  <c r="J110" i="16"/>
  <c r="K107" i="11"/>
  <c r="K110" i="16"/>
  <c r="L107" i="11"/>
  <c r="L110" i="16"/>
  <c r="M107" i="11"/>
  <c r="M110" i="16"/>
  <c r="N107" i="11"/>
  <c r="N110" i="16"/>
  <c r="O107" i="11"/>
  <c r="O110" i="16"/>
  <c r="P107" i="11"/>
  <c r="P110" i="16"/>
  <c r="Q107" i="11"/>
  <c r="Q110" i="16"/>
  <c r="R107" i="11"/>
  <c r="R110" i="16"/>
  <c r="G108" i="11"/>
  <c r="G111" i="16"/>
  <c r="H108" i="11"/>
  <c r="H111" i="16"/>
  <c r="I108" i="11"/>
  <c r="I111" i="16"/>
  <c r="J108" i="11"/>
  <c r="J111" i="16"/>
  <c r="K108" i="11"/>
  <c r="K111" i="16"/>
  <c r="L108" i="11"/>
  <c r="L111" i="16"/>
  <c r="M108" i="11"/>
  <c r="M111" i="16"/>
  <c r="N108" i="11"/>
  <c r="N111" i="16"/>
  <c r="O108" i="11"/>
  <c r="O111" i="16"/>
  <c r="P108" i="11"/>
  <c r="P111" i="16"/>
  <c r="Q108" i="11"/>
  <c r="Q111" i="16"/>
  <c r="R108" i="11"/>
  <c r="R111" i="16"/>
  <c r="G109" i="11"/>
  <c r="G112" i="16"/>
  <c r="H109" i="11"/>
  <c r="H112" i="16"/>
  <c r="I109" i="11"/>
  <c r="I112" i="16"/>
  <c r="J109" i="11"/>
  <c r="J112" i="16"/>
  <c r="K109" i="11"/>
  <c r="K112" i="16"/>
  <c r="L109" i="11"/>
  <c r="L112" i="16"/>
  <c r="M109" i="11"/>
  <c r="M112" i="16"/>
  <c r="N109" i="11"/>
  <c r="N112" i="16"/>
  <c r="O109" i="11"/>
  <c r="O112" i="16"/>
  <c r="P109" i="11"/>
  <c r="P112" i="16"/>
  <c r="Q109" i="11"/>
  <c r="Q112" i="16"/>
  <c r="R109" i="11"/>
  <c r="R112" i="16"/>
  <c r="G110" i="11"/>
  <c r="G113" i="16"/>
  <c r="H110" i="11"/>
  <c r="H113" i="16"/>
  <c r="I110" i="11"/>
  <c r="I113" i="16"/>
  <c r="J110" i="11"/>
  <c r="J113" i="16"/>
  <c r="K110" i="11"/>
  <c r="K113" i="16"/>
  <c r="L110" i="11"/>
  <c r="L113" i="16"/>
  <c r="M110" i="11"/>
  <c r="M113" i="16"/>
  <c r="N110" i="11"/>
  <c r="N113" i="16"/>
  <c r="O110" i="11"/>
  <c r="O113" i="16"/>
  <c r="P110" i="11"/>
  <c r="P113" i="16"/>
  <c r="Q110" i="11"/>
  <c r="Q113" i="16"/>
  <c r="R110" i="11"/>
  <c r="R113" i="16"/>
  <c r="G111" i="11"/>
  <c r="G114" i="16"/>
  <c r="H111" i="11"/>
  <c r="H114" i="16"/>
  <c r="I111" i="11"/>
  <c r="I114" i="16"/>
  <c r="J111" i="11"/>
  <c r="J114" i="16"/>
  <c r="K111" i="11"/>
  <c r="K114" i="16"/>
  <c r="L111" i="11"/>
  <c r="L114" i="16"/>
  <c r="M111" i="11"/>
  <c r="M114" i="16"/>
  <c r="N111" i="11"/>
  <c r="N114" i="16"/>
  <c r="O111" i="11"/>
  <c r="O114" i="16"/>
  <c r="P111" i="11"/>
  <c r="P114" i="16"/>
  <c r="Q111" i="11"/>
  <c r="Q114" i="16"/>
  <c r="R111" i="11"/>
  <c r="R114" i="16"/>
  <c r="G112" i="11"/>
  <c r="G115" i="16"/>
  <c r="H112" i="11"/>
  <c r="H115" i="16"/>
  <c r="I112" i="11"/>
  <c r="I115" i="16"/>
  <c r="J112" i="11"/>
  <c r="J115" i="16"/>
  <c r="K112" i="11"/>
  <c r="K115" i="16"/>
  <c r="L112" i="11"/>
  <c r="L115" i="16"/>
  <c r="M112" i="11"/>
  <c r="M115" i="16"/>
  <c r="N112" i="11"/>
  <c r="N115" i="16"/>
  <c r="O112" i="11"/>
  <c r="O115" i="16"/>
  <c r="P112" i="11"/>
  <c r="P115" i="16"/>
  <c r="Q112" i="11"/>
  <c r="Q115" i="16"/>
  <c r="R112" i="11"/>
  <c r="R115" i="16"/>
  <c r="G113" i="11"/>
  <c r="G116" i="16"/>
  <c r="H113" i="11"/>
  <c r="H116" i="16"/>
  <c r="I113" i="11"/>
  <c r="I116" i="16"/>
  <c r="J113" i="11"/>
  <c r="J116" i="16"/>
  <c r="K113" i="11"/>
  <c r="K116" i="16"/>
  <c r="L113" i="11"/>
  <c r="L116" i="16"/>
  <c r="M113" i="11"/>
  <c r="M116" i="16"/>
  <c r="N113" i="11"/>
  <c r="N116" i="16"/>
  <c r="O113" i="11"/>
  <c r="O116" i="16"/>
  <c r="P113" i="11"/>
  <c r="P116" i="16"/>
  <c r="Q113" i="11"/>
  <c r="Q116" i="16"/>
  <c r="R113" i="11"/>
  <c r="R116" i="16"/>
  <c r="G114" i="11"/>
  <c r="G117" i="16"/>
  <c r="H114" i="11"/>
  <c r="H117" i="16"/>
  <c r="I114" i="11"/>
  <c r="I117" i="16"/>
  <c r="J114" i="11"/>
  <c r="J117" i="16"/>
  <c r="K114" i="11"/>
  <c r="K117" i="16"/>
  <c r="L114" i="11"/>
  <c r="L117" i="16"/>
  <c r="M114" i="11"/>
  <c r="M117" i="16"/>
  <c r="N114" i="11"/>
  <c r="N117" i="16"/>
  <c r="O114" i="11"/>
  <c r="O117" i="16"/>
  <c r="P114" i="11"/>
  <c r="P117" i="16"/>
  <c r="Q114" i="11"/>
  <c r="Q117" i="16"/>
  <c r="R114" i="11"/>
  <c r="R117" i="16"/>
  <c r="G115" i="11"/>
  <c r="G118" i="16"/>
  <c r="H115" i="11"/>
  <c r="H118" i="16"/>
  <c r="I115" i="11"/>
  <c r="I118" i="16"/>
  <c r="J115" i="11"/>
  <c r="J118" i="16"/>
  <c r="K115" i="11"/>
  <c r="K118" i="16"/>
  <c r="L115" i="11"/>
  <c r="L118" i="16"/>
  <c r="M115" i="11"/>
  <c r="M118" i="16"/>
  <c r="N115" i="11"/>
  <c r="N118" i="16"/>
  <c r="O115" i="11"/>
  <c r="O118" i="16"/>
  <c r="P115" i="11"/>
  <c r="P118" i="16"/>
  <c r="Q115" i="11"/>
  <c r="Q118" i="16"/>
  <c r="R115" i="11"/>
  <c r="R118" i="16"/>
  <c r="G116" i="11"/>
  <c r="G119" i="16"/>
  <c r="H116" i="11"/>
  <c r="H119" i="16"/>
  <c r="I116" i="11"/>
  <c r="I119" i="16"/>
  <c r="J116" i="11"/>
  <c r="J119" i="16"/>
  <c r="K116" i="11"/>
  <c r="K119" i="16"/>
  <c r="L116" i="11"/>
  <c r="L119" i="16"/>
  <c r="M116" i="11"/>
  <c r="M119" i="16"/>
  <c r="N116" i="11"/>
  <c r="N119" i="16"/>
  <c r="O116" i="11"/>
  <c r="O119" i="16"/>
  <c r="P116" i="11"/>
  <c r="P119" i="16"/>
  <c r="Q116" i="11"/>
  <c r="Q119" i="16"/>
  <c r="R116" i="11"/>
  <c r="R119" i="16"/>
  <c r="G117" i="11"/>
  <c r="G120" i="16"/>
  <c r="H117" i="11"/>
  <c r="H120" i="16"/>
  <c r="I117" i="11"/>
  <c r="I120" i="16"/>
  <c r="J117" i="11"/>
  <c r="J120" i="16"/>
  <c r="K117" i="11"/>
  <c r="K120" i="16"/>
  <c r="L117" i="11"/>
  <c r="L120" i="16"/>
  <c r="M117" i="11"/>
  <c r="M120" i="16"/>
  <c r="N117" i="11"/>
  <c r="N120" i="16"/>
  <c r="O117" i="11"/>
  <c r="O120" i="16"/>
  <c r="P117" i="11"/>
  <c r="P120" i="16"/>
  <c r="Q117" i="11"/>
  <c r="Q120" i="16"/>
  <c r="R117" i="11"/>
  <c r="R120" i="16"/>
  <c r="G118" i="11"/>
  <c r="G121" i="16"/>
  <c r="H118" i="11"/>
  <c r="H121" i="16"/>
  <c r="I118" i="11"/>
  <c r="I121" i="16"/>
  <c r="J118" i="11"/>
  <c r="J121" i="16"/>
  <c r="K118" i="11"/>
  <c r="K121" i="16"/>
  <c r="L118" i="11"/>
  <c r="L121" i="16"/>
  <c r="M118" i="11"/>
  <c r="M121" i="16"/>
  <c r="N118" i="11"/>
  <c r="N121" i="16"/>
  <c r="O118" i="11"/>
  <c r="O121" i="16"/>
  <c r="P118" i="11"/>
  <c r="P121" i="16"/>
  <c r="Q118" i="11"/>
  <c r="Q121" i="16"/>
  <c r="R118" i="11"/>
  <c r="R121" i="16"/>
  <c r="G119" i="11"/>
  <c r="G122" i="16"/>
  <c r="H119" i="11"/>
  <c r="H122" i="16"/>
  <c r="I119" i="11"/>
  <c r="I122" i="16"/>
  <c r="J119" i="11"/>
  <c r="J122" i="16"/>
  <c r="K119" i="11"/>
  <c r="K122" i="16"/>
  <c r="L119" i="11"/>
  <c r="L122" i="16"/>
  <c r="M119" i="11"/>
  <c r="M122" i="16"/>
  <c r="N119" i="11"/>
  <c r="N122" i="16"/>
  <c r="O119" i="11"/>
  <c r="O122" i="16"/>
  <c r="P119" i="11"/>
  <c r="P122" i="16"/>
  <c r="Q119" i="11"/>
  <c r="Q122" i="16"/>
  <c r="R119" i="11"/>
  <c r="R122" i="16"/>
  <c r="G120" i="11"/>
  <c r="G123" i="16"/>
  <c r="H120" i="11"/>
  <c r="H123" i="16"/>
  <c r="I120" i="11"/>
  <c r="I123" i="16"/>
  <c r="J120" i="11"/>
  <c r="J123" i="16"/>
  <c r="K120" i="11"/>
  <c r="K123" i="16"/>
  <c r="L120" i="11"/>
  <c r="L123" i="16"/>
  <c r="M120" i="11"/>
  <c r="M123" i="16"/>
  <c r="N120" i="11"/>
  <c r="N123" i="16"/>
  <c r="O120" i="11"/>
  <c r="O123" i="16"/>
  <c r="P120" i="11"/>
  <c r="P123" i="16"/>
  <c r="Q120" i="11"/>
  <c r="Q123" i="16"/>
  <c r="R120" i="11"/>
  <c r="R123" i="16"/>
  <c r="G121" i="11"/>
  <c r="G124" i="16"/>
  <c r="H121" i="11"/>
  <c r="H124" i="16"/>
  <c r="I121" i="11"/>
  <c r="I124" i="16"/>
  <c r="J121" i="11"/>
  <c r="J124" i="16"/>
  <c r="K121" i="11"/>
  <c r="K124" i="16"/>
  <c r="L121" i="11"/>
  <c r="L124" i="16"/>
  <c r="M121" i="11"/>
  <c r="M124" i="16"/>
  <c r="N121" i="11"/>
  <c r="N124" i="16"/>
  <c r="O121" i="11"/>
  <c r="O124" i="16"/>
  <c r="P121" i="11"/>
  <c r="P124" i="16"/>
  <c r="Q121" i="11"/>
  <c r="Q124" i="16"/>
  <c r="R121" i="11"/>
  <c r="R124" i="16"/>
  <c r="G122" i="11"/>
  <c r="G125" i="16"/>
  <c r="H122" i="11"/>
  <c r="H125" i="16"/>
  <c r="I122" i="11"/>
  <c r="I125" i="16"/>
  <c r="J122" i="11"/>
  <c r="J125" i="16"/>
  <c r="K122" i="11"/>
  <c r="K125" i="16"/>
  <c r="L122" i="11"/>
  <c r="L125" i="16"/>
  <c r="M122" i="11"/>
  <c r="M125" i="16"/>
  <c r="N122" i="11"/>
  <c r="N125" i="16"/>
  <c r="O122" i="11"/>
  <c r="O125" i="16"/>
  <c r="P122" i="11"/>
  <c r="P125" i="16"/>
  <c r="Q122" i="11"/>
  <c r="Q125" i="16"/>
  <c r="R122" i="11"/>
  <c r="R125" i="16"/>
  <c r="G123" i="11"/>
  <c r="G126" i="16"/>
  <c r="H123" i="11"/>
  <c r="H126" i="16"/>
  <c r="I123" i="11"/>
  <c r="I126" i="16"/>
  <c r="J123" i="11"/>
  <c r="J126" i="16"/>
  <c r="K123" i="11"/>
  <c r="K126" i="16"/>
  <c r="L123" i="11"/>
  <c r="L126" i="16"/>
  <c r="M123" i="11"/>
  <c r="M126" i="16"/>
  <c r="N123" i="11"/>
  <c r="N126" i="16"/>
  <c r="O123" i="11"/>
  <c r="O126" i="16"/>
  <c r="P123" i="11"/>
  <c r="P126" i="16"/>
  <c r="Q123" i="11"/>
  <c r="Q126" i="16"/>
  <c r="R123" i="11"/>
  <c r="R126" i="16"/>
  <c r="G124" i="11"/>
  <c r="G127" i="16"/>
  <c r="H124" i="11"/>
  <c r="H127" i="16"/>
  <c r="I124" i="11"/>
  <c r="I127" i="16"/>
  <c r="J124" i="11"/>
  <c r="J127" i="16"/>
  <c r="K124" i="11"/>
  <c r="K127" i="16"/>
  <c r="L124" i="11"/>
  <c r="L127" i="16"/>
  <c r="M124" i="11"/>
  <c r="M127" i="16"/>
  <c r="N124" i="11"/>
  <c r="N127" i="16"/>
  <c r="O124" i="11"/>
  <c r="O127" i="16"/>
  <c r="P124" i="11"/>
  <c r="P127" i="16"/>
  <c r="Q124" i="11"/>
  <c r="Q127" i="16"/>
  <c r="R124" i="11"/>
  <c r="R127" i="16"/>
  <c r="G125" i="11"/>
  <c r="G128" i="16"/>
  <c r="H125" i="11"/>
  <c r="H128" i="16"/>
  <c r="I125" i="11"/>
  <c r="I128" i="16"/>
  <c r="J125" i="11"/>
  <c r="J128" i="16"/>
  <c r="K125" i="11"/>
  <c r="K128" i="16"/>
  <c r="L125" i="11"/>
  <c r="L128" i="16"/>
  <c r="M125" i="11"/>
  <c r="M128" i="16"/>
  <c r="N125" i="11"/>
  <c r="N128" i="16"/>
  <c r="O125" i="11"/>
  <c r="O128" i="16"/>
  <c r="P125" i="11"/>
  <c r="P128" i="16"/>
  <c r="Q125" i="11"/>
  <c r="Q128" i="16"/>
  <c r="R125" i="11"/>
  <c r="R128" i="16"/>
  <c r="G126" i="11"/>
  <c r="G129" i="16"/>
  <c r="H126" i="11"/>
  <c r="H129" i="16"/>
  <c r="I126" i="11"/>
  <c r="I129" i="16"/>
  <c r="J126" i="11"/>
  <c r="J129" i="16"/>
  <c r="K126" i="11"/>
  <c r="K129" i="16"/>
  <c r="L126" i="11"/>
  <c r="L129" i="16"/>
  <c r="M126" i="11"/>
  <c r="M129" i="16"/>
  <c r="N126" i="11"/>
  <c r="N129" i="16"/>
  <c r="O126" i="11"/>
  <c r="O129" i="16"/>
  <c r="P126" i="11"/>
  <c r="P129" i="16"/>
  <c r="Q126" i="11"/>
  <c r="Q129" i="16"/>
  <c r="R126" i="11"/>
  <c r="R129" i="16"/>
  <c r="G127" i="11"/>
  <c r="G130" i="16"/>
  <c r="H127" i="11"/>
  <c r="H130" i="16"/>
  <c r="I127" i="11"/>
  <c r="I130" i="16"/>
  <c r="J127" i="11"/>
  <c r="J130" i="16"/>
  <c r="K127" i="11"/>
  <c r="K130" i="16"/>
  <c r="L127" i="11"/>
  <c r="L130" i="16"/>
  <c r="M127" i="11"/>
  <c r="M130" i="16"/>
  <c r="N127" i="11"/>
  <c r="N130" i="16"/>
  <c r="O127" i="11"/>
  <c r="O130" i="16"/>
  <c r="P127" i="11"/>
  <c r="P130" i="16"/>
  <c r="Q127" i="11"/>
  <c r="Q130" i="16"/>
  <c r="R127" i="11"/>
  <c r="R130" i="16"/>
  <c r="G128" i="11"/>
  <c r="G131" i="16"/>
  <c r="H128" i="11"/>
  <c r="H131" i="16"/>
  <c r="I128" i="11"/>
  <c r="I131" i="16"/>
  <c r="J128" i="11"/>
  <c r="J131" i="16"/>
  <c r="K128" i="11"/>
  <c r="K131" i="16"/>
  <c r="L128" i="11"/>
  <c r="L131" i="16"/>
  <c r="M128" i="11"/>
  <c r="M131" i="16"/>
  <c r="N128" i="11"/>
  <c r="N131" i="16"/>
  <c r="O128" i="11"/>
  <c r="O131" i="16"/>
  <c r="P128" i="11"/>
  <c r="P131" i="16"/>
  <c r="Q128" i="11"/>
  <c r="Q131" i="16"/>
  <c r="R128" i="11"/>
  <c r="R131" i="16"/>
  <c r="G129" i="11"/>
  <c r="G132" i="16"/>
  <c r="H129" i="11"/>
  <c r="H132" i="16"/>
  <c r="I129" i="11"/>
  <c r="I132" i="16"/>
  <c r="J129" i="11"/>
  <c r="J132" i="16"/>
  <c r="K129" i="11"/>
  <c r="K132" i="16"/>
  <c r="L129" i="11"/>
  <c r="L132" i="16"/>
  <c r="M129" i="11"/>
  <c r="M132" i="16"/>
  <c r="N129" i="11"/>
  <c r="N132" i="16"/>
  <c r="O129" i="11"/>
  <c r="O132" i="16"/>
  <c r="P129" i="11"/>
  <c r="P132" i="16"/>
  <c r="Q129" i="11"/>
  <c r="Q132" i="16"/>
  <c r="R129" i="11"/>
  <c r="R132" i="16"/>
  <c r="G130" i="11"/>
  <c r="G133" i="16"/>
  <c r="H130" i="11"/>
  <c r="H133" i="16"/>
  <c r="I130" i="11"/>
  <c r="I133" i="16"/>
  <c r="J130" i="11"/>
  <c r="J133" i="16"/>
  <c r="K130" i="11"/>
  <c r="K133" i="16"/>
  <c r="L130" i="11"/>
  <c r="L133" i="16"/>
  <c r="M130" i="11"/>
  <c r="M133" i="16"/>
  <c r="N130" i="11"/>
  <c r="N133" i="16"/>
  <c r="O130" i="11"/>
  <c r="O133" i="16"/>
  <c r="P130" i="11"/>
  <c r="P133" i="16"/>
  <c r="Q130" i="11"/>
  <c r="Q133" i="16"/>
  <c r="R130" i="11"/>
  <c r="R133" i="16"/>
  <c r="G131" i="11"/>
  <c r="G134" i="16"/>
  <c r="H131" i="11"/>
  <c r="H134" i="16"/>
  <c r="I131" i="11"/>
  <c r="I134" i="16"/>
  <c r="J131" i="11"/>
  <c r="J134" i="16"/>
  <c r="K131" i="11"/>
  <c r="K134" i="16"/>
  <c r="L131" i="11"/>
  <c r="L134" i="16"/>
  <c r="M131" i="11"/>
  <c r="M134" i="16"/>
  <c r="N131" i="11"/>
  <c r="N134" i="16"/>
  <c r="O131" i="11"/>
  <c r="O134" i="16"/>
  <c r="P131" i="11"/>
  <c r="P134" i="16"/>
  <c r="Q131" i="11"/>
  <c r="Q134" i="16"/>
  <c r="R131" i="11"/>
  <c r="R134" i="16"/>
  <c r="G132" i="11"/>
  <c r="G135" i="16"/>
  <c r="H132" i="11"/>
  <c r="H135" i="16"/>
  <c r="I132" i="11"/>
  <c r="I135" i="16"/>
  <c r="J132" i="11"/>
  <c r="J135" i="16"/>
  <c r="K132" i="11"/>
  <c r="K135" i="16"/>
  <c r="L132" i="11"/>
  <c r="L135" i="16"/>
  <c r="M132" i="11"/>
  <c r="M135" i="16"/>
  <c r="N132" i="11"/>
  <c r="N135" i="16"/>
  <c r="O132" i="11"/>
  <c r="O135" i="16"/>
  <c r="P132" i="11"/>
  <c r="P135" i="16"/>
  <c r="Q132" i="11"/>
  <c r="Q135" i="16"/>
  <c r="R132" i="11"/>
  <c r="R135" i="16"/>
  <c r="G133" i="11"/>
  <c r="G136" i="16"/>
  <c r="H133" i="11"/>
  <c r="H136" i="16"/>
  <c r="I133" i="11"/>
  <c r="I136" i="16"/>
  <c r="J133" i="11"/>
  <c r="J136" i="16"/>
  <c r="K133" i="11"/>
  <c r="K136" i="16"/>
  <c r="L133" i="11"/>
  <c r="L136" i="16"/>
  <c r="M133" i="11"/>
  <c r="M136" i="16"/>
  <c r="N133" i="11"/>
  <c r="N136" i="16"/>
  <c r="O133" i="11"/>
  <c r="O136" i="16"/>
  <c r="P133" i="11"/>
  <c r="P136" i="16"/>
  <c r="Q133" i="11"/>
  <c r="Q136" i="16"/>
  <c r="R133" i="11"/>
  <c r="R136" i="16"/>
  <c r="G134" i="11"/>
  <c r="G137" i="16"/>
  <c r="H134" i="11"/>
  <c r="H137" i="16"/>
  <c r="I134" i="11"/>
  <c r="I137" i="16"/>
  <c r="J134" i="11"/>
  <c r="J137" i="16"/>
  <c r="K134" i="11"/>
  <c r="K137" i="16"/>
  <c r="L134" i="11"/>
  <c r="L137" i="16"/>
  <c r="M134" i="11"/>
  <c r="M137" i="16"/>
  <c r="N134" i="11"/>
  <c r="N137" i="16"/>
  <c r="O134" i="11"/>
  <c r="O137" i="16"/>
  <c r="P134" i="11"/>
  <c r="P137" i="16"/>
  <c r="Q134" i="11"/>
  <c r="Q137" i="16"/>
  <c r="R134" i="11"/>
  <c r="R137" i="16"/>
  <c r="G135" i="11"/>
  <c r="G138" i="16"/>
  <c r="H135" i="11"/>
  <c r="H138" i="16"/>
  <c r="I135" i="11"/>
  <c r="I138" i="16"/>
  <c r="J135" i="11"/>
  <c r="J138" i="16"/>
  <c r="K135" i="11"/>
  <c r="K138" i="16"/>
  <c r="L135" i="11"/>
  <c r="L138" i="16"/>
  <c r="M135" i="11"/>
  <c r="M138" i="16"/>
  <c r="N135" i="11"/>
  <c r="N138" i="16"/>
  <c r="O135" i="11"/>
  <c r="O138" i="16"/>
  <c r="P135" i="11"/>
  <c r="P138" i="16"/>
  <c r="Q135" i="11"/>
  <c r="Q138" i="16"/>
  <c r="R135" i="11"/>
  <c r="R138" i="16"/>
  <c r="G136" i="11"/>
  <c r="G139" i="16"/>
  <c r="H136" i="11"/>
  <c r="H139" i="16"/>
  <c r="I136" i="11"/>
  <c r="I139" i="16"/>
  <c r="J136" i="11"/>
  <c r="J139" i="16"/>
  <c r="K136" i="11"/>
  <c r="K139" i="16"/>
  <c r="L136" i="11"/>
  <c r="L139" i="16"/>
  <c r="M136" i="11"/>
  <c r="M139" i="16"/>
  <c r="N136" i="11"/>
  <c r="N139" i="16"/>
  <c r="O136" i="11"/>
  <c r="O139" i="16"/>
  <c r="P136" i="11"/>
  <c r="P139" i="16"/>
  <c r="Q136" i="11"/>
  <c r="Q139" i="16"/>
  <c r="R136" i="11"/>
  <c r="R139" i="16"/>
  <c r="G137" i="11"/>
  <c r="G140" i="16"/>
  <c r="H137" i="11"/>
  <c r="H140" i="16"/>
  <c r="I137" i="11"/>
  <c r="I140" i="16"/>
  <c r="J137" i="11"/>
  <c r="J140" i="16"/>
  <c r="K137" i="11"/>
  <c r="K140" i="16"/>
  <c r="L137" i="11"/>
  <c r="L140" i="16"/>
  <c r="M137" i="11"/>
  <c r="M140" i="16"/>
  <c r="N137" i="11"/>
  <c r="N140" i="16"/>
  <c r="O137" i="11"/>
  <c r="O140" i="16"/>
  <c r="P137" i="11"/>
  <c r="P140" i="16"/>
  <c r="Q137" i="11"/>
  <c r="Q140" i="16"/>
  <c r="R137" i="11"/>
  <c r="R140" i="16"/>
  <c r="G138" i="11"/>
  <c r="G141" i="16"/>
  <c r="H138" i="11"/>
  <c r="H141" i="16"/>
  <c r="I138" i="11"/>
  <c r="I141" i="16"/>
  <c r="J138" i="11"/>
  <c r="J141" i="16"/>
  <c r="K138" i="11"/>
  <c r="K141" i="16"/>
  <c r="L138" i="11"/>
  <c r="L141" i="16"/>
  <c r="M138" i="11"/>
  <c r="M141" i="16"/>
  <c r="N138" i="11"/>
  <c r="N141" i="16"/>
  <c r="O138" i="11"/>
  <c r="O141" i="16"/>
  <c r="P138" i="11"/>
  <c r="P141" i="16"/>
  <c r="Q138" i="11"/>
  <c r="Q141" i="16"/>
  <c r="R138" i="11"/>
  <c r="R141" i="16"/>
  <c r="G139" i="11"/>
  <c r="G142" i="16"/>
  <c r="H139" i="11"/>
  <c r="H142" i="16"/>
  <c r="I139" i="11"/>
  <c r="I142" i="16"/>
  <c r="J139" i="11"/>
  <c r="J142" i="16"/>
  <c r="K139" i="11"/>
  <c r="K142" i="16"/>
  <c r="L139" i="11"/>
  <c r="L142" i="16"/>
  <c r="M139" i="11"/>
  <c r="M142" i="16"/>
  <c r="N139" i="11"/>
  <c r="N142" i="16"/>
  <c r="O139" i="11"/>
  <c r="O142" i="16"/>
  <c r="P139" i="11"/>
  <c r="P142" i="16"/>
  <c r="Q139" i="11"/>
  <c r="Q142" i="16"/>
  <c r="R139" i="11"/>
  <c r="R142" i="16"/>
  <c r="G140" i="11"/>
  <c r="G143" i="16"/>
  <c r="H140" i="11"/>
  <c r="H143" i="16"/>
  <c r="I140" i="11"/>
  <c r="I143" i="16"/>
  <c r="J140" i="11"/>
  <c r="J143" i="16"/>
  <c r="K140" i="11"/>
  <c r="K143" i="16"/>
  <c r="L140" i="11"/>
  <c r="L143" i="16"/>
  <c r="M140" i="11"/>
  <c r="M143" i="16"/>
  <c r="N140" i="11"/>
  <c r="N143" i="16"/>
  <c r="O140" i="11"/>
  <c r="O143" i="16"/>
  <c r="P140" i="11"/>
  <c r="P143" i="16"/>
  <c r="Q140" i="11"/>
  <c r="Q143" i="16"/>
  <c r="R140" i="11"/>
  <c r="R143" i="16"/>
  <c r="G141" i="11"/>
  <c r="G144" i="16"/>
  <c r="H141" i="11"/>
  <c r="H144" i="16"/>
  <c r="I141" i="11"/>
  <c r="I144" i="16"/>
  <c r="J141" i="11"/>
  <c r="J144" i="16"/>
  <c r="K141" i="11"/>
  <c r="K144" i="16"/>
  <c r="L141" i="11"/>
  <c r="L144" i="16"/>
  <c r="M141" i="11"/>
  <c r="M144" i="16"/>
  <c r="N141" i="11"/>
  <c r="N144" i="16"/>
  <c r="O141" i="11"/>
  <c r="O144" i="16"/>
  <c r="P141" i="11"/>
  <c r="P144" i="16"/>
  <c r="Q141" i="11"/>
  <c r="Q144" i="16"/>
  <c r="R141" i="11"/>
  <c r="R144" i="16"/>
  <c r="G142" i="11"/>
  <c r="G145" i="16"/>
  <c r="H142" i="11"/>
  <c r="H145" i="16"/>
  <c r="I142" i="11"/>
  <c r="I145" i="16"/>
  <c r="J142" i="11"/>
  <c r="J145" i="16"/>
  <c r="K142" i="11"/>
  <c r="K145" i="16"/>
  <c r="L142" i="11"/>
  <c r="L145" i="16"/>
  <c r="M142" i="11"/>
  <c r="M145" i="16"/>
  <c r="N142" i="11"/>
  <c r="N145" i="16"/>
  <c r="O142" i="11"/>
  <c r="O145" i="16"/>
  <c r="P142" i="11"/>
  <c r="P145" i="16"/>
  <c r="Q142" i="11"/>
  <c r="Q145" i="16"/>
  <c r="R142" i="11"/>
  <c r="R145" i="16"/>
  <c r="G143" i="11"/>
  <c r="G146" i="16"/>
  <c r="H143" i="11"/>
  <c r="H146" i="16"/>
  <c r="I143" i="11"/>
  <c r="I146" i="16"/>
  <c r="J143" i="11"/>
  <c r="J146" i="16"/>
  <c r="K143" i="11"/>
  <c r="K146" i="16"/>
  <c r="L143" i="11"/>
  <c r="L146" i="16"/>
  <c r="M143" i="11"/>
  <c r="M146" i="16"/>
  <c r="N143" i="11"/>
  <c r="N146" i="16"/>
  <c r="O143" i="11"/>
  <c r="O146" i="16"/>
  <c r="P143" i="11"/>
  <c r="P146" i="16"/>
  <c r="Q143" i="11"/>
  <c r="Q146" i="16"/>
  <c r="R143" i="11"/>
  <c r="R146" i="16"/>
  <c r="G144" i="11"/>
  <c r="G147" i="16"/>
  <c r="H144" i="11"/>
  <c r="H147" i="16"/>
  <c r="I144" i="11"/>
  <c r="I147" i="16"/>
  <c r="J144" i="11"/>
  <c r="J147" i="16"/>
  <c r="K144" i="11"/>
  <c r="K147" i="16"/>
  <c r="L144" i="11"/>
  <c r="L147" i="16"/>
  <c r="M144" i="11"/>
  <c r="M147" i="16"/>
  <c r="N144" i="11"/>
  <c r="N147" i="16"/>
  <c r="O144" i="11"/>
  <c r="O147" i="16"/>
  <c r="P144" i="11"/>
  <c r="P147" i="16"/>
  <c r="Q144" i="11"/>
  <c r="Q147" i="16"/>
  <c r="R144" i="11"/>
  <c r="R147" i="16"/>
  <c r="G145" i="11"/>
  <c r="G148" i="16"/>
  <c r="H145" i="11"/>
  <c r="H148" i="16"/>
  <c r="I145" i="11"/>
  <c r="I148" i="16"/>
  <c r="J145" i="11"/>
  <c r="J148" i="16"/>
  <c r="K145" i="11"/>
  <c r="K148" i="16"/>
  <c r="L145" i="11"/>
  <c r="L148" i="16"/>
  <c r="M145" i="11"/>
  <c r="M148" i="16"/>
  <c r="N145" i="11"/>
  <c r="N148" i="16"/>
  <c r="O145" i="11"/>
  <c r="O148" i="16"/>
  <c r="P145" i="11"/>
  <c r="P148" i="16"/>
  <c r="Q145" i="11"/>
  <c r="Q148" i="16"/>
  <c r="R145" i="11"/>
  <c r="R148" i="16"/>
  <c r="G146" i="11"/>
  <c r="G149" i="16"/>
  <c r="H146" i="11"/>
  <c r="H149" i="16"/>
  <c r="I146" i="11"/>
  <c r="I149" i="16"/>
  <c r="J146" i="11"/>
  <c r="J149" i="16"/>
  <c r="K146" i="11"/>
  <c r="K149" i="16"/>
  <c r="L146" i="11"/>
  <c r="L149" i="16"/>
  <c r="M146" i="11"/>
  <c r="M149" i="16"/>
  <c r="N146" i="11"/>
  <c r="N149" i="16"/>
  <c r="O146" i="11"/>
  <c r="O149" i="16"/>
  <c r="P146" i="11"/>
  <c r="P149" i="16"/>
  <c r="Q146" i="11"/>
  <c r="Q149" i="16"/>
  <c r="R146" i="11"/>
  <c r="R149" i="16"/>
  <c r="G147" i="11"/>
  <c r="G150" i="16"/>
  <c r="H147" i="11"/>
  <c r="H150" i="16"/>
  <c r="I147" i="11"/>
  <c r="I150" i="16"/>
  <c r="J147" i="11"/>
  <c r="J150" i="16"/>
  <c r="K147" i="11"/>
  <c r="K150" i="16"/>
  <c r="L147" i="11"/>
  <c r="L150" i="16"/>
  <c r="M147" i="11"/>
  <c r="M150" i="16"/>
  <c r="N147" i="11"/>
  <c r="N150" i="16"/>
  <c r="O147" i="11"/>
  <c r="O150" i="16"/>
  <c r="P147" i="11"/>
  <c r="P150" i="16"/>
  <c r="Q147" i="11"/>
  <c r="Q150" i="16"/>
  <c r="R147" i="11"/>
  <c r="R150" i="16"/>
  <c r="G148" i="11"/>
  <c r="G151" i="16"/>
  <c r="H148" i="11"/>
  <c r="H151" i="16"/>
  <c r="I148" i="11"/>
  <c r="I151" i="16"/>
  <c r="J148" i="11"/>
  <c r="J151" i="16"/>
  <c r="K148" i="11"/>
  <c r="K151" i="16"/>
  <c r="L148" i="11"/>
  <c r="L151" i="16"/>
  <c r="M148" i="11"/>
  <c r="M151" i="16"/>
  <c r="N148" i="11"/>
  <c r="N151" i="16"/>
  <c r="O148" i="11"/>
  <c r="O151" i="16"/>
  <c r="P148" i="11"/>
  <c r="P151" i="16"/>
  <c r="Q148" i="11"/>
  <c r="Q151" i="16"/>
  <c r="R148" i="11"/>
  <c r="R151" i="16"/>
  <c r="G149" i="11"/>
  <c r="G152" i="16"/>
  <c r="H149" i="11"/>
  <c r="H152" i="16"/>
  <c r="I149" i="11"/>
  <c r="I152" i="16"/>
  <c r="J149" i="11"/>
  <c r="J152" i="16"/>
  <c r="K149" i="11"/>
  <c r="K152" i="16"/>
  <c r="L149" i="11"/>
  <c r="L152" i="16"/>
  <c r="M149" i="11"/>
  <c r="M152" i="16"/>
  <c r="N149" i="11"/>
  <c r="N152" i="16"/>
  <c r="O149" i="11"/>
  <c r="O152" i="16"/>
  <c r="P149" i="11"/>
  <c r="P152" i="16"/>
  <c r="Q149" i="11"/>
  <c r="Q152" i="16"/>
  <c r="R149" i="11"/>
  <c r="R152" i="16"/>
  <c r="G150" i="11"/>
  <c r="G153" i="16"/>
  <c r="H150" i="11"/>
  <c r="H153" i="16"/>
  <c r="I150" i="11"/>
  <c r="I153" i="16"/>
  <c r="J150" i="11"/>
  <c r="J153" i="16"/>
  <c r="K150" i="11"/>
  <c r="K153" i="16"/>
  <c r="L150" i="11"/>
  <c r="L153" i="16"/>
  <c r="M150" i="11"/>
  <c r="M153" i="16"/>
  <c r="N150" i="11"/>
  <c r="N153" i="16"/>
  <c r="O150" i="11"/>
  <c r="O153" i="16"/>
  <c r="P150" i="11"/>
  <c r="P153" i="16"/>
  <c r="Q150" i="11"/>
  <c r="Q153" i="16"/>
  <c r="R150" i="11"/>
  <c r="R153" i="16"/>
  <c r="G151" i="11"/>
  <c r="G154" i="16"/>
  <c r="H151" i="11"/>
  <c r="H154" i="16"/>
  <c r="I151" i="11"/>
  <c r="I154" i="16"/>
  <c r="J151" i="11"/>
  <c r="J154" i="16"/>
  <c r="K151" i="11"/>
  <c r="K154" i="16"/>
  <c r="L151" i="11"/>
  <c r="L154" i="16"/>
  <c r="M151" i="11"/>
  <c r="M154" i="16"/>
  <c r="N151" i="11"/>
  <c r="N154" i="16"/>
  <c r="O151" i="11"/>
  <c r="O154" i="16"/>
  <c r="P151" i="11"/>
  <c r="P154" i="16"/>
  <c r="Q151" i="11"/>
  <c r="Q154" i="16"/>
  <c r="R151" i="11"/>
  <c r="R154" i="16"/>
  <c r="G152" i="11"/>
  <c r="G155" i="16"/>
  <c r="H152" i="11"/>
  <c r="H155" i="16"/>
  <c r="I152" i="11"/>
  <c r="I155" i="16"/>
  <c r="J152" i="11"/>
  <c r="J155" i="16"/>
  <c r="K152" i="11"/>
  <c r="K155" i="16"/>
  <c r="L152" i="11"/>
  <c r="L155" i="16"/>
  <c r="M152" i="11"/>
  <c r="M155" i="16"/>
  <c r="N152" i="11"/>
  <c r="N155" i="16"/>
  <c r="O152" i="11"/>
  <c r="O155" i="16"/>
  <c r="P152" i="11"/>
  <c r="P155" i="16"/>
  <c r="Q152" i="11"/>
  <c r="Q155" i="16"/>
  <c r="R152" i="11"/>
  <c r="R155" i="16"/>
  <c r="G153" i="11"/>
  <c r="G156" i="16"/>
  <c r="H153" i="11"/>
  <c r="H156" i="16"/>
  <c r="I153" i="11"/>
  <c r="I156" i="16"/>
  <c r="J153" i="11"/>
  <c r="J156" i="16"/>
  <c r="K153" i="11"/>
  <c r="K156" i="16"/>
  <c r="L153" i="11"/>
  <c r="L156" i="16"/>
  <c r="M153" i="11"/>
  <c r="M156" i="16"/>
  <c r="N153" i="11"/>
  <c r="N156" i="16"/>
  <c r="O153" i="11"/>
  <c r="O156" i="16"/>
  <c r="P153" i="11"/>
  <c r="P156" i="16"/>
  <c r="Q153" i="11"/>
  <c r="Q156" i="16"/>
  <c r="R153" i="11"/>
  <c r="R156" i="16"/>
  <c r="G154" i="11"/>
  <c r="G157" i="16"/>
  <c r="H154" i="11"/>
  <c r="H157" i="16"/>
  <c r="I154" i="11"/>
  <c r="I157" i="16"/>
  <c r="J154" i="11"/>
  <c r="J157" i="16"/>
  <c r="K154" i="11"/>
  <c r="K157" i="16"/>
  <c r="L154" i="11"/>
  <c r="L157" i="16"/>
  <c r="M154" i="11"/>
  <c r="M157" i="16"/>
  <c r="N154" i="11"/>
  <c r="N157" i="16"/>
  <c r="O154" i="11"/>
  <c r="O157" i="16"/>
  <c r="P154" i="11"/>
  <c r="P157" i="16"/>
  <c r="Q154" i="11"/>
  <c r="Q157" i="16"/>
  <c r="R154" i="11"/>
  <c r="R157" i="16"/>
  <c r="G155" i="11"/>
  <c r="G158" i="16"/>
  <c r="H155" i="11"/>
  <c r="H158" i="16"/>
  <c r="I155" i="11"/>
  <c r="I158" i="16"/>
  <c r="J155" i="11"/>
  <c r="J158" i="16"/>
  <c r="K155" i="11"/>
  <c r="K158" i="16"/>
  <c r="L155" i="11"/>
  <c r="L158" i="16"/>
  <c r="M155" i="11"/>
  <c r="M158" i="16"/>
  <c r="N155" i="11"/>
  <c r="N158" i="16"/>
  <c r="O155" i="11"/>
  <c r="O158" i="16"/>
  <c r="P155" i="11"/>
  <c r="P158" i="16"/>
  <c r="Q155" i="11"/>
  <c r="Q158" i="16"/>
  <c r="R155" i="11"/>
  <c r="R158" i="16"/>
  <c r="G156" i="11"/>
  <c r="G159" i="16"/>
  <c r="H156" i="11"/>
  <c r="H159" i="16"/>
  <c r="I156" i="11"/>
  <c r="I159" i="16"/>
  <c r="J156" i="11"/>
  <c r="J159" i="16"/>
  <c r="K156" i="11"/>
  <c r="K159" i="16"/>
  <c r="L156" i="11"/>
  <c r="L159" i="16"/>
  <c r="M156" i="11"/>
  <c r="M159" i="16"/>
  <c r="N156" i="11"/>
  <c r="N159" i="16"/>
  <c r="O156" i="11"/>
  <c r="O159" i="16"/>
  <c r="P156" i="11"/>
  <c r="P159" i="16"/>
  <c r="Q156" i="11"/>
  <c r="Q159" i="16"/>
  <c r="R156" i="11"/>
  <c r="R159" i="16"/>
  <c r="G157" i="11"/>
  <c r="G160" i="16"/>
  <c r="H157" i="11"/>
  <c r="H160" i="16"/>
  <c r="I157" i="11"/>
  <c r="I160" i="16"/>
  <c r="J157" i="11"/>
  <c r="J160" i="16"/>
  <c r="K157" i="11"/>
  <c r="K160" i="16"/>
  <c r="L157" i="11"/>
  <c r="L160" i="16"/>
  <c r="M157" i="11"/>
  <c r="M160" i="16"/>
  <c r="N157" i="11"/>
  <c r="N160" i="16"/>
  <c r="O157" i="11"/>
  <c r="O160" i="16"/>
  <c r="P157" i="11"/>
  <c r="P160" i="16"/>
  <c r="Q157" i="11"/>
  <c r="Q160" i="16"/>
  <c r="R157" i="11"/>
  <c r="R160" i="16"/>
  <c r="G158" i="11"/>
  <c r="G161" i="16"/>
  <c r="H158" i="11"/>
  <c r="H161" i="16"/>
  <c r="I158" i="11"/>
  <c r="I161" i="16"/>
  <c r="J158" i="11"/>
  <c r="J161" i="16"/>
  <c r="K158" i="11"/>
  <c r="K161" i="16"/>
  <c r="L158" i="11"/>
  <c r="L161" i="16"/>
  <c r="M158" i="11"/>
  <c r="M161" i="16"/>
  <c r="N158" i="11"/>
  <c r="N161" i="16"/>
  <c r="O158" i="11"/>
  <c r="O161" i="16"/>
  <c r="P158" i="11"/>
  <c r="P161" i="16"/>
  <c r="Q158" i="11"/>
  <c r="Q161" i="16"/>
  <c r="R158" i="11"/>
  <c r="R161" i="16"/>
  <c r="G159" i="11"/>
  <c r="G162" i="16"/>
  <c r="H159" i="11"/>
  <c r="H162" i="16"/>
  <c r="I159" i="11"/>
  <c r="I162" i="16"/>
  <c r="J159" i="11"/>
  <c r="J162" i="16"/>
  <c r="K159" i="11"/>
  <c r="K162" i="16"/>
  <c r="L159" i="11"/>
  <c r="L162" i="16"/>
  <c r="M159" i="11"/>
  <c r="M162" i="16"/>
  <c r="N159" i="11"/>
  <c r="N162" i="16"/>
  <c r="O159" i="11"/>
  <c r="O162" i="16"/>
  <c r="P159" i="11"/>
  <c r="P162" i="16"/>
  <c r="Q159" i="11"/>
  <c r="Q162" i="16"/>
  <c r="R159" i="11"/>
  <c r="R162" i="16"/>
  <c r="G160" i="11"/>
  <c r="G163" i="16"/>
  <c r="H160" i="11"/>
  <c r="H163" i="16"/>
  <c r="I160" i="11"/>
  <c r="I163" i="16"/>
  <c r="J160" i="11"/>
  <c r="J163" i="16"/>
  <c r="K160" i="11"/>
  <c r="K163" i="16"/>
  <c r="L160" i="11"/>
  <c r="L163" i="16"/>
  <c r="M160" i="11"/>
  <c r="M163" i="16"/>
  <c r="N160" i="11"/>
  <c r="N163" i="16"/>
  <c r="O160" i="11"/>
  <c r="O163" i="16"/>
  <c r="P160" i="11"/>
  <c r="P163" i="16"/>
  <c r="Q160" i="11"/>
  <c r="Q163" i="16"/>
  <c r="R160" i="11"/>
  <c r="R163" i="16"/>
  <c r="G161" i="11"/>
  <c r="G164" i="16"/>
  <c r="H161" i="11"/>
  <c r="H164" i="16"/>
  <c r="I161" i="11"/>
  <c r="I164" i="16"/>
  <c r="J161" i="11"/>
  <c r="J164" i="16"/>
  <c r="K161" i="11"/>
  <c r="K164" i="16"/>
  <c r="L161" i="11"/>
  <c r="L164" i="16"/>
  <c r="M161" i="11"/>
  <c r="M164" i="16"/>
  <c r="N161" i="11"/>
  <c r="N164" i="16"/>
  <c r="O161" i="11"/>
  <c r="O164" i="16"/>
  <c r="P161" i="11"/>
  <c r="P164" i="16"/>
  <c r="Q161" i="11"/>
  <c r="Q164" i="16"/>
  <c r="R161" i="11"/>
  <c r="R164" i="16"/>
  <c r="G162" i="11"/>
  <c r="G165" i="16"/>
  <c r="H162" i="11"/>
  <c r="H165" i="16"/>
  <c r="I162" i="11"/>
  <c r="I165" i="16"/>
  <c r="J162" i="11"/>
  <c r="J165" i="16"/>
  <c r="K162" i="11"/>
  <c r="K165" i="16"/>
  <c r="L162" i="11"/>
  <c r="L165" i="16"/>
  <c r="M162" i="11"/>
  <c r="M165" i="16"/>
  <c r="N162" i="11"/>
  <c r="N165" i="16"/>
  <c r="O162" i="11"/>
  <c r="O165" i="16"/>
  <c r="P162" i="11"/>
  <c r="P165" i="16"/>
  <c r="Q162" i="11"/>
  <c r="Q165" i="16"/>
  <c r="R162" i="11"/>
  <c r="R165" i="16"/>
  <c r="G163" i="11"/>
  <c r="G166" i="16"/>
  <c r="H163" i="11"/>
  <c r="H166" i="16"/>
  <c r="I163" i="11"/>
  <c r="I166" i="16"/>
  <c r="J163" i="11"/>
  <c r="J166" i="16"/>
  <c r="K163" i="11"/>
  <c r="K166" i="16"/>
  <c r="L163" i="11"/>
  <c r="L166" i="16"/>
  <c r="M163" i="11"/>
  <c r="M166" i="16"/>
  <c r="N163" i="11"/>
  <c r="N166" i="16"/>
  <c r="O163" i="11"/>
  <c r="O166" i="16"/>
  <c r="P163" i="11"/>
  <c r="P166" i="16"/>
  <c r="Q163" i="11"/>
  <c r="Q166" i="16"/>
  <c r="R163" i="11"/>
  <c r="R166" i="16"/>
  <c r="G164" i="11"/>
  <c r="G167" i="16"/>
  <c r="H164" i="11"/>
  <c r="H167" i="16"/>
  <c r="I164" i="11"/>
  <c r="I167" i="16"/>
  <c r="J164" i="11"/>
  <c r="J167" i="16"/>
  <c r="K164" i="11"/>
  <c r="K167" i="16"/>
  <c r="L164" i="11"/>
  <c r="L167" i="16"/>
  <c r="M164" i="11"/>
  <c r="M167" i="16"/>
  <c r="N164" i="11"/>
  <c r="N167" i="16"/>
  <c r="O164" i="11"/>
  <c r="O167" i="16"/>
  <c r="P164" i="11"/>
  <c r="P167" i="16"/>
  <c r="Q164" i="11"/>
  <c r="Q167" i="16"/>
  <c r="R164" i="11"/>
  <c r="R167" i="16"/>
  <c r="G165" i="11"/>
  <c r="G168" i="16"/>
  <c r="H165" i="11"/>
  <c r="H168" i="16"/>
  <c r="I165" i="11"/>
  <c r="I168" i="16"/>
  <c r="J165" i="11"/>
  <c r="J168" i="16"/>
  <c r="K165" i="11"/>
  <c r="K168" i="16"/>
  <c r="L165" i="11"/>
  <c r="L168" i="16"/>
  <c r="M165" i="11"/>
  <c r="M168" i="16"/>
  <c r="N165" i="11"/>
  <c r="N168" i="16"/>
  <c r="O165" i="11"/>
  <c r="O168" i="16"/>
  <c r="P165" i="11"/>
  <c r="P168" i="16"/>
  <c r="Q165" i="11"/>
  <c r="Q168" i="16"/>
  <c r="R165" i="11"/>
  <c r="R168" i="16"/>
  <c r="G166" i="11"/>
  <c r="G169" i="16"/>
  <c r="H166" i="11"/>
  <c r="H169" i="16"/>
  <c r="I166" i="11"/>
  <c r="I169" i="16"/>
  <c r="J166" i="11"/>
  <c r="J169" i="16"/>
  <c r="K166" i="11"/>
  <c r="K169" i="16"/>
  <c r="L166" i="11"/>
  <c r="L169" i="16"/>
  <c r="M166" i="11"/>
  <c r="M169" i="16"/>
  <c r="N166" i="11"/>
  <c r="N169" i="16"/>
  <c r="O166" i="11"/>
  <c r="O169" i="16"/>
  <c r="P166" i="11"/>
  <c r="P169" i="16"/>
  <c r="Q166" i="11"/>
  <c r="Q169" i="16"/>
  <c r="R166" i="11"/>
  <c r="R169" i="16"/>
  <c r="G167" i="11"/>
  <c r="G170" i="16"/>
  <c r="H167" i="11"/>
  <c r="H170" i="16"/>
  <c r="I167" i="11"/>
  <c r="I170" i="16"/>
  <c r="J167" i="11"/>
  <c r="J170" i="16"/>
  <c r="K167" i="11"/>
  <c r="K170" i="16"/>
  <c r="L167" i="11"/>
  <c r="L170" i="16"/>
  <c r="M167" i="11"/>
  <c r="M170" i="16"/>
  <c r="N167" i="11"/>
  <c r="N170" i="16"/>
  <c r="O167" i="11"/>
  <c r="O170" i="16"/>
  <c r="P167" i="11"/>
  <c r="P170" i="16"/>
  <c r="Q167" i="11"/>
  <c r="Q170" i="16"/>
  <c r="R167" i="11"/>
  <c r="R170" i="16"/>
  <c r="G168" i="11"/>
  <c r="G171" i="16"/>
  <c r="H168" i="11"/>
  <c r="H171" i="16"/>
  <c r="I168" i="11"/>
  <c r="I171" i="16"/>
  <c r="J168" i="11"/>
  <c r="J171" i="16"/>
  <c r="K168" i="11"/>
  <c r="K171" i="16"/>
  <c r="L168" i="11"/>
  <c r="L171" i="16"/>
  <c r="M168" i="11"/>
  <c r="M171" i="16"/>
  <c r="N168" i="11"/>
  <c r="N171" i="16"/>
  <c r="O168" i="11"/>
  <c r="O171" i="16"/>
  <c r="P168" i="11"/>
  <c r="P171" i="16"/>
  <c r="Q168" i="11"/>
  <c r="Q171" i="16"/>
  <c r="R168" i="11"/>
  <c r="R171" i="16"/>
  <c r="G169" i="11"/>
  <c r="G172" i="16"/>
  <c r="H169" i="11"/>
  <c r="H172" i="16"/>
  <c r="I169" i="11"/>
  <c r="I172" i="16"/>
  <c r="J169" i="11"/>
  <c r="J172" i="16"/>
  <c r="K169" i="11"/>
  <c r="K172" i="16"/>
  <c r="L169" i="11"/>
  <c r="L172" i="16"/>
  <c r="M169" i="11"/>
  <c r="M172" i="16"/>
  <c r="N169" i="11"/>
  <c r="N172" i="16"/>
  <c r="O169" i="11"/>
  <c r="O172" i="16"/>
  <c r="P169" i="11"/>
  <c r="P172" i="16"/>
  <c r="Q169" i="11"/>
  <c r="Q172" i="16"/>
  <c r="R169" i="11"/>
  <c r="R172" i="16"/>
  <c r="G170" i="11"/>
  <c r="G173" i="16"/>
  <c r="H170" i="11"/>
  <c r="H173" i="16"/>
  <c r="I170" i="11"/>
  <c r="I173" i="16"/>
  <c r="J170" i="11"/>
  <c r="J173" i="16"/>
  <c r="K170" i="11"/>
  <c r="K173" i="16"/>
  <c r="L170" i="11"/>
  <c r="L173" i="16"/>
  <c r="M170" i="11"/>
  <c r="M173" i="16"/>
  <c r="N170" i="11"/>
  <c r="N173" i="16"/>
  <c r="O170" i="11"/>
  <c r="O173" i="16"/>
  <c r="P170" i="11"/>
  <c r="P173" i="16"/>
  <c r="Q170" i="11"/>
  <c r="Q173" i="16"/>
  <c r="R170" i="11"/>
  <c r="R173" i="16"/>
  <c r="G171" i="11"/>
  <c r="G174" i="16"/>
  <c r="H171" i="11"/>
  <c r="H174" i="16"/>
  <c r="I171" i="11"/>
  <c r="I174" i="16"/>
  <c r="J171" i="11"/>
  <c r="J174" i="16"/>
  <c r="K171" i="11"/>
  <c r="K174" i="16"/>
  <c r="L171" i="11"/>
  <c r="L174" i="16"/>
  <c r="M171" i="11"/>
  <c r="M174" i="16"/>
  <c r="N171" i="11"/>
  <c r="N174" i="16"/>
  <c r="O171" i="11"/>
  <c r="O174" i="16"/>
  <c r="P171" i="11"/>
  <c r="P174" i="16"/>
  <c r="Q171" i="11"/>
  <c r="Q174" i="16"/>
  <c r="R171" i="11"/>
  <c r="R174" i="16"/>
  <c r="G172" i="11"/>
  <c r="G175" i="16"/>
  <c r="H172" i="11"/>
  <c r="H175" i="16"/>
  <c r="I172" i="11"/>
  <c r="I175" i="16"/>
  <c r="J172" i="11"/>
  <c r="J175" i="16"/>
  <c r="K172" i="11"/>
  <c r="K175" i="16"/>
  <c r="L172" i="11"/>
  <c r="L175" i="16"/>
  <c r="M172" i="11"/>
  <c r="M175" i="16"/>
  <c r="N172" i="11"/>
  <c r="N175" i="16"/>
  <c r="O172" i="11"/>
  <c r="O175" i="16"/>
  <c r="P172" i="11"/>
  <c r="P175" i="16"/>
  <c r="Q172" i="11"/>
  <c r="Q175" i="16"/>
  <c r="R172" i="11"/>
  <c r="R175" i="16"/>
  <c r="G173" i="11"/>
  <c r="G176" i="16"/>
  <c r="H173" i="11"/>
  <c r="H176" i="16"/>
  <c r="I173" i="11"/>
  <c r="I176" i="16"/>
  <c r="J173" i="11"/>
  <c r="J176" i="16"/>
  <c r="K173" i="11"/>
  <c r="K176" i="16"/>
  <c r="L173" i="11"/>
  <c r="L176" i="16"/>
  <c r="M173" i="11"/>
  <c r="M176" i="16"/>
  <c r="N173" i="11"/>
  <c r="N176" i="16"/>
  <c r="O173" i="11"/>
  <c r="O176" i="16"/>
  <c r="P173" i="11"/>
  <c r="P176" i="16"/>
  <c r="Q173" i="11"/>
  <c r="Q176" i="16"/>
  <c r="R173" i="11"/>
  <c r="R176" i="16"/>
  <c r="G174" i="11"/>
  <c r="G177" i="16"/>
  <c r="H174" i="11"/>
  <c r="H177" i="16"/>
  <c r="I174" i="11"/>
  <c r="I177" i="16"/>
  <c r="J174" i="11"/>
  <c r="J177" i="16"/>
  <c r="K174" i="11"/>
  <c r="K177" i="16"/>
  <c r="L174" i="11"/>
  <c r="L177" i="16"/>
  <c r="M174" i="11"/>
  <c r="M177" i="16"/>
  <c r="N174" i="11"/>
  <c r="N177" i="16"/>
  <c r="O174" i="11"/>
  <c r="O177" i="16"/>
  <c r="P174" i="11"/>
  <c r="P177" i="16"/>
  <c r="Q174" i="11"/>
  <c r="Q177" i="16"/>
  <c r="R174" i="11"/>
  <c r="R177" i="16"/>
  <c r="G175" i="11"/>
  <c r="G178" i="16"/>
  <c r="H175" i="11"/>
  <c r="H178" i="16"/>
  <c r="I175" i="11"/>
  <c r="I178" i="16"/>
  <c r="J175" i="11"/>
  <c r="J178" i="16"/>
  <c r="K175" i="11"/>
  <c r="K178" i="16"/>
  <c r="L175" i="11"/>
  <c r="L178" i="16"/>
  <c r="M175" i="11"/>
  <c r="M178" i="16"/>
  <c r="N175" i="11"/>
  <c r="N178" i="16"/>
  <c r="O175" i="11"/>
  <c r="O178" i="16"/>
  <c r="P175" i="11"/>
  <c r="P178" i="16"/>
  <c r="Q175" i="11"/>
  <c r="Q178" i="16"/>
  <c r="R175" i="11"/>
  <c r="R178" i="16"/>
  <c r="G176" i="11"/>
  <c r="G179" i="16"/>
  <c r="H176" i="11"/>
  <c r="H179" i="16"/>
  <c r="I176" i="11"/>
  <c r="I179" i="16"/>
  <c r="J176" i="11"/>
  <c r="J179" i="16"/>
  <c r="K176" i="11"/>
  <c r="K179" i="16"/>
  <c r="L176" i="11"/>
  <c r="L179" i="16"/>
  <c r="M176" i="11"/>
  <c r="M179" i="16"/>
  <c r="N176" i="11"/>
  <c r="N179" i="16"/>
  <c r="O176" i="11"/>
  <c r="O179" i="16"/>
  <c r="P176" i="11"/>
  <c r="P179" i="16"/>
  <c r="Q176" i="11"/>
  <c r="Q179" i="16"/>
  <c r="R176" i="11"/>
  <c r="R179" i="16"/>
  <c r="G177" i="11"/>
  <c r="G180" i="16"/>
  <c r="H177" i="11"/>
  <c r="H180" i="16"/>
  <c r="I177" i="11"/>
  <c r="I180" i="16"/>
  <c r="J177" i="11"/>
  <c r="J180" i="16"/>
  <c r="K177" i="11"/>
  <c r="K180" i="16"/>
  <c r="L177" i="11"/>
  <c r="L180" i="16"/>
  <c r="M177" i="11"/>
  <c r="M180" i="16"/>
  <c r="N177" i="11"/>
  <c r="N180" i="16"/>
  <c r="O177" i="11"/>
  <c r="O180" i="16"/>
  <c r="P177" i="11"/>
  <c r="P180" i="16"/>
  <c r="Q177" i="11"/>
  <c r="Q180" i="16"/>
  <c r="R177" i="11"/>
  <c r="R180" i="16"/>
  <c r="G178" i="11"/>
  <c r="G181" i="16"/>
  <c r="H178" i="11"/>
  <c r="H181" i="16"/>
  <c r="I178" i="11"/>
  <c r="I181" i="16"/>
  <c r="J178" i="11"/>
  <c r="J181" i="16"/>
  <c r="K178" i="11"/>
  <c r="K181" i="16"/>
  <c r="L178" i="11"/>
  <c r="L181" i="16"/>
  <c r="M178" i="11"/>
  <c r="M181" i="16"/>
  <c r="N178" i="11"/>
  <c r="N181" i="16"/>
  <c r="O178" i="11"/>
  <c r="O181" i="16"/>
  <c r="P178" i="11"/>
  <c r="P181" i="16"/>
  <c r="Q178" i="11"/>
  <c r="Q181" i="16"/>
  <c r="R178" i="11"/>
  <c r="R181" i="16"/>
  <c r="G179" i="11"/>
  <c r="G182" i="16"/>
  <c r="H179" i="11"/>
  <c r="H182" i="16"/>
  <c r="I179" i="11"/>
  <c r="I182" i="16"/>
  <c r="J179" i="11"/>
  <c r="J182" i="16"/>
  <c r="K179" i="11"/>
  <c r="K182" i="16"/>
  <c r="L179" i="11"/>
  <c r="L182" i="16"/>
  <c r="M179" i="11"/>
  <c r="M182" i="16"/>
  <c r="N179" i="11"/>
  <c r="N182" i="16"/>
  <c r="O179" i="11"/>
  <c r="O182" i="16"/>
  <c r="P179" i="11"/>
  <c r="P182" i="16"/>
  <c r="Q179" i="11"/>
  <c r="Q182" i="16"/>
  <c r="R179" i="11"/>
  <c r="R182" i="16"/>
  <c r="F5" i="11"/>
  <c r="F8" i="16"/>
  <c r="F6" i="11"/>
  <c r="F9" i="16"/>
  <c r="F7" i="11"/>
  <c r="F10" i="16"/>
  <c r="F8" i="11"/>
  <c r="F11" i="16"/>
  <c r="F9" i="11"/>
  <c r="F12" i="16"/>
  <c r="F10" i="11"/>
  <c r="F13" i="16"/>
  <c r="F11" i="11"/>
  <c r="F14" i="16"/>
  <c r="F12" i="11"/>
  <c r="F15" i="16"/>
  <c r="F13" i="11"/>
  <c r="F16" i="16"/>
  <c r="F14" i="11"/>
  <c r="F17" i="16"/>
  <c r="F15" i="11"/>
  <c r="F18" i="16"/>
  <c r="F16" i="11"/>
  <c r="F19" i="16"/>
  <c r="F17" i="11"/>
  <c r="F20" i="16"/>
  <c r="F18" i="11"/>
  <c r="F21" i="16"/>
  <c r="F19" i="11"/>
  <c r="F22" i="16"/>
  <c r="F20" i="11"/>
  <c r="F23" i="16"/>
  <c r="F21" i="11"/>
  <c r="F24" i="16"/>
  <c r="F22" i="11"/>
  <c r="F25" i="16"/>
  <c r="F23" i="11"/>
  <c r="F26" i="16"/>
  <c r="F24" i="11"/>
  <c r="F27" i="16"/>
  <c r="F25" i="11"/>
  <c r="F28" i="16"/>
  <c r="F26" i="11"/>
  <c r="F29" i="16"/>
  <c r="F27" i="11"/>
  <c r="F30" i="16"/>
  <c r="F28" i="11"/>
  <c r="F31" i="16"/>
  <c r="F29" i="11"/>
  <c r="F32" i="16"/>
  <c r="F30" i="11"/>
  <c r="F33" i="16"/>
  <c r="F31" i="11"/>
  <c r="F34" i="16"/>
  <c r="F32" i="11"/>
  <c r="F35" i="16"/>
  <c r="F33" i="11"/>
  <c r="F36" i="16"/>
  <c r="F34" i="11"/>
  <c r="F37" i="16"/>
  <c r="F35" i="11"/>
  <c r="F38" i="16"/>
  <c r="F36" i="11"/>
  <c r="F39" i="16"/>
  <c r="F37" i="11"/>
  <c r="F40" i="16"/>
  <c r="F38" i="11"/>
  <c r="F41" i="16"/>
  <c r="F39" i="11"/>
  <c r="F42" i="16"/>
  <c r="F40" i="11"/>
  <c r="F43" i="16"/>
  <c r="F41" i="11"/>
  <c r="F44" i="16"/>
  <c r="F42" i="11"/>
  <c r="F45" i="16"/>
  <c r="F43" i="11"/>
  <c r="F46" i="16"/>
  <c r="F44" i="11"/>
  <c r="F47" i="16"/>
  <c r="F45" i="11"/>
  <c r="F48" i="16"/>
  <c r="F46" i="11"/>
  <c r="F49" i="16"/>
  <c r="F47" i="11"/>
  <c r="F50" i="16"/>
  <c r="F48" i="11"/>
  <c r="F51" i="16"/>
  <c r="F49" i="11"/>
  <c r="F52" i="16"/>
  <c r="F50" i="11"/>
  <c r="F53" i="16"/>
  <c r="F51" i="11"/>
  <c r="F54" i="16"/>
  <c r="F52" i="11"/>
  <c r="F55" i="16"/>
  <c r="F53" i="11"/>
  <c r="F56" i="16"/>
  <c r="F54" i="11"/>
  <c r="F57" i="16"/>
  <c r="F55" i="11"/>
  <c r="F58" i="16"/>
  <c r="F56" i="11"/>
  <c r="F59" i="16"/>
  <c r="F57" i="11"/>
  <c r="F60" i="16"/>
  <c r="F58" i="11"/>
  <c r="F61" i="16"/>
  <c r="F59" i="11"/>
  <c r="F62" i="16"/>
  <c r="F60" i="11"/>
  <c r="F63" i="16"/>
  <c r="F61" i="11"/>
  <c r="F64" i="16"/>
  <c r="F62" i="11"/>
  <c r="F65" i="16"/>
  <c r="F63" i="11"/>
  <c r="F66" i="16"/>
  <c r="F64" i="11"/>
  <c r="F67" i="16"/>
  <c r="F65" i="11"/>
  <c r="F68" i="16"/>
  <c r="F66" i="11"/>
  <c r="F69" i="16"/>
  <c r="F67" i="11"/>
  <c r="F70" i="16"/>
  <c r="F68" i="11"/>
  <c r="F71" i="16"/>
  <c r="F69" i="11"/>
  <c r="F72" i="16"/>
  <c r="F70" i="11"/>
  <c r="F73" i="16"/>
  <c r="F71" i="11"/>
  <c r="F74" i="16"/>
  <c r="F72" i="11"/>
  <c r="F75" i="16"/>
  <c r="F73" i="11"/>
  <c r="F76" i="16"/>
  <c r="F74" i="11"/>
  <c r="F77" i="16"/>
  <c r="F75" i="11"/>
  <c r="F78" i="16"/>
  <c r="F76" i="11"/>
  <c r="F79" i="16"/>
  <c r="F77" i="11"/>
  <c r="F80" i="16"/>
  <c r="F78" i="11"/>
  <c r="F81" i="16"/>
  <c r="F79" i="11"/>
  <c r="F82" i="16"/>
  <c r="F80" i="11"/>
  <c r="F83" i="16"/>
  <c r="F81" i="11"/>
  <c r="F84" i="16"/>
  <c r="F82" i="11"/>
  <c r="F85" i="16"/>
  <c r="F83" i="11"/>
  <c r="F86" i="16"/>
  <c r="F84" i="11"/>
  <c r="F87" i="16"/>
  <c r="F85" i="11"/>
  <c r="F88" i="16"/>
  <c r="F86" i="11"/>
  <c r="F89" i="16"/>
  <c r="F87" i="11"/>
  <c r="F90" i="16"/>
  <c r="F88" i="11"/>
  <c r="F91" i="16"/>
  <c r="F89" i="11"/>
  <c r="F92" i="16"/>
  <c r="F90" i="11"/>
  <c r="F93" i="16"/>
  <c r="F91" i="11"/>
  <c r="F94" i="16"/>
  <c r="F92" i="11"/>
  <c r="F95" i="16"/>
  <c r="F93" i="11"/>
  <c r="F96" i="16"/>
  <c r="F94" i="11"/>
  <c r="F97" i="16"/>
  <c r="F95" i="11"/>
  <c r="F98" i="16"/>
  <c r="F96" i="11"/>
  <c r="F99" i="16"/>
  <c r="F97" i="11"/>
  <c r="F100" i="16"/>
  <c r="F98" i="11"/>
  <c r="F101" i="16"/>
  <c r="F99" i="11"/>
  <c r="F102" i="16"/>
  <c r="F100" i="11"/>
  <c r="F103" i="16"/>
  <c r="F101" i="11"/>
  <c r="F104" i="16"/>
  <c r="F102" i="11"/>
  <c r="F105" i="16"/>
  <c r="F103" i="11"/>
  <c r="F106" i="16"/>
  <c r="F104" i="11"/>
  <c r="F107" i="16"/>
  <c r="F105" i="11"/>
  <c r="F108" i="16"/>
  <c r="F106" i="11"/>
  <c r="F109" i="16"/>
  <c r="F107" i="11"/>
  <c r="F110" i="16"/>
  <c r="F108" i="11"/>
  <c r="F111" i="16"/>
  <c r="F109" i="11"/>
  <c r="F112" i="16"/>
  <c r="F110" i="11"/>
  <c r="F113" i="16"/>
  <c r="F111" i="11"/>
  <c r="F114" i="16"/>
  <c r="F112" i="11"/>
  <c r="F115" i="16"/>
  <c r="F113" i="11"/>
  <c r="F116" i="16"/>
  <c r="F114" i="11"/>
  <c r="F117" i="16"/>
  <c r="F115" i="11"/>
  <c r="F118" i="16"/>
  <c r="F116" i="11"/>
  <c r="F119" i="16"/>
  <c r="F117" i="11"/>
  <c r="F120" i="16"/>
  <c r="F118" i="11"/>
  <c r="F121" i="16"/>
  <c r="F119" i="11"/>
  <c r="F122" i="16"/>
  <c r="F120" i="11"/>
  <c r="F123" i="16"/>
  <c r="F121" i="11"/>
  <c r="F124" i="16"/>
  <c r="F122" i="11"/>
  <c r="F125" i="16"/>
  <c r="F123" i="11"/>
  <c r="F126" i="16"/>
  <c r="F124" i="11"/>
  <c r="F127" i="16"/>
  <c r="F125" i="11"/>
  <c r="F128" i="16"/>
  <c r="F126" i="11"/>
  <c r="F129" i="16"/>
  <c r="F127" i="11"/>
  <c r="F130" i="16"/>
  <c r="F128" i="11"/>
  <c r="F131" i="16"/>
  <c r="F129" i="11"/>
  <c r="F132" i="16"/>
  <c r="F130" i="11"/>
  <c r="F133" i="16"/>
  <c r="F131" i="11"/>
  <c r="F134" i="16"/>
  <c r="F132" i="11"/>
  <c r="F135" i="16"/>
  <c r="F133" i="11"/>
  <c r="F136" i="16"/>
  <c r="F134" i="11"/>
  <c r="F137" i="16"/>
  <c r="F135" i="11"/>
  <c r="F138" i="16"/>
  <c r="F136" i="11"/>
  <c r="F139" i="16"/>
  <c r="F137" i="11"/>
  <c r="F140" i="16"/>
  <c r="F138" i="11"/>
  <c r="F141" i="16"/>
  <c r="F139" i="11"/>
  <c r="F142" i="16"/>
  <c r="F140" i="11"/>
  <c r="F143" i="16"/>
  <c r="F141" i="11"/>
  <c r="F144" i="16"/>
  <c r="F142" i="11"/>
  <c r="F145" i="16"/>
  <c r="F143" i="11"/>
  <c r="F146" i="16"/>
  <c r="F144" i="11"/>
  <c r="F147" i="16"/>
  <c r="F145" i="11"/>
  <c r="F148" i="16"/>
  <c r="F146" i="11"/>
  <c r="F149" i="16"/>
  <c r="F147" i="11"/>
  <c r="F150" i="16"/>
  <c r="F148" i="11"/>
  <c r="F151" i="16"/>
  <c r="F149" i="11"/>
  <c r="F152" i="16"/>
  <c r="F150" i="11"/>
  <c r="F153" i="16"/>
  <c r="F151" i="11"/>
  <c r="F154" i="16"/>
  <c r="F152" i="11"/>
  <c r="F155" i="16"/>
  <c r="F153" i="11"/>
  <c r="F156" i="16"/>
  <c r="F154" i="11"/>
  <c r="F157" i="16"/>
  <c r="F155" i="11"/>
  <c r="F158" i="16"/>
  <c r="F156" i="11"/>
  <c r="F159" i="16"/>
  <c r="F157" i="11"/>
  <c r="F160" i="16"/>
  <c r="F158" i="11"/>
  <c r="F161" i="16"/>
  <c r="F159" i="11"/>
  <c r="F162" i="16"/>
  <c r="F160" i="11"/>
  <c r="F163" i="16"/>
  <c r="F161" i="11"/>
  <c r="F164" i="16"/>
  <c r="F162" i="11"/>
  <c r="F165" i="16"/>
  <c r="F163" i="11"/>
  <c r="F166" i="16"/>
  <c r="F164" i="11"/>
  <c r="F167" i="16"/>
  <c r="F165" i="11"/>
  <c r="F168" i="16"/>
  <c r="F166" i="11"/>
  <c r="F169" i="16"/>
  <c r="F167" i="11"/>
  <c r="F170" i="16"/>
  <c r="F168" i="11"/>
  <c r="F171" i="16"/>
  <c r="F169" i="11"/>
  <c r="F172" i="16"/>
  <c r="F170" i="11"/>
  <c r="F173" i="16"/>
  <c r="F171" i="11"/>
  <c r="F174" i="16"/>
  <c r="F172" i="11"/>
  <c r="F175" i="16"/>
  <c r="F173" i="11"/>
  <c r="F176" i="16"/>
  <c r="F174" i="11"/>
  <c r="F177" i="16"/>
  <c r="F175" i="11"/>
  <c r="F178" i="16"/>
  <c r="F176" i="11"/>
  <c r="F179" i="16"/>
  <c r="F177" i="11"/>
  <c r="F180" i="16"/>
  <c r="F178" i="11"/>
  <c r="F181" i="16"/>
  <c r="F179" i="11"/>
  <c r="F182" i="16"/>
  <c r="F4" i="11"/>
  <c r="F7" i="16"/>
  <c r="E5" i="11"/>
  <c r="E8" i="16"/>
  <c r="E6" i="11"/>
  <c r="E9" i="16"/>
  <c r="E7" i="11"/>
  <c r="E10" i="16"/>
  <c r="E8" i="11"/>
  <c r="E11" i="16"/>
  <c r="E9" i="11"/>
  <c r="E12" i="16"/>
  <c r="E10" i="11"/>
  <c r="E13" i="16"/>
  <c r="E11" i="11"/>
  <c r="E14" i="16"/>
  <c r="E12" i="11"/>
  <c r="E15" i="16"/>
  <c r="E13" i="11"/>
  <c r="E16" i="16"/>
  <c r="E14" i="11"/>
  <c r="E17" i="16"/>
  <c r="E15" i="11"/>
  <c r="E18" i="16"/>
  <c r="E16" i="11"/>
  <c r="E19" i="16"/>
  <c r="E17" i="11"/>
  <c r="E20" i="16"/>
  <c r="E18" i="11"/>
  <c r="E21" i="16"/>
  <c r="E19" i="11"/>
  <c r="E22" i="16"/>
  <c r="E20" i="11"/>
  <c r="E23" i="16"/>
  <c r="E21" i="11"/>
  <c r="E24" i="16"/>
  <c r="E22" i="11"/>
  <c r="E25" i="16"/>
  <c r="E23" i="11"/>
  <c r="E26" i="16"/>
  <c r="E24" i="11"/>
  <c r="E27" i="16"/>
  <c r="E25" i="11"/>
  <c r="E28" i="16"/>
  <c r="E26" i="11"/>
  <c r="E29" i="16"/>
  <c r="E27" i="11"/>
  <c r="E30" i="16"/>
  <c r="E28" i="11"/>
  <c r="E31" i="16"/>
  <c r="E29" i="11"/>
  <c r="E32" i="16"/>
  <c r="E30" i="11"/>
  <c r="E33" i="16"/>
  <c r="E31" i="11"/>
  <c r="E34" i="16"/>
  <c r="E32" i="11"/>
  <c r="E35" i="16"/>
  <c r="E33" i="11"/>
  <c r="E36" i="16"/>
  <c r="E34" i="11"/>
  <c r="E37" i="16"/>
  <c r="E35" i="11"/>
  <c r="E38" i="16"/>
  <c r="E36" i="11"/>
  <c r="E39" i="16"/>
  <c r="E37" i="11"/>
  <c r="E40" i="16"/>
  <c r="E38" i="11"/>
  <c r="E41" i="16"/>
  <c r="E39" i="11"/>
  <c r="E42" i="16"/>
  <c r="E40" i="11"/>
  <c r="E43" i="16"/>
  <c r="E41" i="11"/>
  <c r="E44" i="16"/>
  <c r="E42" i="11"/>
  <c r="E45" i="16"/>
  <c r="E43" i="11"/>
  <c r="E46" i="16"/>
  <c r="E44" i="11"/>
  <c r="E47" i="16"/>
  <c r="E45" i="11"/>
  <c r="E48" i="16"/>
  <c r="E46" i="11"/>
  <c r="E49" i="16"/>
  <c r="E47" i="11"/>
  <c r="E50" i="16"/>
  <c r="E48" i="11"/>
  <c r="E51" i="16"/>
  <c r="E49" i="11"/>
  <c r="E52" i="16"/>
  <c r="E50" i="11"/>
  <c r="E53" i="16"/>
  <c r="E51" i="11"/>
  <c r="E54" i="16"/>
  <c r="E52" i="11"/>
  <c r="E55" i="16"/>
  <c r="E53" i="11"/>
  <c r="E56" i="16"/>
  <c r="E54" i="11"/>
  <c r="E57" i="16"/>
  <c r="E55" i="11"/>
  <c r="E58" i="16"/>
  <c r="E56" i="11"/>
  <c r="E59" i="16"/>
  <c r="E57" i="11"/>
  <c r="E60" i="16"/>
  <c r="E58" i="11"/>
  <c r="E61" i="16"/>
  <c r="E59" i="11"/>
  <c r="E62" i="16"/>
  <c r="E60" i="11"/>
  <c r="E63" i="16"/>
  <c r="E61" i="11"/>
  <c r="E64" i="16"/>
  <c r="E62" i="11"/>
  <c r="E65" i="16"/>
  <c r="E63" i="11"/>
  <c r="E66" i="16"/>
  <c r="E64" i="11"/>
  <c r="E67" i="16"/>
  <c r="E65" i="11"/>
  <c r="E68" i="16"/>
  <c r="E66" i="11"/>
  <c r="E69" i="16"/>
  <c r="E67" i="11"/>
  <c r="E70" i="16"/>
  <c r="E68" i="11"/>
  <c r="E71" i="16"/>
  <c r="E69" i="11"/>
  <c r="E72" i="16"/>
  <c r="E70" i="11"/>
  <c r="E73" i="16"/>
  <c r="E71" i="11"/>
  <c r="E74" i="16"/>
  <c r="E72" i="11"/>
  <c r="E75" i="16"/>
  <c r="E73" i="11"/>
  <c r="E76" i="16"/>
  <c r="E74" i="11"/>
  <c r="E77" i="16"/>
  <c r="E75" i="11"/>
  <c r="E78" i="16"/>
  <c r="E76" i="11"/>
  <c r="E79" i="16"/>
  <c r="E77" i="11"/>
  <c r="E80" i="16"/>
  <c r="E78" i="11"/>
  <c r="E81" i="16"/>
  <c r="E79" i="11"/>
  <c r="E82" i="16"/>
  <c r="E80" i="11"/>
  <c r="E83" i="16"/>
  <c r="E81" i="11"/>
  <c r="E84" i="16"/>
  <c r="E82" i="11"/>
  <c r="E85" i="16"/>
  <c r="E83" i="11"/>
  <c r="E86" i="16"/>
  <c r="E84" i="11"/>
  <c r="E87" i="16"/>
  <c r="E85" i="11"/>
  <c r="E88" i="16"/>
  <c r="E86" i="11"/>
  <c r="E89" i="16"/>
  <c r="E87" i="11"/>
  <c r="E90" i="16"/>
  <c r="E88" i="11"/>
  <c r="E91" i="16"/>
  <c r="E89" i="11"/>
  <c r="E92" i="16"/>
  <c r="E90" i="11"/>
  <c r="E93" i="16"/>
  <c r="E91" i="11"/>
  <c r="E94" i="16"/>
  <c r="E92" i="11"/>
  <c r="E95" i="16"/>
  <c r="E93" i="11"/>
  <c r="E96" i="16"/>
  <c r="E94" i="11"/>
  <c r="E97" i="16"/>
  <c r="E95" i="11"/>
  <c r="E98" i="16"/>
  <c r="E96" i="11"/>
  <c r="E99" i="16"/>
  <c r="E97" i="11"/>
  <c r="E100" i="16"/>
  <c r="E98" i="11"/>
  <c r="E101" i="16"/>
  <c r="E99" i="11"/>
  <c r="E102" i="16"/>
  <c r="E100" i="11"/>
  <c r="E103" i="16"/>
  <c r="E101" i="11"/>
  <c r="E104" i="16"/>
  <c r="E102" i="11"/>
  <c r="E105" i="16"/>
  <c r="E103" i="11"/>
  <c r="E106" i="16"/>
  <c r="E104" i="11"/>
  <c r="E107" i="16"/>
  <c r="E105" i="11"/>
  <c r="E108" i="16"/>
  <c r="E106" i="11"/>
  <c r="E109" i="16"/>
  <c r="E107" i="11"/>
  <c r="E110" i="16"/>
  <c r="E108" i="11"/>
  <c r="E111" i="16"/>
  <c r="E109" i="11"/>
  <c r="E112" i="16"/>
  <c r="E110" i="11"/>
  <c r="E113" i="16"/>
  <c r="E111" i="11"/>
  <c r="E114" i="16"/>
  <c r="E112" i="11"/>
  <c r="E115" i="16"/>
  <c r="E113" i="11"/>
  <c r="E116" i="16"/>
  <c r="E114" i="11"/>
  <c r="E117" i="16"/>
  <c r="E115" i="11"/>
  <c r="E118" i="16"/>
  <c r="E116" i="11"/>
  <c r="E119" i="16"/>
  <c r="E117" i="11"/>
  <c r="E120" i="16"/>
  <c r="E118" i="11"/>
  <c r="E121" i="16"/>
  <c r="E119" i="11"/>
  <c r="E122" i="16"/>
  <c r="E120" i="11"/>
  <c r="E123" i="16"/>
  <c r="E121" i="11"/>
  <c r="E124" i="16"/>
  <c r="E122" i="11"/>
  <c r="E125" i="16"/>
  <c r="E123" i="11"/>
  <c r="E126" i="16"/>
  <c r="E124" i="11"/>
  <c r="E127" i="16"/>
  <c r="E125" i="11"/>
  <c r="E128" i="16"/>
  <c r="E126" i="11"/>
  <c r="E129" i="16"/>
  <c r="E127" i="11"/>
  <c r="E130" i="16"/>
  <c r="E128" i="11"/>
  <c r="E131" i="16"/>
  <c r="E129" i="11"/>
  <c r="E132" i="16"/>
  <c r="E130" i="11"/>
  <c r="E133" i="16"/>
  <c r="E131" i="11"/>
  <c r="E134" i="16"/>
  <c r="E132" i="11"/>
  <c r="E135" i="16"/>
  <c r="E133" i="11"/>
  <c r="E136" i="16"/>
  <c r="E134" i="11"/>
  <c r="E137" i="16"/>
  <c r="E135" i="11"/>
  <c r="E138" i="16"/>
  <c r="E136" i="11"/>
  <c r="E139" i="16"/>
  <c r="E137" i="11"/>
  <c r="E140" i="16"/>
  <c r="E138" i="11"/>
  <c r="E141" i="16"/>
  <c r="E139" i="11"/>
  <c r="E142" i="16"/>
  <c r="E140" i="11"/>
  <c r="E143" i="16"/>
  <c r="E141" i="11"/>
  <c r="E144" i="16"/>
  <c r="E142" i="11"/>
  <c r="E145" i="16"/>
  <c r="E143" i="11"/>
  <c r="E146" i="16"/>
  <c r="E144" i="11"/>
  <c r="E147" i="16"/>
  <c r="E145" i="11"/>
  <c r="E148" i="16"/>
  <c r="E146" i="11"/>
  <c r="E149" i="16"/>
  <c r="E147" i="11"/>
  <c r="E150" i="16"/>
  <c r="E148" i="11"/>
  <c r="E151" i="16"/>
  <c r="E149" i="11"/>
  <c r="E152" i="16"/>
  <c r="E150" i="11"/>
  <c r="E153" i="16"/>
  <c r="E151" i="11"/>
  <c r="E154" i="16"/>
  <c r="E152" i="11"/>
  <c r="E155" i="16"/>
  <c r="E153" i="11"/>
  <c r="E156" i="16"/>
  <c r="E154" i="11"/>
  <c r="E157" i="16"/>
  <c r="E155" i="11"/>
  <c r="E158" i="16"/>
  <c r="E156" i="11"/>
  <c r="E159" i="16"/>
  <c r="E157" i="11"/>
  <c r="E160" i="16"/>
  <c r="E158" i="11"/>
  <c r="E161" i="16"/>
  <c r="E159" i="11"/>
  <c r="E162" i="16"/>
  <c r="E160" i="11"/>
  <c r="E163" i="16"/>
  <c r="E161" i="11"/>
  <c r="E164" i="16"/>
  <c r="E162" i="11"/>
  <c r="E165" i="16"/>
  <c r="E163" i="11"/>
  <c r="E166" i="16"/>
  <c r="E164" i="11"/>
  <c r="E167" i="16"/>
  <c r="E165" i="11"/>
  <c r="E168" i="16"/>
  <c r="E166" i="11"/>
  <c r="E169" i="16"/>
  <c r="E167" i="11"/>
  <c r="E170" i="16"/>
  <c r="E168" i="11"/>
  <c r="E171" i="16"/>
  <c r="E169" i="11"/>
  <c r="E172" i="16"/>
  <c r="E170" i="11"/>
  <c r="E173" i="16"/>
  <c r="E171" i="11"/>
  <c r="E174" i="16"/>
  <c r="E172" i="11"/>
  <c r="E175" i="16"/>
  <c r="E173" i="11"/>
  <c r="E176" i="16"/>
  <c r="E174" i="11"/>
  <c r="E177" i="16"/>
  <c r="E175" i="11"/>
  <c r="E178" i="16"/>
  <c r="E176" i="11"/>
  <c r="E179" i="16"/>
  <c r="E177" i="11"/>
  <c r="E180" i="16"/>
  <c r="E178" i="11"/>
  <c r="E181" i="16"/>
  <c r="E179" i="11"/>
  <c r="E182" i="16"/>
  <c r="E4" i="11"/>
  <c r="E7" i="16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0" i="14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G110" i="15"/>
  <c r="H110" i="15"/>
  <c r="I110" i="15"/>
  <c r="J110" i="15"/>
  <c r="K110" i="15"/>
  <c r="L110" i="15"/>
  <c r="M110" i="15"/>
  <c r="N110" i="15"/>
  <c r="O110" i="15"/>
  <c r="P110" i="15"/>
  <c r="Q110" i="15"/>
  <c r="R110" i="15"/>
  <c r="S110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G122" i="15"/>
  <c r="H122" i="15"/>
  <c r="I122" i="15"/>
  <c r="J122" i="15"/>
  <c r="K122" i="15"/>
  <c r="L122" i="15"/>
  <c r="M122" i="15"/>
  <c r="N122" i="15"/>
  <c r="O122" i="15"/>
  <c r="P122" i="15"/>
  <c r="Q122" i="15"/>
  <c r="R122" i="15"/>
  <c r="S122" i="15"/>
  <c r="G123" i="15"/>
  <c r="H123" i="15"/>
  <c r="I123" i="15"/>
  <c r="J123" i="15"/>
  <c r="K123" i="15"/>
  <c r="L123" i="15"/>
  <c r="M123" i="15"/>
  <c r="N123" i="15"/>
  <c r="O123" i="15"/>
  <c r="P123" i="15"/>
  <c r="Q123" i="15"/>
  <c r="R123" i="15"/>
  <c r="S123" i="15"/>
  <c r="G124" i="15"/>
  <c r="H124" i="15"/>
  <c r="I124" i="15"/>
  <c r="J124" i="15"/>
  <c r="K124" i="15"/>
  <c r="L124" i="15"/>
  <c r="M124" i="15"/>
  <c r="N124" i="15"/>
  <c r="O124" i="15"/>
  <c r="P124" i="15"/>
  <c r="Q124" i="15"/>
  <c r="R124" i="15"/>
  <c r="S124" i="15"/>
  <c r="G125" i="15"/>
  <c r="H125" i="15"/>
  <c r="I125" i="15"/>
  <c r="J125" i="15"/>
  <c r="K125" i="15"/>
  <c r="L125" i="15"/>
  <c r="M125" i="15"/>
  <c r="N125" i="15"/>
  <c r="O125" i="15"/>
  <c r="P125" i="15"/>
  <c r="Q125" i="15"/>
  <c r="R125" i="15"/>
  <c r="S125" i="15"/>
  <c r="G126" i="15"/>
  <c r="H126" i="15"/>
  <c r="I126" i="15"/>
  <c r="J126" i="15"/>
  <c r="K126" i="15"/>
  <c r="L126" i="15"/>
  <c r="M126" i="15"/>
  <c r="N126" i="15"/>
  <c r="O126" i="15"/>
  <c r="P126" i="15"/>
  <c r="Q126" i="15"/>
  <c r="R126" i="15"/>
  <c r="S126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G128" i="15"/>
  <c r="H128" i="15"/>
  <c r="I128" i="15"/>
  <c r="J128" i="15"/>
  <c r="K128" i="15"/>
  <c r="L128" i="15"/>
  <c r="M128" i="15"/>
  <c r="N128" i="15"/>
  <c r="O128" i="15"/>
  <c r="P128" i="15"/>
  <c r="Q128" i="15"/>
  <c r="R128" i="15"/>
  <c r="S128" i="15"/>
  <c r="G129" i="15"/>
  <c r="H129" i="15"/>
  <c r="I129" i="15"/>
  <c r="J129" i="15"/>
  <c r="K129" i="15"/>
  <c r="L129" i="15"/>
  <c r="M129" i="15"/>
  <c r="N129" i="15"/>
  <c r="O129" i="15"/>
  <c r="P129" i="15"/>
  <c r="Q129" i="15"/>
  <c r="R129" i="15"/>
  <c r="S129" i="15"/>
  <c r="G130" i="15"/>
  <c r="H130" i="15"/>
  <c r="I130" i="15"/>
  <c r="J130" i="15"/>
  <c r="K130" i="15"/>
  <c r="L130" i="15"/>
  <c r="M130" i="15"/>
  <c r="N130" i="15"/>
  <c r="O130" i="15"/>
  <c r="P130" i="15"/>
  <c r="Q130" i="15"/>
  <c r="R130" i="15"/>
  <c r="S130" i="15"/>
  <c r="G131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G132" i="15"/>
  <c r="H132" i="15"/>
  <c r="I132" i="15"/>
  <c r="J132" i="15"/>
  <c r="K132" i="15"/>
  <c r="L132" i="15"/>
  <c r="M132" i="15"/>
  <c r="N132" i="15"/>
  <c r="O132" i="15"/>
  <c r="P132" i="15"/>
  <c r="Q132" i="15"/>
  <c r="R132" i="15"/>
  <c r="S132" i="15"/>
  <c r="G133" i="15"/>
  <c r="H133" i="15"/>
  <c r="I133" i="15"/>
  <c r="J133" i="15"/>
  <c r="K133" i="15"/>
  <c r="L133" i="15"/>
  <c r="M133" i="15"/>
  <c r="N133" i="15"/>
  <c r="O133" i="15"/>
  <c r="P133" i="15"/>
  <c r="Q133" i="15"/>
  <c r="R133" i="15"/>
  <c r="S133" i="15"/>
  <c r="G134" i="15"/>
  <c r="H134" i="15"/>
  <c r="I134" i="15"/>
  <c r="J134" i="15"/>
  <c r="K134" i="15"/>
  <c r="L134" i="15"/>
  <c r="M134" i="15"/>
  <c r="N134" i="15"/>
  <c r="O134" i="15"/>
  <c r="P134" i="15"/>
  <c r="Q134" i="15"/>
  <c r="R134" i="15"/>
  <c r="S134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G137" i="15"/>
  <c r="H137" i="15"/>
  <c r="I137" i="15"/>
  <c r="J137" i="15"/>
  <c r="K137" i="15"/>
  <c r="L137" i="15"/>
  <c r="M137" i="15"/>
  <c r="N137" i="15"/>
  <c r="O137" i="15"/>
  <c r="P137" i="15"/>
  <c r="Q137" i="15"/>
  <c r="R137" i="15"/>
  <c r="S137" i="15"/>
  <c r="G138" i="15"/>
  <c r="H138" i="15"/>
  <c r="I138" i="15"/>
  <c r="J138" i="15"/>
  <c r="K138" i="15"/>
  <c r="L138" i="15"/>
  <c r="M138" i="15"/>
  <c r="N138" i="15"/>
  <c r="O138" i="15"/>
  <c r="P138" i="15"/>
  <c r="Q138" i="15"/>
  <c r="R138" i="15"/>
  <c r="S138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G141" i="15"/>
  <c r="H141" i="15"/>
  <c r="I141" i="15"/>
  <c r="J141" i="15"/>
  <c r="K141" i="15"/>
  <c r="L141" i="15"/>
  <c r="M141" i="15"/>
  <c r="N141" i="15"/>
  <c r="O141" i="15"/>
  <c r="P141" i="15"/>
  <c r="Q141" i="15"/>
  <c r="R141" i="15"/>
  <c r="S141" i="15"/>
  <c r="G142" i="15"/>
  <c r="H142" i="15"/>
  <c r="I142" i="15"/>
  <c r="J142" i="15"/>
  <c r="K142" i="15"/>
  <c r="L142" i="15"/>
  <c r="M142" i="15"/>
  <c r="N142" i="15"/>
  <c r="O142" i="15"/>
  <c r="P142" i="15"/>
  <c r="Q142" i="15"/>
  <c r="R142" i="15"/>
  <c r="S142" i="15"/>
  <c r="G143" i="15"/>
  <c r="H143" i="15"/>
  <c r="I143" i="15"/>
  <c r="J143" i="15"/>
  <c r="K143" i="15"/>
  <c r="L143" i="15"/>
  <c r="M143" i="15"/>
  <c r="N143" i="15"/>
  <c r="O143" i="15"/>
  <c r="P143" i="15"/>
  <c r="Q143" i="15"/>
  <c r="R143" i="15"/>
  <c r="S143" i="15"/>
  <c r="G144" i="15"/>
  <c r="H144" i="15"/>
  <c r="I144" i="15"/>
  <c r="J144" i="15"/>
  <c r="K144" i="15"/>
  <c r="L144" i="15"/>
  <c r="M144" i="15"/>
  <c r="N144" i="15"/>
  <c r="O144" i="15"/>
  <c r="P144" i="15"/>
  <c r="Q144" i="15"/>
  <c r="R144" i="15"/>
  <c r="S144" i="15"/>
  <c r="G145" i="15"/>
  <c r="H145" i="15"/>
  <c r="I145" i="15"/>
  <c r="J145" i="15"/>
  <c r="K145" i="15"/>
  <c r="L145" i="15"/>
  <c r="M145" i="15"/>
  <c r="N145" i="15"/>
  <c r="O145" i="15"/>
  <c r="P145" i="15"/>
  <c r="Q145" i="15"/>
  <c r="R145" i="15"/>
  <c r="S145" i="15"/>
  <c r="G146" i="15"/>
  <c r="H146" i="15"/>
  <c r="I146" i="15"/>
  <c r="J146" i="15"/>
  <c r="K146" i="15"/>
  <c r="L146" i="15"/>
  <c r="M146" i="15"/>
  <c r="N146" i="15"/>
  <c r="O146" i="15"/>
  <c r="P146" i="15"/>
  <c r="Q146" i="15"/>
  <c r="R146" i="15"/>
  <c r="S146" i="15"/>
  <c r="G147" i="15"/>
  <c r="H147" i="15"/>
  <c r="I147" i="15"/>
  <c r="J147" i="15"/>
  <c r="K147" i="15"/>
  <c r="L147" i="15"/>
  <c r="M147" i="15"/>
  <c r="N147" i="15"/>
  <c r="O147" i="15"/>
  <c r="P147" i="15"/>
  <c r="Q147" i="15"/>
  <c r="R147" i="15"/>
  <c r="S147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0" i="15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0" i="13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G142" i="14"/>
  <c r="H142" i="14"/>
  <c r="I142" i="14"/>
  <c r="J142" i="14"/>
  <c r="K142" i="14"/>
  <c r="L142" i="14"/>
  <c r="M142" i="14"/>
  <c r="N142" i="14"/>
  <c r="O142" i="14"/>
  <c r="P142" i="14"/>
  <c r="Q142" i="14"/>
  <c r="R142" i="14"/>
  <c r="S142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G144" i="14"/>
  <c r="H144" i="14"/>
  <c r="I144" i="14"/>
  <c r="J144" i="14"/>
  <c r="K144" i="14"/>
  <c r="L144" i="14"/>
  <c r="M144" i="14"/>
  <c r="N144" i="14"/>
  <c r="O144" i="14"/>
  <c r="P144" i="14"/>
  <c r="Q144" i="14"/>
  <c r="R144" i="14"/>
  <c r="S144" i="14"/>
  <c r="G145" i="14"/>
  <c r="H145" i="14"/>
  <c r="I145" i="14"/>
  <c r="J145" i="14"/>
  <c r="K145" i="14"/>
  <c r="L145" i="14"/>
  <c r="M145" i="14"/>
  <c r="N145" i="14"/>
  <c r="O145" i="14"/>
  <c r="P145" i="14"/>
  <c r="Q145" i="14"/>
  <c r="R145" i="14"/>
  <c r="S145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1" i="14"/>
  <c r="F12" i="14"/>
  <c r="F10" i="14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10" i="13"/>
  <c r="B147" i="15" a="1"/>
  <c r="B147" i="15"/>
  <c r="B146" i="15" a="1"/>
  <c r="B146" i="15"/>
  <c r="B145" i="15" a="1"/>
  <c r="B145" i="15"/>
  <c r="B144" i="15" a="1"/>
  <c r="B144" i="15"/>
  <c r="B143" i="15" a="1"/>
  <c r="B143" i="15"/>
  <c r="B142" i="15" a="1"/>
  <c r="B142" i="15"/>
  <c r="B141" i="15" a="1"/>
  <c r="B141" i="15"/>
  <c r="B140" i="15" a="1"/>
  <c r="B140" i="15"/>
  <c r="B139" i="15" a="1"/>
  <c r="B139" i="15"/>
  <c r="B138" i="15" a="1"/>
  <c r="B138" i="15"/>
  <c r="B137" i="15" a="1"/>
  <c r="B137" i="15"/>
  <c r="B136" i="15" a="1"/>
  <c r="B136" i="15"/>
  <c r="B135" i="15" a="1"/>
  <c r="B135" i="15"/>
  <c r="B134" i="15" a="1"/>
  <c r="B134" i="15"/>
  <c r="B133" i="15" a="1"/>
  <c r="B133" i="15"/>
  <c r="B132" i="15" a="1"/>
  <c r="B132" i="15"/>
  <c r="B131" i="15" a="1"/>
  <c r="B131" i="15"/>
  <c r="B130" i="15" a="1"/>
  <c r="B130" i="15"/>
  <c r="B129" i="15" a="1"/>
  <c r="B129" i="15"/>
  <c r="B128" i="15" a="1"/>
  <c r="B128" i="15"/>
  <c r="B127" i="15" a="1"/>
  <c r="B127" i="15"/>
  <c r="B126" i="15" a="1"/>
  <c r="B126" i="15"/>
  <c r="B125" i="15" a="1"/>
  <c r="B125" i="15"/>
  <c r="B124" i="15" a="1"/>
  <c r="B124" i="15"/>
  <c r="B123" i="15" a="1"/>
  <c r="B123" i="15"/>
  <c r="B122" i="15" a="1"/>
  <c r="B122" i="15"/>
  <c r="B121" i="15" a="1"/>
  <c r="B121" i="15"/>
  <c r="B120" i="15" a="1"/>
  <c r="B120" i="15"/>
  <c r="B119" i="15" a="1"/>
  <c r="B119" i="15"/>
  <c r="B118" i="15" a="1"/>
  <c r="B118" i="15"/>
  <c r="B117" i="15" a="1"/>
  <c r="B117" i="15"/>
  <c r="B116" i="15" a="1"/>
  <c r="B116" i="15"/>
  <c r="B115" i="15" a="1"/>
  <c r="B115" i="15"/>
  <c r="B114" i="15" a="1"/>
  <c r="B114" i="15"/>
  <c r="B113" i="15" a="1"/>
  <c r="B113" i="15"/>
  <c r="B112" i="15" a="1"/>
  <c r="B112" i="15"/>
  <c r="B111" i="15" a="1"/>
  <c r="B111" i="15"/>
  <c r="B110" i="15" a="1"/>
  <c r="B110" i="15"/>
  <c r="B109" i="15" a="1"/>
  <c r="B109" i="15"/>
  <c r="B108" i="15" a="1"/>
  <c r="B108" i="15"/>
  <c r="B107" i="15" a="1"/>
  <c r="B107" i="15"/>
  <c r="B106" i="15" a="1"/>
  <c r="B106" i="15"/>
  <c r="B105" i="15" a="1"/>
  <c r="B105" i="15"/>
  <c r="B104" i="15" a="1"/>
  <c r="B104" i="15"/>
  <c r="B103" i="15" a="1"/>
  <c r="B103" i="15"/>
  <c r="B102" i="15" a="1"/>
  <c r="B102" i="15"/>
  <c r="B101" i="15" a="1"/>
  <c r="B101" i="15"/>
  <c r="B100" i="15" a="1"/>
  <c r="B100" i="15"/>
  <c r="B99" i="15" a="1"/>
  <c r="B99" i="15"/>
  <c r="B98" i="15" a="1"/>
  <c r="B98" i="15"/>
  <c r="B97" i="15" a="1"/>
  <c r="B97" i="15"/>
  <c r="B96" i="15" a="1"/>
  <c r="B96" i="15"/>
  <c r="B95" i="15" a="1"/>
  <c r="B95" i="15"/>
  <c r="B94" i="15" a="1"/>
  <c r="B94" i="15"/>
  <c r="B93" i="15" a="1"/>
  <c r="B93" i="15"/>
  <c r="B92" i="15" a="1"/>
  <c r="B92" i="15"/>
  <c r="B91" i="15" a="1"/>
  <c r="B91" i="15"/>
  <c r="B90" i="15" a="1"/>
  <c r="B90" i="15"/>
  <c r="B89" i="15" a="1"/>
  <c r="B89" i="15"/>
  <c r="B88" i="15" a="1"/>
  <c r="B88" i="15"/>
  <c r="B87" i="15" a="1"/>
  <c r="B87" i="15"/>
  <c r="B86" i="15" a="1"/>
  <c r="B86" i="15"/>
  <c r="B85" i="15" a="1"/>
  <c r="B85" i="15"/>
  <c r="B84" i="15" a="1"/>
  <c r="B84" i="15"/>
  <c r="B83" i="15" a="1"/>
  <c r="B83" i="15"/>
  <c r="B82" i="15" a="1"/>
  <c r="B82" i="15"/>
  <c r="B81" i="15" a="1"/>
  <c r="B81" i="15"/>
  <c r="B80" i="15" a="1"/>
  <c r="B80" i="15"/>
  <c r="B79" i="15" a="1"/>
  <c r="B79" i="15"/>
  <c r="B78" i="15" a="1"/>
  <c r="B78" i="15"/>
  <c r="B77" i="15" a="1"/>
  <c r="B77" i="15"/>
  <c r="B76" i="15" a="1"/>
  <c r="B76" i="15"/>
  <c r="B75" i="15" a="1"/>
  <c r="B75" i="15"/>
  <c r="B74" i="15" a="1"/>
  <c r="B74" i="15"/>
  <c r="B73" i="15" a="1"/>
  <c r="B73" i="15"/>
  <c r="B72" i="15" a="1"/>
  <c r="B72" i="15"/>
  <c r="B71" i="15" a="1"/>
  <c r="B71" i="15"/>
  <c r="B70" i="15" a="1"/>
  <c r="B70" i="15"/>
  <c r="B69" i="15" a="1"/>
  <c r="B69" i="15"/>
  <c r="B68" i="15" a="1"/>
  <c r="B68" i="15"/>
  <c r="B67" i="15" a="1"/>
  <c r="B67" i="15"/>
  <c r="B66" i="15" a="1"/>
  <c r="B66" i="15"/>
  <c r="B65" i="15" a="1"/>
  <c r="B65" i="15"/>
  <c r="B64" i="15" a="1"/>
  <c r="B64" i="15"/>
  <c r="B63" i="15" a="1"/>
  <c r="B63" i="15"/>
  <c r="B62" i="15" a="1"/>
  <c r="B62" i="15"/>
  <c r="B61" i="15" a="1"/>
  <c r="B61" i="15"/>
  <c r="B60" i="15" a="1"/>
  <c r="B60" i="15"/>
  <c r="B59" i="15" a="1"/>
  <c r="B59" i="15"/>
  <c r="B58" i="15" a="1"/>
  <c r="B58" i="15"/>
  <c r="B57" i="15" a="1"/>
  <c r="B57" i="15"/>
  <c r="B56" i="15" a="1"/>
  <c r="B56" i="15"/>
  <c r="B55" i="15" a="1"/>
  <c r="B55" i="15"/>
  <c r="B54" i="15" a="1"/>
  <c r="B54" i="15"/>
  <c r="B53" i="15" a="1"/>
  <c r="B53" i="15"/>
  <c r="B52" i="15" a="1"/>
  <c r="B52" i="15"/>
  <c r="B51" i="15" a="1"/>
  <c r="B51" i="15"/>
  <c r="B50" i="15" a="1"/>
  <c r="B50" i="15"/>
  <c r="B49" i="15" a="1"/>
  <c r="B49" i="15"/>
  <c r="B48" i="15" a="1"/>
  <c r="B48" i="15"/>
  <c r="B47" i="15" a="1"/>
  <c r="B47" i="15"/>
  <c r="B46" i="15" a="1"/>
  <c r="B46" i="15"/>
  <c r="B45" i="15" a="1"/>
  <c r="B45" i="15"/>
  <c r="B44" i="15" a="1"/>
  <c r="B44" i="15"/>
  <c r="B43" i="15" a="1"/>
  <c r="B43" i="15"/>
  <c r="B42" i="15" a="1"/>
  <c r="B42" i="15"/>
  <c r="B41" i="15" a="1"/>
  <c r="B41" i="15"/>
  <c r="B40" i="15" a="1"/>
  <c r="B40" i="15"/>
  <c r="B39" i="15" a="1"/>
  <c r="B39" i="15"/>
  <c r="B38" i="15" a="1"/>
  <c r="B38" i="15"/>
  <c r="B37" i="15" a="1"/>
  <c r="B37" i="15"/>
  <c r="B36" i="15" a="1"/>
  <c r="B36" i="15"/>
  <c r="B35" i="15" a="1"/>
  <c r="B35" i="15"/>
  <c r="B34" i="15" a="1"/>
  <c r="B34" i="15"/>
  <c r="B33" i="15" a="1"/>
  <c r="B33" i="15"/>
  <c r="B32" i="15" a="1"/>
  <c r="B32" i="15"/>
  <c r="B31" i="15" a="1"/>
  <c r="B31" i="15"/>
  <c r="B30" i="15" a="1"/>
  <c r="B30" i="15"/>
  <c r="B29" i="15" a="1"/>
  <c r="B29" i="15"/>
  <c r="B28" i="15" a="1"/>
  <c r="B28" i="15"/>
  <c r="B27" i="15" a="1"/>
  <c r="B27" i="15"/>
  <c r="B26" i="15" a="1"/>
  <c r="B26" i="15"/>
  <c r="B25" i="15" a="1"/>
  <c r="B25" i="15"/>
  <c r="B24" i="15" a="1"/>
  <c r="B24" i="15"/>
  <c r="B23" i="15" a="1"/>
  <c r="B23" i="15"/>
  <c r="B22" i="15" a="1"/>
  <c r="B22" i="15"/>
  <c r="B21" i="15" a="1"/>
  <c r="B21" i="15"/>
  <c r="B20" i="15" a="1"/>
  <c r="B20" i="15"/>
  <c r="B19" i="15" a="1"/>
  <c r="B19" i="15"/>
  <c r="B18" i="15" a="1"/>
  <c r="B18" i="15"/>
  <c r="B17" i="15" a="1"/>
  <c r="B17" i="15"/>
  <c r="B16" i="15" a="1"/>
  <c r="B16" i="15"/>
  <c r="B15" i="15" a="1"/>
  <c r="B15" i="15"/>
  <c r="B14" i="15" a="1"/>
  <c r="B14" i="15"/>
  <c r="B13" i="15" a="1"/>
  <c r="B13" i="15"/>
  <c r="B12" i="15" a="1"/>
  <c r="B12" i="15"/>
  <c r="B11" i="15" a="1"/>
  <c r="B11" i="15"/>
  <c r="B10" i="15" a="1"/>
  <c r="B10" i="15"/>
  <c r="B145" i="14" a="1"/>
  <c r="B145" i="14"/>
  <c r="B144" i="14" a="1"/>
  <c r="B144" i="14"/>
  <c r="B143" i="14" a="1"/>
  <c r="B143" i="14"/>
  <c r="B142" i="14" a="1"/>
  <c r="B142" i="14"/>
  <c r="B141" i="14" a="1"/>
  <c r="B141" i="14"/>
  <c r="B140" i="14" a="1"/>
  <c r="B140" i="14"/>
  <c r="B139" i="14" a="1"/>
  <c r="B139" i="14"/>
  <c r="B138" i="14" a="1"/>
  <c r="B138" i="14"/>
  <c r="B137" i="14" a="1"/>
  <c r="B137" i="14"/>
  <c r="B136" i="14" a="1"/>
  <c r="B136" i="14"/>
  <c r="B135" i="14" a="1"/>
  <c r="B135" i="14"/>
  <c r="B134" i="14" a="1"/>
  <c r="B134" i="14"/>
  <c r="B133" i="14" a="1"/>
  <c r="B133" i="14"/>
  <c r="B132" i="14" a="1"/>
  <c r="B132" i="14"/>
  <c r="B131" i="14" a="1"/>
  <c r="B131" i="14"/>
  <c r="B130" i="14" a="1"/>
  <c r="B130" i="14"/>
  <c r="B129" i="14" a="1"/>
  <c r="B129" i="14"/>
  <c r="B128" i="14" a="1"/>
  <c r="B128" i="14"/>
  <c r="B127" i="14" a="1"/>
  <c r="B127" i="14"/>
  <c r="B126" i="14" a="1"/>
  <c r="B126" i="14"/>
  <c r="B125" i="14" a="1"/>
  <c r="B125" i="14"/>
  <c r="B124" i="14" a="1"/>
  <c r="B124" i="14"/>
  <c r="B123" i="14" a="1"/>
  <c r="B123" i="14"/>
  <c r="B122" i="14" a="1"/>
  <c r="B122" i="14"/>
  <c r="B121" i="14" a="1"/>
  <c r="B121" i="14"/>
  <c r="B120" i="14" a="1"/>
  <c r="B120" i="14"/>
  <c r="B119" i="14" a="1"/>
  <c r="B119" i="14"/>
  <c r="B118" i="14" a="1"/>
  <c r="B118" i="14"/>
  <c r="B117" i="14" a="1"/>
  <c r="B117" i="14"/>
  <c r="B116" i="14" a="1"/>
  <c r="B116" i="14"/>
  <c r="B115" i="14" a="1"/>
  <c r="B115" i="14"/>
  <c r="B114" i="14" a="1"/>
  <c r="B114" i="14"/>
  <c r="B113" i="14" a="1"/>
  <c r="B113" i="14"/>
  <c r="B112" i="14" a="1"/>
  <c r="B112" i="14"/>
  <c r="B111" i="14" a="1"/>
  <c r="B111" i="14"/>
  <c r="B110" i="14" a="1"/>
  <c r="B110" i="14"/>
  <c r="B109" i="14" a="1"/>
  <c r="B109" i="14"/>
  <c r="B108" i="14" a="1"/>
  <c r="B108" i="14"/>
  <c r="B107" i="14" a="1"/>
  <c r="B107" i="14"/>
  <c r="B106" i="14" a="1"/>
  <c r="B106" i="14"/>
  <c r="B105" i="14" a="1"/>
  <c r="B105" i="14"/>
  <c r="B104" i="14" a="1"/>
  <c r="B104" i="14"/>
  <c r="B103" i="14" a="1"/>
  <c r="B103" i="14"/>
  <c r="B102" i="14" a="1"/>
  <c r="B102" i="14"/>
  <c r="B101" i="14" a="1"/>
  <c r="B101" i="14"/>
  <c r="B100" i="14" a="1"/>
  <c r="B100" i="14"/>
  <c r="B99" i="14" a="1"/>
  <c r="B99" i="14"/>
  <c r="B98" i="14" a="1"/>
  <c r="B98" i="14"/>
  <c r="B97" i="14" a="1"/>
  <c r="B97" i="14"/>
  <c r="B96" i="14" a="1"/>
  <c r="B96" i="14"/>
  <c r="B95" i="14" a="1"/>
  <c r="B95" i="14"/>
  <c r="B94" i="14" a="1"/>
  <c r="B94" i="14"/>
  <c r="B93" i="14" a="1"/>
  <c r="B93" i="14"/>
  <c r="B92" i="14" a="1"/>
  <c r="B92" i="14"/>
  <c r="B91" i="14" a="1"/>
  <c r="B91" i="14"/>
  <c r="B90" i="14" a="1"/>
  <c r="B90" i="14"/>
  <c r="B89" i="14" a="1"/>
  <c r="B89" i="14"/>
  <c r="B88" i="14" a="1"/>
  <c r="B88" i="14"/>
  <c r="B87" i="14" a="1"/>
  <c r="B87" i="14"/>
  <c r="B86" i="14" a="1"/>
  <c r="B86" i="14"/>
  <c r="B85" i="14" a="1"/>
  <c r="B85" i="14"/>
  <c r="B84" i="14" a="1"/>
  <c r="B84" i="14"/>
  <c r="B83" i="14" a="1"/>
  <c r="B83" i="14"/>
  <c r="B82" i="14" a="1"/>
  <c r="B82" i="14"/>
  <c r="B81" i="14" a="1"/>
  <c r="B81" i="14"/>
  <c r="B80" i="14" a="1"/>
  <c r="B80" i="14"/>
  <c r="B79" i="14" a="1"/>
  <c r="B79" i="14"/>
  <c r="B78" i="14" a="1"/>
  <c r="B78" i="14"/>
  <c r="B77" i="14" a="1"/>
  <c r="B77" i="14"/>
  <c r="B76" i="14" a="1"/>
  <c r="B76" i="14"/>
  <c r="B75" i="14" a="1"/>
  <c r="B75" i="14"/>
  <c r="B74" i="14" a="1"/>
  <c r="B74" i="14"/>
  <c r="B73" i="14" a="1"/>
  <c r="B73" i="14"/>
  <c r="B72" i="14" a="1"/>
  <c r="B72" i="14"/>
  <c r="B71" i="14" a="1"/>
  <c r="B71" i="14"/>
  <c r="B70" i="14" a="1"/>
  <c r="B70" i="14"/>
  <c r="B69" i="14" a="1"/>
  <c r="B69" i="14"/>
  <c r="B68" i="14" a="1"/>
  <c r="B68" i="14"/>
  <c r="B67" i="14" a="1"/>
  <c r="B67" i="14"/>
  <c r="B66" i="14" a="1"/>
  <c r="B66" i="14"/>
  <c r="B65" i="14" a="1"/>
  <c r="B65" i="14"/>
  <c r="B64" i="14" a="1"/>
  <c r="B64" i="14"/>
  <c r="B63" i="14" a="1"/>
  <c r="B63" i="14"/>
  <c r="B62" i="14" a="1"/>
  <c r="B62" i="14"/>
  <c r="B61" i="14" a="1"/>
  <c r="B61" i="14"/>
  <c r="B60" i="14" a="1"/>
  <c r="B60" i="14"/>
  <c r="B59" i="14" a="1"/>
  <c r="B59" i="14"/>
  <c r="B58" i="14" a="1"/>
  <c r="B58" i="14"/>
  <c r="B57" i="14" a="1"/>
  <c r="B57" i="14"/>
  <c r="B56" i="14" a="1"/>
  <c r="B56" i="14"/>
  <c r="B55" i="14" a="1"/>
  <c r="B55" i="14"/>
  <c r="B54" i="14" a="1"/>
  <c r="B54" i="14"/>
  <c r="B53" i="14" a="1"/>
  <c r="B53" i="14"/>
  <c r="B52" i="14" a="1"/>
  <c r="B52" i="14"/>
  <c r="B51" i="14" a="1"/>
  <c r="B51" i="14"/>
  <c r="B50" i="14" a="1"/>
  <c r="B50" i="14"/>
  <c r="B49" i="14" a="1"/>
  <c r="B49" i="14"/>
  <c r="B48" i="14" a="1"/>
  <c r="B48" i="14"/>
  <c r="B47" i="14" a="1"/>
  <c r="B47" i="14"/>
  <c r="B46" i="14" a="1"/>
  <c r="B46" i="14"/>
  <c r="B45" i="14" a="1"/>
  <c r="B45" i="14"/>
  <c r="B44" i="14" a="1"/>
  <c r="B44" i="14"/>
  <c r="B43" i="14" a="1"/>
  <c r="B43" i="14"/>
  <c r="B42" i="14" a="1"/>
  <c r="B42" i="14"/>
  <c r="B41" i="14" a="1"/>
  <c r="B41" i="14"/>
  <c r="B40" i="14" a="1"/>
  <c r="B40" i="14"/>
  <c r="B39" i="14" a="1"/>
  <c r="B39" i="14"/>
  <c r="B38" i="14" a="1"/>
  <c r="B38" i="14"/>
  <c r="B37" i="14" a="1"/>
  <c r="B37" i="14"/>
  <c r="B36" i="14" a="1"/>
  <c r="B36" i="14"/>
  <c r="B35" i="14" a="1"/>
  <c r="B35" i="14"/>
  <c r="B34" i="14" a="1"/>
  <c r="B34" i="14"/>
  <c r="B33" i="14" a="1"/>
  <c r="B33" i="14"/>
  <c r="B32" i="14" a="1"/>
  <c r="B32" i="14"/>
  <c r="B31" i="14" a="1"/>
  <c r="B31" i="14"/>
  <c r="B30" i="14" a="1"/>
  <c r="B30" i="14"/>
  <c r="B29" i="14" a="1"/>
  <c r="B29" i="14"/>
  <c r="B28" i="14" a="1"/>
  <c r="B28" i="14"/>
  <c r="B27" i="14" a="1"/>
  <c r="B27" i="14"/>
  <c r="B26" i="14" a="1"/>
  <c r="B26" i="14"/>
  <c r="B25" i="14" a="1"/>
  <c r="B25" i="14"/>
  <c r="B24" i="14" a="1"/>
  <c r="B24" i="14"/>
  <c r="B23" i="14" a="1"/>
  <c r="B23" i="14"/>
  <c r="B22" i="14" a="1"/>
  <c r="B22" i="14"/>
  <c r="B21" i="14" a="1"/>
  <c r="B21" i="14"/>
  <c r="B20" i="14" a="1"/>
  <c r="B20" i="14"/>
  <c r="B19" i="14" a="1"/>
  <c r="B19" i="14"/>
  <c r="B18" i="14" a="1"/>
  <c r="B18" i="14"/>
  <c r="B17" i="14" a="1"/>
  <c r="B17" i="14"/>
  <c r="B16" i="14" a="1"/>
  <c r="B16" i="14"/>
  <c r="B15" i="14" a="1"/>
  <c r="B15" i="14"/>
  <c r="B14" i="14" a="1"/>
  <c r="B14" i="14"/>
  <c r="B13" i="14" a="1"/>
  <c r="B13" i="14"/>
  <c r="B12" i="14" a="1"/>
  <c r="B12" i="14"/>
  <c r="B11" i="14" a="1"/>
  <c r="B11" i="14"/>
  <c r="B10" i="14" a="1"/>
  <c r="B10" i="14"/>
  <c r="B146" i="13" a="1"/>
  <c r="B146" i="13"/>
  <c r="B145" i="13" a="1"/>
  <c r="B145" i="13"/>
  <c r="B144" i="13" a="1"/>
  <c r="B144" i="13"/>
  <c r="B143" i="13" a="1"/>
  <c r="B143" i="13"/>
  <c r="B142" i="13" a="1"/>
  <c r="B142" i="13"/>
  <c r="B141" i="13" a="1"/>
  <c r="B141" i="13"/>
  <c r="B140" i="13" a="1"/>
  <c r="B140" i="13"/>
  <c r="B139" i="13" a="1"/>
  <c r="B139" i="13"/>
  <c r="B138" i="13" a="1"/>
  <c r="B138" i="13"/>
  <c r="B137" i="13" a="1"/>
  <c r="B137" i="13"/>
  <c r="B136" i="13" a="1"/>
  <c r="B136" i="13"/>
  <c r="B135" i="13" a="1"/>
  <c r="B135" i="13"/>
  <c r="B134" i="13" a="1"/>
  <c r="B134" i="13"/>
  <c r="B133" i="13" a="1"/>
  <c r="B133" i="13"/>
  <c r="B132" i="13" a="1"/>
  <c r="B132" i="13"/>
  <c r="B131" i="13" a="1"/>
  <c r="B131" i="13"/>
  <c r="B130" i="13" a="1"/>
  <c r="B130" i="13"/>
  <c r="B129" i="13" a="1"/>
  <c r="B129" i="13"/>
  <c r="B128" i="13" a="1"/>
  <c r="B128" i="13"/>
  <c r="B127" i="13" a="1"/>
  <c r="B127" i="13"/>
  <c r="B126" i="13" a="1"/>
  <c r="B126" i="13"/>
  <c r="B125" i="13" a="1"/>
  <c r="B125" i="13"/>
  <c r="B124" i="13" a="1"/>
  <c r="B124" i="13"/>
  <c r="B123" i="13" a="1"/>
  <c r="B123" i="13"/>
  <c r="B122" i="13" a="1"/>
  <c r="B122" i="13"/>
  <c r="B121" i="13" a="1"/>
  <c r="B121" i="13"/>
  <c r="B120" i="13" a="1"/>
  <c r="B120" i="13"/>
  <c r="B119" i="13" a="1"/>
  <c r="B119" i="13"/>
  <c r="B118" i="13" a="1"/>
  <c r="B118" i="13"/>
  <c r="B117" i="13" a="1"/>
  <c r="B117" i="13"/>
  <c r="B116" i="13" a="1"/>
  <c r="B116" i="13"/>
  <c r="B115" i="13" a="1"/>
  <c r="B115" i="13"/>
  <c r="B114" i="13" a="1"/>
  <c r="B114" i="13"/>
  <c r="B113" i="13" a="1"/>
  <c r="B113" i="13"/>
  <c r="B112" i="13" a="1"/>
  <c r="B112" i="13"/>
  <c r="B111" i="13" a="1"/>
  <c r="B111" i="13"/>
  <c r="B110" i="13" a="1"/>
  <c r="B110" i="13"/>
  <c r="B109" i="13" a="1"/>
  <c r="B109" i="13"/>
  <c r="B108" i="13" a="1"/>
  <c r="B108" i="13"/>
  <c r="B107" i="13" a="1"/>
  <c r="B107" i="13"/>
  <c r="B106" i="13" a="1"/>
  <c r="B106" i="13"/>
  <c r="B105" i="13" a="1"/>
  <c r="B105" i="13"/>
  <c r="B104" i="13" a="1"/>
  <c r="B104" i="13"/>
  <c r="B103" i="13" a="1"/>
  <c r="B103" i="13"/>
  <c r="B102" i="13" a="1"/>
  <c r="B102" i="13"/>
  <c r="B101" i="13" a="1"/>
  <c r="B101" i="13"/>
  <c r="B100" i="13" a="1"/>
  <c r="B100" i="13"/>
  <c r="B99" i="13" a="1"/>
  <c r="B99" i="13"/>
  <c r="B98" i="13" a="1"/>
  <c r="B98" i="13"/>
  <c r="B97" i="13" a="1"/>
  <c r="B97" i="13"/>
  <c r="B96" i="13" a="1"/>
  <c r="B96" i="13"/>
  <c r="B95" i="13" a="1"/>
  <c r="B95" i="13"/>
  <c r="B94" i="13" a="1"/>
  <c r="B94" i="13"/>
  <c r="B93" i="13" a="1"/>
  <c r="B93" i="13"/>
  <c r="B92" i="13" a="1"/>
  <c r="B92" i="13"/>
  <c r="B91" i="13" a="1"/>
  <c r="B91" i="13"/>
  <c r="B90" i="13" a="1"/>
  <c r="B90" i="13"/>
  <c r="B89" i="13" a="1"/>
  <c r="B89" i="13"/>
  <c r="B88" i="13" a="1"/>
  <c r="B88" i="13"/>
  <c r="B87" i="13" a="1"/>
  <c r="B87" i="13"/>
  <c r="B86" i="13" a="1"/>
  <c r="B86" i="13"/>
  <c r="B85" i="13" a="1"/>
  <c r="B85" i="13"/>
  <c r="B84" i="13" a="1"/>
  <c r="B84" i="13"/>
  <c r="B83" i="13" a="1"/>
  <c r="B83" i="13"/>
  <c r="B82" i="13" a="1"/>
  <c r="B82" i="13"/>
  <c r="B81" i="13" a="1"/>
  <c r="B81" i="13"/>
  <c r="B80" i="13" a="1"/>
  <c r="B80" i="13"/>
  <c r="B79" i="13" a="1"/>
  <c r="B79" i="13"/>
  <c r="B78" i="13" a="1"/>
  <c r="B78" i="13"/>
  <c r="B77" i="13" a="1"/>
  <c r="B77" i="13"/>
  <c r="B76" i="13" a="1"/>
  <c r="B76" i="13"/>
  <c r="B75" i="13" a="1"/>
  <c r="B75" i="13"/>
  <c r="B74" i="13" a="1"/>
  <c r="B74" i="13"/>
  <c r="B73" i="13" a="1"/>
  <c r="B73" i="13"/>
  <c r="B72" i="13" a="1"/>
  <c r="B72" i="13"/>
  <c r="B71" i="13" a="1"/>
  <c r="B71" i="13"/>
  <c r="B70" i="13" a="1"/>
  <c r="B70" i="13"/>
  <c r="B69" i="13" a="1"/>
  <c r="B69" i="13"/>
  <c r="B68" i="13" a="1"/>
  <c r="B68" i="13"/>
  <c r="B67" i="13" a="1"/>
  <c r="B67" i="13"/>
  <c r="B66" i="13" a="1"/>
  <c r="B66" i="13"/>
  <c r="B65" i="13" a="1"/>
  <c r="B65" i="13"/>
  <c r="B64" i="13" a="1"/>
  <c r="B64" i="13"/>
  <c r="B63" i="13" a="1"/>
  <c r="B63" i="13"/>
  <c r="B62" i="13" a="1"/>
  <c r="B62" i="13"/>
  <c r="B61" i="13" a="1"/>
  <c r="B61" i="13"/>
  <c r="B60" i="13" a="1"/>
  <c r="B60" i="13"/>
  <c r="B59" i="13" a="1"/>
  <c r="B59" i="13"/>
  <c r="B58" i="13" a="1"/>
  <c r="B58" i="13"/>
  <c r="B57" i="13" a="1"/>
  <c r="B57" i="13"/>
  <c r="B56" i="13" a="1"/>
  <c r="B56" i="13"/>
  <c r="B55" i="13" a="1"/>
  <c r="B55" i="13"/>
  <c r="B54" i="13" a="1"/>
  <c r="B54" i="13"/>
  <c r="B53" i="13" a="1"/>
  <c r="B53" i="13"/>
  <c r="B52" i="13" a="1"/>
  <c r="B52" i="13"/>
  <c r="B51" i="13" a="1"/>
  <c r="B51" i="13"/>
  <c r="B50" i="13" a="1"/>
  <c r="B50" i="13"/>
  <c r="B49" i="13" a="1"/>
  <c r="B49" i="13"/>
  <c r="B48" i="13" a="1"/>
  <c r="B48" i="13"/>
  <c r="B47" i="13" a="1"/>
  <c r="B47" i="13"/>
  <c r="B46" i="13" a="1"/>
  <c r="B46" i="13"/>
  <c r="B45" i="13" a="1"/>
  <c r="B45" i="13"/>
  <c r="B44" i="13" a="1"/>
  <c r="B44" i="13"/>
  <c r="B43" i="13" a="1"/>
  <c r="B43" i="13"/>
  <c r="B42" i="13" a="1"/>
  <c r="B42" i="13"/>
  <c r="B41" i="13" a="1"/>
  <c r="B41" i="13"/>
  <c r="B40" i="13" a="1"/>
  <c r="B40" i="13"/>
  <c r="B39" i="13" a="1"/>
  <c r="B39" i="13"/>
  <c r="B38" i="13" a="1"/>
  <c r="B38" i="13"/>
  <c r="B37" i="13" a="1"/>
  <c r="B37" i="13"/>
  <c r="B36" i="13" a="1"/>
  <c r="B36" i="13"/>
  <c r="B35" i="13" a="1"/>
  <c r="B35" i="13"/>
  <c r="B34" i="13" a="1"/>
  <c r="B34" i="13"/>
  <c r="B33" i="13" a="1"/>
  <c r="B33" i="13"/>
  <c r="B32" i="13" a="1"/>
  <c r="B32" i="13"/>
  <c r="B31" i="13" a="1"/>
  <c r="B31" i="13"/>
  <c r="B30" i="13" a="1"/>
  <c r="B30" i="13"/>
  <c r="B29" i="13" a="1"/>
  <c r="B29" i="13"/>
  <c r="B28" i="13" a="1"/>
  <c r="B28" i="13"/>
  <c r="B27" i="13" a="1"/>
  <c r="B27" i="13"/>
  <c r="B26" i="13" a="1"/>
  <c r="B26" i="13"/>
  <c r="B25" i="13" a="1"/>
  <c r="B25" i="13"/>
  <c r="B24" i="13" a="1"/>
  <c r="B24" i="13"/>
  <c r="B23" i="13" a="1"/>
  <c r="B23" i="13"/>
  <c r="B22" i="13" a="1"/>
  <c r="B22" i="13"/>
  <c r="B21" i="13" a="1"/>
  <c r="B21" i="13"/>
  <c r="B20" i="13" a="1"/>
  <c r="B20" i="13"/>
  <c r="B19" i="13" a="1"/>
  <c r="B19" i="13"/>
  <c r="B18" i="13" a="1"/>
  <c r="B18" i="13"/>
  <c r="B17" i="13" a="1"/>
  <c r="B17" i="13"/>
  <c r="B16" i="13" a="1"/>
  <c r="B16" i="13"/>
  <c r="B15" i="13" a="1"/>
  <c r="B15" i="13"/>
  <c r="B14" i="13" a="1"/>
  <c r="B14" i="13"/>
  <c r="B13" i="13" a="1"/>
  <c r="B13" i="13"/>
  <c r="B12" i="13" a="1"/>
  <c r="B12" i="13"/>
  <c r="B11" i="13" a="1"/>
  <c r="B11" i="13"/>
  <c r="B10" i="13" a="1"/>
  <c r="B10" i="13"/>
  <c r="B144" i="12" a="1"/>
  <c r="B144" i="12"/>
  <c r="B143" i="12" a="1"/>
  <c r="B143" i="12"/>
  <c r="B142" i="12" a="1"/>
  <c r="B142" i="12"/>
  <c r="B141" i="12" a="1"/>
  <c r="B141" i="12"/>
  <c r="B140" i="12" a="1"/>
  <c r="B140" i="12"/>
  <c r="B139" i="12" a="1"/>
  <c r="B139" i="12"/>
  <c r="B138" i="12" a="1"/>
  <c r="B138" i="12"/>
  <c r="B137" i="12" a="1"/>
  <c r="B137" i="12"/>
  <c r="B136" i="12" a="1"/>
  <c r="B136" i="12"/>
  <c r="B135" i="12" a="1"/>
  <c r="B135" i="12"/>
  <c r="B134" i="12" a="1"/>
  <c r="B134" i="12"/>
  <c r="B133" i="12" a="1"/>
  <c r="B133" i="12"/>
  <c r="B132" i="12" a="1"/>
  <c r="B132" i="12"/>
  <c r="B131" i="12" a="1"/>
  <c r="B131" i="12"/>
  <c r="B130" i="12" a="1"/>
  <c r="B130" i="12"/>
  <c r="B129" i="12" a="1"/>
  <c r="B129" i="12"/>
  <c r="B128" i="12" a="1"/>
  <c r="B128" i="12"/>
  <c r="B127" i="12" a="1"/>
  <c r="B127" i="12"/>
  <c r="B126" i="12" a="1"/>
  <c r="B126" i="12"/>
  <c r="B125" i="12" a="1"/>
  <c r="B125" i="12"/>
  <c r="B124" i="12" a="1"/>
  <c r="B124" i="12"/>
  <c r="B123" i="12" a="1"/>
  <c r="B123" i="12"/>
  <c r="B122" i="12" a="1"/>
  <c r="B122" i="12"/>
  <c r="B121" i="12" a="1"/>
  <c r="B121" i="12"/>
  <c r="B120" i="12" a="1"/>
  <c r="B120" i="12"/>
  <c r="B119" i="12" a="1"/>
  <c r="B119" i="12"/>
  <c r="B118" i="12" a="1"/>
  <c r="B118" i="12"/>
  <c r="B117" i="12" a="1"/>
  <c r="B117" i="12"/>
  <c r="B116" i="12" a="1"/>
  <c r="B116" i="12"/>
  <c r="B115" i="12" a="1"/>
  <c r="B115" i="12"/>
  <c r="B114" i="12" a="1"/>
  <c r="B114" i="12"/>
  <c r="B113" i="12" a="1"/>
  <c r="B113" i="12"/>
  <c r="B112" i="12" a="1"/>
  <c r="B112" i="12"/>
  <c r="B111" i="12" a="1"/>
  <c r="B111" i="12"/>
  <c r="B110" i="12" a="1"/>
  <c r="B110" i="12"/>
  <c r="B109" i="12" a="1"/>
  <c r="B109" i="12"/>
  <c r="B108" i="12" a="1"/>
  <c r="B108" i="12"/>
  <c r="B107" i="12" a="1"/>
  <c r="B107" i="12"/>
  <c r="B106" i="12" a="1"/>
  <c r="B106" i="12"/>
  <c r="B105" i="12" a="1"/>
  <c r="B105" i="12"/>
  <c r="B104" i="12" a="1"/>
  <c r="B104" i="12"/>
  <c r="B103" i="12" a="1"/>
  <c r="B103" i="12"/>
  <c r="B102" i="12" a="1"/>
  <c r="B102" i="12"/>
  <c r="B101" i="12" a="1"/>
  <c r="B101" i="12"/>
  <c r="B100" i="12" a="1"/>
  <c r="B100" i="12"/>
  <c r="B99" i="12" a="1"/>
  <c r="B99" i="12"/>
  <c r="B98" i="12" a="1"/>
  <c r="B98" i="12"/>
  <c r="B97" i="12" a="1"/>
  <c r="B97" i="12"/>
  <c r="B96" i="12" a="1"/>
  <c r="B96" i="12"/>
  <c r="B95" i="12" a="1"/>
  <c r="B95" i="12"/>
  <c r="B94" i="12" a="1"/>
  <c r="B94" i="12"/>
  <c r="B93" i="12" a="1"/>
  <c r="B93" i="12"/>
  <c r="B92" i="12" a="1"/>
  <c r="B92" i="12"/>
  <c r="B91" i="12" a="1"/>
  <c r="B91" i="12"/>
  <c r="B90" i="12" a="1"/>
  <c r="B90" i="12"/>
  <c r="B89" i="12" a="1"/>
  <c r="B89" i="12"/>
  <c r="B88" i="12" a="1"/>
  <c r="B88" i="12"/>
  <c r="B87" i="12" a="1"/>
  <c r="B87" i="12"/>
  <c r="B86" i="12" a="1"/>
  <c r="B86" i="12"/>
  <c r="B85" i="12" a="1"/>
  <c r="B85" i="12"/>
  <c r="B84" i="12" a="1"/>
  <c r="B84" i="12"/>
  <c r="B83" i="12" a="1"/>
  <c r="B83" i="12"/>
  <c r="B82" i="12" a="1"/>
  <c r="B82" i="12"/>
  <c r="B81" i="12" a="1"/>
  <c r="B81" i="12"/>
  <c r="B80" i="12" a="1"/>
  <c r="B80" i="12"/>
  <c r="B79" i="12" a="1"/>
  <c r="B79" i="12"/>
  <c r="B78" i="12" a="1"/>
  <c r="B78" i="12"/>
  <c r="B77" i="12" a="1"/>
  <c r="B77" i="12"/>
  <c r="B76" i="12" a="1"/>
  <c r="B76" i="12"/>
  <c r="B75" i="12" a="1"/>
  <c r="B75" i="12"/>
  <c r="B74" i="12" a="1"/>
  <c r="B74" i="12"/>
  <c r="B73" i="12" a="1"/>
  <c r="B73" i="12"/>
  <c r="B72" i="12" a="1"/>
  <c r="B72" i="12"/>
  <c r="B71" i="12" a="1"/>
  <c r="B71" i="12"/>
  <c r="B70" i="12" a="1"/>
  <c r="B70" i="12"/>
  <c r="B69" i="12" a="1"/>
  <c r="B69" i="12"/>
  <c r="B68" i="12" a="1"/>
  <c r="B68" i="12"/>
  <c r="B67" i="12" a="1"/>
  <c r="B67" i="12"/>
  <c r="B66" i="12" a="1"/>
  <c r="B66" i="12"/>
  <c r="B65" i="12" a="1"/>
  <c r="B65" i="12"/>
  <c r="B64" i="12" a="1"/>
  <c r="B64" i="12"/>
  <c r="B63" i="12" a="1"/>
  <c r="B63" i="12"/>
  <c r="B62" i="12" a="1"/>
  <c r="B62" i="12"/>
  <c r="B61" i="12" a="1"/>
  <c r="B61" i="12"/>
  <c r="B60" i="12" a="1"/>
  <c r="B60" i="12"/>
  <c r="B59" i="12" a="1"/>
  <c r="B59" i="12"/>
  <c r="B58" i="12" a="1"/>
  <c r="B58" i="12"/>
  <c r="B57" i="12" a="1"/>
  <c r="B57" i="12"/>
  <c r="B56" i="12" a="1"/>
  <c r="B56" i="12"/>
  <c r="B55" i="12" a="1"/>
  <c r="B55" i="12"/>
  <c r="B54" i="12" a="1"/>
  <c r="B54" i="12"/>
  <c r="B53" i="12" a="1"/>
  <c r="B53" i="12"/>
  <c r="B52" i="12" a="1"/>
  <c r="B52" i="12"/>
  <c r="B51" i="12" a="1"/>
  <c r="B51" i="12"/>
  <c r="B50" i="12" a="1"/>
  <c r="B50" i="12"/>
  <c r="B49" i="12" a="1"/>
  <c r="B49" i="12"/>
  <c r="B48" i="12" a="1"/>
  <c r="B48" i="12"/>
  <c r="B47" i="12" a="1"/>
  <c r="B47" i="12"/>
  <c r="B46" i="12" a="1"/>
  <c r="B46" i="12"/>
  <c r="B45" i="12" a="1"/>
  <c r="B45" i="12"/>
  <c r="B44" i="12" a="1"/>
  <c r="B44" i="12"/>
  <c r="B43" i="12" a="1"/>
  <c r="B43" i="12"/>
  <c r="B42" i="12" a="1"/>
  <c r="B42" i="12"/>
  <c r="B41" i="12" a="1"/>
  <c r="B41" i="12"/>
  <c r="B40" i="12" a="1"/>
  <c r="B40" i="12"/>
  <c r="B39" i="12" a="1"/>
  <c r="B39" i="12"/>
  <c r="B38" i="12" a="1"/>
  <c r="B38" i="12"/>
  <c r="B37" i="12" a="1"/>
  <c r="B37" i="12"/>
  <c r="B36" i="12" a="1"/>
  <c r="B36" i="12"/>
  <c r="B35" i="12" a="1"/>
  <c r="B35" i="12"/>
  <c r="B34" i="12" a="1"/>
  <c r="B34" i="12"/>
  <c r="B33" i="12" a="1"/>
  <c r="B33" i="12"/>
  <c r="B32" i="12" a="1"/>
  <c r="B32" i="12"/>
  <c r="B31" i="12" a="1"/>
  <c r="B31" i="12"/>
  <c r="B30" i="12" a="1"/>
  <c r="B30" i="12"/>
  <c r="B29" i="12" a="1"/>
  <c r="B29" i="12"/>
  <c r="B28" i="12" a="1"/>
  <c r="B28" i="12"/>
  <c r="B27" i="12" a="1"/>
  <c r="B27" i="12"/>
  <c r="B26" i="12" a="1"/>
  <c r="B26" i="12"/>
  <c r="B25" i="12" a="1"/>
  <c r="B25" i="12"/>
  <c r="B24" i="12" a="1"/>
  <c r="B24" i="12"/>
  <c r="B23" i="12" a="1"/>
  <c r="B23" i="12"/>
  <c r="B22" i="12" a="1"/>
  <c r="B22" i="12"/>
  <c r="B21" i="12" a="1"/>
  <c r="B21" i="12"/>
  <c r="B20" i="12" a="1"/>
  <c r="B20" i="12"/>
  <c r="B19" i="12" a="1"/>
  <c r="B19" i="12"/>
  <c r="B18" i="12" a="1"/>
  <c r="B18" i="12"/>
  <c r="B17" i="12" a="1"/>
  <c r="B17" i="12"/>
  <c r="B16" i="12" a="1"/>
  <c r="B16" i="12"/>
  <c r="B15" i="12" a="1"/>
  <c r="B15" i="12"/>
  <c r="B14" i="12" a="1"/>
  <c r="B14" i="12"/>
  <c r="B13" i="12" a="1"/>
  <c r="B13" i="12"/>
  <c r="B12" i="12" a="1"/>
  <c r="B12" i="12"/>
  <c r="B11" i="12" a="1"/>
  <c r="B11" i="12"/>
  <c r="B10" i="12" a="1"/>
  <c r="B10" i="12"/>
  <c r="B11" i="8" a="1"/>
  <c r="B11" i="8"/>
  <c r="D11" i="8"/>
  <c r="B12" i="8" a="1"/>
  <c r="B12" i="8"/>
  <c r="D12" i="8"/>
  <c r="B13" i="8" a="1"/>
  <c r="B13" i="8"/>
  <c r="D13" i="8"/>
  <c r="B14" i="8" a="1"/>
  <c r="B14" i="8"/>
  <c r="D14" i="8"/>
  <c r="B15" i="8" a="1"/>
  <c r="B15" i="8"/>
  <c r="D15" i="8"/>
  <c r="B16" i="8" a="1"/>
  <c r="B16" i="8"/>
  <c r="D16" i="8"/>
  <c r="B17" i="8" a="1"/>
  <c r="B17" i="8"/>
  <c r="D17" i="8"/>
  <c r="B18" i="8" a="1"/>
  <c r="B18" i="8"/>
  <c r="D18" i="8"/>
  <c r="B19" i="8" a="1"/>
  <c r="B19" i="8"/>
  <c r="D19" i="8"/>
  <c r="B20" i="8" a="1"/>
  <c r="B20" i="8"/>
  <c r="D20" i="8"/>
  <c r="B21" i="8" a="1"/>
  <c r="B21" i="8"/>
  <c r="D21" i="8"/>
  <c r="B22" i="8" a="1"/>
  <c r="B22" i="8"/>
  <c r="D22" i="8"/>
  <c r="B23" i="8" a="1"/>
  <c r="B23" i="8"/>
  <c r="D23" i="8"/>
  <c r="B24" i="8" a="1"/>
  <c r="B24" i="8"/>
  <c r="D24" i="8"/>
  <c r="B25" i="8" a="1"/>
  <c r="B25" i="8"/>
  <c r="D25" i="8"/>
  <c r="B26" i="8" a="1"/>
  <c r="B26" i="8"/>
  <c r="D26" i="8"/>
  <c r="B27" i="8" a="1"/>
  <c r="B27" i="8"/>
  <c r="D27" i="8"/>
  <c r="B28" i="8" a="1"/>
  <c r="B28" i="8"/>
  <c r="D28" i="8"/>
  <c r="B29" i="8" a="1"/>
  <c r="B29" i="8"/>
  <c r="D29" i="8"/>
  <c r="B30" i="8" a="1"/>
  <c r="B30" i="8"/>
  <c r="D30" i="8"/>
  <c r="B31" i="8" a="1"/>
  <c r="B31" i="8"/>
  <c r="D31" i="8"/>
  <c r="B32" i="8" a="1"/>
  <c r="B32" i="8"/>
  <c r="D32" i="8"/>
  <c r="B33" i="8" a="1"/>
  <c r="B33" i="8"/>
  <c r="D33" i="8"/>
  <c r="B34" i="8" a="1"/>
  <c r="B34" i="8"/>
  <c r="D34" i="8"/>
  <c r="B35" i="8" a="1"/>
  <c r="B35" i="8"/>
  <c r="D35" i="8"/>
  <c r="B36" i="8" a="1"/>
  <c r="B36" i="8"/>
  <c r="D36" i="8"/>
  <c r="B37" i="8" a="1"/>
  <c r="B37" i="8"/>
  <c r="D37" i="8"/>
  <c r="B38" i="8" a="1"/>
  <c r="B38" i="8"/>
  <c r="D38" i="8"/>
  <c r="B39" i="8" a="1"/>
  <c r="B39" i="8"/>
  <c r="D39" i="8"/>
  <c r="B40" i="8" a="1"/>
  <c r="B40" i="8"/>
  <c r="D40" i="8"/>
  <c r="B41" i="8" a="1"/>
  <c r="B41" i="8"/>
  <c r="D41" i="8"/>
  <c r="B42" i="8" a="1"/>
  <c r="B42" i="8"/>
  <c r="D42" i="8"/>
  <c r="B43" i="8" a="1"/>
  <c r="B43" i="8"/>
  <c r="D43" i="8"/>
  <c r="B44" i="8" a="1"/>
  <c r="B44" i="8"/>
  <c r="D44" i="8"/>
  <c r="B45" i="8" a="1"/>
  <c r="B45" i="8"/>
  <c r="D45" i="8"/>
  <c r="B46" i="8" a="1"/>
  <c r="B46" i="8"/>
  <c r="D46" i="8"/>
  <c r="B47" i="8" a="1"/>
  <c r="B47" i="8"/>
  <c r="D47" i="8"/>
  <c r="B48" i="8" a="1"/>
  <c r="B48" i="8"/>
  <c r="D48" i="8"/>
  <c r="B49" i="8" a="1"/>
  <c r="B49" i="8"/>
  <c r="D49" i="8"/>
  <c r="B50" i="8" a="1"/>
  <c r="B50" i="8"/>
  <c r="D50" i="8"/>
  <c r="B51" i="8" a="1"/>
  <c r="B51" i="8"/>
  <c r="D51" i="8"/>
  <c r="B52" i="8" a="1"/>
  <c r="B52" i="8"/>
  <c r="D52" i="8"/>
  <c r="B53" i="8" a="1"/>
  <c r="B53" i="8"/>
  <c r="D53" i="8"/>
  <c r="B54" i="8" a="1"/>
  <c r="B54" i="8"/>
  <c r="D54" i="8"/>
  <c r="B55" i="8" a="1"/>
  <c r="B55" i="8"/>
  <c r="D55" i="8"/>
  <c r="B56" i="8" a="1"/>
  <c r="B56" i="8"/>
  <c r="D56" i="8"/>
  <c r="B57" i="8" a="1"/>
  <c r="B57" i="8"/>
  <c r="D57" i="8"/>
  <c r="B58" i="8" a="1"/>
  <c r="B58" i="8"/>
  <c r="D58" i="8"/>
  <c r="B59" i="8" a="1"/>
  <c r="B59" i="8"/>
  <c r="D59" i="8"/>
  <c r="B60" i="8" a="1"/>
  <c r="B60" i="8"/>
  <c r="D60" i="8"/>
  <c r="B61" i="8" a="1"/>
  <c r="B61" i="8"/>
  <c r="D61" i="8"/>
  <c r="B62" i="8" a="1"/>
  <c r="B62" i="8"/>
  <c r="D62" i="8"/>
  <c r="B63" i="8" a="1"/>
  <c r="B63" i="8"/>
  <c r="D63" i="8"/>
  <c r="B64" i="8" a="1"/>
  <c r="B64" i="8"/>
  <c r="D64" i="8"/>
  <c r="B65" i="8" a="1"/>
  <c r="B65" i="8"/>
  <c r="D65" i="8"/>
  <c r="B66" i="8" a="1"/>
  <c r="B66" i="8"/>
  <c r="D66" i="8"/>
  <c r="B67" i="8" a="1"/>
  <c r="B67" i="8"/>
  <c r="D67" i="8"/>
  <c r="B68" i="8" a="1"/>
  <c r="B68" i="8"/>
  <c r="D68" i="8"/>
  <c r="B69" i="8" a="1"/>
  <c r="B69" i="8"/>
  <c r="D69" i="8"/>
  <c r="B70" i="8" a="1"/>
  <c r="B70" i="8"/>
  <c r="D70" i="8"/>
  <c r="B71" i="8" a="1"/>
  <c r="B71" i="8"/>
  <c r="D71" i="8"/>
  <c r="B72" i="8" a="1"/>
  <c r="B72" i="8"/>
  <c r="D72" i="8"/>
  <c r="B73" i="8" a="1"/>
  <c r="B73" i="8"/>
  <c r="D73" i="8"/>
  <c r="B74" i="8" a="1"/>
  <c r="B74" i="8"/>
  <c r="D74" i="8"/>
  <c r="B75" i="8" a="1"/>
  <c r="B75" i="8"/>
  <c r="D75" i="8"/>
  <c r="B76" i="8" a="1"/>
  <c r="B76" i="8"/>
  <c r="D76" i="8"/>
  <c r="B77" i="8" a="1"/>
  <c r="B77" i="8"/>
  <c r="D77" i="8"/>
  <c r="B78" i="8" a="1"/>
  <c r="B78" i="8"/>
  <c r="D78" i="8"/>
  <c r="B79" i="8" a="1"/>
  <c r="B79" i="8"/>
  <c r="D79" i="8"/>
  <c r="B80" i="8" a="1"/>
  <c r="B80" i="8"/>
  <c r="D80" i="8"/>
  <c r="B81" i="8" a="1"/>
  <c r="B81" i="8"/>
  <c r="D81" i="8"/>
  <c r="B82" i="8" a="1"/>
  <c r="B82" i="8"/>
  <c r="D82" i="8"/>
  <c r="B83" i="8" a="1"/>
  <c r="B83" i="8"/>
  <c r="D83" i="8"/>
  <c r="B84" i="8" a="1"/>
  <c r="B84" i="8"/>
  <c r="D84" i="8"/>
  <c r="B85" i="8" a="1"/>
  <c r="B85" i="8"/>
  <c r="D85" i="8"/>
  <c r="B86" i="8" a="1"/>
  <c r="B86" i="8"/>
  <c r="D86" i="8"/>
  <c r="B87" i="8" a="1"/>
  <c r="B87" i="8"/>
  <c r="D87" i="8"/>
  <c r="B88" i="8" a="1"/>
  <c r="B88" i="8"/>
  <c r="D88" i="8"/>
  <c r="B89" i="8" a="1"/>
  <c r="B89" i="8"/>
  <c r="D89" i="8"/>
  <c r="B90" i="8" a="1"/>
  <c r="B90" i="8"/>
  <c r="D90" i="8"/>
  <c r="B91" i="8" a="1"/>
  <c r="B91" i="8"/>
  <c r="D91" i="8"/>
  <c r="B92" i="8" a="1"/>
  <c r="B92" i="8"/>
  <c r="D92" i="8"/>
  <c r="B93" i="8" a="1"/>
  <c r="B93" i="8"/>
  <c r="D93" i="8"/>
  <c r="B94" i="8" a="1"/>
  <c r="B94" i="8"/>
  <c r="D94" i="8"/>
  <c r="B95" i="8" a="1"/>
  <c r="B95" i="8"/>
  <c r="D95" i="8"/>
  <c r="B96" i="8" a="1"/>
  <c r="B96" i="8"/>
  <c r="D96" i="8"/>
  <c r="B97" i="8" a="1"/>
  <c r="B97" i="8"/>
  <c r="D97" i="8"/>
  <c r="B98" i="8" a="1"/>
  <c r="B98" i="8"/>
  <c r="D98" i="8"/>
  <c r="B99" i="8" a="1"/>
  <c r="B99" i="8"/>
  <c r="D99" i="8"/>
  <c r="B100" i="8" a="1"/>
  <c r="B100" i="8"/>
  <c r="D100" i="8"/>
  <c r="B101" i="8" a="1"/>
  <c r="B101" i="8"/>
  <c r="D101" i="8"/>
  <c r="B102" i="8" a="1"/>
  <c r="B102" i="8"/>
  <c r="D102" i="8"/>
  <c r="B103" i="8" a="1"/>
  <c r="B103" i="8"/>
  <c r="D103" i="8"/>
  <c r="B104" i="8" a="1"/>
  <c r="B104" i="8"/>
  <c r="D104" i="8"/>
  <c r="B105" i="8" a="1"/>
  <c r="B105" i="8"/>
  <c r="D105" i="8"/>
  <c r="B106" i="8" a="1"/>
  <c r="B106" i="8"/>
  <c r="D106" i="8"/>
  <c r="B107" i="8" a="1"/>
  <c r="B107" i="8"/>
  <c r="D107" i="8"/>
  <c r="B108" i="8" a="1"/>
  <c r="B108" i="8"/>
  <c r="D108" i="8"/>
  <c r="B109" i="8" a="1"/>
  <c r="B109" i="8"/>
  <c r="D109" i="8"/>
  <c r="B110" i="8" a="1"/>
  <c r="B110" i="8"/>
  <c r="D110" i="8"/>
  <c r="B111" i="8" a="1"/>
  <c r="B111" i="8"/>
  <c r="D111" i="8"/>
  <c r="B112" i="8" a="1"/>
  <c r="B112" i="8"/>
  <c r="D112" i="8"/>
  <c r="B113" i="8" a="1"/>
  <c r="B113" i="8"/>
  <c r="D113" i="8"/>
  <c r="B114" i="8" a="1"/>
  <c r="B114" i="8"/>
  <c r="D114" i="8"/>
  <c r="B115" i="8" a="1"/>
  <c r="B115" i="8"/>
  <c r="D115" i="8"/>
  <c r="B116" i="8" a="1"/>
  <c r="B116" i="8"/>
  <c r="D116" i="8"/>
  <c r="B117" i="8" a="1"/>
  <c r="B117" i="8"/>
  <c r="D117" i="8"/>
  <c r="B118" i="8" a="1"/>
  <c r="B118" i="8"/>
  <c r="D118" i="8"/>
  <c r="B119" i="8" a="1"/>
  <c r="B119" i="8"/>
  <c r="D119" i="8"/>
  <c r="B120" i="8" a="1"/>
  <c r="B120" i="8"/>
  <c r="D120" i="8"/>
  <c r="B121" i="8" a="1"/>
  <c r="B121" i="8"/>
  <c r="D121" i="8"/>
  <c r="B122" i="8" a="1"/>
  <c r="B122" i="8"/>
  <c r="D122" i="8"/>
  <c r="B123" i="8" a="1"/>
  <c r="B123" i="8"/>
  <c r="D123" i="8"/>
  <c r="B124" i="8" a="1"/>
  <c r="B124" i="8"/>
  <c r="D124" i="8"/>
  <c r="B125" i="8" a="1"/>
  <c r="B125" i="8"/>
  <c r="D125" i="8"/>
  <c r="B126" i="8" a="1"/>
  <c r="B126" i="8"/>
  <c r="D126" i="8"/>
  <c r="B127" i="8" a="1"/>
  <c r="B127" i="8"/>
  <c r="D127" i="8"/>
  <c r="B128" i="8" a="1"/>
  <c r="B128" i="8"/>
  <c r="D128" i="8"/>
  <c r="B129" i="8" a="1"/>
  <c r="B129" i="8"/>
  <c r="D129" i="8"/>
  <c r="B130" i="8" a="1"/>
  <c r="B130" i="8"/>
  <c r="D130" i="8"/>
  <c r="B131" i="8" a="1"/>
  <c r="B131" i="8"/>
  <c r="D131" i="8"/>
  <c r="B132" i="8" a="1"/>
  <c r="B132" i="8"/>
  <c r="D132" i="8"/>
  <c r="B133" i="8" a="1"/>
  <c r="B133" i="8"/>
  <c r="D133" i="8"/>
  <c r="B134" i="8" a="1"/>
  <c r="B134" i="8"/>
  <c r="D134" i="8"/>
  <c r="B135" i="8" a="1"/>
  <c r="B135" i="8"/>
  <c r="D135" i="8"/>
  <c r="B136" i="8" a="1"/>
  <c r="B136" i="8"/>
  <c r="D136" i="8"/>
  <c r="B137" i="8" a="1"/>
  <c r="B137" i="8"/>
  <c r="D137" i="8"/>
  <c r="B138" i="8" a="1"/>
  <c r="B138" i="8"/>
  <c r="D138" i="8"/>
  <c r="B139" i="8" a="1"/>
  <c r="B139" i="8"/>
  <c r="D139" i="8"/>
  <c r="B140" i="8" a="1"/>
  <c r="B140" i="8"/>
  <c r="D140" i="8"/>
  <c r="B141" i="8" a="1"/>
  <c r="B141" i="8"/>
  <c r="D141" i="8"/>
  <c r="B142" i="8" a="1"/>
  <c r="B142" i="8"/>
  <c r="D142" i="8"/>
  <c r="B143" i="8" a="1"/>
  <c r="B143" i="8"/>
  <c r="D143" i="8"/>
  <c r="B144" i="8" a="1"/>
  <c r="B144" i="8"/>
  <c r="D144" i="8"/>
  <c r="B145" i="8" a="1"/>
  <c r="B145" i="8"/>
  <c r="D145" i="8"/>
  <c r="B146" i="8" a="1"/>
  <c r="B146" i="8"/>
  <c r="D146" i="8"/>
  <c r="B147" i="8" a="1"/>
  <c r="B147" i="8"/>
  <c r="D147" i="8"/>
  <c r="B10" i="8" a="1"/>
  <c r="B10" i="8"/>
  <c r="D10" i="8"/>
  <c r="B11" i="7" a="1"/>
  <c r="B11" i="7"/>
  <c r="D11" i="7"/>
  <c r="B12" i="7" a="1"/>
  <c r="B12" i="7"/>
  <c r="D12" i="7"/>
  <c r="B13" i="7" a="1"/>
  <c r="B13" i="7"/>
  <c r="D13" i="7"/>
  <c r="B14" i="7" a="1"/>
  <c r="B14" i="7"/>
  <c r="D14" i="7"/>
  <c r="B15" i="7" a="1"/>
  <c r="B15" i="7"/>
  <c r="D15" i="7"/>
  <c r="B16" i="7" a="1"/>
  <c r="B16" i="7"/>
  <c r="D16" i="7"/>
  <c r="B17" i="7" a="1"/>
  <c r="B17" i="7"/>
  <c r="D17" i="7"/>
  <c r="B18" i="7" a="1"/>
  <c r="B18" i="7"/>
  <c r="D18" i="7"/>
  <c r="B19" i="7" a="1"/>
  <c r="B19" i="7"/>
  <c r="D19" i="7"/>
  <c r="B20" i="7" a="1"/>
  <c r="B20" i="7"/>
  <c r="D20" i="7"/>
  <c r="B21" i="7" a="1"/>
  <c r="B21" i="7"/>
  <c r="D21" i="7"/>
  <c r="B22" i="7" a="1"/>
  <c r="B22" i="7"/>
  <c r="D22" i="7"/>
  <c r="B23" i="7" a="1"/>
  <c r="B23" i="7"/>
  <c r="D23" i="7"/>
  <c r="B24" i="7" a="1"/>
  <c r="B24" i="7"/>
  <c r="D24" i="7"/>
  <c r="B25" i="7" a="1"/>
  <c r="B25" i="7"/>
  <c r="D25" i="7"/>
  <c r="B26" i="7" a="1"/>
  <c r="B26" i="7"/>
  <c r="D26" i="7"/>
  <c r="B27" i="7" a="1"/>
  <c r="B27" i="7"/>
  <c r="D27" i="7"/>
  <c r="B28" i="7" a="1"/>
  <c r="B28" i="7"/>
  <c r="D28" i="7"/>
  <c r="B29" i="7" a="1"/>
  <c r="B29" i="7"/>
  <c r="D29" i="7"/>
  <c r="B30" i="7" a="1"/>
  <c r="B30" i="7"/>
  <c r="D30" i="7"/>
  <c r="B31" i="7" a="1"/>
  <c r="B31" i="7"/>
  <c r="D31" i="7"/>
  <c r="B32" i="7" a="1"/>
  <c r="B32" i="7"/>
  <c r="D32" i="7"/>
  <c r="B33" i="7" a="1"/>
  <c r="B33" i="7"/>
  <c r="D33" i="7"/>
  <c r="B34" i="7" a="1"/>
  <c r="B34" i="7"/>
  <c r="D34" i="7"/>
  <c r="B35" i="7" a="1"/>
  <c r="B35" i="7"/>
  <c r="D35" i="7"/>
  <c r="B36" i="7" a="1"/>
  <c r="B36" i="7"/>
  <c r="D36" i="7"/>
  <c r="B37" i="7" a="1"/>
  <c r="B37" i="7"/>
  <c r="D37" i="7"/>
  <c r="B38" i="7" a="1"/>
  <c r="B38" i="7"/>
  <c r="D38" i="7"/>
  <c r="B39" i="7" a="1"/>
  <c r="B39" i="7"/>
  <c r="D39" i="7"/>
  <c r="B40" i="7" a="1"/>
  <c r="B40" i="7"/>
  <c r="D40" i="7"/>
  <c r="B41" i="7" a="1"/>
  <c r="B41" i="7"/>
  <c r="D41" i="7"/>
  <c r="B42" i="7" a="1"/>
  <c r="B42" i="7"/>
  <c r="D42" i="7"/>
  <c r="B43" i="7" a="1"/>
  <c r="B43" i="7"/>
  <c r="D43" i="7"/>
  <c r="B44" i="7" a="1"/>
  <c r="B44" i="7"/>
  <c r="D44" i="7"/>
  <c r="B45" i="7" a="1"/>
  <c r="B45" i="7"/>
  <c r="D45" i="7"/>
  <c r="B46" i="7" a="1"/>
  <c r="B46" i="7"/>
  <c r="D46" i="7"/>
  <c r="B47" i="7" a="1"/>
  <c r="B47" i="7"/>
  <c r="D47" i="7"/>
  <c r="B48" i="7" a="1"/>
  <c r="B48" i="7"/>
  <c r="D48" i="7"/>
  <c r="B49" i="7" a="1"/>
  <c r="B49" i="7"/>
  <c r="D49" i="7"/>
  <c r="B50" i="7" a="1"/>
  <c r="B50" i="7"/>
  <c r="D50" i="7"/>
  <c r="B51" i="7" a="1"/>
  <c r="B51" i="7"/>
  <c r="D51" i="7"/>
  <c r="B52" i="7" a="1"/>
  <c r="B52" i="7"/>
  <c r="D52" i="7"/>
  <c r="B53" i="7" a="1"/>
  <c r="B53" i="7"/>
  <c r="D53" i="7"/>
  <c r="B54" i="7" a="1"/>
  <c r="B54" i="7"/>
  <c r="D54" i="7"/>
  <c r="B55" i="7" a="1"/>
  <c r="B55" i="7"/>
  <c r="D55" i="7"/>
  <c r="B56" i="7" a="1"/>
  <c r="B56" i="7"/>
  <c r="D56" i="7"/>
  <c r="B57" i="7" a="1"/>
  <c r="B57" i="7"/>
  <c r="D57" i="7"/>
  <c r="B58" i="7" a="1"/>
  <c r="B58" i="7"/>
  <c r="D58" i="7"/>
  <c r="B59" i="7" a="1"/>
  <c r="B59" i="7"/>
  <c r="D59" i="7"/>
  <c r="B60" i="7" a="1"/>
  <c r="B60" i="7"/>
  <c r="D60" i="7"/>
  <c r="B61" i="7" a="1"/>
  <c r="B61" i="7"/>
  <c r="D61" i="7"/>
  <c r="B62" i="7" a="1"/>
  <c r="B62" i="7"/>
  <c r="D62" i="7"/>
  <c r="B63" i="7" a="1"/>
  <c r="B63" i="7"/>
  <c r="D63" i="7"/>
  <c r="B64" i="7" a="1"/>
  <c r="B64" i="7"/>
  <c r="D64" i="7"/>
  <c r="B65" i="7" a="1"/>
  <c r="B65" i="7"/>
  <c r="D65" i="7"/>
  <c r="B66" i="7" a="1"/>
  <c r="B66" i="7"/>
  <c r="D66" i="7"/>
  <c r="B67" i="7" a="1"/>
  <c r="B67" i="7"/>
  <c r="D67" i="7"/>
  <c r="B68" i="7" a="1"/>
  <c r="B68" i="7"/>
  <c r="D68" i="7"/>
  <c r="B69" i="7" a="1"/>
  <c r="B69" i="7"/>
  <c r="D69" i="7"/>
  <c r="B70" i="7" a="1"/>
  <c r="B70" i="7"/>
  <c r="D70" i="7"/>
  <c r="B71" i="7" a="1"/>
  <c r="B71" i="7"/>
  <c r="D71" i="7"/>
  <c r="B72" i="7" a="1"/>
  <c r="B72" i="7"/>
  <c r="D72" i="7"/>
  <c r="B73" i="7" a="1"/>
  <c r="B73" i="7"/>
  <c r="D73" i="7"/>
  <c r="B74" i="7" a="1"/>
  <c r="B74" i="7"/>
  <c r="D74" i="7"/>
  <c r="B75" i="7" a="1"/>
  <c r="B75" i="7"/>
  <c r="D75" i="7"/>
  <c r="B76" i="7" a="1"/>
  <c r="B76" i="7"/>
  <c r="D76" i="7"/>
  <c r="B77" i="7" a="1"/>
  <c r="B77" i="7"/>
  <c r="D77" i="7"/>
  <c r="B78" i="7" a="1"/>
  <c r="B78" i="7"/>
  <c r="D78" i="7"/>
  <c r="B79" i="7" a="1"/>
  <c r="B79" i="7"/>
  <c r="D79" i="7"/>
  <c r="B80" i="7" a="1"/>
  <c r="B80" i="7"/>
  <c r="D80" i="7"/>
  <c r="B81" i="7" a="1"/>
  <c r="B81" i="7"/>
  <c r="D81" i="7"/>
  <c r="B82" i="7" a="1"/>
  <c r="B82" i="7"/>
  <c r="D82" i="7"/>
  <c r="B83" i="7" a="1"/>
  <c r="B83" i="7"/>
  <c r="D83" i="7"/>
  <c r="B84" i="7" a="1"/>
  <c r="B84" i="7"/>
  <c r="D84" i="7"/>
  <c r="B85" i="7" a="1"/>
  <c r="B85" i="7"/>
  <c r="D85" i="7"/>
  <c r="B86" i="7" a="1"/>
  <c r="B86" i="7"/>
  <c r="D86" i="7"/>
  <c r="B87" i="7" a="1"/>
  <c r="B87" i="7"/>
  <c r="D87" i="7"/>
  <c r="B88" i="7" a="1"/>
  <c r="B88" i="7"/>
  <c r="D88" i="7"/>
  <c r="B89" i="7" a="1"/>
  <c r="B89" i="7"/>
  <c r="D89" i="7"/>
  <c r="B90" i="7" a="1"/>
  <c r="B90" i="7"/>
  <c r="D90" i="7"/>
  <c r="B91" i="7" a="1"/>
  <c r="B91" i="7"/>
  <c r="D91" i="7"/>
  <c r="B92" i="7" a="1"/>
  <c r="B92" i="7"/>
  <c r="D92" i="7"/>
  <c r="B93" i="7" a="1"/>
  <c r="B93" i="7"/>
  <c r="D93" i="7"/>
  <c r="B94" i="7" a="1"/>
  <c r="B94" i="7"/>
  <c r="D94" i="7"/>
  <c r="B95" i="7" a="1"/>
  <c r="B95" i="7"/>
  <c r="D95" i="7"/>
  <c r="B96" i="7" a="1"/>
  <c r="B96" i="7"/>
  <c r="D96" i="7"/>
  <c r="B97" i="7" a="1"/>
  <c r="B97" i="7"/>
  <c r="D97" i="7"/>
  <c r="B98" i="7" a="1"/>
  <c r="B98" i="7"/>
  <c r="D98" i="7"/>
  <c r="B99" i="7" a="1"/>
  <c r="B99" i="7"/>
  <c r="D99" i="7"/>
  <c r="B100" i="7" a="1"/>
  <c r="B100" i="7"/>
  <c r="D100" i="7"/>
  <c r="B101" i="7" a="1"/>
  <c r="B101" i="7"/>
  <c r="D101" i="7"/>
  <c r="B102" i="7" a="1"/>
  <c r="B102" i="7"/>
  <c r="D102" i="7"/>
  <c r="B103" i="7" a="1"/>
  <c r="B103" i="7"/>
  <c r="D103" i="7"/>
  <c r="B104" i="7" a="1"/>
  <c r="B104" i="7"/>
  <c r="D104" i="7"/>
  <c r="B105" i="7" a="1"/>
  <c r="B105" i="7"/>
  <c r="D105" i="7"/>
  <c r="B106" i="7" a="1"/>
  <c r="B106" i="7"/>
  <c r="D106" i="7"/>
  <c r="B107" i="7" a="1"/>
  <c r="B107" i="7"/>
  <c r="D107" i="7"/>
  <c r="B108" i="7" a="1"/>
  <c r="B108" i="7"/>
  <c r="D108" i="7"/>
  <c r="B109" i="7" a="1"/>
  <c r="B109" i="7"/>
  <c r="D109" i="7"/>
  <c r="B110" i="7" a="1"/>
  <c r="B110" i="7"/>
  <c r="D110" i="7"/>
  <c r="B111" i="7" a="1"/>
  <c r="B111" i="7"/>
  <c r="D111" i="7"/>
  <c r="B112" i="7" a="1"/>
  <c r="B112" i="7"/>
  <c r="D112" i="7"/>
  <c r="B113" i="7" a="1"/>
  <c r="B113" i="7"/>
  <c r="D113" i="7"/>
  <c r="B114" i="7" a="1"/>
  <c r="B114" i="7"/>
  <c r="D114" i="7"/>
  <c r="B115" i="7" a="1"/>
  <c r="B115" i="7"/>
  <c r="D115" i="7"/>
  <c r="B116" i="7" a="1"/>
  <c r="B116" i="7"/>
  <c r="D116" i="7"/>
  <c r="B117" i="7" a="1"/>
  <c r="B117" i="7"/>
  <c r="D117" i="7"/>
  <c r="B118" i="7" a="1"/>
  <c r="B118" i="7"/>
  <c r="D118" i="7"/>
  <c r="B119" i="7" a="1"/>
  <c r="B119" i="7"/>
  <c r="D119" i="7"/>
  <c r="B120" i="7" a="1"/>
  <c r="B120" i="7"/>
  <c r="D120" i="7"/>
  <c r="B121" i="7" a="1"/>
  <c r="B121" i="7"/>
  <c r="D121" i="7"/>
  <c r="B122" i="7" a="1"/>
  <c r="B122" i="7"/>
  <c r="D122" i="7"/>
  <c r="B123" i="7" a="1"/>
  <c r="B123" i="7"/>
  <c r="D123" i="7"/>
  <c r="B124" i="7" a="1"/>
  <c r="B124" i="7"/>
  <c r="D124" i="7"/>
  <c r="B125" i="7" a="1"/>
  <c r="B125" i="7"/>
  <c r="D125" i="7"/>
  <c r="B126" i="7" a="1"/>
  <c r="B126" i="7"/>
  <c r="D126" i="7"/>
  <c r="B127" i="7" a="1"/>
  <c r="B127" i="7"/>
  <c r="D127" i="7"/>
  <c r="B128" i="7" a="1"/>
  <c r="B128" i="7"/>
  <c r="D128" i="7"/>
  <c r="B129" i="7" a="1"/>
  <c r="B129" i="7"/>
  <c r="D129" i="7"/>
  <c r="B130" i="7" a="1"/>
  <c r="B130" i="7"/>
  <c r="D130" i="7"/>
  <c r="B131" i="7" a="1"/>
  <c r="B131" i="7"/>
  <c r="D131" i="7"/>
  <c r="B132" i="7" a="1"/>
  <c r="B132" i="7"/>
  <c r="D132" i="7"/>
  <c r="B133" i="7" a="1"/>
  <c r="B133" i="7"/>
  <c r="D133" i="7"/>
  <c r="B134" i="7" a="1"/>
  <c r="B134" i="7"/>
  <c r="D134" i="7"/>
  <c r="B135" i="7" a="1"/>
  <c r="B135" i="7"/>
  <c r="D135" i="7"/>
  <c r="B136" i="7" a="1"/>
  <c r="B136" i="7"/>
  <c r="D136" i="7"/>
  <c r="B137" i="7" a="1"/>
  <c r="B137" i="7"/>
  <c r="D137" i="7"/>
  <c r="B138" i="7" a="1"/>
  <c r="B138" i="7"/>
  <c r="D138" i="7"/>
  <c r="B139" i="7" a="1"/>
  <c r="B139" i="7"/>
  <c r="D139" i="7"/>
  <c r="B140" i="7" a="1"/>
  <c r="B140" i="7"/>
  <c r="D140" i="7"/>
  <c r="B141" i="7" a="1"/>
  <c r="B141" i="7"/>
  <c r="D141" i="7"/>
  <c r="B142" i="7" a="1"/>
  <c r="B142" i="7"/>
  <c r="D142" i="7"/>
  <c r="B143" i="7" a="1"/>
  <c r="B143" i="7"/>
  <c r="D143" i="7"/>
  <c r="B144" i="7" a="1"/>
  <c r="B144" i="7"/>
  <c r="D144" i="7"/>
  <c r="B145" i="7" a="1"/>
  <c r="B145" i="7"/>
  <c r="D145" i="7"/>
  <c r="B10" i="7" a="1"/>
  <c r="B10" i="7"/>
  <c r="D10" i="7"/>
  <c r="B11" i="5" a="1"/>
  <c r="B11" i="5"/>
  <c r="D11" i="5"/>
  <c r="B12" i="5" a="1"/>
  <c r="B12" i="5"/>
  <c r="D12" i="5"/>
  <c r="B13" i="5" a="1"/>
  <c r="B13" i="5"/>
  <c r="D13" i="5"/>
  <c r="B14" i="5" a="1"/>
  <c r="B14" i="5"/>
  <c r="D14" i="5"/>
  <c r="B15" i="5" a="1"/>
  <c r="B15" i="5"/>
  <c r="D15" i="5"/>
  <c r="B16" i="5" a="1"/>
  <c r="B16" i="5"/>
  <c r="D16" i="5"/>
  <c r="B17" i="5" a="1"/>
  <c r="B17" i="5"/>
  <c r="D17" i="5"/>
  <c r="B18" i="5" a="1"/>
  <c r="B18" i="5"/>
  <c r="D18" i="5"/>
  <c r="B19" i="5" a="1"/>
  <c r="B19" i="5"/>
  <c r="D19" i="5"/>
  <c r="B20" i="5" a="1"/>
  <c r="B20" i="5"/>
  <c r="D20" i="5"/>
  <c r="B21" i="5" a="1"/>
  <c r="B21" i="5"/>
  <c r="D21" i="5"/>
  <c r="B22" i="5" a="1"/>
  <c r="B22" i="5"/>
  <c r="D22" i="5"/>
  <c r="B23" i="5" a="1"/>
  <c r="B23" i="5"/>
  <c r="D23" i="5"/>
  <c r="B24" i="5" a="1"/>
  <c r="B24" i="5"/>
  <c r="D24" i="5"/>
  <c r="B25" i="5" a="1"/>
  <c r="B25" i="5"/>
  <c r="D25" i="5"/>
  <c r="B26" i="5" a="1"/>
  <c r="B26" i="5"/>
  <c r="D26" i="5"/>
  <c r="B27" i="5" a="1"/>
  <c r="B27" i="5"/>
  <c r="D27" i="5"/>
  <c r="B28" i="5" a="1"/>
  <c r="B28" i="5"/>
  <c r="D28" i="5"/>
  <c r="B29" i="5" a="1"/>
  <c r="B29" i="5"/>
  <c r="D29" i="5"/>
  <c r="B30" i="5" a="1"/>
  <c r="B30" i="5"/>
  <c r="D30" i="5"/>
  <c r="B31" i="5" a="1"/>
  <c r="B31" i="5"/>
  <c r="D31" i="5"/>
  <c r="B32" i="5" a="1"/>
  <c r="B32" i="5"/>
  <c r="D32" i="5"/>
  <c r="B33" i="5" a="1"/>
  <c r="B33" i="5"/>
  <c r="D33" i="5"/>
  <c r="B34" i="5" a="1"/>
  <c r="B34" i="5"/>
  <c r="D34" i="5"/>
  <c r="B35" i="5" a="1"/>
  <c r="B35" i="5"/>
  <c r="D35" i="5"/>
  <c r="B36" i="5" a="1"/>
  <c r="B36" i="5"/>
  <c r="D36" i="5"/>
  <c r="B37" i="5" a="1"/>
  <c r="B37" i="5"/>
  <c r="D37" i="5"/>
  <c r="B38" i="5" a="1"/>
  <c r="B38" i="5"/>
  <c r="D38" i="5"/>
  <c r="B39" i="5" a="1"/>
  <c r="B39" i="5"/>
  <c r="D39" i="5"/>
  <c r="B40" i="5" a="1"/>
  <c r="B40" i="5"/>
  <c r="D40" i="5"/>
  <c r="B41" i="5" a="1"/>
  <c r="B41" i="5"/>
  <c r="D41" i="5"/>
  <c r="B42" i="5" a="1"/>
  <c r="B42" i="5"/>
  <c r="D42" i="5"/>
  <c r="B43" i="5" a="1"/>
  <c r="B43" i="5"/>
  <c r="D43" i="5"/>
  <c r="B44" i="5" a="1"/>
  <c r="B44" i="5"/>
  <c r="D44" i="5"/>
  <c r="B45" i="5" a="1"/>
  <c r="B45" i="5"/>
  <c r="D45" i="5"/>
  <c r="B46" i="5" a="1"/>
  <c r="B46" i="5"/>
  <c r="D46" i="5"/>
  <c r="B47" i="5" a="1"/>
  <c r="B47" i="5"/>
  <c r="D47" i="5"/>
  <c r="B48" i="5" a="1"/>
  <c r="B48" i="5"/>
  <c r="D48" i="5"/>
  <c r="B49" i="5" a="1"/>
  <c r="B49" i="5"/>
  <c r="D49" i="5"/>
  <c r="B50" i="5" a="1"/>
  <c r="B50" i="5"/>
  <c r="D50" i="5"/>
  <c r="B51" i="5" a="1"/>
  <c r="B51" i="5"/>
  <c r="D51" i="5"/>
  <c r="B52" i="5" a="1"/>
  <c r="B52" i="5"/>
  <c r="D52" i="5"/>
  <c r="B53" i="5" a="1"/>
  <c r="B53" i="5"/>
  <c r="D53" i="5"/>
  <c r="B54" i="5" a="1"/>
  <c r="B54" i="5"/>
  <c r="D54" i="5"/>
  <c r="B55" i="5" a="1"/>
  <c r="B55" i="5"/>
  <c r="D55" i="5"/>
  <c r="B56" i="5" a="1"/>
  <c r="B56" i="5"/>
  <c r="D56" i="5"/>
  <c r="B57" i="5" a="1"/>
  <c r="B57" i="5"/>
  <c r="D57" i="5"/>
  <c r="B58" i="5" a="1"/>
  <c r="B58" i="5"/>
  <c r="D58" i="5"/>
  <c r="B59" i="5" a="1"/>
  <c r="B59" i="5"/>
  <c r="D59" i="5"/>
  <c r="B60" i="5" a="1"/>
  <c r="B60" i="5"/>
  <c r="D60" i="5"/>
  <c r="B61" i="5" a="1"/>
  <c r="B61" i="5"/>
  <c r="D61" i="5"/>
  <c r="B62" i="5" a="1"/>
  <c r="B62" i="5"/>
  <c r="D62" i="5"/>
  <c r="B63" i="5" a="1"/>
  <c r="B63" i="5"/>
  <c r="D63" i="5"/>
  <c r="B64" i="5" a="1"/>
  <c r="B64" i="5"/>
  <c r="D64" i="5"/>
  <c r="B65" i="5" a="1"/>
  <c r="B65" i="5"/>
  <c r="D65" i="5"/>
  <c r="B66" i="5" a="1"/>
  <c r="B66" i="5"/>
  <c r="D66" i="5"/>
  <c r="B67" i="5" a="1"/>
  <c r="B67" i="5"/>
  <c r="D67" i="5"/>
  <c r="B68" i="5" a="1"/>
  <c r="B68" i="5"/>
  <c r="D68" i="5"/>
  <c r="B69" i="5" a="1"/>
  <c r="B69" i="5"/>
  <c r="D69" i="5"/>
  <c r="B70" i="5" a="1"/>
  <c r="B70" i="5"/>
  <c r="D70" i="5"/>
  <c r="B71" i="5" a="1"/>
  <c r="B71" i="5"/>
  <c r="D71" i="5"/>
  <c r="B72" i="5" a="1"/>
  <c r="B72" i="5"/>
  <c r="D72" i="5"/>
  <c r="B73" i="5" a="1"/>
  <c r="B73" i="5"/>
  <c r="D73" i="5"/>
  <c r="B74" i="5" a="1"/>
  <c r="B74" i="5"/>
  <c r="D74" i="5"/>
  <c r="B75" i="5" a="1"/>
  <c r="B75" i="5"/>
  <c r="D75" i="5"/>
  <c r="B76" i="5" a="1"/>
  <c r="B76" i="5"/>
  <c r="D76" i="5"/>
  <c r="B77" i="5" a="1"/>
  <c r="B77" i="5"/>
  <c r="D77" i="5"/>
  <c r="B78" i="5" a="1"/>
  <c r="B78" i="5"/>
  <c r="D78" i="5"/>
  <c r="B79" i="5" a="1"/>
  <c r="B79" i="5"/>
  <c r="D79" i="5"/>
  <c r="B80" i="5" a="1"/>
  <c r="B80" i="5"/>
  <c r="D80" i="5"/>
  <c r="B81" i="5" a="1"/>
  <c r="B81" i="5"/>
  <c r="D81" i="5"/>
  <c r="B82" i="5" a="1"/>
  <c r="B82" i="5"/>
  <c r="D82" i="5"/>
  <c r="B83" i="5" a="1"/>
  <c r="B83" i="5"/>
  <c r="D83" i="5"/>
  <c r="B84" i="5" a="1"/>
  <c r="B84" i="5"/>
  <c r="D84" i="5"/>
  <c r="B85" i="5" a="1"/>
  <c r="B85" i="5"/>
  <c r="D85" i="5"/>
  <c r="B86" i="5" a="1"/>
  <c r="B86" i="5"/>
  <c r="D86" i="5"/>
  <c r="B87" i="5" a="1"/>
  <c r="B87" i="5"/>
  <c r="D87" i="5"/>
  <c r="B88" i="5" a="1"/>
  <c r="B88" i="5"/>
  <c r="D88" i="5"/>
  <c r="B89" i="5" a="1"/>
  <c r="B89" i="5"/>
  <c r="D89" i="5"/>
  <c r="B90" i="5" a="1"/>
  <c r="B90" i="5"/>
  <c r="D90" i="5"/>
  <c r="B91" i="5" a="1"/>
  <c r="B91" i="5"/>
  <c r="D91" i="5"/>
  <c r="B92" i="5" a="1"/>
  <c r="B92" i="5"/>
  <c r="D92" i="5"/>
  <c r="B93" i="5" a="1"/>
  <c r="B93" i="5"/>
  <c r="D93" i="5"/>
  <c r="B94" i="5" a="1"/>
  <c r="B94" i="5"/>
  <c r="D94" i="5"/>
  <c r="B95" i="5" a="1"/>
  <c r="B95" i="5"/>
  <c r="D95" i="5"/>
  <c r="B96" i="5" a="1"/>
  <c r="B96" i="5"/>
  <c r="D96" i="5"/>
  <c r="B97" i="5" a="1"/>
  <c r="B97" i="5"/>
  <c r="D97" i="5"/>
  <c r="B98" i="5" a="1"/>
  <c r="B98" i="5"/>
  <c r="D98" i="5"/>
  <c r="B99" i="5" a="1"/>
  <c r="B99" i="5"/>
  <c r="D99" i="5"/>
  <c r="B100" i="5" a="1"/>
  <c r="B100" i="5"/>
  <c r="D100" i="5"/>
  <c r="B101" i="5" a="1"/>
  <c r="B101" i="5"/>
  <c r="D101" i="5"/>
  <c r="B102" i="5" a="1"/>
  <c r="B102" i="5"/>
  <c r="D102" i="5"/>
  <c r="B103" i="5" a="1"/>
  <c r="B103" i="5"/>
  <c r="D103" i="5"/>
  <c r="B104" i="5" a="1"/>
  <c r="B104" i="5"/>
  <c r="D104" i="5"/>
  <c r="B105" i="5" a="1"/>
  <c r="B105" i="5"/>
  <c r="D105" i="5"/>
  <c r="B106" i="5" a="1"/>
  <c r="B106" i="5"/>
  <c r="D106" i="5"/>
  <c r="B107" i="5" a="1"/>
  <c r="B107" i="5"/>
  <c r="D107" i="5"/>
  <c r="B108" i="5" a="1"/>
  <c r="B108" i="5"/>
  <c r="D108" i="5"/>
  <c r="B109" i="5" a="1"/>
  <c r="B109" i="5"/>
  <c r="D109" i="5"/>
  <c r="B110" i="5" a="1"/>
  <c r="B110" i="5"/>
  <c r="D110" i="5"/>
  <c r="B111" i="5" a="1"/>
  <c r="B111" i="5"/>
  <c r="D111" i="5"/>
  <c r="B112" i="5" a="1"/>
  <c r="B112" i="5"/>
  <c r="D112" i="5"/>
  <c r="B113" i="5" a="1"/>
  <c r="B113" i="5"/>
  <c r="D113" i="5"/>
  <c r="B114" i="5" a="1"/>
  <c r="B114" i="5"/>
  <c r="D114" i="5"/>
  <c r="B115" i="5" a="1"/>
  <c r="B115" i="5"/>
  <c r="D115" i="5"/>
  <c r="B116" i="5" a="1"/>
  <c r="B116" i="5"/>
  <c r="D116" i="5"/>
  <c r="B117" i="5" a="1"/>
  <c r="B117" i="5"/>
  <c r="D117" i="5"/>
  <c r="B118" i="5" a="1"/>
  <c r="B118" i="5"/>
  <c r="D118" i="5"/>
  <c r="B119" i="5" a="1"/>
  <c r="B119" i="5"/>
  <c r="D119" i="5"/>
  <c r="B120" i="5" a="1"/>
  <c r="B120" i="5"/>
  <c r="D120" i="5"/>
  <c r="B121" i="5" a="1"/>
  <c r="B121" i="5"/>
  <c r="D121" i="5"/>
  <c r="B122" i="5" a="1"/>
  <c r="B122" i="5"/>
  <c r="D122" i="5"/>
  <c r="B123" i="5" a="1"/>
  <c r="B123" i="5"/>
  <c r="D123" i="5"/>
  <c r="B124" i="5" a="1"/>
  <c r="B124" i="5"/>
  <c r="D124" i="5"/>
  <c r="B125" i="5" a="1"/>
  <c r="B125" i="5"/>
  <c r="D125" i="5"/>
  <c r="B126" i="5" a="1"/>
  <c r="B126" i="5"/>
  <c r="D126" i="5"/>
  <c r="B127" i="5" a="1"/>
  <c r="B127" i="5"/>
  <c r="D127" i="5"/>
  <c r="B128" i="5" a="1"/>
  <c r="B128" i="5"/>
  <c r="D128" i="5"/>
  <c r="B129" i="5" a="1"/>
  <c r="B129" i="5"/>
  <c r="D129" i="5"/>
  <c r="B130" i="5" a="1"/>
  <c r="B130" i="5"/>
  <c r="D130" i="5"/>
  <c r="B131" i="5" a="1"/>
  <c r="B131" i="5"/>
  <c r="D131" i="5"/>
  <c r="B132" i="5" a="1"/>
  <c r="B132" i="5"/>
  <c r="D132" i="5"/>
  <c r="B133" i="5" a="1"/>
  <c r="B133" i="5"/>
  <c r="D133" i="5"/>
  <c r="B134" i="5" a="1"/>
  <c r="B134" i="5"/>
  <c r="D134" i="5"/>
  <c r="B135" i="5" a="1"/>
  <c r="B135" i="5"/>
  <c r="D135" i="5"/>
  <c r="B136" i="5" a="1"/>
  <c r="B136" i="5"/>
  <c r="D136" i="5"/>
  <c r="B137" i="5" a="1"/>
  <c r="B137" i="5"/>
  <c r="D137" i="5"/>
  <c r="B138" i="5" a="1"/>
  <c r="B138" i="5"/>
  <c r="D138" i="5"/>
  <c r="B139" i="5" a="1"/>
  <c r="B139" i="5"/>
  <c r="D139" i="5"/>
  <c r="B140" i="5" a="1"/>
  <c r="B140" i="5"/>
  <c r="D140" i="5"/>
  <c r="B141" i="5" a="1"/>
  <c r="B141" i="5"/>
  <c r="D141" i="5"/>
  <c r="B142" i="5" a="1"/>
  <c r="B142" i="5"/>
  <c r="D142" i="5"/>
  <c r="B143" i="5" a="1"/>
  <c r="B143" i="5"/>
  <c r="D143" i="5"/>
  <c r="B144" i="5" a="1"/>
  <c r="B144" i="5"/>
  <c r="D144" i="5"/>
  <c r="B145" i="5" a="1"/>
  <c r="B145" i="5"/>
  <c r="D145" i="5"/>
  <c r="B146" i="5" a="1"/>
  <c r="B146" i="5"/>
  <c r="D146" i="5"/>
  <c r="B10" i="5" a="1"/>
  <c r="B10" i="5"/>
  <c r="D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<sst xmlns="http://schemas.openxmlformats.org/spreadsheetml/2006/main" count="6062" uniqueCount="234">
  <si>
    <t>Name</t>
  </si>
  <si>
    <t>Dominant Tackles</t>
  </si>
  <si>
    <t>Line Breaks</t>
  </si>
  <si>
    <t>50-22</t>
  </si>
  <si>
    <t>Lineout Steal</t>
  </si>
  <si>
    <t>Breakdown Steal</t>
  </si>
  <si>
    <t>Try</t>
  </si>
  <si>
    <t>Conversion</t>
  </si>
  <si>
    <t>Penalty</t>
  </si>
  <si>
    <t>Drop Goal</t>
  </si>
  <si>
    <t>Yellow Card</t>
  </si>
  <si>
    <t>Red Card</t>
  </si>
  <si>
    <t>D. Penaud</t>
  </si>
  <si>
    <t>T. Ramos</t>
  </si>
  <si>
    <t>E. Dumortier</t>
  </si>
  <si>
    <t>G. Fickou</t>
  </si>
  <si>
    <t>Y. Moefana</t>
  </si>
  <si>
    <t>M. Jalibert</t>
  </si>
  <si>
    <t>R. Ntamack</t>
  </si>
  <si>
    <t>A. Dupont</t>
  </si>
  <si>
    <t>G. Alldritt</t>
  </si>
  <si>
    <t>F. Cros</t>
  </si>
  <si>
    <t>A. Jelonch</t>
  </si>
  <si>
    <t>S. Macalou</t>
  </si>
  <si>
    <t>C. Ollivon</t>
  </si>
  <si>
    <t>T. Flament</t>
  </si>
  <si>
    <t>R. Taofifenua</t>
  </si>
  <si>
    <t>P. Willemse</t>
  </si>
  <si>
    <t>U. Atonio</t>
  </si>
  <si>
    <t>C. Baille</t>
  </si>
  <si>
    <t>S. Falatea</t>
  </si>
  <si>
    <t>R. Wardi</t>
  </si>
  <si>
    <t>G. Barlot</t>
  </si>
  <si>
    <t>J. Marchand</t>
  </si>
  <si>
    <t>S. Hogg</t>
  </si>
  <si>
    <t>B. Kinghorn</t>
  </si>
  <si>
    <t>K. Steyn</t>
  </si>
  <si>
    <t>D. van der Merwe</t>
  </si>
  <si>
    <t>C. Harris</t>
  </si>
  <si>
    <t>H. Jones</t>
  </si>
  <si>
    <t>S. Tuipulotu</t>
  </si>
  <si>
    <t>F. Russell</t>
  </si>
  <si>
    <t>G. Horne</t>
  </si>
  <si>
    <t>B. White</t>
  </si>
  <si>
    <t>L. Crosbie</t>
  </si>
  <si>
    <t>J. Dempsey</t>
  </si>
  <si>
    <t>M. Fagerson</t>
  </si>
  <si>
    <t>J. Ritchie</t>
  </si>
  <si>
    <t>G. Gilchrist</t>
  </si>
  <si>
    <t>J. Gray</t>
  </si>
  <si>
    <t>R. Gray</t>
  </si>
  <si>
    <t>J. Bhatti</t>
  </si>
  <si>
    <t>Z. Fagerson</t>
  </si>
  <si>
    <t>W. Nel</t>
  </si>
  <si>
    <t>P. Schoeman</t>
  </si>
  <si>
    <t>F. Brown</t>
  </si>
  <si>
    <t>G. Turner</t>
  </si>
  <si>
    <t>J. Adams</t>
  </si>
  <si>
    <t>A. Cuthbert</t>
  </si>
  <si>
    <t>R. Dyer</t>
  </si>
  <si>
    <t>L. Williams</t>
  </si>
  <si>
    <t>J. Hawkins</t>
  </si>
  <si>
    <t>G. North</t>
  </si>
  <si>
    <t>D. Biggar</t>
  </si>
  <si>
    <t>R. Patchell</t>
  </si>
  <si>
    <t>R. Webb</t>
  </si>
  <si>
    <t>T. Williams</t>
  </si>
  <si>
    <t>T. Faletau</t>
  </si>
  <si>
    <t>J. Morgan</t>
  </si>
  <si>
    <t>T. Reffell</t>
  </si>
  <si>
    <t>A. Beard</t>
  </si>
  <si>
    <t>R. Davies</t>
  </si>
  <si>
    <t>D. Jenkins</t>
  </si>
  <si>
    <t>C. Tshiunza</t>
  </si>
  <si>
    <t>L. Brown</t>
  </si>
  <si>
    <t>R. Carre</t>
  </si>
  <si>
    <t>W. Jones</t>
  </si>
  <si>
    <t>D. Lewis</t>
  </si>
  <si>
    <t>S. Baldwin</t>
  </si>
  <si>
    <t>K. Owens</t>
  </si>
  <si>
    <t>H. Arundell</t>
  </si>
  <si>
    <t>O. Hassell-Collins</t>
  </si>
  <si>
    <t>M. Malins</t>
  </si>
  <si>
    <t>F. Steward</t>
  </si>
  <si>
    <t>O. Farrell</t>
  </si>
  <si>
    <t>O. Lawrence</t>
  </si>
  <si>
    <t>H. Slade</t>
  </si>
  <si>
    <t>M. Smith</t>
  </si>
  <si>
    <t>A. Mitchell</t>
  </si>
  <si>
    <t>J. van Poortvliet</t>
  </si>
  <si>
    <t>A. Dombrandt</t>
  </si>
  <si>
    <t>B. Earl</t>
  </si>
  <si>
    <t>L. Ludlam</t>
  </si>
  <si>
    <t>J. Willis</t>
  </si>
  <si>
    <t>O. Chessum</t>
  </si>
  <si>
    <t>N. Isiekwe</t>
  </si>
  <si>
    <t>M. Itoje</t>
  </si>
  <si>
    <t>D. Cole</t>
  </si>
  <si>
    <t>E. Genge</t>
  </si>
  <si>
    <t>K. Sinckler</t>
  </si>
  <si>
    <t>M. Vunipola</t>
  </si>
  <si>
    <t>J. George</t>
  </si>
  <si>
    <t>J. Walker</t>
  </si>
  <si>
    <t>P. Bruno</t>
  </si>
  <si>
    <t>A. Capuozzo</t>
  </si>
  <si>
    <t>A. Fusco</t>
  </si>
  <si>
    <t>T. Menoncello</t>
  </si>
  <si>
    <t>E. Padovani</t>
  </si>
  <si>
    <t>J. Brex</t>
  </si>
  <si>
    <t>L. Morisi</t>
  </si>
  <si>
    <t>T. Allan</t>
  </si>
  <si>
    <t>S. Varney</t>
  </si>
  <si>
    <t>E. Iachizzi</t>
  </si>
  <si>
    <t>M. Lamaro</t>
  </si>
  <si>
    <t>S. Negri</t>
  </si>
  <si>
    <t>J. Polledri</t>
  </si>
  <si>
    <t>L. Cannone</t>
  </si>
  <si>
    <t>N. Cannone</t>
  </si>
  <si>
    <t>F. Ruzza</t>
  </si>
  <si>
    <t>M. Zuliani</t>
  </si>
  <si>
    <t>S. Ferrari</t>
  </si>
  <si>
    <t>D. Fischetti</t>
  </si>
  <si>
    <t>M. Riccioni</t>
  </si>
  <si>
    <t>F. Zani</t>
  </si>
  <si>
    <t>L. Bigi</t>
  </si>
  <si>
    <t>G. Nicotera</t>
  </si>
  <si>
    <t>M. Hansen</t>
  </si>
  <si>
    <t>H. Keenan</t>
  </si>
  <si>
    <t>J. Lowe</t>
  </si>
  <si>
    <t>B. Aki</t>
  </si>
  <si>
    <t>S. McCloskey</t>
  </si>
  <si>
    <t>G. Ringrose</t>
  </si>
  <si>
    <t>R. Byrne</t>
  </si>
  <si>
    <t>J. Sexton</t>
  </si>
  <si>
    <t>C. Casey</t>
  </si>
  <si>
    <t>C. Murray</t>
  </si>
  <si>
    <t>J. Conan</t>
  </si>
  <si>
    <t>C. Doris</t>
  </si>
  <si>
    <t>P. O'Mahony</t>
  </si>
  <si>
    <t>J. van der Flier</t>
  </si>
  <si>
    <t>T. Beirne</t>
  </si>
  <si>
    <t>I. Henderson</t>
  </si>
  <si>
    <t>J. Ryan</t>
  </si>
  <si>
    <t>F. Bealham</t>
  </si>
  <si>
    <t>D. Kilcoyne</t>
  </si>
  <si>
    <t>T. O'Toole</t>
  </si>
  <si>
    <t>A. Porter</t>
  </si>
  <si>
    <t>R. Herring</t>
  </si>
  <si>
    <t>R. Kelleher</t>
  </si>
  <si>
    <t>J. O'Brien</t>
  </si>
  <si>
    <t>J. Crowley</t>
  </si>
  <si>
    <t>R. Baird</t>
  </si>
  <si>
    <t>D. Sheehan</t>
  </si>
  <si>
    <t>P. Garbisi</t>
  </si>
  <si>
    <t>G. Pettinelli</t>
  </si>
  <si>
    <t>L. Halfpenny</t>
  </si>
  <si>
    <t>L. Rees-Zammit</t>
  </si>
  <si>
    <t>M. Grady</t>
  </si>
  <si>
    <t>N. Tompkins</t>
  </si>
  <si>
    <t>O. Williams</t>
  </si>
  <si>
    <t>K. Hardy</t>
  </si>
  <si>
    <t>J. Tipuric</t>
  </si>
  <si>
    <t>A. Jones</t>
  </si>
  <si>
    <t>T. Francis</t>
  </si>
  <si>
    <t>G. Thomas</t>
  </si>
  <si>
    <t>B. Roberts</t>
  </si>
  <si>
    <t>A. Watson</t>
  </si>
  <si>
    <t>B. Curry</t>
  </si>
  <si>
    <t>C. Lawes</t>
  </si>
  <si>
    <t>M. Haouas</t>
  </si>
  <si>
    <t>A. Price</t>
  </si>
  <si>
    <t>S. Skinner</t>
  </si>
  <si>
    <t>H. Watson</t>
  </si>
  <si>
    <t>D. Ribbans</t>
  </si>
  <si>
    <t>M. Jaminet</t>
  </si>
  <si>
    <t>J. Danty</t>
  </si>
  <si>
    <t>M. Lucu</t>
  </si>
  <si>
    <t>D. Aldegheri</t>
  </si>
  <si>
    <t>P. Mauvaka</t>
  </si>
  <si>
    <t>S. Cummings</t>
  </si>
  <si>
    <t>S. Berghan</t>
  </si>
  <si>
    <t>R. Henshaw</t>
  </si>
  <si>
    <t>J. Gibson-Park</t>
  </si>
  <si>
    <t>T. Furlong</t>
  </si>
  <si>
    <t>C. Healy</t>
  </si>
  <si>
    <t>J. Marchant</t>
  </si>
  <si>
    <t>B. Youngs</t>
  </si>
  <si>
    <t>P. Ceccarelli</t>
  </si>
  <si>
    <t>Wales</t>
  </si>
  <si>
    <t>Ireland</t>
  </si>
  <si>
    <t>England</t>
  </si>
  <si>
    <t>Scotland</t>
  </si>
  <si>
    <t>Italy</t>
  </si>
  <si>
    <t>France</t>
  </si>
  <si>
    <t>Back Three</t>
  </si>
  <si>
    <t>Centre</t>
  </si>
  <si>
    <t>Fly Half</t>
  </si>
  <si>
    <t>Scrum Half</t>
  </si>
  <si>
    <t>Back Row</t>
  </si>
  <si>
    <t>Second Row</t>
  </si>
  <si>
    <t>Prop</t>
  </si>
  <si>
    <t>Hooker</t>
  </si>
  <si>
    <t>Position</t>
  </si>
  <si>
    <t>Nation</t>
  </si>
  <si>
    <t>Win</t>
  </si>
  <si>
    <t>Time Played</t>
  </si>
  <si>
    <t>MoM</t>
  </si>
  <si>
    <t>Tackles</t>
  </si>
  <si>
    <t>Metres Carried</t>
  </si>
  <si>
    <t>Assists</t>
  </si>
  <si>
    <t>Total Points</t>
  </si>
  <si>
    <t>Game Total</t>
  </si>
  <si>
    <t>Loss</t>
  </si>
  <si>
    <t>Win/Loss</t>
  </si>
  <si>
    <t>Points</t>
  </si>
  <si>
    <t>MOM</t>
  </si>
  <si>
    <t>Win Points</t>
  </si>
  <si>
    <t>Games Played</t>
  </si>
  <si>
    <t>Total MoM</t>
  </si>
  <si>
    <t>Average</t>
  </si>
  <si>
    <t>Total Average Points</t>
  </si>
  <si>
    <t>Subs</t>
  </si>
  <si>
    <t>y</t>
  </si>
  <si>
    <t>Round 2</t>
  </si>
  <si>
    <t>Round 1</t>
  </si>
  <si>
    <t>Round 3</t>
  </si>
  <si>
    <t>Round 4</t>
  </si>
  <si>
    <t/>
  </si>
  <si>
    <t>No. of Games</t>
  </si>
  <si>
    <t>Average Game Points (No Win Points)</t>
  </si>
  <si>
    <t>Overall Average</t>
  </si>
  <si>
    <t>Points from Bench</t>
  </si>
  <si>
    <t>Time Played from Bench</t>
  </si>
  <si>
    <t>Points per Min from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</si>
</sst>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4E4"/>
        <bgColor indexed="64"/>
      </patternFill>
    </fill>
  </fills>
  <borders count="42">
    <border>
      <left/>
      <right/>
      <top/>
      <bottom/>
      <diagonal/>
    </border>
    <border>
      <left style="thick">
        <color rgb="FFF2DA3D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E4E4E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2DA3D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FF6C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6C00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18E729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18E729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1FA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1FA000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62AE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62AEFF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0F55C9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0F55C9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2D99FD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2D99FD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78CCF8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ck">
        <color rgb="FF78CCF8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rgb="FFF2DA3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E4E4E4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indexed="64"/>
      </left>
      <right style="medium">
        <color rgb="FFE4E4E4"/>
      </right>
      <top style="medium">
        <color rgb="FFE4E4E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E4E4E4"/>
      </top>
      <bottom style="medium">
        <color rgb="FFE4E4E4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6" fillId="0" borderId="22" xfId="1" applyFont="1" applyBorder="1" applyAlignment="1">
      <alignment horizontal="center" vertical="top" wrapText="1"/>
    </xf>
    <xf numFmtId="0" fontId="6" fillId="0" borderId="23" xfId="1" applyFont="1" applyBorder="1" applyAlignment="1">
      <alignment horizontal="center" vertical="top" wrapText="1"/>
    </xf>
    <xf numFmtId="0" fontId="0" fillId="0" borderId="24" xfId="0" applyBorder="1"/>
    <xf numFmtId="0" fontId="0" fillId="0" borderId="25" xfId="0" applyBorder="1"/>
    <xf numFmtId="0" fontId="6" fillId="0" borderId="25" xfId="1" applyFont="1" applyBorder="1" applyAlignment="1">
      <alignment horizontal="center" vertical="top" wrapText="1"/>
    </xf>
    <xf numFmtId="0" fontId="6" fillId="0" borderId="26" xfId="1" applyFont="1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6" xfId="0" applyBorder="1"/>
    <xf numFmtId="0" fontId="0" fillId="0" borderId="30" xfId="0" applyBorder="1"/>
    <xf numFmtId="0" fontId="0" fillId="0" borderId="31" xfId="0" applyBorder="1"/>
    <xf numFmtId="0" fontId="4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21" xfId="0" applyBorder="1" applyAlignment="1">
      <alignment horizontal="center" wrapText="1"/>
    </xf>
    <xf numFmtId="0" fontId="0" fillId="0" borderId="23" xfId="0" applyBorder="1"/>
    <xf numFmtId="0" fontId="6" fillId="0" borderId="20" xfId="1" applyFont="1" applyBorder="1" applyAlignment="1">
      <alignment horizontal="center" vertical="top" wrapText="1"/>
    </xf>
    <xf numFmtId="0" fontId="4" fillId="3" borderId="34" xfId="0" applyFont="1" applyFill="1" applyBorder="1" applyAlignment="1">
      <alignment horizontal="left" vertical="center"/>
    </xf>
    <xf numFmtId="1" fontId="0" fillId="0" borderId="31" xfId="0" applyNumberFormat="1" applyBorder="1"/>
    <xf numFmtId="0" fontId="4" fillId="2" borderId="35" xfId="0" applyFont="1" applyFill="1" applyBorder="1" applyAlignment="1">
      <alignment horizontal="left" vertical="center"/>
    </xf>
    <xf numFmtId="0" fontId="4" fillId="3" borderId="35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4" fillId="3" borderId="36" xfId="0" applyFont="1" applyFill="1" applyBorder="1" applyAlignment="1">
      <alignment horizontal="left" vertical="center"/>
    </xf>
    <xf numFmtId="1" fontId="0" fillId="0" borderId="28" xfId="0" applyNumberFormat="1" applyBorder="1"/>
    <xf numFmtId="1" fontId="0" fillId="0" borderId="29" xfId="0" applyNumberFormat="1" applyBorder="1"/>
    <xf numFmtId="0" fontId="4" fillId="3" borderId="37" xfId="0" applyFont="1" applyFill="1" applyBorder="1" applyAlignment="1">
      <alignment horizontal="left" vertical="center"/>
    </xf>
    <xf numFmtId="2" fontId="0" fillId="0" borderId="0" xfId="0" applyNumberFormat="1"/>
    <xf numFmtId="0" fontId="6" fillId="0" borderId="21" xfId="1" applyFont="1" applyBorder="1" applyAlignment="1">
      <alignment horizontal="center" vertical="top" wrapText="1"/>
    </xf>
    <xf numFmtId="164" fontId="0" fillId="0" borderId="31" xfId="0" applyNumberFormat="1" applyBorder="1"/>
    <xf numFmtId="164" fontId="0" fillId="0" borderId="29" xfId="0" applyNumberFormat="1" applyBorder="1"/>
    <xf numFmtId="0" fontId="5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30" xfId="0" applyFont="1" applyBorder="1"/>
    <xf numFmtId="0" fontId="2" fillId="0" borderId="31" xfId="0" applyFont="1" applyBorder="1"/>
    <xf numFmtId="0" fontId="2" fillId="0" borderId="31" xfId="0" applyFont="1" applyBorder="1" applyAlignment="1">
      <alignment wrapText="1"/>
    </xf>
    <xf numFmtId="2" fontId="0" fillId="0" borderId="31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2" fillId="0" borderId="0" xfId="0" applyFont="1" applyAlignment="1">
      <alignment horizontal="center"/>
    </xf>
    <xf numFmtId="2" fontId="0" fillId="0" borderId="30" xfId="0" applyNumberFormat="1" applyBorder="1"/>
    <xf numFmtId="2" fontId="0" fillId="0" borderId="27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</cellXfs>
  <cellStyles count="2">
    <cellStyle name="Normal" xfId="0" builtinId="0"/>
    <cellStyle name="Normal 2" xfId="1" xr:uid="{F397FC4D-24C8-42C1-B672-AFE08C01C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917B-F3B9-4D2F-A466-5BEFF3598829}">
  <sheetPr>
    <tabColor theme="5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755B-B690-4648-BDA5-141817731BC7}">
  <sheetPr>
    <tabColor theme="5" tint="0.79998168889431442"/>
  </sheetPr>
  <dimension ref="A2:V144"/>
  <sheetViews>
    <sheetView topLeftCell="A15" workbookViewId="0">
      <selection activeCell="G27" sqref="G27"/>
    </sheetView>
  </sheetViews>
  <sheetFormatPr baseColWidth="10" defaultColWidth="8.83203125" defaultRowHeight="15" x14ac:dyDescent="0.2"/>
  <cols>
    <col min="5" max="5" width="11.1640625" customWidth="1"/>
  </cols>
  <sheetData>
    <row r="2" spans="1:22" x14ac:dyDescent="0.2">
      <c r="B2" t="s">
        <v>191</v>
      </c>
      <c r="C2" t="s">
        <v>204</v>
      </c>
      <c r="E2" t="s">
        <v>188</v>
      </c>
      <c r="F2">
        <v>10</v>
      </c>
      <c r="G2">
        <v>34</v>
      </c>
      <c r="H2" t="s">
        <v>189</v>
      </c>
    </row>
    <row r="3" spans="1:22" x14ac:dyDescent="0.2">
      <c r="B3" t="s">
        <v>188</v>
      </c>
      <c r="C3" t="s">
        <v>212</v>
      </c>
      <c r="E3" t="s">
        <v>190</v>
      </c>
      <c r="F3">
        <v>23</v>
      </c>
      <c r="G3">
        <v>29</v>
      </c>
      <c r="H3" t="s">
        <v>191</v>
      </c>
    </row>
    <row r="4" spans="1:22" x14ac:dyDescent="0.2">
      <c r="B4" t="s">
        <v>189</v>
      </c>
      <c r="C4" t="s">
        <v>204</v>
      </c>
      <c r="E4" t="s">
        <v>192</v>
      </c>
      <c r="F4">
        <v>24</v>
      </c>
      <c r="G4">
        <v>29</v>
      </c>
      <c r="H4" t="s">
        <v>193</v>
      </c>
    </row>
    <row r="5" spans="1:22" x14ac:dyDescent="0.2">
      <c r="B5" t="s">
        <v>190</v>
      </c>
      <c r="C5" t="s">
        <v>212</v>
      </c>
    </row>
    <row r="6" spans="1:22" x14ac:dyDescent="0.2">
      <c r="B6" t="s">
        <v>193</v>
      </c>
      <c r="C6" t="s">
        <v>204</v>
      </c>
    </row>
    <row r="7" spans="1:22" x14ac:dyDescent="0.2">
      <c r="B7" t="s">
        <v>192</v>
      </c>
      <c r="C7" t="s">
        <v>212</v>
      </c>
    </row>
    <row r="8" spans="1:22" ht="16" thickBot="1" x14ac:dyDescent="0.25"/>
    <row r="9" spans="1:22" ht="31" thickBot="1" x14ac:dyDescent="0.25">
      <c r="A9" s="39" t="s">
        <v>0</v>
      </c>
      <c r="B9" s="40" t="s">
        <v>203</v>
      </c>
      <c r="C9" s="40" t="s">
        <v>202</v>
      </c>
      <c r="D9" s="40" t="s">
        <v>213</v>
      </c>
      <c r="E9" s="40" t="s">
        <v>205</v>
      </c>
      <c r="F9" s="41" t="s">
        <v>207</v>
      </c>
      <c r="G9" s="41" t="s">
        <v>1</v>
      </c>
      <c r="H9" s="41" t="s">
        <v>2</v>
      </c>
      <c r="I9" s="41" t="s">
        <v>208</v>
      </c>
      <c r="J9" s="41" t="s">
        <v>3</v>
      </c>
      <c r="K9" s="41" t="s">
        <v>4</v>
      </c>
      <c r="L9" s="41" t="s">
        <v>5</v>
      </c>
      <c r="M9" s="41" t="s">
        <v>6</v>
      </c>
      <c r="N9" s="41" t="s">
        <v>209</v>
      </c>
      <c r="O9" s="41" t="s">
        <v>7</v>
      </c>
      <c r="P9" s="41" t="s">
        <v>8</v>
      </c>
      <c r="Q9" s="41" t="s">
        <v>9</v>
      </c>
      <c r="R9" s="41" t="s">
        <v>10</v>
      </c>
      <c r="S9" s="41" t="s">
        <v>11</v>
      </c>
      <c r="T9" s="41" t="s">
        <v>211</v>
      </c>
      <c r="U9" s="42" t="s">
        <v>206</v>
      </c>
      <c r="V9" s="35"/>
    </row>
    <row r="10" spans="1:22" ht="16" thickBot="1" x14ac:dyDescent="0.25">
      <c r="A10" s="53" t="s">
        <v>57</v>
      </c>
      <c r="B10" s="54" t="str" cm="1">
        <f t="array" ref="B10:C10">_xlfn.XLOOKUP(A10,'Player List'!$A$2:$A$177,'Player List'!$B$2:$C$177)</f>
        <v>Wales</v>
      </c>
      <c r="C10" s="54" t="str">
        <v>Back Three</v>
      </c>
      <c r="D10" s="54" t="str">
        <f>_xlfn.XLOOKUP(B10,$B$2:$B$7,$C$2:$C$7)</f>
        <v>Loss</v>
      </c>
      <c r="E10" s="54">
        <v>80</v>
      </c>
      <c r="F10" s="54">
        <v>3</v>
      </c>
      <c r="G10" s="54">
        <v>3</v>
      </c>
      <c r="H10" s="54"/>
      <c r="I10" s="54">
        <v>36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>
        <v>31.2</v>
      </c>
      <c r="U10" s="54"/>
    </row>
    <row r="11" spans="1:22" ht="16" thickBot="1" x14ac:dyDescent="0.25">
      <c r="A11" s="4" t="s">
        <v>58</v>
      </c>
      <c r="B11" s="5" t="str" cm="1">
        <f t="array" ref="B11:C11">_xlfn.XLOOKUP(A11,'Player List'!$A$2:$A$177,'Player List'!$B$2:$C$177)</f>
        <v>Wales</v>
      </c>
      <c r="C11" s="5" t="str">
        <v>Back Three</v>
      </c>
      <c r="D11" s="5" t="str">
        <f t="shared" ref="D11:D74" si="0">_xlfn.XLOOKUP(B11,$B$2:$B$7,$C$2:$C$7)</f>
        <v>Loss</v>
      </c>
      <c r="E11" s="5">
        <v>12</v>
      </c>
      <c r="F11" s="5">
        <v>1</v>
      </c>
      <c r="G11" s="5"/>
      <c r="H11" s="5"/>
      <c r="I11" s="5">
        <v>28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6.6</v>
      </c>
      <c r="U11" s="5"/>
    </row>
    <row r="12" spans="1:22" ht="16" thickBot="1" x14ac:dyDescent="0.25">
      <c r="A12" s="1" t="s">
        <v>59</v>
      </c>
      <c r="B12" s="34" t="str" cm="1">
        <f t="array" ref="B12:C12">_xlfn.XLOOKUP(A12,'Player List'!$A$2:$A$177,'Player List'!$B$2:$C$177)</f>
        <v>Wales</v>
      </c>
      <c r="C12" s="34" t="str">
        <v>Back Three</v>
      </c>
      <c r="D12" s="34" t="str">
        <f t="shared" si="0"/>
        <v>Loss</v>
      </c>
      <c r="E12" s="2">
        <v>68</v>
      </c>
      <c r="F12" s="2">
        <v>4</v>
      </c>
      <c r="G12" s="2"/>
      <c r="H12" s="2">
        <v>2</v>
      </c>
      <c r="I12" s="2">
        <v>107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3">
        <v>39.4</v>
      </c>
      <c r="U12" s="2"/>
    </row>
    <row r="13" spans="1:22" ht="16" thickBot="1" x14ac:dyDescent="0.25">
      <c r="A13" s="4" t="s">
        <v>60</v>
      </c>
      <c r="B13" s="34" t="str" cm="1">
        <f t="array" ref="B13:C13">_xlfn.XLOOKUP(A13,'Player List'!$A$2:$A$177,'Player List'!$B$2:$C$177)</f>
        <v>Wales</v>
      </c>
      <c r="C13" s="34" t="str">
        <v>Back Three</v>
      </c>
      <c r="D13" s="34" t="str">
        <f t="shared" si="0"/>
        <v>Loss</v>
      </c>
      <c r="E13" s="5">
        <v>70</v>
      </c>
      <c r="F13" s="5">
        <v>2</v>
      </c>
      <c r="G13" s="5"/>
      <c r="H13" s="5">
        <v>2</v>
      </c>
      <c r="I13" s="5">
        <v>108</v>
      </c>
      <c r="J13" s="5"/>
      <c r="K13" s="5"/>
      <c r="L13" s="5">
        <v>1</v>
      </c>
      <c r="M13" s="5">
        <v>1</v>
      </c>
      <c r="N13" s="5"/>
      <c r="O13" s="5"/>
      <c r="P13" s="5"/>
      <c r="Q13" s="5"/>
      <c r="R13" s="5">
        <v>1</v>
      </c>
      <c r="S13" s="5"/>
      <c r="T13" s="6">
        <v>54.6</v>
      </c>
      <c r="U13" s="5"/>
    </row>
    <row r="14" spans="1:22" ht="16" thickBot="1" x14ac:dyDescent="0.25">
      <c r="A14" s="7" t="s">
        <v>61</v>
      </c>
      <c r="B14" s="34" t="str" cm="1">
        <f t="array" ref="B14:C14">_xlfn.XLOOKUP(A14,'Player List'!$A$2:$A$177,'Player List'!$B$2:$C$177)</f>
        <v>Wales</v>
      </c>
      <c r="C14" s="34" t="str">
        <v>Centre</v>
      </c>
      <c r="D14" s="34" t="str">
        <f t="shared" si="0"/>
        <v>Loss</v>
      </c>
      <c r="E14" s="2">
        <v>80</v>
      </c>
      <c r="F14" s="2">
        <v>6</v>
      </c>
      <c r="G14" s="2">
        <v>1</v>
      </c>
      <c r="H14" s="2">
        <v>1</v>
      </c>
      <c r="I14" s="2">
        <v>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3">
        <v>35</v>
      </c>
      <c r="U14" s="2"/>
    </row>
    <row r="15" spans="1:22" ht="16" thickBot="1" x14ac:dyDescent="0.25">
      <c r="A15" s="8" t="s">
        <v>62</v>
      </c>
      <c r="B15" s="34" t="str" cm="1">
        <f t="array" ref="B15:C15">_xlfn.XLOOKUP(A15,'Player List'!$A$2:$A$177,'Player List'!$B$2:$C$177)</f>
        <v>Wales</v>
      </c>
      <c r="C15" s="34" t="str">
        <v>Centre</v>
      </c>
      <c r="D15" s="34" t="str">
        <f t="shared" si="0"/>
        <v>Loss</v>
      </c>
      <c r="E15" s="5">
        <v>80</v>
      </c>
      <c r="F15" s="5">
        <v>4</v>
      </c>
      <c r="G15" s="5"/>
      <c r="H15" s="5"/>
      <c r="I15" s="5">
        <v>58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6">
        <v>15.6</v>
      </c>
      <c r="U15" s="5"/>
    </row>
    <row r="16" spans="1:22" ht="16" thickBot="1" x14ac:dyDescent="0.25">
      <c r="A16" s="9" t="s">
        <v>63</v>
      </c>
      <c r="B16" s="34" t="str" cm="1">
        <f t="array" ref="B16:C16">_xlfn.XLOOKUP(A16,'Player List'!$A$2:$A$177,'Player List'!$B$2:$C$177)</f>
        <v>Wales</v>
      </c>
      <c r="C16" s="34" t="str">
        <v>Fly Half</v>
      </c>
      <c r="D16" s="34" t="str">
        <f t="shared" si="0"/>
        <v>Loss</v>
      </c>
      <c r="E16" s="2">
        <v>67</v>
      </c>
      <c r="F16" s="2">
        <v>9</v>
      </c>
      <c r="G16" s="2"/>
      <c r="H16" s="2">
        <v>1</v>
      </c>
      <c r="I16" s="2">
        <v>35</v>
      </c>
      <c r="J16" s="2"/>
      <c r="K16" s="2"/>
      <c r="L16" s="2"/>
      <c r="M16" s="2"/>
      <c r="N16" s="2">
        <v>1</v>
      </c>
      <c r="O16" s="2">
        <v>1</v>
      </c>
      <c r="P16" s="2">
        <v>1</v>
      </c>
      <c r="Q16" s="2"/>
      <c r="R16" s="2"/>
      <c r="S16" s="2"/>
      <c r="T16" s="3">
        <v>37</v>
      </c>
      <c r="U16" s="2"/>
    </row>
    <row r="17" spans="1:21" ht="16" thickBot="1" x14ac:dyDescent="0.25">
      <c r="A17" s="10" t="s">
        <v>159</v>
      </c>
      <c r="B17" s="34" t="str" cm="1">
        <f t="array" ref="B17:C17">_xlfn.XLOOKUP(A17,'Player List'!$A$2:$A$177,'Player List'!$B$2:$C$177)</f>
        <v>Wales</v>
      </c>
      <c r="C17" s="34" t="str">
        <v>Fly Half</v>
      </c>
      <c r="D17" s="34" t="str">
        <f t="shared" si="0"/>
        <v>Loss</v>
      </c>
      <c r="E17" s="5">
        <v>13</v>
      </c>
      <c r="F17" s="5">
        <v>1</v>
      </c>
      <c r="G17" s="5"/>
      <c r="H17" s="5"/>
      <c r="I17" s="5">
        <v>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6">
        <v>1.8</v>
      </c>
      <c r="U17" s="5"/>
    </row>
    <row r="18" spans="1:21" ht="16" thickBot="1" x14ac:dyDescent="0.25">
      <c r="A18" s="11" t="s">
        <v>65</v>
      </c>
      <c r="B18" s="34" t="str" cm="1">
        <f t="array" ref="B18:C18">_xlfn.XLOOKUP(A18,'Player List'!$A$2:$A$177,'Player List'!$B$2:$C$177)</f>
        <v>Wales</v>
      </c>
      <c r="C18" s="34" t="str">
        <v>Scrum Half</v>
      </c>
      <c r="D18" s="34" t="str">
        <f t="shared" si="0"/>
        <v>Loss</v>
      </c>
      <c r="E18" s="2">
        <v>17</v>
      </c>
      <c r="F18" s="2">
        <v>2</v>
      </c>
      <c r="G18" s="2">
        <v>1</v>
      </c>
      <c r="H18" s="2"/>
      <c r="I18" s="2">
        <v>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v>9.1999999999999993</v>
      </c>
      <c r="U18" s="2"/>
    </row>
    <row r="19" spans="1:21" ht="16" thickBot="1" x14ac:dyDescent="0.25">
      <c r="A19" s="12" t="s">
        <v>66</v>
      </c>
      <c r="B19" s="34" t="str" cm="1">
        <f t="array" ref="B19:C19">_xlfn.XLOOKUP(A19,'Player List'!$A$2:$A$177,'Player List'!$B$2:$C$177)</f>
        <v>Wales</v>
      </c>
      <c r="C19" s="34" t="str">
        <v>Scrum Half</v>
      </c>
      <c r="D19" s="34" t="str">
        <f t="shared" si="0"/>
        <v>Loss</v>
      </c>
      <c r="E19" s="5">
        <v>63</v>
      </c>
      <c r="F19" s="5">
        <v>6</v>
      </c>
      <c r="G19" s="5"/>
      <c r="H19" s="5"/>
      <c r="I19" s="5">
        <v>19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6">
        <v>9.8000000000000007</v>
      </c>
      <c r="U19" s="5"/>
    </row>
    <row r="20" spans="1:21" ht="16" thickBot="1" x14ac:dyDescent="0.25">
      <c r="A20" s="13" t="s">
        <v>67</v>
      </c>
      <c r="B20" s="34" t="str" cm="1">
        <f t="array" ref="B20:C20">_xlfn.XLOOKUP(A20,'Player List'!$A$2:$A$177,'Player List'!$B$2:$C$177)</f>
        <v>Wales</v>
      </c>
      <c r="C20" s="34" t="str">
        <v>Back Row</v>
      </c>
      <c r="D20" s="34" t="str">
        <f t="shared" si="0"/>
        <v>Loss</v>
      </c>
      <c r="E20" s="2">
        <v>80</v>
      </c>
      <c r="F20" s="2">
        <v>20</v>
      </c>
      <c r="G20" s="2">
        <v>1</v>
      </c>
      <c r="H20" s="2"/>
      <c r="I20" s="2">
        <v>49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v>36.799999999999997</v>
      </c>
      <c r="U20" s="2"/>
    </row>
    <row r="21" spans="1:21" ht="16" thickBot="1" x14ac:dyDescent="0.25">
      <c r="A21" s="14" t="s">
        <v>68</v>
      </c>
      <c r="B21" s="34" t="str" cm="1">
        <f t="array" ref="B21:C21">_xlfn.XLOOKUP(A21,'Player List'!$A$2:$A$177,'Player List'!$B$2:$C$177)</f>
        <v>Wales</v>
      </c>
      <c r="C21" s="34" t="str">
        <v>Back Row</v>
      </c>
      <c r="D21" s="34" t="str">
        <f t="shared" si="0"/>
        <v>Loss</v>
      </c>
      <c r="E21" s="5">
        <v>80</v>
      </c>
      <c r="F21" s="5">
        <v>14</v>
      </c>
      <c r="G21" s="5">
        <v>3</v>
      </c>
      <c r="H21" s="5"/>
      <c r="I21" s="5">
        <v>43</v>
      </c>
      <c r="J21" s="5"/>
      <c r="K21" s="5"/>
      <c r="L21" s="5">
        <v>1</v>
      </c>
      <c r="M21" s="5"/>
      <c r="N21" s="5"/>
      <c r="O21" s="5"/>
      <c r="P21" s="5"/>
      <c r="Q21" s="5"/>
      <c r="R21" s="5"/>
      <c r="S21" s="5"/>
      <c r="T21" s="6">
        <v>50.6</v>
      </c>
      <c r="U21" s="5"/>
    </row>
    <row r="22" spans="1:21" ht="16" thickBot="1" x14ac:dyDescent="0.25">
      <c r="A22" s="13" t="s">
        <v>69</v>
      </c>
      <c r="B22" s="34" t="str" cm="1">
        <f t="array" ref="B22:C22">_xlfn.XLOOKUP(A22,'Player List'!$A$2:$A$177,'Player List'!$B$2:$C$177)</f>
        <v>Wales</v>
      </c>
      <c r="C22" s="34" t="str">
        <v>Back Row</v>
      </c>
      <c r="D22" s="34" t="str">
        <f t="shared" si="0"/>
        <v>Loss</v>
      </c>
      <c r="E22" s="2">
        <v>26</v>
      </c>
      <c r="F22" s="2">
        <v>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v>8</v>
      </c>
      <c r="U22" s="2"/>
    </row>
    <row r="23" spans="1:21" ht="16" thickBot="1" x14ac:dyDescent="0.25">
      <c r="A23" s="14" t="s">
        <v>161</v>
      </c>
      <c r="B23" s="34" t="str" cm="1">
        <f t="array" ref="B23:C23">_xlfn.XLOOKUP(A23,'Player List'!$A$2:$A$177,'Player List'!$B$2:$C$177)</f>
        <v>Wales</v>
      </c>
      <c r="C23" s="34" t="str">
        <v>Back Row</v>
      </c>
      <c r="D23" s="34" t="str">
        <f t="shared" si="0"/>
        <v>Loss</v>
      </c>
      <c r="E23" s="5">
        <v>54</v>
      </c>
      <c r="F23" s="5">
        <v>11</v>
      </c>
      <c r="G23" s="5">
        <v>3</v>
      </c>
      <c r="H23" s="5"/>
      <c r="I23" s="5">
        <v>18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35.6</v>
      </c>
      <c r="U23" s="5"/>
    </row>
    <row r="24" spans="1:21" ht="16" thickBot="1" x14ac:dyDescent="0.25">
      <c r="A24" s="15" t="s">
        <v>70</v>
      </c>
      <c r="B24" s="34" t="str" cm="1">
        <f t="array" ref="B24:C24">_xlfn.XLOOKUP(A24,'Player List'!$A$2:$A$177,'Player List'!$B$2:$C$177)</f>
        <v>Wales</v>
      </c>
      <c r="C24" s="34" t="str">
        <v>Second Row</v>
      </c>
      <c r="D24" s="34" t="str">
        <f t="shared" si="0"/>
        <v>Loss</v>
      </c>
      <c r="E24" s="2">
        <v>80</v>
      </c>
      <c r="F24" s="2">
        <v>13</v>
      </c>
      <c r="G24" s="2">
        <v>2</v>
      </c>
      <c r="H24" s="2"/>
      <c r="I24" s="2">
        <v>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3">
        <v>28.4</v>
      </c>
      <c r="U24" s="2"/>
    </row>
    <row r="25" spans="1:21" ht="16" thickBot="1" x14ac:dyDescent="0.25">
      <c r="A25" s="16" t="s">
        <v>72</v>
      </c>
      <c r="B25" s="34" t="str" cm="1">
        <f t="array" ref="B25:C25">_xlfn.XLOOKUP(A25,'Player List'!$A$2:$A$177,'Player List'!$B$2:$C$177)</f>
        <v>Wales</v>
      </c>
      <c r="C25" s="34" t="str">
        <v>Second Row</v>
      </c>
      <c r="D25" s="34" t="str">
        <f t="shared" si="0"/>
        <v>Loss</v>
      </c>
      <c r="E25" s="5">
        <v>19</v>
      </c>
      <c r="F25" s="5">
        <v>3</v>
      </c>
      <c r="G25" s="5"/>
      <c r="H25" s="5"/>
      <c r="I25" s="5">
        <v>35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10</v>
      </c>
      <c r="U25" s="5"/>
    </row>
    <row r="26" spans="1:21" ht="16" thickBot="1" x14ac:dyDescent="0.25">
      <c r="A26" s="15" t="s">
        <v>162</v>
      </c>
      <c r="B26" s="34" t="str" cm="1">
        <f t="array" ref="B26:C26">_xlfn.XLOOKUP(A26,'Player List'!$A$2:$A$177,'Player List'!$B$2:$C$177)</f>
        <v>Wales</v>
      </c>
      <c r="C26" s="34" t="str">
        <v>Second Row</v>
      </c>
      <c r="D26" s="34" t="str">
        <f t="shared" si="0"/>
        <v>Loss</v>
      </c>
      <c r="E26" s="2">
        <v>61</v>
      </c>
      <c r="F26" s="2">
        <v>10</v>
      </c>
      <c r="G26" s="2">
        <v>1</v>
      </c>
      <c r="H26" s="2"/>
      <c r="I26" s="2">
        <v>29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3">
        <v>22.8</v>
      </c>
      <c r="U26" s="2"/>
    </row>
    <row r="27" spans="1:21" ht="16" thickBot="1" x14ac:dyDescent="0.25">
      <c r="A27" s="17" t="s">
        <v>75</v>
      </c>
      <c r="B27" s="34" t="str" cm="1">
        <f t="array" ref="B27:C27">_xlfn.XLOOKUP(A27,'Player List'!$A$2:$A$177,'Player List'!$B$2:$C$177)</f>
        <v>Wales</v>
      </c>
      <c r="C27" s="34" t="str">
        <v>Prop</v>
      </c>
      <c r="D27" s="34" t="str">
        <f t="shared" si="0"/>
        <v>Loss</v>
      </c>
      <c r="E27" s="5">
        <v>26</v>
      </c>
      <c r="F27" s="5">
        <v>3</v>
      </c>
      <c r="G27" s="5"/>
      <c r="H27" s="5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  <c r="T27" s="6">
        <v>10</v>
      </c>
      <c r="U27" s="5"/>
    </row>
    <row r="28" spans="1:21" ht="16" thickBot="1" x14ac:dyDescent="0.25">
      <c r="A28" s="18" t="s">
        <v>163</v>
      </c>
      <c r="B28" s="34" t="str" cm="1">
        <f t="array" ref="B28:C28">_xlfn.XLOOKUP(A28,'Player List'!$A$2:$A$177,'Player List'!$B$2:$C$177)</f>
        <v>Wales</v>
      </c>
      <c r="C28" s="34" t="str">
        <v>Prop</v>
      </c>
      <c r="D28" s="34" t="str">
        <f t="shared" si="0"/>
        <v>Loss</v>
      </c>
      <c r="E28" s="2">
        <v>40</v>
      </c>
      <c r="F28" s="2">
        <v>9</v>
      </c>
      <c r="G28" s="2">
        <v>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>
        <v>30</v>
      </c>
      <c r="U28" s="2"/>
    </row>
    <row r="29" spans="1:21" ht="16" thickBot="1" x14ac:dyDescent="0.25">
      <c r="A29" s="17" t="s">
        <v>77</v>
      </c>
      <c r="B29" s="34" t="str" cm="1">
        <f t="array" ref="B29:C29">_xlfn.XLOOKUP(A29,'Player List'!$A$2:$A$177,'Player List'!$B$2:$C$177)</f>
        <v>Wales</v>
      </c>
      <c r="C29" s="34" t="str">
        <v>Prop</v>
      </c>
      <c r="D29" s="34" t="str">
        <f t="shared" si="0"/>
        <v>Loss</v>
      </c>
      <c r="E29" s="5">
        <v>40</v>
      </c>
      <c r="F29" s="5">
        <v>5</v>
      </c>
      <c r="G29" s="5"/>
      <c r="H29" s="5"/>
      <c r="I29" s="5">
        <v>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6">
        <v>6.4</v>
      </c>
      <c r="U29" s="5"/>
    </row>
    <row r="30" spans="1:21" ht="16" thickBot="1" x14ac:dyDescent="0.25">
      <c r="A30" s="18" t="s">
        <v>164</v>
      </c>
      <c r="B30" s="34" t="str" cm="1">
        <f t="array" ref="B30:C30">_xlfn.XLOOKUP(A30,'Player List'!$A$2:$A$177,'Player List'!$B$2:$C$177)</f>
        <v>Wales</v>
      </c>
      <c r="C30" s="34" t="str">
        <v>Prop</v>
      </c>
      <c r="D30" s="34" t="str">
        <f t="shared" si="0"/>
        <v>Loss</v>
      </c>
      <c r="E30" s="2">
        <v>54</v>
      </c>
      <c r="F30" s="2">
        <v>11</v>
      </c>
      <c r="G30" s="2">
        <v>2</v>
      </c>
      <c r="H30" s="2"/>
      <c r="I30" s="2">
        <v>21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3">
        <v>29.2</v>
      </c>
      <c r="U30" s="2"/>
    </row>
    <row r="31" spans="1:21" ht="16" thickBot="1" x14ac:dyDescent="0.25">
      <c r="A31" s="19" t="s">
        <v>78</v>
      </c>
      <c r="B31" s="34" t="str" cm="1">
        <f t="array" ref="B31:C31">_xlfn.XLOOKUP(A31,'Player List'!$A$2:$A$177,'Player List'!$B$2:$C$177)</f>
        <v>Wales</v>
      </c>
      <c r="C31" s="34" t="str">
        <v>Hooker</v>
      </c>
      <c r="D31" s="34" t="str">
        <f t="shared" si="0"/>
        <v>Loss</v>
      </c>
      <c r="E31" s="5">
        <v>19</v>
      </c>
      <c r="F31" s="5">
        <v>2</v>
      </c>
      <c r="G31" s="5"/>
      <c r="H31" s="5"/>
      <c r="I31" s="5">
        <v>19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6">
        <v>5.8</v>
      </c>
      <c r="U31" s="5"/>
    </row>
    <row r="32" spans="1:21" ht="16" thickBot="1" x14ac:dyDescent="0.25">
      <c r="A32" s="20" t="s">
        <v>79</v>
      </c>
      <c r="B32" s="34" t="str" cm="1">
        <f t="array" ref="B32:C32">_xlfn.XLOOKUP(A32,'Player List'!$A$2:$A$177,'Player List'!$B$2:$C$177)</f>
        <v>Wales</v>
      </c>
      <c r="C32" s="34" t="str">
        <v>Hooker</v>
      </c>
      <c r="D32" s="34" t="str">
        <f t="shared" si="0"/>
        <v>Loss</v>
      </c>
      <c r="E32" s="2">
        <v>61</v>
      </c>
      <c r="F32" s="2">
        <v>12</v>
      </c>
      <c r="G32" s="2">
        <v>3</v>
      </c>
      <c r="H32" s="2"/>
      <c r="I32" s="2">
        <v>38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3">
        <v>40.6</v>
      </c>
      <c r="U32" s="2"/>
    </row>
    <row r="33" spans="1:21" ht="16" thickBot="1" x14ac:dyDescent="0.25">
      <c r="A33" s="1" t="s">
        <v>126</v>
      </c>
      <c r="B33" s="34" t="str" cm="1">
        <f t="array" ref="B33:C33">_xlfn.XLOOKUP(A33,'Player List'!$A$2:$A$177,'Player List'!$B$2:$C$177)</f>
        <v>Ireland</v>
      </c>
      <c r="C33" s="34" t="str">
        <v>Back Three</v>
      </c>
      <c r="D33" s="34" t="str">
        <f t="shared" si="0"/>
        <v>Win</v>
      </c>
      <c r="E33" s="2">
        <v>80</v>
      </c>
      <c r="F33" s="2">
        <v>5</v>
      </c>
      <c r="G33" s="2">
        <v>2</v>
      </c>
      <c r="H33" s="2">
        <v>1</v>
      </c>
      <c r="I33" s="2">
        <v>34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3">
        <v>40.799999999999997</v>
      </c>
      <c r="U33" s="2"/>
    </row>
    <row r="34" spans="1:21" ht="16" thickBot="1" x14ac:dyDescent="0.25">
      <c r="A34" s="4" t="s">
        <v>127</v>
      </c>
      <c r="B34" s="34" t="str" cm="1">
        <f t="array" ref="B34:C34">_xlfn.XLOOKUP(A34,'Player List'!$A$2:$A$177,'Player List'!$B$2:$C$177)</f>
        <v>Ireland</v>
      </c>
      <c r="C34" s="34" t="str">
        <v>Back Three</v>
      </c>
      <c r="D34" s="34" t="str">
        <f t="shared" si="0"/>
        <v>Win</v>
      </c>
      <c r="E34" s="5">
        <v>80</v>
      </c>
      <c r="F34" s="5"/>
      <c r="G34" s="5"/>
      <c r="H34" s="5"/>
      <c r="I34" s="5">
        <v>86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6">
        <v>40.200000000000003</v>
      </c>
      <c r="U34" s="5">
        <v>1</v>
      </c>
    </row>
    <row r="35" spans="1:21" ht="16" thickBot="1" x14ac:dyDescent="0.25">
      <c r="A35" s="8" t="s">
        <v>129</v>
      </c>
      <c r="B35" s="34" t="str" cm="1">
        <f t="array" ref="B35:C35">_xlfn.XLOOKUP(A35,'Player List'!$A$2:$A$177,'Player List'!$B$2:$C$177)</f>
        <v>Ireland</v>
      </c>
      <c r="C35" s="34" t="str">
        <v>Centre</v>
      </c>
      <c r="D35" s="34" t="str">
        <f>_xlfn.XLOOKUP(B35,$B$2:$B$7,$C$2:$C$7)</f>
        <v>Win</v>
      </c>
      <c r="E35" s="2">
        <v>80</v>
      </c>
      <c r="F35" s="2">
        <v>4</v>
      </c>
      <c r="G35" s="2"/>
      <c r="H35" s="2">
        <v>1</v>
      </c>
      <c r="I35" s="2">
        <v>112</v>
      </c>
      <c r="J35" s="2"/>
      <c r="K35" s="2"/>
      <c r="L35" s="2">
        <v>1</v>
      </c>
      <c r="M35" s="2">
        <v>1</v>
      </c>
      <c r="N35" s="2"/>
      <c r="O35" s="2"/>
      <c r="P35" s="2"/>
      <c r="Q35" s="2"/>
      <c r="R35" s="2"/>
      <c r="S35" s="2"/>
      <c r="T35" s="3">
        <v>63.4</v>
      </c>
      <c r="U35" s="2"/>
    </row>
    <row r="36" spans="1:21" ht="16" thickBot="1" x14ac:dyDescent="0.25">
      <c r="A36" s="7" t="s">
        <v>130</v>
      </c>
      <c r="B36" s="34" t="str" cm="1">
        <f t="array" ref="B36:C36">_xlfn.XLOOKUP(A35,'Player List'!$A$2:$A$177,'Player List'!$B$2:$C$177)</f>
        <v>Ireland</v>
      </c>
      <c r="C36" s="34" t="str">
        <v>Centre</v>
      </c>
      <c r="D36" s="34" t="str">
        <f t="shared" si="0"/>
        <v>Win</v>
      </c>
      <c r="E36" s="5">
        <v>20</v>
      </c>
      <c r="F36" s="5">
        <v>2</v>
      </c>
      <c r="G36" s="5"/>
      <c r="H36" s="5"/>
      <c r="I36" s="5">
        <v>13</v>
      </c>
      <c r="J36" s="5"/>
      <c r="K36" s="5"/>
      <c r="L36" s="5">
        <v>1</v>
      </c>
      <c r="M36" s="5"/>
      <c r="N36" s="5"/>
      <c r="O36" s="5"/>
      <c r="P36" s="5"/>
      <c r="Q36" s="5"/>
      <c r="R36" s="5"/>
      <c r="S36" s="5"/>
      <c r="T36" s="6">
        <v>13.6</v>
      </c>
      <c r="U36" s="5"/>
    </row>
    <row r="37" spans="1:21" ht="16" thickBot="1" x14ac:dyDescent="0.25">
      <c r="A37" s="8" t="s">
        <v>131</v>
      </c>
      <c r="B37" s="34" t="str" cm="1">
        <f t="array" ref="B37:C37">_xlfn.XLOOKUP(A36,'Player List'!$A$2:$A$177,'Player List'!$B$2:$C$177)</f>
        <v>Ireland</v>
      </c>
      <c r="C37" s="34" t="str">
        <v>Centre</v>
      </c>
      <c r="D37" s="34" t="str">
        <f t="shared" si="0"/>
        <v>Win</v>
      </c>
      <c r="E37" s="2">
        <v>60</v>
      </c>
      <c r="F37" s="2">
        <v>7</v>
      </c>
      <c r="G37" s="2"/>
      <c r="H37" s="2"/>
      <c r="I37" s="2">
        <v>66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3">
        <v>26.2</v>
      </c>
      <c r="U37" s="2"/>
    </row>
    <row r="38" spans="1:21" ht="16" thickBot="1" x14ac:dyDescent="0.25">
      <c r="A38" s="9" t="s">
        <v>132</v>
      </c>
      <c r="B38" s="34" t="str" cm="1">
        <f t="array" ref="B38:C38">_xlfn.XLOOKUP(A37,'Player List'!$A$2:$A$177,'Player List'!$B$2:$C$177)</f>
        <v>Ireland</v>
      </c>
      <c r="C38" s="34" t="str">
        <v>Centre</v>
      </c>
      <c r="D38" s="34" t="str">
        <f t="shared" si="0"/>
        <v>Win</v>
      </c>
      <c r="E38" s="5">
        <v>80</v>
      </c>
      <c r="F38" s="5">
        <v>10</v>
      </c>
      <c r="G38" s="5"/>
      <c r="H38" s="5"/>
      <c r="I38" s="5">
        <v>49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6">
        <v>27.8</v>
      </c>
      <c r="U38" s="5"/>
    </row>
    <row r="39" spans="1:21" ht="16" thickBot="1" x14ac:dyDescent="0.25">
      <c r="A39" s="10" t="s">
        <v>133</v>
      </c>
      <c r="B39" s="34" t="str" cm="1">
        <f t="array" ref="B39:C39">_xlfn.XLOOKUP(A38,'Player List'!$A$2:$A$177,'Player List'!$B$2:$C$177)</f>
        <v>Ireland</v>
      </c>
      <c r="C39" s="34" t="str">
        <v>Fly Half</v>
      </c>
      <c r="D39" s="34" t="str">
        <f t="shared" si="0"/>
        <v>Win</v>
      </c>
      <c r="E39" s="2">
        <v>12</v>
      </c>
      <c r="F39" s="2"/>
      <c r="G39" s="2"/>
      <c r="H39" s="2"/>
      <c r="I39" s="2">
        <v>11</v>
      </c>
      <c r="J39" s="2"/>
      <c r="K39" s="2"/>
      <c r="L39" s="2"/>
      <c r="M39" s="2"/>
      <c r="N39" s="2"/>
      <c r="O39" s="2">
        <v>1</v>
      </c>
      <c r="P39" s="2"/>
      <c r="Q39" s="2"/>
      <c r="R39" s="2"/>
      <c r="S39" s="2"/>
      <c r="T39" s="3">
        <v>5.4</v>
      </c>
      <c r="U39" s="2"/>
    </row>
    <row r="40" spans="1:21" ht="16" thickBot="1" x14ac:dyDescent="0.25">
      <c r="A40" s="11" t="s">
        <v>134</v>
      </c>
      <c r="B40" s="34" t="str" cm="1">
        <f t="array" ref="B40:C40">_xlfn.XLOOKUP(A39,'Player List'!$A$2:$A$177,'Player List'!$B$2:$C$177)</f>
        <v>Ireland</v>
      </c>
      <c r="C40" s="34" t="str">
        <v>Fly Half</v>
      </c>
      <c r="D40" s="34" t="str">
        <f t="shared" si="0"/>
        <v>Win</v>
      </c>
      <c r="E40" s="5">
        <v>68</v>
      </c>
      <c r="F40" s="5">
        <v>7</v>
      </c>
      <c r="G40" s="5"/>
      <c r="H40" s="5"/>
      <c r="I40" s="5">
        <v>30</v>
      </c>
      <c r="J40" s="5"/>
      <c r="K40" s="5"/>
      <c r="L40" s="5">
        <v>1</v>
      </c>
      <c r="M40" s="5"/>
      <c r="N40" s="5"/>
      <c r="O40" s="5">
        <v>3</v>
      </c>
      <c r="P40" s="5">
        <v>2</v>
      </c>
      <c r="Q40" s="5"/>
      <c r="R40" s="5"/>
      <c r="S40" s="5"/>
      <c r="T40" s="6">
        <v>42.8</v>
      </c>
      <c r="U40" s="5"/>
    </row>
    <row r="41" spans="1:21" ht="16" thickBot="1" x14ac:dyDescent="0.25">
      <c r="A41" s="12" t="s">
        <v>135</v>
      </c>
      <c r="B41" s="34" t="str" cm="1">
        <f t="array" ref="B41:C41">_xlfn.XLOOKUP(A40,'Player List'!$A$2:$A$177,'Player List'!$B$2:$C$177)</f>
        <v>Ireland</v>
      </c>
      <c r="C41" s="34" t="str">
        <v>Scrum Half</v>
      </c>
      <c r="D41" s="34" t="str">
        <f t="shared" si="0"/>
        <v>Win</v>
      </c>
      <c r="E41" s="2">
        <v>16</v>
      </c>
      <c r="F41" s="2">
        <v>1</v>
      </c>
      <c r="G41" s="2"/>
      <c r="H41" s="2"/>
      <c r="I41" s="2">
        <v>1</v>
      </c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3">
        <v>9.8000000000000007</v>
      </c>
      <c r="U41" s="2"/>
    </row>
    <row r="42" spans="1:21" ht="16" thickBot="1" x14ac:dyDescent="0.25">
      <c r="A42" s="13" t="s">
        <v>136</v>
      </c>
      <c r="B42" s="34" t="str" cm="1">
        <f t="array" ref="B42:C42">_xlfn.XLOOKUP(A41,'Player List'!$A$2:$A$177,'Player List'!$B$2:$C$177)</f>
        <v>Ireland</v>
      </c>
      <c r="C42" s="34" t="str">
        <v>Scrum Half</v>
      </c>
      <c r="D42" s="34" t="str">
        <f t="shared" si="0"/>
        <v>Win</v>
      </c>
      <c r="E42" s="5">
        <v>64</v>
      </c>
      <c r="F42" s="5">
        <v>1</v>
      </c>
      <c r="G42" s="5">
        <v>1</v>
      </c>
      <c r="H42" s="5">
        <v>1</v>
      </c>
      <c r="I42" s="5">
        <v>12</v>
      </c>
      <c r="J42" s="5"/>
      <c r="K42" s="5"/>
      <c r="L42" s="5"/>
      <c r="M42" s="5"/>
      <c r="N42" s="5">
        <v>1</v>
      </c>
      <c r="O42" s="5"/>
      <c r="P42" s="5"/>
      <c r="Q42" s="5"/>
      <c r="R42" s="5"/>
      <c r="S42" s="5"/>
      <c r="T42" s="6">
        <v>30.8</v>
      </c>
      <c r="U42" s="5"/>
    </row>
    <row r="43" spans="1:21" ht="16" thickBot="1" x14ac:dyDescent="0.25">
      <c r="A43" s="14" t="s">
        <v>137</v>
      </c>
      <c r="B43" s="34" t="str" cm="1">
        <f t="array" ref="B43:C43">_xlfn.XLOOKUP(A42,'Player List'!$A$2:$A$177,'Player List'!$B$2:$C$177)</f>
        <v>Ireland</v>
      </c>
      <c r="C43" s="34" t="str">
        <v>Back Row</v>
      </c>
      <c r="D43" s="34" t="str">
        <f t="shared" si="0"/>
        <v>Win</v>
      </c>
      <c r="E43" s="2">
        <v>20</v>
      </c>
      <c r="F43" s="2">
        <v>4</v>
      </c>
      <c r="G43" s="2"/>
      <c r="H43" s="2"/>
      <c r="I43" s="2">
        <v>7</v>
      </c>
      <c r="J43" s="2"/>
      <c r="K43" s="2"/>
      <c r="L43" s="2">
        <v>1</v>
      </c>
      <c r="M43" s="2"/>
      <c r="N43" s="2"/>
      <c r="O43" s="2"/>
      <c r="P43" s="2"/>
      <c r="Q43" s="2"/>
      <c r="R43" s="2"/>
      <c r="S43" s="2"/>
      <c r="T43" s="3">
        <v>14.4</v>
      </c>
      <c r="U43" s="2"/>
    </row>
    <row r="44" spans="1:21" ht="16" thickBot="1" x14ac:dyDescent="0.25">
      <c r="A44" s="13" t="s">
        <v>138</v>
      </c>
      <c r="B44" s="34" t="str" cm="1">
        <f t="array" ref="B44:C44">_xlfn.XLOOKUP(A43,'Player List'!$A$2:$A$177,'Player List'!$B$2:$C$177)</f>
        <v>Ireland</v>
      </c>
      <c r="C44" s="34" t="str">
        <v>Back Row</v>
      </c>
      <c r="D44" s="34" t="str">
        <f t="shared" si="0"/>
        <v>Win</v>
      </c>
      <c r="E44" s="5">
        <v>80</v>
      </c>
      <c r="F44" s="5">
        <v>17</v>
      </c>
      <c r="G44" s="5">
        <v>1</v>
      </c>
      <c r="H44" s="5"/>
      <c r="I44" s="5">
        <v>45</v>
      </c>
      <c r="J44" s="5"/>
      <c r="K44" s="5"/>
      <c r="L44" s="5">
        <v>1</v>
      </c>
      <c r="M44" s="5">
        <v>1</v>
      </c>
      <c r="N44" s="5"/>
      <c r="O44" s="5"/>
      <c r="P44" s="5"/>
      <c r="Q44" s="5"/>
      <c r="R44" s="5"/>
      <c r="S44" s="5"/>
      <c r="T44" s="6">
        <v>63</v>
      </c>
      <c r="U44" s="5"/>
    </row>
    <row r="45" spans="1:21" ht="16" thickBot="1" x14ac:dyDescent="0.25">
      <c r="A45" s="14" t="s">
        <v>139</v>
      </c>
      <c r="B45" s="34" t="str" cm="1">
        <f t="array" ref="B45:C45">_xlfn.XLOOKUP(A44,'Player List'!$A$2:$A$177,'Player List'!$B$2:$C$177)</f>
        <v>Ireland</v>
      </c>
      <c r="C45" s="34" t="str">
        <v>Back Row</v>
      </c>
      <c r="D45" s="34" t="str">
        <f t="shared" si="0"/>
        <v>Win</v>
      </c>
      <c r="E45" s="2">
        <v>60</v>
      </c>
      <c r="F45" s="2">
        <v>4</v>
      </c>
      <c r="G45" s="2">
        <v>1</v>
      </c>
      <c r="H45" s="2"/>
      <c r="I45" s="2">
        <v>25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3">
        <v>22</v>
      </c>
      <c r="U45" s="2"/>
    </row>
    <row r="46" spans="1:21" ht="16" thickBot="1" x14ac:dyDescent="0.25">
      <c r="A46" s="15" t="s">
        <v>140</v>
      </c>
      <c r="B46" s="34" t="str" cm="1">
        <f t="array" ref="B46:C46">_xlfn.XLOOKUP(A45,'Player List'!$A$2:$A$177,'Player List'!$B$2:$C$177)</f>
        <v>Ireland</v>
      </c>
      <c r="C46" s="34" t="str">
        <v>Back Row</v>
      </c>
      <c r="D46" s="34" t="str">
        <f t="shared" si="0"/>
        <v>Win</v>
      </c>
      <c r="E46" s="5">
        <v>80</v>
      </c>
      <c r="F46" s="5">
        <v>12</v>
      </c>
      <c r="G46" s="5">
        <v>1</v>
      </c>
      <c r="H46" s="5">
        <v>1</v>
      </c>
      <c r="I46" s="5">
        <v>31</v>
      </c>
      <c r="J46" s="5"/>
      <c r="K46" s="5"/>
      <c r="L46" s="5"/>
      <c r="M46" s="5">
        <v>1</v>
      </c>
      <c r="N46" s="5"/>
      <c r="O46" s="5"/>
      <c r="P46" s="5"/>
      <c r="Q46" s="5"/>
      <c r="R46" s="5"/>
      <c r="S46" s="5"/>
      <c r="T46" s="6">
        <v>55.2</v>
      </c>
      <c r="U46" s="5"/>
    </row>
    <row r="47" spans="1:21" ht="16" thickBot="1" x14ac:dyDescent="0.25">
      <c r="A47" s="16" t="s">
        <v>141</v>
      </c>
      <c r="B47" s="34" t="str" cm="1">
        <f t="array" ref="B47:C47">_xlfn.XLOOKUP(A46,'Player List'!$A$2:$A$177,'Player List'!$B$2:$C$177)</f>
        <v>Ireland</v>
      </c>
      <c r="C47" s="34" t="str">
        <v>Second Row</v>
      </c>
      <c r="D47" s="34" t="str">
        <f t="shared" si="0"/>
        <v>Win</v>
      </c>
      <c r="E47" s="2">
        <v>54</v>
      </c>
      <c r="F47" s="2">
        <v>8</v>
      </c>
      <c r="G47" s="2">
        <v>1</v>
      </c>
      <c r="H47" s="2"/>
      <c r="I47" s="2">
        <v>27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3">
        <v>25.8</v>
      </c>
      <c r="U47" s="2"/>
    </row>
    <row r="48" spans="1:21" ht="16" thickBot="1" x14ac:dyDescent="0.25">
      <c r="A48" s="15" t="s">
        <v>142</v>
      </c>
      <c r="B48" s="34" t="str" cm="1">
        <f t="array" ref="B48:C48">_xlfn.XLOOKUP(A47,'Player List'!$A$2:$A$177,'Player List'!$B$2:$C$177)</f>
        <v>Ireland</v>
      </c>
      <c r="C48" s="34" t="str">
        <v>Second Row</v>
      </c>
      <c r="D48" s="34" t="str">
        <f t="shared" si="0"/>
        <v>Win</v>
      </c>
      <c r="E48" s="5">
        <v>26</v>
      </c>
      <c r="F48" s="5">
        <v>3</v>
      </c>
      <c r="G48" s="5"/>
      <c r="H48" s="5"/>
      <c r="I48" s="5">
        <v>10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6">
        <v>7.6</v>
      </c>
      <c r="U48" s="5"/>
    </row>
    <row r="49" spans="1:21" ht="16" thickBot="1" x14ac:dyDescent="0.25">
      <c r="A49" s="17" t="s">
        <v>143</v>
      </c>
      <c r="B49" s="34" t="str" cm="1">
        <f t="array" ref="B49:C49">_xlfn.XLOOKUP(A48,'Player List'!$A$2:$A$177,'Player List'!$B$2:$C$177)</f>
        <v>Ireland</v>
      </c>
      <c r="C49" s="34" t="str">
        <v>Second Row</v>
      </c>
      <c r="D49" s="34" t="str">
        <f t="shared" si="0"/>
        <v>Win</v>
      </c>
      <c r="E49" s="2">
        <v>80</v>
      </c>
      <c r="F49" s="2">
        <v>14</v>
      </c>
      <c r="G49" s="2"/>
      <c r="H49" s="2"/>
      <c r="I49" s="2">
        <v>19</v>
      </c>
      <c r="J49" s="2"/>
      <c r="K49" s="2">
        <v>1</v>
      </c>
      <c r="L49" s="2"/>
      <c r="M49" s="2">
        <v>1</v>
      </c>
      <c r="N49" s="2"/>
      <c r="O49" s="2"/>
      <c r="P49" s="2"/>
      <c r="Q49" s="2"/>
      <c r="R49" s="2"/>
      <c r="S49" s="2"/>
      <c r="T49" s="3">
        <v>47.8</v>
      </c>
      <c r="U49" s="2"/>
    </row>
    <row r="50" spans="1:21" ht="16" thickBot="1" x14ac:dyDescent="0.25">
      <c r="A50" s="18" t="s">
        <v>144</v>
      </c>
      <c r="B50" s="34" t="str" cm="1">
        <f t="array" ref="B50:C50">_xlfn.XLOOKUP(A49,'Player List'!$A$2:$A$177,'Player List'!$B$2:$C$177)</f>
        <v>Ireland</v>
      </c>
      <c r="C50" s="34" t="str">
        <v>Prop</v>
      </c>
      <c r="D50" s="34" t="str">
        <f t="shared" si="0"/>
        <v>Win</v>
      </c>
      <c r="E50" s="5">
        <v>60</v>
      </c>
      <c r="F50" s="5">
        <v>12</v>
      </c>
      <c r="G50" s="5">
        <v>1</v>
      </c>
      <c r="H50" s="5"/>
      <c r="I50" s="5">
        <v>15</v>
      </c>
      <c r="J50" s="5"/>
      <c r="K50" s="5"/>
      <c r="L50" s="5"/>
      <c r="M50" s="5"/>
      <c r="N50" s="5">
        <v>1</v>
      </c>
      <c r="O50" s="5"/>
      <c r="P50" s="5"/>
      <c r="Q50" s="5"/>
      <c r="R50" s="5"/>
      <c r="S50" s="5"/>
      <c r="T50" s="6">
        <v>35</v>
      </c>
      <c r="U50" s="5"/>
    </row>
    <row r="51" spans="1:21" ht="16" thickBot="1" x14ac:dyDescent="0.25">
      <c r="A51" s="17" t="s">
        <v>145</v>
      </c>
      <c r="B51" s="34" t="str" cm="1">
        <f t="array" ref="B51:C51">_xlfn.XLOOKUP(A50,'Player List'!$A$2:$A$177,'Player List'!$B$2:$C$177)</f>
        <v>Ireland</v>
      </c>
      <c r="C51" s="34" t="str">
        <v>Prop</v>
      </c>
      <c r="D51" s="34" t="str">
        <f t="shared" si="0"/>
        <v>Win</v>
      </c>
      <c r="E51" s="2">
        <v>7</v>
      </c>
      <c r="F51" s="2">
        <v>5</v>
      </c>
      <c r="G51" s="2"/>
      <c r="H51" s="2"/>
      <c r="I51" s="2">
        <v>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3">
        <v>6.1</v>
      </c>
      <c r="U51" s="2"/>
    </row>
    <row r="52" spans="1:21" ht="16" thickBot="1" x14ac:dyDescent="0.25">
      <c r="A52" s="18" t="s">
        <v>146</v>
      </c>
      <c r="B52" s="34" t="str" cm="1">
        <f t="array" ref="B52:C52">_xlfn.XLOOKUP(A51,'Player List'!$A$2:$A$177,'Player List'!$B$2:$C$177)</f>
        <v>Ireland</v>
      </c>
      <c r="C52" s="34" t="str">
        <v>Prop</v>
      </c>
      <c r="D52" s="34" t="str">
        <f t="shared" si="0"/>
        <v>Win</v>
      </c>
      <c r="E52" s="5">
        <v>20</v>
      </c>
      <c r="F52" s="5">
        <v>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>
        <v>7</v>
      </c>
      <c r="U52" s="5"/>
    </row>
    <row r="53" spans="1:21" ht="16" thickBot="1" x14ac:dyDescent="0.25">
      <c r="A53" s="19" t="s">
        <v>147</v>
      </c>
      <c r="B53" s="34" t="str" cm="1">
        <f t="array" ref="B53:C53">_xlfn.XLOOKUP(A52,'Player List'!$A$2:$A$177,'Player List'!$B$2:$C$177)</f>
        <v>Ireland</v>
      </c>
      <c r="C53" s="34" t="str">
        <v>Prop</v>
      </c>
      <c r="D53" s="34" t="str">
        <f t="shared" si="0"/>
        <v>Win</v>
      </c>
      <c r="E53" s="2">
        <v>73</v>
      </c>
      <c r="F53" s="2">
        <v>11</v>
      </c>
      <c r="G53" s="2"/>
      <c r="H53" s="2"/>
      <c r="I53" s="2">
        <v>25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3">
        <v>23.3</v>
      </c>
      <c r="U53" s="2"/>
    </row>
    <row r="54" spans="1:21" ht="16" thickBot="1" x14ac:dyDescent="0.25">
      <c r="A54" s="20" t="s">
        <v>152</v>
      </c>
      <c r="B54" s="34" t="str" cm="1">
        <f t="array" ref="B54:C54">_xlfn.XLOOKUP(A53,'Player List'!$A$2:$A$177,'Player List'!$B$2:$C$177)</f>
        <v>Ireland</v>
      </c>
      <c r="C54" s="34" t="str">
        <v>Hooker</v>
      </c>
      <c r="D54" s="34" t="str">
        <f t="shared" si="0"/>
        <v>Win</v>
      </c>
      <c r="E54" s="5">
        <v>7</v>
      </c>
      <c r="F54" s="5">
        <v>4</v>
      </c>
      <c r="G54" s="5"/>
      <c r="H54" s="5"/>
      <c r="I54" s="5">
        <v>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6">
        <v>5.5</v>
      </c>
      <c r="U54" s="5"/>
    </row>
    <row r="55" spans="1:21" ht="16" thickBot="1" x14ac:dyDescent="0.25">
      <c r="A55" s="1" t="s">
        <v>81</v>
      </c>
      <c r="B55" s="34" t="str" cm="1">
        <f t="array" ref="B55:C55">_xlfn.XLOOKUP(A54,'Player List'!$A$2:$A$177,'Player List'!$B$2:$C$177)</f>
        <v>Ireland</v>
      </c>
      <c r="C55" s="34" t="str">
        <v>Hooker</v>
      </c>
      <c r="D55" s="34" t="str">
        <f t="shared" si="0"/>
        <v>Win</v>
      </c>
      <c r="E55" s="2">
        <v>73</v>
      </c>
      <c r="F55" s="2">
        <v>5</v>
      </c>
      <c r="G55" s="2">
        <v>2</v>
      </c>
      <c r="H55" s="2">
        <v>2</v>
      </c>
      <c r="I55" s="2">
        <v>54</v>
      </c>
      <c r="J55" s="2"/>
      <c r="K55" s="2">
        <v>1</v>
      </c>
      <c r="L55" s="2"/>
      <c r="M55" s="2"/>
      <c r="N55" s="2"/>
      <c r="O55" s="2"/>
      <c r="P55" s="2"/>
      <c r="Q55" s="2"/>
      <c r="R55" s="2"/>
      <c r="S55" s="2"/>
      <c r="T55" s="3">
        <v>58.1</v>
      </c>
      <c r="U55" s="2"/>
    </row>
    <row r="56" spans="1:21" ht="16" thickBot="1" x14ac:dyDescent="0.25">
      <c r="A56" s="4" t="s">
        <v>82</v>
      </c>
      <c r="B56" s="34" t="str" cm="1">
        <f t="array" ref="B56:C56">_xlfn.XLOOKUP(A55,'Player List'!$A$2:$A$177,'Player List'!$B$2:$C$177)</f>
        <v>England</v>
      </c>
      <c r="C56" s="34" t="str">
        <v>Back Three</v>
      </c>
      <c r="D56" s="34" t="str">
        <f t="shared" si="0"/>
        <v>Loss</v>
      </c>
      <c r="E56" s="2">
        <v>64</v>
      </c>
      <c r="F56" s="2">
        <v>2</v>
      </c>
      <c r="G56" s="2"/>
      <c r="H56" s="2"/>
      <c r="I56" s="2">
        <v>91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3">
        <v>20.2</v>
      </c>
      <c r="U56" s="2"/>
    </row>
    <row r="57" spans="1:21" ht="16" thickBot="1" x14ac:dyDescent="0.25">
      <c r="A57" s="1" t="s">
        <v>83</v>
      </c>
      <c r="B57" s="34" t="str" cm="1">
        <f t="array" ref="B57:C57">_xlfn.XLOOKUP(A56,'Player List'!$A$2:$A$177,'Player List'!$B$2:$C$177)</f>
        <v>England</v>
      </c>
      <c r="C57" s="34" t="str">
        <v>Back Three</v>
      </c>
      <c r="D57" s="34" t="str">
        <f t="shared" si="0"/>
        <v>Loss</v>
      </c>
      <c r="E57" s="5">
        <v>80</v>
      </c>
      <c r="F57" s="5">
        <v>5</v>
      </c>
      <c r="G57" s="5">
        <v>1</v>
      </c>
      <c r="H57" s="5"/>
      <c r="I57" s="5">
        <v>67</v>
      </c>
      <c r="J57" s="5"/>
      <c r="K57" s="5"/>
      <c r="L57" s="5"/>
      <c r="M57" s="5">
        <v>2</v>
      </c>
      <c r="N57" s="5"/>
      <c r="O57" s="5"/>
      <c r="P57" s="5"/>
      <c r="Q57" s="5"/>
      <c r="R57" s="5"/>
      <c r="S57" s="5"/>
      <c r="T57" s="6">
        <v>55.4</v>
      </c>
      <c r="U57" s="5"/>
    </row>
    <row r="58" spans="1:21" ht="16" thickBot="1" x14ac:dyDescent="0.25">
      <c r="A58" s="4" t="s">
        <v>166</v>
      </c>
      <c r="B58" s="34" t="str" cm="1">
        <f t="array" ref="B58:C58">_xlfn.XLOOKUP(A57,'Player List'!$A$2:$A$177,'Player List'!$B$2:$C$177)</f>
        <v>England</v>
      </c>
      <c r="C58" s="34" t="str">
        <v>Back Three</v>
      </c>
      <c r="D58" s="34" t="str">
        <f t="shared" si="0"/>
        <v>Loss</v>
      </c>
      <c r="E58" s="2">
        <v>80</v>
      </c>
      <c r="F58" s="2">
        <v>2</v>
      </c>
      <c r="G58" s="2"/>
      <c r="H58" s="2"/>
      <c r="I58" s="2">
        <v>101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3">
        <v>22.2</v>
      </c>
      <c r="U58" s="2"/>
    </row>
    <row r="59" spans="1:21" ht="16" thickBot="1" x14ac:dyDescent="0.25">
      <c r="A59" s="7" t="s">
        <v>84</v>
      </c>
      <c r="B59" s="34" t="str" cm="1">
        <f t="array" ref="B59:C59">_xlfn.XLOOKUP(A58,'Player List'!$A$2:$A$177,'Player List'!$B$2:$C$177)</f>
        <v>England</v>
      </c>
      <c r="C59" s="34" t="str">
        <v>Back Three</v>
      </c>
      <c r="D59" s="34" t="str">
        <f t="shared" si="0"/>
        <v>Loss</v>
      </c>
      <c r="E59" s="5">
        <v>16</v>
      </c>
      <c r="F59" s="5">
        <v>2</v>
      </c>
      <c r="G59" s="5"/>
      <c r="H59" s="5"/>
      <c r="I59" s="5">
        <v>18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6">
        <v>5.6</v>
      </c>
      <c r="U59" s="5"/>
    </row>
    <row r="60" spans="1:21" ht="16" thickBot="1" x14ac:dyDescent="0.25">
      <c r="A60" s="8" t="s">
        <v>85</v>
      </c>
      <c r="B60" s="34" t="str" cm="1">
        <f t="array" ref="B60:C60">_xlfn.XLOOKUP(A59,'Player List'!$A$2:$A$177,'Player List'!$B$2:$C$177)</f>
        <v>England</v>
      </c>
      <c r="C60" s="34" t="str">
        <v>Centre</v>
      </c>
      <c r="D60" s="34" t="str">
        <f t="shared" si="0"/>
        <v>Loss</v>
      </c>
      <c r="E60" s="2">
        <v>80</v>
      </c>
      <c r="F60" s="2">
        <v>3</v>
      </c>
      <c r="G60" s="2"/>
      <c r="H60" s="2"/>
      <c r="I60" s="2">
        <v>56</v>
      </c>
      <c r="J60" s="2"/>
      <c r="K60" s="2"/>
      <c r="L60" s="2"/>
      <c r="M60" s="2"/>
      <c r="N60" s="2"/>
      <c r="O60" s="2">
        <v>1</v>
      </c>
      <c r="P60" s="2">
        <v>2</v>
      </c>
      <c r="Q60" s="2"/>
      <c r="R60" s="2"/>
      <c r="S60" s="2"/>
      <c r="T60" s="3">
        <v>26.2</v>
      </c>
      <c r="U60" s="2"/>
    </row>
    <row r="61" spans="1:21" ht="16" thickBot="1" x14ac:dyDescent="0.25">
      <c r="A61" s="7" t="s">
        <v>185</v>
      </c>
      <c r="B61" s="34" t="str" cm="1">
        <f t="array" ref="B61:C61">_xlfn.XLOOKUP(A60,'Player List'!$A$2:$A$177,'Player List'!$B$2:$C$177)</f>
        <v>England</v>
      </c>
      <c r="C61" s="34" t="str">
        <v>Centre</v>
      </c>
      <c r="D61" s="34" t="str">
        <f t="shared" si="0"/>
        <v>Loss</v>
      </c>
      <c r="E61" s="5">
        <v>4</v>
      </c>
      <c r="F61" s="5"/>
      <c r="G61" s="5"/>
      <c r="H61" s="5"/>
      <c r="I61" s="5">
        <v>10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6">
        <v>2</v>
      </c>
      <c r="U61" s="5"/>
    </row>
    <row r="62" spans="1:21" ht="16" thickBot="1" x14ac:dyDescent="0.25">
      <c r="A62" s="10" t="s">
        <v>87</v>
      </c>
      <c r="B62" s="34" t="str" cm="1">
        <f t="array" ref="B62:C62">_xlfn.XLOOKUP(A61,'Player List'!$A$2:$A$177,'Player List'!$B$2:$C$177)</f>
        <v>England</v>
      </c>
      <c r="C62" s="34" t="str">
        <v>Centre</v>
      </c>
      <c r="D62" s="34" t="str">
        <f t="shared" si="0"/>
        <v>Loss</v>
      </c>
      <c r="E62" s="2">
        <v>76</v>
      </c>
      <c r="F62" s="2">
        <v>6</v>
      </c>
      <c r="G62" s="2"/>
      <c r="H62" s="2"/>
      <c r="I62" s="2">
        <v>58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3">
        <v>17.600000000000001</v>
      </c>
      <c r="U62" s="2"/>
    </row>
    <row r="63" spans="1:21" ht="16" thickBot="1" x14ac:dyDescent="0.25">
      <c r="A63" s="11" t="s">
        <v>89</v>
      </c>
      <c r="B63" s="34" t="str" cm="1">
        <f t="array" ref="B63:C63">_xlfn.XLOOKUP(A62,'Player List'!$A$2:$A$177,'Player List'!$B$2:$C$177)</f>
        <v>England</v>
      </c>
      <c r="C63" s="34" t="str">
        <v>Fly Half</v>
      </c>
      <c r="D63" s="34" t="str">
        <f t="shared" si="0"/>
        <v>Loss</v>
      </c>
      <c r="E63" s="5">
        <v>80</v>
      </c>
      <c r="F63" s="5">
        <v>6</v>
      </c>
      <c r="G63" s="5"/>
      <c r="H63" s="5"/>
      <c r="I63" s="5">
        <v>112</v>
      </c>
      <c r="J63" s="5"/>
      <c r="K63" s="5"/>
      <c r="L63" s="5"/>
      <c r="M63" s="5"/>
      <c r="N63" s="5">
        <v>1</v>
      </c>
      <c r="O63" s="5"/>
      <c r="P63" s="5"/>
      <c r="Q63" s="5"/>
      <c r="R63" s="5"/>
      <c r="S63" s="5"/>
      <c r="T63" s="6">
        <v>35.4</v>
      </c>
      <c r="U63" s="5"/>
    </row>
    <row r="64" spans="1:21" ht="16" thickBot="1" x14ac:dyDescent="0.25">
      <c r="A64" s="12" t="s">
        <v>186</v>
      </c>
      <c r="B64" s="34" t="str" cm="1">
        <f t="array" ref="B64:C64">_xlfn.XLOOKUP(A63,'Player List'!$A$2:$A$177,'Player List'!$B$2:$C$177)</f>
        <v>England</v>
      </c>
      <c r="C64" s="34" t="str">
        <v>Scrum Half</v>
      </c>
      <c r="D64" s="34" t="str">
        <f t="shared" si="0"/>
        <v>Loss</v>
      </c>
      <c r="E64" s="2">
        <v>58</v>
      </c>
      <c r="F64" s="2">
        <v>3</v>
      </c>
      <c r="G64" s="2"/>
      <c r="H64" s="2">
        <v>1</v>
      </c>
      <c r="I64" s="2">
        <v>20</v>
      </c>
      <c r="J64" s="2"/>
      <c r="K64" s="2"/>
      <c r="L64" s="2"/>
      <c r="M64" s="2"/>
      <c r="N64" s="2">
        <v>1</v>
      </c>
      <c r="O64" s="2"/>
      <c r="P64" s="2"/>
      <c r="Q64" s="2"/>
      <c r="R64" s="2"/>
      <c r="S64" s="2"/>
      <c r="T64" s="3">
        <v>21</v>
      </c>
      <c r="U64" s="2"/>
    </row>
    <row r="65" spans="1:21" ht="16" thickBot="1" x14ac:dyDescent="0.25">
      <c r="A65" s="13" t="s">
        <v>167</v>
      </c>
      <c r="B65" s="34" t="str" cm="1">
        <f t="array" ref="B65:C65">_xlfn.XLOOKUP(A64,'Player List'!$A$2:$A$177,'Player List'!$B$2:$C$177)</f>
        <v>England</v>
      </c>
      <c r="C65" s="34" t="str">
        <v>Scrum Half</v>
      </c>
      <c r="D65" s="34" t="str">
        <f t="shared" si="0"/>
        <v>Loss</v>
      </c>
      <c r="E65" s="5">
        <v>22</v>
      </c>
      <c r="F65" s="5">
        <v>1</v>
      </c>
      <c r="G65" s="5"/>
      <c r="H65" s="5"/>
      <c r="I65" s="5">
        <v>25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6">
        <v>6</v>
      </c>
      <c r="U65" s="5"/>
    </row>
    <row r="66" spans="1:21" ht="16" thickBot="1" x14ac:dyDescent="0.25">
      <c r="A66" s="14" t="s">
        <v>90</v>
      </c>
      <c r="B66" s="34" t="str" cm="1">
        <f t="array" ref="B66:C66">_xlfn.XLOOKUP(A65,'Player List'!$A$2:$A$177,'Player List'!$B$2:$C$177)</f>
        <v>England</v>
      </c>
      <c r="C66" s="34" t="str">
        <v>Back Row</v>
      </c>
      <c r="D66" s="34" t="str">
        <f t="shared" si="0"/>
        <v>Loss</v>
      </c>
      <c r="E66" s="2">
        <v>61</v>
      </c>
      <c r="F66" s="2">
        <v>9</v>
      </c>
      <c r="G66" s="2">
        <v>4</v>
      </c>
      <c r="H66" s="2"/>
      <c r="I66" s="2">
        <v>37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3">
        <v>44.4</v>
      </c>
      <c r="U66" s="2"/>
    </row>
    <row r="67" spans="1:21" ht="16" thickBot="1" x14ac:dyDescent="0.25">
      <c r="A67" s="13" t="s">
        <v>91</v>
      </c>
      <c r="B67" s="34" t="str" cm="1">
        <f t="array" ref="B67:C67">_xlfn.XLOOKUP(A66,'Player List'!$A$2:$A$177,'Player List'!$B$2:$C$177)</f>
        <v>England</v>
      </c>
      <c r="C67" s="34" t="str">
        <v>Back Row</v>
      </c>
      <c r="D67" s="34" t="str">
        <f t="shared" si="0"/>
        <v>Loss</v>
      </c>
      <c r="E67" s="5">
        <v>56</v>
      </c>
      <c r="F67" s="5">
        <v>4</v>
      </c>
      <c r="G67" s="5"/>
      <c r="H67" s="5"/>
      <c r="I67" s="5">
        <v>64</v>
      </c>
      <c r="J67" s="5"/>
      <c r="K67" s="5"/>
      <c r="L67" s="5">
        <v>1</v>
      </c>
      <c r="M67" s="5"/>
      <c r="N67" s="5"/>
      <c r="O67" s="5"/>
      <c r="P67" s="5"/>
      <c r="Q67" s="5"/>
      <c r="R67" s="5"/>
      <c r="S67" s="5"/>
      <c r="T67" s="6">
        <v>23.8</v>
      </c>
      <c r="U67" s="5"/>
    </row>
    <row r="68" spans="1:21" ht="16" thickBot="1" x14ac:dyDescent="0.25">
      <c r="A68" s="14" t="s">
        <v>92</v>
      </c>
      <c r="B68" s="34" t="str" cm="1">
        <f t="array" ref="B68:C68">_xlfn.XLOOKUP(A67,'Player List'!$A$2:$A$177,'Player List'!$B$2:$C$177)</f>
        <v>England</v>
      </c>
      <c r="C68" s="34" t="str">
        <v>Back Row</v>
      </c>
      <c r="D68" s="34" t="str">
        <f t="shared" si="0"/>
        <v>Loss</v>
      </c>
      <c r="E68" s="2">
        <v>24</v>
      </c>
      <c r="F68" s="2">
        <v>2</v>
      </c>
      <c r="G68" s="2">
        <v>1</v>
      </c>
      <c r="H68" s="2"/>
      <c r="I68" s="2">
        <v>42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3">
        <v>17.399999999999999</v>
      </c>
      <c r="U68" s="2"/>
    </row>
    <row r="69" spans="1:21" ht="16" thickBot="1" x14ac:dyDescent="0.25">
      <c r="A69" s="15" t="s">
        <v>94</v>
      </c>
      <c r="B69" s="34" t="str" cm="1">
        <f t="array" ref="B69:C69">_xlfn.XLOOKUP(A68,'Player List'!$A$2:$A$177,'Player List'!$B$2:$C$177)</f>
        <v>England</v>
      </c>
      <c r="C69" s="34" t="str">
        <v>Back Row</v>
      </c>
      <c r="D69" s="34" t="str">
        <f t="shared" si="0"/>
        <v>Loss</v>
      </c>
      <c r="E69" s="5">
        <v>80</v>
      </c>
      <c r="F69" s="5">
        <v>6</v>
      </c>
      <c r="G69" s="5">
        <v>1</v>
      </c>
      <c r="H69" s="5">
        <v>1</v>
      </c>
      <c r="I69" s="5">
        <v>77</v>
      </c>
      <c r="J69" s="5"/>
      <c r="K69" s="5"/>
      <c r="L69" s="5"/>
      <c r="M69" s="5"/>
      <c r="N69" s="5">
        <v>1</v>
      </c>
      <c r="O69" s="5"/>
      <c r="P69" s="5"/>
      <c r="Q69" s="5"/>
      <c r="R69" s="5"/>
      <c r="S69" s="5"/>
      <c r="T69" s="6">
        <v>42.4</v>
      </c>
      <c r="U69" s="5"/>
    </row>
    <row r="70" spans="1:21" ht="16" thickBot="1" x14ac:dyDescent="0.25">
      <c r="A70" s="16" t="s">
        <v>95</v>
      </c>
      <c r="B70" s="34" t="str" cm="1">
        <f t="array" ref="B70:C70">_xlfn.XLOOKUP(A69,'Player List'!$A$2:$A$177,'Player List'!$B$2:$C$177)</f>
        <v>England</v>
      </c>
      <c r="C70" s="34" t="str">
        <v>Second Row</v>
      </c>
      <c r="D70" s="34" t="str">
        <f t="shared" si="0"/>
        <v>Loss</v>
      </c>
      <c r="E70" s="2">
        <v>80</v>
      </c>
      <c r="F70" s="2">
        <v>6</v>
      </c>
      <c r="G70" s="2"/>
      <c r="H70" s="2"/>
      <c r="I70" s="2">
        <v>72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3">
        <v>20.399999999999999</v>
      </c>
      <c r="U70" s="2"/>
    </row>
    <row r="71" spans="1:21" ht="16" thickBot="1" x14ac:dyDescent="0.25">
      <c r="A71" s="15" t="s">
        <v>96</v>
      </c>
      <c r="B71" s="34" t="str" cm="1">
        <f t="array" ref="B71:C71">_xlfn.XLOOKUP(A70,'Player List'!$A$2:$A$177,'Player List'!$B$2:$C$177)</f>
        <v>England</v>
      </c>
      <c r="C71" s="34" t="str">
        <v>Second Row</v>
      </c>
      <c r="D71" s="34" t="str">
        <f t="shared" si="0"/>
        <v>Loss</v>
      </c>
      <c r="E71" s="5">
        <v>19</v>
      </c>
      <c r="F71" s="5">
        <v>1</v>
      </c>
      <c r="G71" s="5">
        <v>1</v>
      </c>
      <c r="H71" s="5"/>
      <c r="I71" s="5">
        <v>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6">
        <v>8.6</v>
      </c>
      <c r="U71" s="5"/>
    </row>
    <row r="72" spans="1:21" ht="16" thickBot="1" x14ac:dyDescent="0.25">
      <c r="A72" s="17" t="s">
        <v>97</v>
      </c>
      <c r="B72" s="34" t="str" cm="1">
        <f t="array" ref="B72:C72">_xlfn.XLOOKUP(A71,'Player List'!$A$2:$A$177,'Player List'!$B$2:$C$177)</f>
        <v>England</v>
      </c>
      <c r="C72" s="34" t="str">
        <v>Second Row</v>
      </c>
      <c r="D72" s="34" t="str">
        <f t="shared" si="0"/>
        <v>Loss</v>
      </c>
      <c r="E72" s="2">
        <v>80</v>
      </c>
      <c r="F72" s="2">
        <v>10</v>
      </c>
      <c r="G72" s="2">
        <v>2</v>
      </c>
      <c r="H72" s="2"/>
      <c r="I72" s="2">
        <v>11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3">
        <v>26.2</v>
      </c>
      <c r="U72" s="2"/>
    </row>
    <row r="73" spans="1:21" ht="16" thickBot="1" x14ac:dyDescent="0.25">
      <c r="A73" s="18" t="s">
        <v>98</v>
      </c>
      <c r="B73" s="34" t="str" cm="1">
        <f t="array" ref="B73:C73">_xlfn.XLOOKUP(A72,'Player List'!$A$2:$A$177,'Player List'!$B$2:$C$177)</f>
        <v>England</v>
      </c>
      <c r="C73" s="34" t="str">
        <v>Prop</v>
      </c>
      <c r="D73" s="34" t="str">
        <f t="shared" si="0"/>
        <v>Loss</v>
      </c>
      <c r="E73" s="5">
        <v>19</v>
      </c>
      <c r="F73" s="5">
        <v>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>
        <v>1</v>
      </c>
      <c r="U73" s="5"/>
    </row>
    <row r="74" spans="1:21" ht="16" thickBot="1" x14ac:dyDescent="0.25">
      <c r="A74" s="17" t="s">
        <v>99</v>
      </c>
      <c r="B74" s="34" t="str" cm="1">
        <f t="array" ref="B74:C74">_xlfn.XLOOKUP(A73,'Player List'!$A$2:$A$177,'Player List'!$B$2:$C$177)</f>
        <v>England</v>
      </c>
      <c r="C74" s="34" t="str">
        <v>Prop</v>
      </c>
      <c r="D74" s="34" t="str">
        <f t="shared" si="0"/>
        <v>Loss</v>
      </c>
      <c r="E74" s="2">
        <v>61</v>
      </c>
      <c r="F74" s="2">
        <v>3</v>
      </c>
      <c r="G74" s="2"/>
      <c r="H74" s="2"/>
      <c r="I74" s="2">
        <v>83</v>
      </c>
      <c r="J74" s="2"/>
      <c r="K74" s="2"/>
      <c r="L74" s="2"/>
      <c r="M74" s="2">
        <v>1</v>
      </c>
      <c r="N74" s="2"/>
      <c r="O74" s="2"/>
      <c r="P74" s="2"/>
      <c r="Q74" s="2"/>
      <c r="R74" s="2"/>
      <c r="S74" s="2"/>
      <c r="T74" s="3">
        <v>34.6</v>
      </c>
      <c r="U74" s="2"/>
    </row>
    <row r="75" spans="1:21" ht="16" thickBot="1" x14ac:dyDescent="0.25">
      <c r="A75" s="18" t="s">
        <v>100</v>
      </c>
      <c r="B75" s="34" t="str" cm="1">
        <f t="array" ref="B75:C75">_xlfn.XLOOKUP(A74,'Player List'!$A$2:$A$177,'Player List'!$B$2:$C$177)</f>
        <v>England</v>
      </c>
      <c r="C75" s="34" t="str">
        <v>Prop</v>
      </c>
      <c r="D75" s="34" t="str">
        <f t="shared" ref="D75:D138" si="1">_xlfn.XLOOKUP(B75,$B$2:$B$7,$C$2:$C$7)</f>
        <v>Loss</v>
      </c>
      <c r="E75" s="5">
        <v>61</v>
      </c>
      <c r="F75" s="5">
        <v>5</v>
      </c>
      <c r="G75" s="5">
        <v>1</v>
      </c>
      <c r="H75" s="5"/>
      <c r="I75" s="5">
        <v>35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6">
        <v>19</v>
      </c>
      <c r="U75" s="5"/>
    </row>
    <row r="76" spans="1:21" ht="16" thickBot="1" x14ac:dyDescent="0.25">
      <c r="A76" s="19" t="s">
        <v>101</v>
      </c>
      <c r="B76" s="34" t="str" cm="1">
        <f t="array" ref="B76:C76">_xlfn.XLOOKUP(A75,'Player List'!$A$2:$A$177,'Player List'!$B$2:$C$177)</f>
        <v>England</v>
      </c>
      <c r="C76" s="34" t="str">
        <v>Prop</v>
      </c>
      <c r="D76" s="34" t="str">
        <f t="shared" si="1"/>
        <v>Loss</v>
      </c>
      <c r="E76" s="2">
        <v>19</v>
      </c>
      <c r="F76" s="2">
        <v>2</v>
      </c>
      <c r="G76" s="2"/>
      <c r="H76" s="2"/>
      <c r="I76" s="2">
        <v>27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3">
        <v>7.4</v>
      </c>
      <c r="U76" s="2"/>
    </row>
    <row r="77" spans="1:21" ht="16" thickBot="1" x14ac:dyDescent="0.25">
      <c r="A77" s="1" t="s">
        <v>34</v>
      </c>
      <c r="B77" s="34" t="str" cm="1">
        <f t="array" ref="B77:C77">_xlfn.XLOOKUP(A76,'Player List'!$A$2:$A$177,'Player List'!$B$2:$C$177)</f>
        <v>England</v>
      </c>
      <c r="C77" s="34" t="str">
        <v>Hooker</v>
      </c>
      <c r="D77" s="34" t="str">
        <f t="shared" si="1"/>
        <v>Loss</v>
      </c>
      <c r="E77" s="5">
        <v>80</v>
      </c>
      <c r="F77" s="5">
        <v>10</v>
      </c>
      <c r="G77" s="5"/>
      <c r="H77" s="5"/>
      <c r="I77" s="5">
        <v>21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6">
        <v>14.2</v>
      </c>
      <c r="U77" s="5"/>
    </row>
    <row r="78" spans="1:21" ht="16" thickBot="1" x14ac:dyDescent="0.25">
      <c r="A78" s="4" t="s">
        <v>35</v>
      </c>
      <c r="B78" s="34" t="str" cm="1">
        <f t="array" ref="B78:C78">_xlfn.XLOOKUP(A77,'Player List'!$A$2:$A$177,'Player List'!$B$2:$C$177)</f>
        <v>Scotland</v>
      </c>
      <c r="C78" s="34" t="str">
        <v>Back Three</v>
      </c>
      <c r="D78" s="34" t="str">
        <f t="shared" si="1"/>
        <v>Win</v>
      </c>
      <c r="E78" s="2">
        <v>66</v>
      </c>
      <c r="F78" s="2">
        <v>3</v>
      </c>
      <c r="G78" s="2">
        <v>1</v>
      </c>
      <c r="H78" s="2"/>
      <c r="I78" s="2">
        <v>54</v>
      </c>
      <c r="J78" s="2"/>
      <c r="K78" s="2"/>
      <c r="L78" s="2">
        <v>1</v>
      </c>
      <c r="M78" s="2"/>
      <c r="N78" s="2"/>
      <c r="O78" s="2"/>
      <c r="P78" s="2"/>
      <c r="Q78" s="2"/>
      <c r="R78" s="2"/>
      <c r="S78" s="2"/>
      <c r="T78" s="3">
        <v>34.4</v>
      </c>
      <c r="U78" s="2"/>
    </row>
    <row r="79" spans="1:21" ht="16" thickBot="1" x14ac:dyDescent="0.25">
      <c r="A79" s="1" t="s">
        <v>36</v>
      </c>
      <c r="B79" s="34" t="str" cm="1">
        <f t="array" ref="B79:C79">_xlfn.XLOOKUP(A78,'Player List'!$A$2:$A$177,'Player List'!$B$2:$C$177)</f>
        <v>Scotland</v>
      </c>
      <c r="C79" s="34" t="str">
        <v>Back Three</v>
      </c>
      <c r="D79" s="34" t="str">
        <f t="shared" si="1"/>
        <v>Win</v>
      </c>
      <c r="E79" s="5">
        <v>14</v>
      </c>
      <c r="F79" s="5"/>
      <c r="G79" s="5"/>
      <c r="H79" s="5"/>
      <c r="I79" s="5">
        <v>34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6">
        <v>8.1999999999999993</v>
      </c>
      <c r="U79" s="5"/>
    </row>
    <row r="80" spans="1:21" ht="16" thickBot="1" x14ac:dyDescent="0.25">
      <c r="A80" s="4" t="s">
        <v>37</v>
      </c>
      <c r="B80" s="34" t="str" cm="1">
        <f t="array" ref="B80:C80">_xlfn.XLOOKUP(A79,'Player List'!$A$2:$A$177,'Player List'!$B$2:$C$177)</f>
        <v>Scotland</v>
      </c>
      <c r="C80" s="34" t="str">
        <v>Back Three</v>
      </c>
      <c r="D80" s="34" t="str">
        <f t="shared" si="1"/>
        <v>Win</v>
      </c>
      <c r="E80" s="2">
        <v>80</v>
      </c>
      <c r="F80" s="2">
        <v>6</v>
      </c>
      <c r="G80" s="2">
        <v>1</v>
      </c>
      <c r="H80" s="2">
        <v>2</v>
      </c>
      <c r="I80" s="2">
        <v>64</v>
      </c>
      <c r="J80" s="2"/>
      <c r="K80" s="2"/>
      <c r="L80" s="2"/>
      <c r="M80" s="2"/>
      <c r="N80" s="2">
        <v>1</v>
      </c>
      <c r="O80" s="2"/>
      <c r="P80" s="2"/>
      <c r="Q80" s="2"/>
      <c r="R80" s="2"/>
      <c r="S80" s="2"/>
      <c r="T80" s="3">
        <v>54.8</v>
      </c>
      <c r="U80" s="2"/>
    </row>
    <row r="81" spans="1:21" ht="16" thickBot="1" x14ac:dyDescent="0.25">
      <c r="A81" s="7" t="s">
        <v>38</v>
      </c>
      <c r="B81" s="34" t="str" cm="1">
        <f t="array" ref="B81:C81">_xlfn.XLOOKUP(A80,'Player List'!$A$2:$A$177,'Player List'!$B$2:$C$177)</f>
        <v>Scotland</v>
      </c>
      <c r="C81" s="34" t="str">
        <v>Back Three</v>
      </c>
      <c r="D81" s="34" t="str">
        <f t="shared" si="1"/>
        <v>Win</v>
      </c>
      <c r="E81" s="5">
        <v>80</v>
      </c>
      <c r="F81" s="5">
        <v>2</v>
      </c>
      <c r="G81" s="5"/>
      <c r="H81" s="5">
        <v>2</v>
      </c>
      <c r="I81" s="5">
        <v>104</v>
      </c>
      <c r="J81" s="5"/>
      <c r="K81" s="5"/>
      <c r="L81" s="5"/>
      <c r="M81" s="5">
        <v>2</v>
      </c>
      <c r="N81" s="5"/>
      <c r="O81" s="5"/>
      <c r="P81" s="5"/>
      <c r="Q81" s="5"/>
      <c r="R81" s="5"/>
      <c r="S81" s="5"/>
      <c r="T81" s="6">
        <v>89.8</v>
      </c>
      <c r="U81" s="5">
        <v>1</v>
      </c>
    </row>
    <row r="82" spans="1:21" ht="16" thickBot="1" x14ac:dyDescent="0.25">
      <c r="A82" s="8" t="s">
        <v>39</v>
      </c>
      <c r="B82" s="34" t="str" cm="1">
        <f t="array" ref="B82:C82">_xlfn.XLOOKUP(A81,'Player List'!$A$2:$A$177,'Player List'!$B$2:$C$177)</f>
        <v>Scotland</v>
      </c>
      <c r="C82" s="34" t="str">
        <v>Centre</v>
      </c>
      <c r="D82" s="34" t="str">
        <f t="shared" si="1"/>
        <v>Win</v>
      </c>
      <c r="E82" s="2">
        <v>4</v>
      </c>
      <c r="F82" s="2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>
        <v>1.4</v>
      </c>
      <c r="U82" s="2"/>
    </row>
    <row r="83" spans="1:21" ht="16" thickBot="1" x14ac:dyDescent="0.25">
      <c r="A83" s="7" t="s">
        <v>40</v>
      </c>
      <c r="B83" s="34" t="str" cm="1">
        <f t="array" ref="B83:C83">_xlfn.XLOOKUP(A82,'Player List'!$A$2:$A$177,'Player List'!$B$2:$C$177)</f>
        <v>Scotland</v>
      </c>
      <c r="C83" s="34" t="str">
        <v>Centre</v>
      </c>
      <c r="D83" s="34" t="str">
        <f t="shared" si="1"/>
        <v>Win</v>
      </c>
      <c r="E83" s="5">
        <v>76</v>
      </c>
      <c r="F83" s="5">
        <v>12</v>
      </c>
      <c r="G83" s="5"/>
      <c r="H83" s="5">
        <v>1</v>
      </c>
      <c r="I83" s="5">
        <v>47</v>
      </c>
      <c r="J83" s="5"/>
      <c r="K83" s="5"/>
      <c r="L83" s="5"/>
      <c r="M83" s="5">
        <v>1</v>
      </c>
      <c r="N83" s="5"/>
      <c r="O83" s="5"/>
      <c r="P83" s="5"/>
      <c r="Q83" s="5"/>
      <c r="R83" s="5"/>
      <c r="S83" s="5"/>
      <c r="T83" s="6">
        <v>51</v>
      </c>
      <c r="U83" s="5"/>
    </row>
    <row r="84" spans="1:21" ht="16" thickBot="1" x14ac:dyDescent="0.25">
      <c r="A84" s="10" t="s">
        <v>41</v>
      </c>
      <c r="B84" s="34" t="str" cm="1">
        <f t="array" ref="B84:C84">_xlfn.XLOOKUP(A83,'Player List'!$A$2:$A$177,'Player List'!$B$2:$C$177)</f>
        <v>Scotland</v>
      </c>
      <c r="C84" s="34" t="str">
        <v>Centre</v>
      </c>
      <c r="D84" s="34" t="str">
        <f t="shared" si="1"/>
        <v>Win</v>
      </c>
      <c r="E84" s="2">
        <v>80</v>
      </c>
      <c r="F84" s="2">
        <v>10</v>
      </c>
      <c r="G84" s="2">
        <v>1</v>
      </c>
      <c r="H84" s="2"/>
      <c r="I84" s="2">
        <v>63</v>
      </c>
      <c r="J84" s="2"/>
      <c r="K84" s="2"/>
      <c r="L84" s="2"/>
      <c r="M84" s="2"/>
      <c r="N84" s="2">
        <v>1</v>
      </c>
      <c r="O84" s="2"/>
      <c r="P84" s="2"/>
      <c r="Q84" s="2"/>
      <c r="R84" s="2"/>
      <c r="S84" s="2"/>
      <c r="T84" s="3">
        <v>44.6</v>
      </c>
      <c r="U84" s="2"/>
    </row>
    <row r="85" spans="1:21" ht="16" thickBot="1" x14ac:dyDescent="0.25">
      <c r="A85" s="11" t="s">
        <v>42</v>
      </c>
      <c r="B85" s="34" t="str" cm="1">
        <f t="array" ref="B85:C85">_xlfn.XLOOKUP(A84,'Player List'!$A$2:$A$177,'Player List'!$B$2:$C$177)</f>
        <v>Scotland</v>
      </c>
      <c r="C85" s="34" t="str">
        <v>Fly Half</v>
      </c>
      <c r="D85" s="34" t="str">
        <f t="shared" si="1"/>
        <v>Win</v>
      </c>
      <c r="E85" s="5">
        <v>80</v>
      </c>
      <c r="F85" s="5">
        <v>10</v>
      </c>
      <c r="G85" s="5">
        <v>1</v>
      </c>
      <c r="H85" s="5"/>
      <c r="I85" s="5">
        <v>85</v>
      </c>
      <c r="J85" s="5"/>
      <c r="K85" s="5"/>
      <c r="L85" s="5"/>
      <c r="M85" s="5"/>
      <c r="N85" s="5"/>
      <c r="O85" s="5">
        <v>3</v>
      </c>
      <c r="P85" s="5">
        <v>1</v>
      </c>
      <c r="Q85" s="5"/>
      <c r="R85" s="5"/>
      <c r="S85" s="5"/>
      <c r="T85" s="6">
        <v>53</v>
      </c>
      <c r="U85" s="5"/>
    </row>
    <row r="86" spans="1:21" ht="16" thickBot="1" x14ac:dyDescent="0.25">
      <c r="A86" s="12" t="s">
        <v>43</v>
      </c>
      <c r="B86" s="34" t="str" cm="1">
        <f t="array" ref="B86:C86">_xlfn.XLOOKUP(A85,'Player List'!$A$2:$A$177,'Player List'!$B$2:$C$177)</f>
        <v>Scotland</v>
      </c>
      <c r="C86" s="34" t="str">
        <v>Scrum Half</v>
      </c>
      <c r="D86" s="34" t="str">
        <f t="shared" si="1"/>
        <v>Win</v>
      </c>
      <c r="E86" s="2">
        <v>11</v>
      </c>
      <c r="F86" s="2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>
        <v>2.1</v>
      </c>
      <c r="U86" s="2"/>
    </row>
    <row r="87" spans="1:21" ht="16" thickBot="1" x14ac:dyDescent="0.25">
      <c r="A87" s="13" t="s">
        <v>44</v>
      </c>
      <c r="B87" s="34" t="str" cm="1">
        <f t="array" ref="B87:C87">_xlfn.XLOOKUP(A86,'Player List'!$A$2:$A$177,'Player List'!$B$2:$C$177)</f>
        <v>Scotland</v>
      </c>
      <c r="C87" s="34" t="str">
        <v>Scrum Half</v>
      </c>
      <c r="D87" s="34" t="str">
        <f t="shared" si="1"/>
        <v>Win</v>
      </c>
      <c r="E87" s="5">
        <v>69</v>
      </c>
      <c r="F87" s="5">
        <v>9</v>
      </c>
      <c r="G87" s="5">
        <v>1</v>
      </c>
      <c r="H87" s="5">
        <v>1</v>
      </c>
      <c r="I87" s="5">
        <v>21</v>
      </c>
      <c r="J87" s="5"/>
      <c r="K87" s="5"/>
      <c r="L87" s="5"/>
      <c r="M87" s="5">
        <v>1</v>
      </c>
      <c r="N87" s="5"/>
      <c r="O87" s="5"/>
      <c r="P87" s="5"/>
      <c r="Q87" s="5"/>
      <c r="R87" s="5"/>
      <c r="S87" s="5"/>
      <c r="T87" s="6">
        <v>49.1</v>
      </c>
      <c r="U87" s="5"/>
    </row>
    <row r="88" spans="1:21" ht="16" thickBot="1" x14ac:dyDescent="0.25">
      <c r="A88" s="14" t="s">
        <v>45</v>
      </c>
      <c r="B88" s="34" t="str" cm="1">
        <f t="array" ref="B88:C88">_xlfn.XLOOKUP(A87,'Player List'!$A$2:$A$177,'Player List'!$B$2:$C$177)</f>
        <v>Scotland</v>
      </c>
      <c r="C88" s="34" t="str">
        <v>Back Row</v>
      </c>
      <c r="D88" s="34" t="str">
        <f t="shared" si="1"/>
        <v>Win</v>
      </c>
      <c r="E88" s="2">
        <v>58</v>
      </c>
      <c r="F88" s="2">
        <v>17</v>
      </c>
      <c r="G88" s="2">
        <v>3</v>
      </c>
      <c r="H88" s="2"/>
      <c r="I88" s="2">
        <v>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3">
        <v>45.6</v>
      </c>
      <c r="U88" s="2"/>
    </row>
    <row r="89" spans="1:21" ht="16" thickBot="1" x14ac:dyDescent="0.25">
      <c r="A89" s="13" t="s">
        <v>46</v>
      </c>
      <c r="B89" s="34" t="str" cm="1">
        <f t="array" ref="B89:C89">_xlfn.XLOOKUP(A88,'Player List'!$A$2:$A$177,'Player List'!$B$2:$C$177)</f>
        <v>Scotland</v>
      </c>
      <c r="C89" s="34" t="str">
        <v>Back Row</v>
      </c>
      <c r="D89" s="34" t="str">
        <f t="shared" si="1"/>
        <v>Win</v>
      </c>
      <c r="E89" s="5">
        <v>22</v>
      </c>
      <c r="F89" s="5">
        <v>6</v>
      </c>
      <c r="G89" s="5"/>
      <c r="H89" s="5"/>
      <c r="I89" s="5">
        <v>13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6">
        <v>10.8</v>
      </c>
      <c r="U89" s="5"/>
    </row>
    <row r="90" spans="1:21" ht="16" thickBot="1" x14ac:dyDescent="0.25">
      <c r="A90" s="14" t="s">
        <v>47</v>
      </c>
      <c r="B90" s="34" t="str" cm="1">
        <f t="array" ref="B90:C90">_xlfn.XLOOKUP(A89,'Player List'!$A$2:$A$177,'Player List'!$B$2:$C$177)</f>
        <v>Scotland</v>
      </c>
      <c r="C90" s="34" t="str">
        <v>Back Row</v>
      </c>
      <c r="D90" s="34" t="str">
        <f t="shared" si="1"/>
        <v>Win</v>
      </c>
      <c r="E90" s="2">
        <v>80</v>
      </c>
      <c r="F90" s="2">
        <v>24</v>
      </c>
      <c r="G90" s="2">
        <v>2</v>
      </c>
      <c r="H90" s="2"/>
      <c r="I90" s="2">
        <v>31</v>
      </c>
      <c r="J90" s="2"/>
      <c r="K90" s="2"/>
      <c r="L90" s="2"/>
      <c r="M90" s="2"/>
      <c r="N90" s="2">
        <v>1</v>
      </c>
      <c r="O90" s="2"/>
      <c r="P90" s="2"/>
      <c r="Q90" s="2"/>
      <c r="R90" s="2"/>
      <c r="S90" s="2"/>
      <c r="T90" s="3">
        <v>59.2</v>
      </c>
      <c r="U90" s="2"/>
    </row>
    <row r="91" spans="1:21" ht="16" thickBot="1" x14ac:dyDescent="0.25">
      <c r="A91" s="15" t="s">
        <v>48</v>
      </c>
      <c r="B91" s="34" t="str" cm="1">
        <f t="array" ref="B91:C91">_xlfn.XLOOKUP(A90,'Player List'!$A$2:$A$177,'Player List'!$B$2:$C$177)</f>
        <v>Scotland</v>
      </c>
      <c r="C91" s="34" t="str">
        <v>Back Row</v>
      </c>
      <c r="D91" s="34" t="str">
        <f t="shared" si="1"/>
        <v>Win</v>
      </c>
      <c r="E91" s="5">
        <v>80</v>
      </c>
      <c r="F91" s="5">
        <v>11</v>
      </c>
      <c r="G91" s="5">
        <v>2</v>
      </c>
      <c r="H91" s="5"/>
      <c r="I91" s="5">
        <v>31</v>
      </c>
      <c r="J91" s="5"/>
      <c r="K91" s="5"/>
      <c r="L91" s="5">
        <v>1</v>
      </c>
      <c r="M91" s="5"/>
      <c r="N91" s="5"/>
      <c r="O91" s="5"/>
      <c r="P91" s="5"/>
      <c r="Q91" s="5"/>
      <c r="R91" s="5"/>
      <c r="S91" s="5"/>
      <c r="T91" s="6">
        <v>46.2</v>
      </c>
      <c r="U91" s="5"/>
    </row>
    <row r="92" spans="1:21" ht="16" thickBot="1" x14ac:dyDescent="0.25">
      <c r="A92" s="16" t="s">
        <v>49</v>
      </c>
      <c r="B92" s="34" t="str" cm="1">
        <f t="array" ref="B92:C92">_xlfn.XLOOKUP(A91,'Player List'!$A$2:$A$177,'Player List'!$B$2:$C$177)</f>
        <v>Scotland</v>
      </c>
      <c r="C92" s="34" t="str">
        <v>Second Row</v>
      </c>
      <c r="D92" s="34" t="str">
        <f t="shared" si="1"/>
        <v>Win</v>
      </c>
      <c r="E92" s="2">
        <v>66</v>
      </c>
      <c r="F92" s="2">
        <v>13</v>
      </c>
      <c r="G92" s="2">
        <v>1</v>
      </c>
      <c r="H92" s="2"/>
      <c r="I92" s="2">
        <v>4</v>
      </c>
      <c r="J92" s="2"/>
      <c r="K92" s="2">
        <v>1</v>
      </c>
      <c r="L92" s="2"/>
      <c r="M92" s="2"/>
      <c r="N92" s="2"/>
      <c r="O92" s="2"/>
      <c r="P92" s="2"/>
      <c r="Q92" s="2"/>
      <c r="R92" s="2"/>
      <c r="S92" s="2"/>
      <c r="T92" s="3">
        <v>34.4</v>
      </c>
      <c r="U92" s="2"/>
    </row>
    <row r="93" spans="1:21" ht="16" thickBot="1" x14ac:dyDescent="0.25">
      <c r="A93" s="15" t="s">
        <v>50</v>
      </c>
      <c r="B93" s="34" t="str" cm="1">
        <f t="array" ref="B93:C93">_xlfn.XLOOKUP(A92,'Player List'!$A$2:$A$177,'Player List'!$B$2:$C$177)</f>
        <v>Scotland</v>
      </c>
      <c r="C93" s="34" t="str">
        <v>Second Row</v>
      </c>
      <c r="D93" s="34" t="str">
        <f t="shared" si="1"/>
        <v>Win</v>
      </c>
      <c r="E93" s="5">
        <v>14</v>
      </c>
      <c r="F93" s="5">
        <v>3</v>
      </c>
      <c r="G93" s="5">
        <v>1</v>
      </c>
      <c r="H93" s="5"/>
      <c r="I93" s="5">
        <v>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6">
        <v>12.8</v>
      </c>
      <c r="U93" s="5"/>
    </row>
    <row r="94" spans="1:21" ht="16" thickBot="1" x14ac:dyDescent="0.25">
      <c r="A94" s="17" t="s">
        <v>180</v>
      </c>
      <c r="B94" s="34" t="str" cm="1">
        <f t="array" ref="B94:C94">_xlfn.XLOOKUP(A93,'Player List'!$A$2:$A$177,'Player List'!$B$2:$C$177)</f>
        <v>Scotland</v>
      </c>
      <c r="C94" s="34" t="str">
        <v>Second Row</v>
      </c>
      <c r="D94" s="34" t="str">
        <f t="shared" si="1"/>
        <v>Win</v>
      </c>
      <c r="E94" s="2">
        <v>80</v>
      </c>
      <c r="F94" s="2">
        <v>15</v>
      </c>
      <c r="G94" s="2">
        <v>2</v>
      </c>
      <c r="H94" s="2"/>
      <c r="I94" s="2">
        <v>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3">
        <v>38.200000000000003</v>
      </c>
      <c r="U94" s="2"/>
    </row>
    <row r="95" spans="1:21" ht="16" thickBot="1" x14ac:dyDescent="0.25">
      <c r="A95" s="18" t="s">
        <v>51</v>
      </c>
      <c r="B95" s="34" t="str" cm="1">
        <f t="array" ref="B95:C95">_xlfn.XLOOKUP(A94,'Player List'!$A$2:$A$177,'Player List'!$B$2:$C$177)</f>
        <v>Scotland</v>
      </c>
      <c r="C95" s="34" t="str">
        <v>Prop</v>
      </c>
      <c r="D95" s="34" t="str">
        <f t="shared" si="1"/>
        <v>Win</v>
      </c>
      <c r="E95" s="5">
        <v>22</v>
      </c>
      <c r="F95" s="5">
        <v>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>
        <v>10.199999999999999</v>
      </c>
      <c r="U95" s="5"/>
    </row>
    <row r="96" spans="1:21" ht="16" thickBot="1" x14ac:dyDescent="0.25">
      <c r="A96" s="17" t="s">
        <v>53</v>
      </c>
      <c r="B96" s="34" t="str" cm="1">
        <f t="array" ref="B96:C96">_xlfn.XLOOKUP(A95,'Player List'!$A$2:$A$177,'Player List'!$B$2:$C$177)</f>
        <v>Scotland</v>
      </c>
      <c r="C96" s="34" t="str">
        <v>Prop</v>
      </c>
      <c r="D96" s="34" t="str">
        <f t="shared" si="1"/>
        <v>Win</v>
      </c>
      <c r="E96" s="2">
        <v>14</v>
      </c>
      <c r="F96" s="2">
        <v>3</v>
      </c>
      <c r="G96" s="2"/>
      <c r="H96" s="2"/>
      <c r="I96" s="2">
        <v>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3">
        <v>4.8</v>
      </c>
      <c r="U96" s="2"/>
    </row>
    <row r="97" spans="1:21" ht="16" thickBot="1" x14ac:dyDescent="0.25">
      <c r="A97" s="18" t="s">
        <v>54</v>
      </c>
      <c r="B97" s="34" t="str" cm="1">
        <f t="array" ref="B97:C97">_xlfn.XLOOKUP(A96,'Player List'!$A$2:$A$177,'Player List'!$B$2:$C$177)</f>
        <v>Scotland</v>
      </c>
      <c r="C97" s="34" t="str">
        <v>Prop</v>
      </c>
      <c r="D97" s="34" t="str">
        <f t="shared" si="1"/>
        <v>Win</v>
      </c>
      <c r="E97" s="5">
        <v>58</v>
      </c>
      <c r="F97" s="5">
        <v>11</v>
      </c>
      <c r="G97" s="5"/>
      <c r="H97" s="5"/>
      <c r="I97" s="5">
        <v>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6">
        <v>17.399999999999999</v>
      </c>
      <c r="U97" s="5"/>
    </row>
    <row r="98" spans="1:21" ht="16" thickBot="1" x14ac:dyDescent="0.25">
      <c r="A98" s="19" t="s">
        <v>55</v>
      </c>
      <c r="B98" s="34" t="str" cm="1">
        <f t="array" ref="B98:C98">_xlfn.XLOOKUP(A97,'Player List'!$A$2:$A$177,'Player List'!$B$2:$C$177)</f>
        <v>Scotland</v>
      </c>
      <c r="C98" s="34" t="str">
        <v>Prop</v>
      </c>
      <c r="D98" s="34" t="str">
        <f t="shared" si="1"/>
        <v>Win</v>
      </c>
      <c r="E98" s="2">
        <v>66</v>
      </c>
      <c r="F98" s="2">
        <v>15</v>
      </c>
      <c r="G98" s="2"/>
      <c r="H98" s="2"/>
      <c r="I98" s="2">
        <v>25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3">
        <v>26.6</v>
      </c>
      <c r="U98" s="2"/>
    </row>
    <row r="99" spans="1:21" ht="16" thickBot="1" x14ac:dyDescent="0.25">
      <c r="A99" s="20" t="s">
        <v>56</v>
      </c>
      <c r="B99" s="34" t="str" cm="1">
        <f t="array" ref="B99:C99">_xlfn.XLOOKUP(A98,'Player List'!$A$2:$A$177,'Player List'!$B$2:$C$177)</f>
        <v>Scotland</v>
      </c>
      <c r="C99" s="34" t="str">
        <v>Hooker</v>
      </c>
      <c r="D99" s="34" t="str">
        <f t="shared" si="1"/>
        <v>Win</v>
      </c>
      <c r="E99" s="5">
        <v>22</v>
      </c>
      <c r="F99" s="5">
        <v>3</v>
      </c>
      <c r="G99" s="5"/>
      <c r="H99" s="5"/>
      <c r="I99" s="5">
        <v>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6">
        <v>5.6</v>
      </c>
      <c r="U99" s="5"/>
    </row>
    <row r="100" spans="1:21" ht="16" thickBot="1" x14ac:dyDescent="0.25">
      <c r="A100" s="1" t="s">
        <v>103</v>
      </c>
      <c r="B100" s="34" t="str" cm="1">
        <f t="array" ref="B100:C100">_xlfn.XLOOKUP(A99,'Player List'!$A$2:$A$177,'Player List'!$B$2:$C$177)</f>
        <v>Scotland</v>
      </c>
      <c r="C100" s="34" t="str">
        <v>Hooker</v>
      </c>
      <c r="D100" s="34" t="str">
        <f t="shared" si="1"/>
        <v>Win</v>
      </c>
      <c r="E100" s="2">
        <v>58</v>
      </c>
      <c r="F100" s="2">
        <v>11</v>
      </c>
      <c r="G100" s="2">
        <v>2</v>
      </c>
      <c r="H100" s="2"/>
      <c r="I100" s="2">
        <v>21</v>
      </c>
      <c r="J100" s="2"/>
      <c r="K100" s="2">
        <v>1</v>
      </c>
      <c r="L100" s="2"/>
      <c r="M100" s="2"/>
      <c r="N100" s="2"/>
      <c r="O100" s="2"/>
      <c r="P100" s="2"/>
      <c r="Q100" s="2"/>
      <c r="R100" s="2"/>
      <c r="S100" s="2"/>
      <c r="T100" s="3">
        <v>42</v>
      </c>
      <c r="U100" s="2"/>
    </row>
    <row r="101" spans="1:21" ht="16" thickBot="1" x14ac:dyDescent="0.25">
      <c r="A101" s="4" t="s">
        <v>104</v>
      </c>
      <c r="B101" s="34" t="str" cm="1">
        <f t="array" ref="B101:C101">_xlfn.XLOOKUP(A100,'Player List'!$A$2:$A$177,'Player List'!$B$2:$C$177)</f>
        <v>Italy</v>
      </c>
      <c r="C101" s="34" t="str">
        <v>Back Three</v>
      </c>
      <c r="D101" s="34" t="str">
        <f t="shared" si="1"/>
        <v>Loss</v>
      </c>
      <c r="E101" s="2">
        <v>66</v>
      </c>
      <c r="F101" s="2">
        <v>6</v>
      </c>
      <c r="G101" s="2"/>
      <c r="H101" s="2"/>
      <c r="I101" s="2">
        <v>46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>
        <v>15.2</v>
      </c>
      <c r="U101" s="2"/>
    </row>
    <row r="102" spans="1:21" ht="16" thickBot="1" x14ac:dyDescent="0.25">
      <c r="A102" s="1" t="s">
        <v>105</v>
      </c>
      <c r="B102" s="34" t="str" cm="1">
        <f t="array" ref="B102:C102">_xlfn.XLOOKUP(A101,'Player List'!$A$2:$A$177,'Player List'!$B$2:$C$177)</f>
        <v>Italy</v>
      </c>
      <c r="C102" s="34" t="str">
        <v>Back Three</v>
      </c>
      <c r="D102" s="34" t="str">
        <f t="shared" si="1"/>
        <v>Loss</v>
      </c>
      <c r="E102" s="5">
        <v>80</v>
      </c>
      <c r="F102" s="5"/>
      <c r="G102" s="5"/>
      <c r="H102" s="5"/>
      <c r="I102" s="5">
        <v>114</v>
      </c>
      <c r="J102" s="5"/>
      <c r="K102" s="5"/>
      <c r="L102" s="5"/>
      <c r="M102" s="5">
        <v>1</v>
      </c>
      <c r="N102" s="5"/>
      <c r="O102" s="5"/>
      <c r="P102" s="5"/>
      <c r="Q102" s="5"/>
      <c r="R102" s="5"/>
      <c r="S102" s="5"/>
      <c r="T102" s="6">
        <v>37.799999999999997</v>
      </c>
      <c r="U102" s="5"/>
    </row>
    <row r="103" spans="1:21" ht="16" thickBot="1" x14ac:dyDescent="0.25">
      <c r="A103" s="4" t="s">
        <v>106</v>
      </c>
      <c r="B103" s="34" t="str" cm="1">
        <f t="array" ref="B103:C103">_xlfn.XLOOKUP(A102,'Player List'!$A$2:$A$177,'Player List'!$B$2:$C$177)</f>
        <v>Italy</v>
      </c>
      <c r="C103" s="34" t="str">
        <v>Back Three</v>
      </c>
      <c r="D103" s="34" t="str">
        <f t="shared" si="1"/>
        <v>Loss</v>
      </c>
      <c r="E103" s="2">
        <v>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>
        <v>0</v>
      </c>
      <c r="U103" s="2"/>
    </row>
    <row r="104" spans="1:21" ht="16" thickBot="1" x14ac:dyDescent="0.25">
      <c r="A104" s="1" t="s">
        <v>107</v>
      </c>
      <c r="B104" s="34" t="str" cm="1">
        <f t="array" ref="B104:C104">_xlfn.XLOOKUP(A103,'Player List'!$A$2:$A$177,'Player List'!$B$2:$C$177)</f>
        <v>Italy</v>
      </c>
      <c r="C104" s="34" t="str">
        <v>Back Three</v>
      </c>
      <c r="D104" s="34" t="str">
        <f t="shared" si="1"/>
        <v>Loss</v>
      </c>
      <c r="E104" s="5">
        <v>80</v>
      </c>
      <c r="F104" s="5"/>
      <c r="G104" s="5"/>
      <c r="H104" s="5">
        <v>1</v>
      </c>
      <c r="I104" s="5">
        <v>38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>
        <v>14.6</v>
      </c>
      <c r="U104" s="5"/>
    </row>
    <row r="105" spans="1:21" ht="16" thickBot="1" x14ac:dyDescent="0.25">
      <c r="A105" s="8" t="s">
        <v>108</v>
      </c>
      <c r="B105" s="34" t="str" cm="1">
        <f t="array" ref="B105:C105">_xlfn.XLOOKUP(A104,'Player List'!$A$2:$A$177,'Player List'!$B$2:$C$177)</f>
        <v>Italy</v>
      </c>
      <c r="C105" s="34" t="str">
        <v>Back Three</v>
      </c>
      <c r="D105" s="34" t="str">
        <f t="shared" si="1"/>
        <v>Loss</v>
      </c>
      <c r="E105" s="2">
        <v>14</v>
      </c>
      <c r="F105" s="2">
        <v>1</v>
      </c>
      <c r="G105" s="2"/>
      <c r="H105" s="2"/>
      <c r="I105" s="2">
        <v>14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>
        <v>3.8</v>
      </c>
      <c r="U105" s="2"/>
    </row>
    <row r="106" spans="1:21" ht="16" thickBot="1" x14ac:dyDescent="0.25">
      <c r="A106" s="7" t="s">
        <v>109</v>
      </c>
      <c r="B106" s="34" t="str" cm="1">
        <f t="array" ref="B106:C106">_xlfn.XLOOKUP(A105,'Player List'!$A$2:$A$177,'Player List'!$B$2:$C$177)</f>
        <v>Italy</v>
      </c>
      <c r="C106" s="34" t="str">
        <v>Centre</v>
      </c>
      <c r="D106" s="34" t="str">
        <f t="shared" si="1"/>
        <v>Loss</v>
      </c>
      <c r="E106" s="5">
        <v>80</v>
      </c>
      <c r="F106" s="5">
        <v>4</v>
      </c>
      <c r="G106" s="5"/>
      <c r="H106" s="5"/>
      <c r="I106" s="5">
        <v>90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>
        <v>22</v>
      </c>
      <c r="U106" s="5"/>
    </row>
    <row r="107" spans="1:21" ht="16" thickBot="1" x14ac:dyDescent="0.25">
      <c r="A107" s="10" t="s">
        <v>110</v>
      </c>
      <c r="B107" s="34" t="str" cm="1">
        <f t="array" ref="B107:C107">_xlfn.XLOOKUP(A106,'Player List'!$A$2:$A$177,'Player List'!$B$2:$C$177)</f>
        <v>Italy</v>
      </c>
      <c r="C107" s="34" t="str">
        <v>Centre</v>
      </c>
      <c r="D107" s="34" t="str">
        <f t="shared" si="1"/>
        <v>Loss</v>
      </c>
      <c r="E107" s="2">
        <v>80</v>
      </c>
      <c r="F107" s="2">
        <v>11</v>
      </c>
      <c r="G107" s="2">
        <v>1</v>
      </c>
      <c r="H107" s="2"/>
      <c r="I107" s="2">
        <v>73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>
        <v>32.6</v>
      </c>
      <c r="U107" s="2"/>
    </row>
    <row r="108" spans="1:21" ht="16" thickBot="1" x14ac:dyDescent="0.25">
      <c r="A108" s="11" t="s">
        <v>111</v>
      </c>
      <c r="B108" s="34" t="str" cm="1">
        <f t="array" ref="B108:C108">_xlfn.XLOOKUP(A107,'Player List'!$A$2:$A$177,'Player List'!$B$2:$C$177)</f>
        <v>Italy</v>
      </c>
      <c r="C108" s="34" t="str">
        <v>Fly Half</v>
      </c>
      <c r="D108" s="34" t="str">
        <f t="shared" si="1"/>
        <v>Loss</v>
      </c>
      <c r="E108" s="5">
        <v>80</v>
      </c>
      <c r="F108" s="5">
        <v>5</v>
      </c>
      <c r="G108" s="5"/>
      <c r="H108" s="5"/>
      <c r="I108" s="5">
        <v>93</v>
      </c>
      <c r="J108" s="5"/>
      <c r="K108" s="5"/>
      <c r="L108" s="5"/>
      <c r="M108" s="5"/>
      <c r="N108" s="5"/>
      <c r="O108" s="5"/>
      <c r="P108" s="5">
        <v>4</v>
      </c>
      <c r="Q108" s="5"/>
      <c r="R108" s="5"/>
      <c r="S108" s="5"/>
      <c r="T108" s="6">
        <v>43.6</v>
      </c>
      <c r="U108" s="5"/>
    </row>
    <row r="109" spans="1:21" ht="16" thickBot="1" x14ac:dyDescent="0.25">
      <c r="A109" s="14" t="s">
        <v>112</v>
      </c>
      <c r="B109" s="34" t="str" cm="1">
        <f t="array" ref="B109:C109">_xlfn.XLOOKUP(A108,'Player List'!$A$2:$A$177,'Player List'!$B$2:$C$177)</f>
        <v>Italy</v>
      </c>
      <c r="C109" s="34" t="str">
        <v>Scrum Half</v>
      </c>
      <c r="D109" s="34" t="str">
        <f t="shared" si="1"/>
        <v>Loss</v>
      </c>
      <c r="E109" s="2">
        <v>74</v>
      </c>
      <c r="F109" s="2">
        <v>2</v>
      </c>
      <c r="G109" s="2"/>
      <c r="H109" s="2"/>
      <c r="I109" s="2">
        <v>2</v>
      </c>
      <c r="J109" s="2"/>
      <c r="K109" s="2"/>
      <c r="L109" s="2"/>
      <c r="M109" s="2"/>
      <c r="N109" s="2">
        <v>1</v>
      </c>
      <c r="O109" s="2"/>
      <c r="P109" s="2"/>
      <c r="Q109" s="2"/>
      <c r="R109" s="2"/>
      <c r="S109" s="2"/>
      <c r="T109" s="3">
        <v>9.4</v>
      </c>
      <c r="U109" s="2"/>
    </row>
    <row r="110" spans="1:21" ht="16" thickBot="1" x14ac:dyDescent="0.25">
      <c r="A110" s="13" t="s">
        <v>113</v>
      </c>
      <c r="B110" s="34" t="str" cm="1">
        <f t="array" ref="B110:C110">_xlfn.XLOOKUP(A109,'Player List'!$A$2:$A$177,'Player List'!$B$2:$C$177)</f>
        <v>Italy</v>
      </c>
      <c r="C110" s="34" t="str">
        <v>Back Row</v>
      </c>
      <c r="D110" s="34" t="str">
        <f t="shared" si="1"/>
        <v>Loss</v>
      </c>
      <c r="E110" s="5">
        <v>11</v>
      </c>
      <c r="F110" s="5"/>
      <c r="G110" s="5"/>
      <c r="H110" s="5"/>
      <c r="I110" s="5">
        <v>9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>
        <v>1.8</v>
      </c>
      <c r="U110" s="5"/>
    </row>
    <row r="111" spans="1:21" ht="16" thickBot="1" x14ac:dyDescent="0.25">
      <c r="A111" s="14" t="s">
        <v>114</v>
      </c>
      <c r="B111" s="34" t="str" cm="1">
        <f t="array" ref="B111:C111">_xlfn.XLOOKUP(A110,'Player List'!$A$2:$A$177,'Player List'!$B$2:$C$177)</f>
        <v>Italy</v>
      </c>
      <c r="C111" s="34" t="str">
        <v>Back Row</v>
      </c>
      <c r="D111" s="34" t="str">
        <f t="shared" si="1"/>
        <v>Loss</v>
      </c>
      <c r="E111" s="2">
        <v>80</v>
      </c>
      <c r="F111" s="2">
        <v>10</v>
      </c>
      <c r="G111" s="2"/>
      <c r="H111" s="2"/>
      <c r="I111" s="2">
        <v>45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>
        <v>19</v>
      </c>
      <c r="U111" s="2"/>
    </row>
    <row r="112" spans="1:21" ht="16" thickBot="1" x14ac:dyDescent="0.25">
      <c r="A112" s="13" t="s">
        <v>154</v>
      </c>
      <c r="B112" s="34" t="str" cm="1">
        <f t="array" ref="B112:C112">_xlfn.XLOOKUP(A111,'Player List'!$A$2:$A$177,'Player List'!$B$2:$C$177)</f>
        <v>Italy</v>
      </c>
      <c r="C112" s="34" t="str">
        <v>Back Row</v>
      </c>
      <c r="D112" s="34" t="str">
        <f t="shared" si="1"/>
        <v>Loss</v>
      </c>
      <c r="E112" s="5">
        <v>65</v>
      </c>
      <c r="F112" s="5">
        <v>7</v>
      </c>
      <c r="G112" s="5">
        <v>1</v>
      </c>
      <c r="H112" s="5"/>
      <c r="I112" s="5">
        <v>65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>
        <v>27</v>
      </c>
      <c r="U112" s="5"/>
    </row>
    <row r="113" spans="1:21" ht="16" thickBot="1" x14ac:dyDescent="0.25">
      <c r="A113" s="16" t="s">
        <v>117</v>
      </c>
      <c r="B113" s="34" t="str" cm="1">
        <f t="array" ref="B113:C113">_xlfn.XLOOKUP(A112,'Player List'!$A$2:$A$177,'Player List'!$B$2:$C$177)</f>
        <v>Italy</v>
      </c>
      <c r="C113" s="34" t="str">
        <v>Back Row</v>
      </c>
      <c r="D113" s="34" t="str">
        <f t="shared" si="1"/>
        <v>Loss</v>
      </c>
      <c r="E113" s="2">
        <v>11</v>
      </c>
      <c r="F113" s="2"/>
      <c r="G113" s="2"/>
      <c r="H113" s="2"/>
      <c r="I113" s="2">
        <v>10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>
        <v>2</v>
      </c>
      <c r="U113" s="2"/>
    </row>
    <row r="114" spans="1:21" ht="16" thickBot="1" x14ac:dyDescent="0.25">
      <c r="A114" s="15" t="s">
        <v>116</v>
      </c>
      <c r="B114" s="34" t="str" cm="1">
        <f t="array" ref="B114:C114">_xlfn.XLOOKUP(A113,'Player List'!$A$2:$A$177,'Player List'!$B$2:$C$177)</f>
        <v>Italy</v>
      </c>
      <c r="C114" s="34" t="str">
        <v>Second Row</v>
      </c>
      <c r="D114" s="34" t="str">
        <f t="shared" si="1"/>
        <v>Loss</v>
      </c>
      <c r="E114" s="5">
        <v>69</v>
      </c>
      <c r="F114" s="5">
        <v>12</v>
      </c>
      <c r="G114" s="5">
        <v>2</v>
      </c>
      <c r="H114" s="5"/>
      <c r="I114" s="5">
        <v>21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>
        <v>30.2</v>
      </c>
      <c r="U114" s="5"/>
    </row>
    <row r="115" spans="1:21" ht="16" thickBot="1" x14ac:dyDescent="0.25">
      <c r="A115" s="16" t="s">
        <v>118</v>
      </c>
      <c r="B115" s="34" t="str" cm="1">
        <f t="array" ref="B115:C115">_xlfn.XLOOKUP(A114,'Player List'!$A$2:$A$177,'Player List'!$B$2:$C$177)</f>
        <v>Italy</v>
      </c>
      <c r="C115" s="34" t="str">
        <v>Second Row</v>
      </c>
      <c r="D115" s="34" t="str">
        <f t="shared" si="1"/>
        <v>Loss</v>
      </c>
      <c r="E115" s="2">
        <v>69</v>
      </c>
      <c r="F115" s="2">
        <v>12</v>
      </c>
      <c r="G115" s="2"/>
      <c r="H115" s="2"/>
      <c r="I115" s="2">
        <v>46</v>
      </c>
      <c r="J115" s="2"/>
      <c r="K115" s="2"/>
      <c r="L115" s="2">
        <v>1</v>
      </c>
      <c r="M115" s="2"/>
      <c r="N115" s="2"/>
      <c r="O115" s="2"/>
      <c r="P115" s="2"/>
      <c r="Q115" s="2"/>
      <c r="R115" s="2"/>
      <c r="S115" s="2"/>
      <c r="T115" s="3">
        <v>28.2</v>
      </c>
      <c r="U115" s="2"/>
    </row>
    <row r="116" spans="1:21" ht="16" thickBot="1" x14ac:dyDescent="0.25">
      <c r="A116" s="15" t="s">
        <v>119</v>
      </c>
      <c r="B116" s="34" t="str" cm="1">
        <f t="array" ref="B116:C116">_xlfn.XLOOKUP(A115,'Player List'!$A$2:$A$177,'Player List'!$B$2:$C$177)</f>
        <v>Italy</v>
      </c>
      <c r="C116" s="34" t="str">
        <v>Second Row</v>
      </c>
      <c r="D116" s="34" t="str">
        <f t="shared" si="1"/>
        <v>Loss</v>
      </c>
      <c r="E116" s="5">
        <v>80</v>
      </c>
      <c r="F116" s="5">
        <v>10</v>
      </c>
      <c r="G116" s="5">
        <v>2</v>
      </c>
      <c r="H116" s="5">
        <v>1</v>
      </c>
      <c r="I116" s="5">
        <v>35</v>
      </c>
      <c r="J116" s="5"/>
      <c r="K116" s="5">
        <v>1</v>
      </c>
      <c r="L116" s="5"/>
      <c r="M116" s="5"/>
      <c r="N116" s="5"/>
      <c r="O116" s="5"/>
      <c r="P116" s="5"/>
      <c r="Q116" s="5"/>
      <c r="R116" s="5"/>
      <c r="S116" s="5"/>
      <c r="T116" s="6">
        <v>45</v>
      </c>
      <c r="U116" s="5"/>
    </row>
    <row r="117" spans="1:21" ht="16" thickBot="1" x14ac:dyDescent="0.25">
      <c r="A117" s="17" t="s">
        <v>187</v>
      </c>
      <c r="B117" s="34" t="str" cm="1">
        <f t="array" ref="B117:C117">_xlfn.XLOOKUP(A116,'Player List'!$A$2:$A$177,'Player List'!$B$2:$C$177)</f>
        <v>Italy</v>
      </c>
      <c r="C117" s="34" t="str">
        <v>Second Row</v>
      </c>
      <c r="D117" s="34" t="str">
        <f t="shared" si="1"/>
        <v>Loss</v>
      </c>
      <c r="E117" s="2">
        <v>15</v>
      </c>
      <c r="F117" s="2"/>
      <c r="G117" s="2"/>
      <c r="H117" s="2"/>
      <c r="I117" s="2">
        <v>16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>
        <v>3.2</v>
      </c>
      <c r="U117" s="2"/>
    </row>
    <row r="118" spans="1:21" ht="16" thickBot="1" x14ac:dyDescent="0.25">
      <c r="A118" s="18" t="s">
        <v>120</v>
      </c>
      <c r="B118" s="34" t="str" cm="1">
        <f t="array" ref="B118:C118">_xlfn.XLOOKUP(A117,'Player List'!$A$2:$A$177,'Player List'!$B$2:$C$177)</f>
        <v>Italy</v>
      </c>
      <c r="C118" s="34" t="str">
        <v>Prop</v>
      </c>
      <c r="D118" s="34" t="str">
        <f t="shared" si="1"/>
        <v>Loss</v>
      </c>
      <c r="E118" s="5">
        <v>24</v>
      </c>
      <c r="F118" s="5"/>
      <c r="G118" s="5"/>
      <c r="H118" s="5"/>
      <c r="I118" s="5">
        <v>12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>
        <v>2.4</v>
      </c>
      <c r="U118" s="5"/>
    </row>
    <row r="119" spans="1:21" ht="16" thickBot="1" x14ac:dyDescent="0.25">
      <c r="A119" s="17" t="s">
        <v>121</v>
      </c>
      <c r="B119" s="34" t="str" cm="1">
        <f t="array" ref="B119:C119">_xlfn.XLOOKUP(A118,'Player List'!$A$2:$A$177,'Player List'!$B$2:$C$177)</f>
        <v>Italy</v>
      </c>
      <c r="C119" s="34" t="str">
        <v>Prop</v>
      </c>
      <c r="D119" s="34" t="str">
        <f t="shared" si="1"/>
        <v>Loss</v>
      </c>
      <c r="E119" s="2">
        <v>56</v>
      </c>
      <c r="F119" s="2">
        <v>10</v>
      </c>
      <c r="G119" s="2"/>
      <c r="H119" s="2"/>
      <c r="I119" s="2">
        <v>13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>
        <v>12.6</v>
      </c>
      <c r="U119" s="2"/>
    </row>
    <row r="120" spans="1:21" ht="16" thickBot="1" x14ac:dyDescent="0.25">
      <c r="A120" s="18" t="s">
        <v>123</v>
      </c>
      <c r="B120" s="34" t="str" cm="1">
        <f t="array" ref="B120:C120">_xlfn.XLOOKUP(A119,'Player List'!$A$2:$A$177,'Player List'!$B$2:$C$177)</f>
        <v>Italy</v>
      </c>
      <c r="C120" s="34" t="str">
        <v>Prop</v>
      </c>
      <c r="D120" s="34" t="str">
        <f t="shared" si="1"/>
        <v>Loss</v>
      </c>
      <c r="E120" s="5">
        <v>69</v>
      </c>
      <c r="F120" s="5">
        <v>7</v>
      </c>
      <c r="G120" s="5">
        <v>2</v>
      </c>
      <c r="H120" s="5">
        <v>1</v>
      </c>
      <c r="I120" s="5">
        <v>46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>
        <v>37.200000000000003</v>
      </c>
      <c r="U120" s="5"/>
    </row>
    <row r="121" spans="1:21" ht="16" thickBot="1" x14ac:dyDescent="0.25">
      <c r="A121" s="19" t="s">
        <v>124</v>
      </c>
      <c r="B121" s="34" t="str" cm="1">
        <f t="array" ref="B121:C121">_xlfn.XLOOKUP(A120,'Player List'!$A$2:$A$177,'Player List'!$B$2:$C$177)</f>
        <v>Italy</v>
      </c>
      <c r="C121" s="34" t="str">
        <v>Prop</v>
      </c>
      <c r="D121" s="34" t="str">
        <f t="shared" si="1"/>
        <v>Loss</v>
      </c>
      <c r="E121" s="2">
        <v>11</v>
      </c>
      <c r="F121" s="2"/>
      <c r="G121" s="2"/>
      <c r="H121" s="2"/>
      <c r="I121" s="2">
        <v>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>
        <v>1.8</v>
      </c>
      <c r="U121" s="2"/>
    </row>
    <row r="122" spans="1:21" ht="16" thickBot="1" x14ac:dyDescent="0.25">
      <c r="A122" s="20" t="s">
        <v>125</v>
      </c>
      <c r="B122" s="34" t="str" cm="1">
        <f t="array" ref="B122:C122">_xlfn.XLOOKUP(A121,'Player List'!$A$2:$A$177,'Player List'!$B$2:$C$177)</f>
        <v>Italy</v>
      </c>
      <c r="C122" s="34" t="str">
        <v>Hooker</v>
      </c>
      <c r="D122" s="34" t="str">
        <f t="shared" si="1"/>
        <v>Loss</v>
      </c>
      <c r="E122" s="5">
        <v>11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>
        <v>0</v>
      </c>
      <c r="U122" s="5"/>
    </row>
    <row r="123" spans="1:21" ht="16" thickBot="1" x14ac:dyDescent="0.25">
      <c r="A123" s="1" t="s">
        <v>12</v>
      </c>
      <c r="B123" s="34" t="str" cm="1">
        <f t="array" ref="B123:C123">_xlfn.XLOOKUP(A122,'Player List'!$A$2:$A$177,'Player List'!$B$2:$C$177)</f>
        <v>Italy</v>
      </c>
      <c r="C123" s="34" t="str">
        <v>Hooker</v>
      </c>
      <c r="D123" s="34" t="str">
        <f t="shared" si="1"/>
        <v>Loss</v>
      </c>
      <c r="E123" s="2">
        <v>69</v>
      </c>
      <c r="F123" s="2">
        <v>12</v>
      </c>
      <c r="G123" s="2">
        <v>1</v>
      </c>
      <c r="H123" s="2"/>
      <c r="I123" s="2">
        <v>22</v>
      </c>
      <c r="J123" s="2"/>
      <c r="K123" s="2"/>
      <c r="L123" s="2">
        <v>1</v>
      </c>
      <c r="M123" s="2"/>
      <c r="N123" s="2"/>
      <c r="O123" s="2"/>
      <c r="P123" s="2"/>
      <c r="Q123" s="2"/>
      <c r="R123" s="2"/>
      <c r="S123" s="2"/>
      <c r="T123" s="3">
        <v>30.4</v>
      </c>
      <c r="U123" s="2"/>
    </row>
    <row r="124" spans="1:21" ht="16" thickBot="1" x14ac:dyDescent="0.25">
      <c r="A124" s="4" t="s">
        <v>13</v>
      </c>
      <c r="B124" s="34" t="str" cm="1">
        <f t="array" ref="B124:C124">_xlfn.XLOOKUP(A123,'Player List'!$A$2:$A$177,'Player List'!$B$2:$C$177)</f>
        <v>France</v>
      </c>
      <c r="C124" s="34" t="str">
        <v>Back Three</v>
      </c>
      <c r="D124" s="34" t="str">
        <f t="shared" si="1"/>
        <v>Win</v>
      </c>
      <c r="E124" s="2">
        <v>80</v>
      </c>
      <c r="F124" s="2">
        <v>2</v>
      </c>
      <c r="G124" s="2">
        <v>2</v>
      </c>
      <c r="H124" s="2">
        <v>2</v>
      </c>
      <c r="I124" s="2">
        <v>56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>
        <v>49.2</v>
      </c>
      <c r="U124" s="2"/>
    </row>
    <row r="125" spans="1:21" ht="16" thickBot="1" x14ac:dyDescent="0.25">
      <c r="A125" s="7" t="s">
        <v>14</v>
      </c>
      <c r="B125" s="34" t="str" cm="1">
        <f t="array" ref="B125:C125">_xlfn.XLOOKUP(A124,'Player List'!$A$2:$A$177,'Player List'!$B$2:$C$177)</f>
        <v>France</v>
      </c>
      <c r="C125" s="34" t="str">
        <v>Back Three</v>
      </c>
      <c r="D125" s="34" t="str">
        <f t="shared" si="1"/>
        <v>Win</v>
      </c>
      <c r="E125" s="5">
        <v>80</v>
      </c>
      <c r="F125" s="5">
        <v>2</v>
      </c>
      <c r="G125" s="5"/>
      <c r="H125" s="5">
        <v>1</v>
      </c>
      <c r="I125" s="5">
        <v>52</v>
      </c>
      <c r="J125" s="5"/>
      <c r="K125" s="5"/>
      <c r="L125" s="5"/>
      <c r="M125" s="5">
        <v>1</v>
      </c>
      <c r="N125" s="5"/>
      <c r="O125" s="5">
        <v>3</v>
      </c>
      <c r="P125" s="5">
        <v>1</v>
      </c>
      <c r="Q125" s="5"/>
      <c r="R125" s="5"/>
      <c r="S125" s="5"/>
      <c r="T125" s="6">
        <v>53.4</v>
      </c>
      <c r="U125" s="5"/>
    </row>
    <row r="126" spans="1:21" ht="16" thickBot="1" x14ac:dyDescent="0.25">
      <c r="A126" s="8" t="s">
        <v>15</v>
      </c>
      <c r="B126" s="34" t="str" cm="1">
        <f t="array" ref="B126:C126">_xlfn.XLOOKUP(A125,'Player List'!$A$2:$A$177,'Player List'!$B$2:$C$177)</f>
        <v>France</v>
      </c>
      <c r="C126" s="34" t="str">
        <v>Centre</v>
      </c>
      <c r="D126" s="34" t="str">
        <f t="shared" si="1"/>
        <v>Win</v>
      </c>
      <c r="E126" s="2">
        <v>80</v>
      </c>
      <c r="F126" s="2">
        <v>1</v>
      </c>
      <c r="G126" s="2"/>
      <c r="H126" s="2">
        <v>1</v>
      </c>
      <c r="I126" s="2">
        <v>21</v>
      </c>
      <c r="J126" s="2"/>
      <c r="K126" s="2"/>
      <c r="L126" s="2"/>
      <c r="M126" s="2">
        <v>1</v>
      </c>
      <c r="N126" s="2"/>
      <c r="O126" s="2"/>
      <c r="P126" s="2"/>
      <c r="Q126" s="2"/>
      <c r="R126" s="2"/>
      <c r="S126" s="2"/>
      <c r="T126" s="3">
        <v>35.200000000000003</v>
      </c>
      <c r="U126" s="2"/>
    </row>
    <row r="127" spans="1:21" ht="16" thickBot="1" x14ac:dyDescent="0.25">
      <c r="A127" s="7" t="s">
        <v>16</v>
      </c>
      <c r="B127" s="34" t="str" cm="1">
        <f t="array" ref="B127:C127">_xlfn.XLOOKUP(A126,'Player List'!$A$2:$A$177,'Player List'!$B$2:$C$177)</f>
        <v>France</v>
      </c>
      <c r="C127" s="34" t="str">
        <v>Centre</v>
      </c>
      <c r="D127" s="34" t="str">
        <f t="shared" si="1"/>
        <v>Win</v>
      </c>
      <c r="E127" s="5">
        <v>80</v>
      </c>
      <c r="F127" s="5">
        <v>16</v>
      </c>
      <c r="G127" s="5"/>
      <c r="H127" s="5"/>
      <c r="I127" s="5">
        <v>66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>
        <v>37.200000000000003</v>
      </c>
      <c r="U127" s="5"/>
    </row>
    <row r="128" spans="1:21" ht="16" thickBot="1" x14ac:dyDescent="0.25">
      <c r="A128" s="10" t="s">
        <v>17</v>
      </c>
      <c r="B128" s="34" t="str" cm="1">
        <f t="array" ref="B128:C128">_xlfn.XLOOKUP(A127,'Player List'!$A$2:$A$177,'Player List'!$B$2:$C$177)</f>
        <v>France</v>
      </c>
      <c r="C128" s="34" t="str">
        <v>Centre</v>
      </c>
      <c r="D128" s="34" t="str">
        <f t="shared" si="1"/>
        <v>Win</v>
      </c>
      <c r="E128" s="2">
        <v>80</v>
      </c>
      <c r="F128" s="2">
        <v>3</v>
      </c>
      <c r="G128" s="2"/>
      <c r="H128" s="2"/>
      <c r="I128" s="2">
        <v>46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>
        <v>20.2</v>
      </c>
      <c r="U128" s="2"/>
    </row>
    <row r="129" spans="1:21" ht="16" thickBot="1" x14ac:dyDescent="0.25">
      <c r="A129" s="9" t="s">
        <v>18</v>
      </c>
      <c r="B129" s="34" t="str" cm="1">
        <f t="array" ref="B129:C129">_xlfn.XLOOKUP(A128,'Player List'!$A$2:$A$177,'Player List'!$B$2:$C$177)</f>
        <v>France</v>
      </c>
      <c r="C129" s="34" t="str">
        <v>Fly Half</v>
      </c>
      <c r="D129" s="34" t="str">
        <f t="shared" si="1"/>
        <v>Win</v>
      </c>
      <c r="E129" s="5">
        <v>15</v>
      </c>
      <c r="F129" s="5"/>
      <c r="G129" s="5"/>
      <c r="H129" s="5"/>
      <c r="I129" s="5">
        <v>8</v>
      </c>
      <c r="J129" s="5"/>
      <c r="K129" s="5"/>
      <c r="L129" s="5"/>
      <c r="M129" s="5">
        <v>1</v>
      </c>
      <c r="N129" s="5"/>
      <c r="O129" s="5"/>
      <c r="P129" s="5"/>
      <c r="Q129" s="5"/>
      <c r="R129" s="5"/>
      <c r="S129" s="5"/>
      <c r="T129" s="6">
        <v>18.100000000000001</v>
      </c>
      <c r="U129" s="5"/>
    </row>
    <row r="130" spans="1:21" ht="16" thickBot="1" x14ac:dyDescent="0.25">
      <c r="A130" s="12" t="s">
        <v>19</v>
      </c>
      <c r="B130" s="34" t="str" cm="1">
        <f t="array" ref="B130:C130">_xlfn.XLOOKUP(A129,'Player List'!$A$2:$A$177,'Player List'!$B$2:$C$177)</f>
        <v>France</v>
      </c>
      <c r="C130" s="34" t="str">
        <v>Fly Half</v>
      </c>
      <c r="D130" s="34" t="str">
        <f t="shared" si="1"/>
        <v>Win</v>
      </c>
      <c r="E130" s="2">
        <v>65</v>
      </c>
      <c r="F130" s="2">
        <v>6</v>
      </c>
      <c r="G130" s="2"/>
      <c r="H130" s="2"/>
      <c r="I130" s="2">
        <v>38</v>
      </c>
      <c r="J130" s="2"/>
      <c r="K130" s="2"/>
      <c r="L130" s="2"/>
      <c r="M130" s="2"/>
      <c r="N130" s="2">
        <v>1</v>
      </c>
      <c r="O130" s="2"/>
      <c r="P130" s="2"/>
      <c r="Q130" s="2"/>
      <c r="R130" s="2"/>
      <c r="S130" s="2"/>
      <c r="T130" s="3">
        <v>27.1</v>
      </c>
      <c r="U130" s="2"/>
    </row>
    <row r="131" spans="1:21" ht="16" thickBot="1" x14ac:dyDescent="0.25">
      <c r="A131" s="13" t="s">
        <v>20</v>
      </c>
      <c r="B131" s="34" t="str" cm="1">
        <f t="array" ref="B131:C131">_xlfn.XLOOKUP(A130,'Player List'!$A$2:$A$177,'Player List'!$B$2:$C$177)</f>
        <v>France</v>
      </c>
      <c r="C131" s="34" t="str">
        <v>Scrum Half</v>
      </c>
      <c r="D131" s="34" t="str">
        <f t="shared" si="1"/>
        <v>Win</v>
      </c>
      <c r="E131" s="5">
        <v>80</v>
      </c>
      <c r="F131" s="5">
        <v>11</v>
      </c>
      <c r="G131" s="5"/>
      <c r="H131" s="5"/>
      <c r="I131" s="5">
        <v>52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>
        <v>44.4</v>
      </c>
      <c r="U131" s="5">
        <v>1</v>
      </c>
    </row>
    <row r="132" spans="1:21" ht="16" thickBot="1" x14ac:dyDescent="0.25">
      <c r="A132" s="14" t="s">
        <v>22</v>
      </c>
      <c r="B132" s="34" t="str" cm="1">
        <f t="array" ref="B132:C132">_xlfn.XLOOKUP(A131,'Player List'!$A$2:$A$177,'Player List'!$B$2:$C$177)</f>
        <v>France</v>
      </c>
      <c r="C132" s="34" t="str">
        <v>Back Row</v>
      </c>
      <c r="D132" s="34" t="str">
        <f t="shared" si="1"/>
        <v>Win</v>
      </c>
      <c r="E132" s="2">
        <v>61</v>
      </c>
      <c r="F132" s="2">
        <v>13</v>
      </c>
      <c r="G132" s="2">
        <v>1</v>
      </c>
      <c r="H132" s="2"/>
      <c r="I132" s="2">
        <v>72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>
        <v>40.5</v>
      </c>
      <c r="U132" s="2"/>
    </row>
    <row r="133" spans="1:21" ht="16" thickBot="1" x14ac:dyDescent="0.25">
      <c r="A133" s="13" t="s">
        <v>23</v>
      </c>
      <c r="B133" s="34" t="str" cm="1">
        <f t="array" ref="B133:C133">_xlfn.XLOOKUP(A132,'Player List'!$A$2:$A$177,'Player List'!$B$2:$C$177)</f>
        <v>France</v>
      </c>
      <c r="C133" s="34" t="str">
        <v>Back Row</v>
      </c>
      <c r="D133" s="34" t="str">
        <f t="shared" si="1"/>
        <v>Win</v>
      </c>
      <c r="E133" s="5">
        <v>80</v>
      </c>
      <c r="F133" s="5">
        <v>19</v>
      </c>
      <c r="G133" s="5">
        <v>1</v>
      </c>
      <c r="H133" s="5"/>
      <c r="I133" s="5">
        <v>12</v>
      </c>
      <c r="J133" s="5"/>
      <c r="K133" s="5"/>
      <c r="L133" s="5">
        <v>1</v>
      </c>
      <c r="M133" s="5"/>
      <c r="N133" s="5"/>
      <c r="O133" s="5"/>
      <c r="P133" s="5"/>
      <c r="Q133" s="5"/>
      <c r="R133" s="5"/>
      <c r="S133" s="5"/>
      <c r="T133" s="6">
        <v>43.4</v>
      </c>
      <c r="U133" s="5"/>
    </row>
    <row r="134" spans="1:21" ht="16" thickBot="1" x14ac:dyDescent="0.25">
      <c r="A134" s="14" t="s">
        <v>24</v>
      </c>
      <c r="B134" s="34" t="str" cm="1">
        <f t="array" ref="B134:C134">_xlfn.XLOOKUP(A133,'Player List'!$A$2:$A$177,'Player List'!$B$2:$C$177)</f>
        <v>France</v>
      </c>
      <c r="C134" s="34" t="str">
        <v>Back Row</v>
      </c>
      <c r="D134" s="34" t="str">
        <f t="shared" si="1"/>
        <v>Win</v>
      </c>
      <c r="E134" s="2">
        <v>19</v>
      </c>
      <c r="F134" s="2">
        <v>4</v>
      </c>
      <c r="G134" s="2"/>
      <c r="H134" s="2"/>
      <c r="I134" s="2"/>
      <c r="J134" s="2"/>
      <c r="K134" s="2"/>
      <c r="L134" s="2">
        <v>1</v>
      </c>
      <c r="M134" s="2"/>
      <c r="N134" s="2"/>
      <c r="O134" s="2"/>
      <c r="P134" s="2"/>
      <c r="Q134" s="2"/>
      <c r="R134" s="2"/>
      <c r="S134" s="2"/>
      <c r="T134" s="3">
        <v>12.9</v>
      </c>
      <c r="U134" s="2"/>
    </row>
    <row r="135" spans="1:21" ht="16" thickBot="1" x14ac:dyDescent="0.25">
      <c r="A135" s="15" t="s">
        <v>25</v>
      </c>
      <c r="B135" s="34" t="str" cm="1">
        <f t="array" ref="B135:C135">_xlfn.XLOOKUP(A134,'Player List'!$A$2:$A$177,'Player List'!$B$2:$C$177)</f>
        <v>France</v>
      </c>
      <c r="C135" s="34" t="str">
        <v>Back Row</v>
      </c>
      <c r="D135" s="34" t="str">
        <f t="shared" si="1"/>
        <v>Win</v>
      </c>
      <c r="E135" s="5">
        <v>70</v>
      </c>
      <c r="F135" s="5">
        <v>8</v>
      </c>
      <c r="G135" s="5"/>
      <c r="H135" s="5"/>
      <c r="I135" s="5">
        <v>54</v>
      </c>
      <c r="J135" s="5"/>
      <c r="K135" s="5">
        <v>1</v>
      </c>
      <c r="L135" s="5"/>
      <c r="M135" s="5"/>
      <c r="N135" s="5"/>
      <c r="O135" s="5"/>
      <c r="P135" s="5"/>
      <c r="Q135" s="5"/>
      <c r="R135" s="5">
        <v>1</v>
      </c>
      <c r="S135" s="5"/>
      <c r="T135" s="6">
        <v>27.8</v>
      </c>
      <c r="U135" s="5"/>
    </row>
    <row r="136" spans="1:21" ht="16" thickBot="1" x14ac:dyDescent="0.25">
      <c r="A136" s="16" t="s">
        <v>26</v>
      </c>
      <c r="B136" s="34" t="str" cm="1">
        <f t="array" ref="B136:C136">_xlfn.XLOOKUP(A135,'Player List'!$A$2:$A$177,'Player List'!$B$2:$C$177)</f>
        <v>France</v>
      </c>
      <c r="C136" s="34" t="str">
        <v>Second Row</v>
      </c>
      <c r="D136" s="34" t="str">
        <f t="shared" si="1"/>
        <v>Win</v>
      </c>
      <c r="E136" s="2">
        <v>80</v>
      </c>
      <c r="F136" s="2">
        <v>17</v>
      </c>
      <c r="G136" s="2"/>
      <c r="H136" s="2">
        <v>1</v>
      </c>
      <c r="I136" s="2">
        <v>35</v>
      </c>
      <c r="J136" s="2"/>
      <c r="K136" s="2">
        <v>1</v>
      </c>
      <c r="L136" s="2"/>
      <c r="M136" s="2">
        <v>1</v>
      </c>
      <c r="N136" s="2"/>
      <c r="O136" s="2"/>
      <c r="P136" s="2"/>
      <c r="Q136" s="2"/>
      <c r="R136" s="2"/>
      <c r="S136" s="2"/>
      <c r="T136" s="3">
        <v>61</v>
      </c>
      <c r="U136" s="2"/>
    </row>
    <row r="137" spans="1:21" ht="16" thickBot="1" x14ac:dyDescent="0.25">
      <c r="A137" s="15" t="s">
        <v>27</v>
      </c>
      <c r="B137" s="34" t="str" cm="1">
        <f t="array" ref="B137:C137">_xlfn.XLOOKUP(A136,'Player List'!$A$2:$A$177,'Player List'!$B$2:$C$177)</f>
        <v>France</v>
      </c>
      <c r="C137" s="34" t="str">
        <v>Second Row</v>
      </c>
      <c r="D137" s="34" t="str">
        <f t="shared" si="1"/>
        <v>Win</v>
      </c>
      <c r="E137" s="5">
        <v>26</v>
      </c>
      <c r="F137" s="5">
        <v>3</v>
      </c>
      <c r="G137" s="5">
        <v>1</v>
      </c>
      <c r="H137" s="5"/>
      <c r="I137" s="5">
        <v>3</v>
      </c>
      <c r="J137" s="5"/>
      <c r="K137" s="5"/>
      <c r="L137" s="5">
        <v>1</v>
      </c>
      <c r="M137" s="5"/>
      <c r="N137" s="5">
        <v>1</v>
      </c>
      <c r="O137" s="5"/>
      <c r="P137" s="5"/>
      <c r="Q137" s="5"/>
      <c r="R137" s="5"/>
      <c r="S137" s="5"/>
      <c r="T137" s="6">
        <v>27.2</v>
      </c>
      <c r="U137" s="5"/>
    </row>
    <row r="138" spans="1:21" ht="16" thickBot="1" x14ac:dyDescent="0.25">
      <c r="A138" s="17" t="s">
        <v>28</v>
      </c>
      <c r="B138" s="34" t="str" cm="1">
        <f t="array" ref="B138:C138">_xlfn.XLOOKUP(A137,'Player List'!$A$2:$A$177,'Player List'!$B$2:$C$177)</f>
        <v>France</v>
      </c>
      <c r="C138" s="34" t="str">
        <v>Second Row</v>
      </c>
      <c r="D138" s="34" t="str">
        <f t="shared" si="1"/>
        <v>Win</v>
      </c>
      <c r="E138" s="2">
        <v>54</v>
      </c>
      <c r="F138" s="2">
        <v>11</v>
      </c>
      <c r="G138" s="2">
        <v>1</v>
      </c>
      <c r="H138" s="2"/>
      <c r="I138" s="2">
        <v>12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>
        <v>25.8</v>
      </c>
      <c r="U138" s="2"/>
    </row>
    <row r="139" spans="1:21" ht="16" thickBot="1" x14ac:dyDescent="0.25">
      <c r="A139" s="18" t="s">
        <v>29</v>
      </c>
      <c r="B139" s="34" t="str" cm="1">
        <f t="array" ref="B139:C139">_xlfn.XLOOKUP(A138,'Player List'!$A$2:$A$177,'Player List'!$B$2:$C$177)</f>
        <v>France</v>
      </c>
      <c r="C139" s="34" t="str">
        <v>Prop</v>
      </c>
      <c r="D139" s="34" t="str">
        <f t="shared" ref="D139:D144" si="2">_xlfn.XLOOKUP(B139,$B$2:$B$7,$C$2:$C$7)</f>
        <v>Win</v>
      </c>
      <c r="E139" s="5">
        <v>51</v>
      </c>
      <c r="F139" s="5">
        <v>9</v>
      </c>
      <c r="G139" s="5"/>
      <c r="H139" s="5"/>
      <c r="I139" s="5">
        <v>17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>
        <v>17.5</v>
      </c>
      <c r="U139" s="5"/>
    </row>
    <row r="140" spans="1:21" ht="16" thickBot="1" x14ac:dyDescent="0.25">
      <c r="A140" s="17" t="s">
        <v>30</v>
      </c>
      <c r="B140" s="34" t="str" cm="1">
        <f t="array" ref="B140:C140">_xlfn.XLOOKUP(A139,'Player List'!$A$2:$A$177,'Player List'!$B$2:$C$177)</f>
        <v>France</v>
      </c>
      <c r="C140" s="34" t="str">
        <v>Prop</v>
      </c>
      <c r="D140" s="34" t="str">
        <f t="shared" si="2"/>
        <v>Win</v>
      </c>
      <c r="E140" s="2">
        <v>51</v>
      </c>
      <c r="F140" s="2">
        <v>8</v>
      </c>
      <c r="G140" s="2"/>
      <c r="H140" s="2"/>
      <c r="I140" s="2">
        <v>37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>
        <v>20.5</v>
      </c>
      <c r="U140" s="2"/>
    </row>
    <row r="141" spans="1:21" ht="16" thickBot="1" x14ac:dyDescent="0.25">
      <c r="A141" s="18" t="s">
        <v>31</v>
      </c>
      <c r="B141" s="34" t="str" cm="1">
        <f t="array" ref="B141:C141">_xlfn.XLOOKUP(A140,'Player List'!$A$2:$A$177,'Player List'!$B$2:$C$177)</f>
        <v>France</v>
      </c>
      <c r="C141" s="34" t="str">
        <v>Prop</v>
      </c>
      <c r="D141" s="34" t="str">
        <f t="shared" si="2"/>
        <v>Win</v>
      </c>
      <c r="E141" s="5">
        <v>29</v>
      </c>
      <c r="F141" s="5">
        <v>3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>
        <v>5.9</v>
      </c>
      <c r="U141" s="5"/>
    </row>
    <row r="142" spans="1:21" ht="16" thickBot="1" x14ac:dyDescent="0.25">
      <c r="A142" s="19" t="s">
        <v>32</v>
      </c>
      <c r="B142" s="34" t="str" cm="1">
        <f t="array" ref="B142:C142">_xlfn.XLOOKUP(A141,'Player List'!$A$2:$A$177,'Player List'!$B$2:$C$177)</f>
        <v>France</v>
      </c>
      <c r="C142" s="34" t="str">
        <v>Prop</v>
      </c>
      <c r="D142" s="34" t="str">
        <f t="shared" si="2"/>
        <v>Win</v>
      </c>
      <c r="E142" s="2">
        <v>29</v>
      </c>
      <c r="F142" s="2">
        <v>7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>
        <v>9.9</v>
      </c>
      <c r="U142" s="2"/>
    </row>
    <row r="143" spans="1:21" ht="16" thickBot="1" x14ac:dyDescent="0.25">
      <c r="A143" s="20" t="s">
        <v>33</v>
      </c>
      <c r="B143" s="34" t="str" cm="1">
        <f t="array" ref="B143:C143">_xlfn.XLOOKUP(A142,'Player List'!$A$2:$A$177,'Player List'!$B$2:$C$177)</f>
        <v>France</v>
      </c>
      <c r="C143" s="34" t="str">
        <v>Hooker</v>
      </c>
      <c r="D143" s="34" t="str">
        <f t="shared" si="2"/>
        <v>Win</v>
      </c>
      <c r="E143" s="5">
        <v>19</v>
      </c>
      <c r="F143" s="5">
        <v>4</v>
      </c>
      <c r="G143" s="5">
        <v>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>
        <v>12.9</v>
      </c>
      <c r="U143" s="5"/>
    </row>
    <row r="144" spans="1:21" ht="16" thickBot="1" x14ac:dyDescent="0.25">
      <c r="B144" s="34" t="str" cm="1">
        <f t="array" ref="B144:C144">_xlfn.XLOOKUP(A143,'Player List'!$A$2:$A$177,'Player List'!$B$2:$C$177)</f>
        <v>France</v>
      </c>
      <c r="C144" s="34" t="str">
        <v>Hooker</v>
      </c>
      <c r="D144" s="34" t="str">
        <f t="shared" si="2"/>
        <v>Win</v>
      </c>
      <c r="E144" s="2">
        <v>61</v>
      </c>
      <c r="F144" s="2">
        <v>13</v>
      </c>
      <c r="G144" s="2"/>
      <c r="H144" s="2"/>
      <c r="I144" s="2">
        <v>32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>
        <v>25.5</v>
      </c>
      <c r="U14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5338-9F67-4339-BBBC-86F90C75F696}">
  <sheetPr>
    <tabColor theme="5" tint="0.79998168889431442"/>
  </sheetPr>
  <dimension ref="A2:V146"/>
  <sheetViews>
    <sheetView workbookViewId="0">
      <selection activeCell="M28" sqref="M28"/>
    </sheetView>
  </sheetViews>
  <sheetFormatPr baseColWidth="10" defaultColWidth="8.83203125" defaultRowHeight="15" x14ac:dyDescent="0.2"/>
  <cols>
    <col min="1" max="1" width="29.1640625" customWidth="1"/>
    <col min="2" max="3" width="16.5" customWidth="1"/>
    <col min="4" max="4" width="10.83203125" customWidth="1"/>
    <col min="19" max="19" width="11" customWidth="1"/>
  </cols>
  <sheetData>
    <row r="2" spans="1:22" x14ac:dyDescent="0.2">
      <c r="B2" t="s">
        <v>191</v>
      </c>
      <c r="C2" t="s">
        <v>204</v>
      </c>
      <c r="E2" t="s">
        <v>189</v>
      </c>
      <c r="F2">
        <v>32</v>
      </c>
      <c r="G2">
        <v>19</v>
      </c>
      <c r="H2" t="s">
        <v>193</v>
      </c>
    </row>
    <row r="3" spans="1:22" x14ac:dyDescent="0.2">
      <c r="B3" t="s">
        <v>188</v>
      </c>
      <c r="C3" t="s">
        <v>212</v>
      </c>
      <c r="E3" t="s">
        <v>191</v>
      </c>
      <c r="F3">
        <v>35</v>
      </c>
      <c r="G3">
        <v>7</v>
      </c>
      <c r="H3" t="s">
        <v>188</v>
      </c>
    </row>
    <row r="4" spans="1:22" x14ac:dyDescent="0.2">
      <c r="B4" t="s">
        <v>189</v>
      </c>
      <c r="C4" t="s">
        <v>204</v>
      </c>
      <c r="E4" t="s">
        <v>190</v>
      </c>
      <c r="F4">
        <v>31</v>
      </c>
      <c r="G4">
        <v>14</v>
      </c>
      <c r="H4" t="s">
        <v>192</v>
      </c>
    </row>
    <row r="5" spans="1:22" x14ac:dyDescent="0.2">
      <c r="B5" t="s">
        <v>190</v>
      </c>
      <c r="C5" t="s">
        <v>204</v>
      </c>
    </row>
    <row r="6" spans="1:22" x14ac:dyDescent="0.2">
      <c r="B6" t="s">
        <v>193</v>
      </c>
      <c r="C6" t="s">
        <v>212</v>
      </c>
    </row>
    <row r="7" spans="1:22" x14ac:dyDescent="0.2">
      <c r="B7" t="s">
        <v>192</v>
      </c>
      <c r="C7" t="s">
        <v>212</v>
      </c>
    </row>
    <row r="8" spans="1:22" ht="16" thickBot="1" x14ac:dyDescent="0.25"/>
    <row r="9" spans="1:22" ht="31" thickBot="1" x14ac:dyDescent="0.25">
      <c r="A9" t="s">
        <v>0</v>
      </c>
      <c r="B9" s="40" t="s">
        <v>203</v>
      </c>
      <c r="C9" s="40" t="s">
        <v>202</v>
      </c>
      <c r="D9" t="s">
        <v>213</v>
      </c>
      <c r="E9" t="s">
        <v>205</v>
      </c>
      <c r="F9" s="35" t="s">
        <v>207</v>
      </c>
      <c r="G9" s="35" t="s">
        <v>1</v>
      </c>
      <c r="H9" s="35" t="s">
        <v>2</v>
      </c>
      <c r="I9" s="35" t="s">
        <v>208</v>
      </c>
      <c r="J9" s="35" t="s">
        <v>3</v>
      </c>
      <c r="K9" s="35" t="s">
        <v>4</v>
      </c>
      <c r="L9" s="35" t="s">
        <v>5</v>
      </c>
      <c r="M9" s="35" t="s">
        <v>6</v>
      </c>
      <c r="N9" s="35" t="s">
        <v>209</v>
      </c>
      <c r="O9" s="35" t="s">
        <v>7</v>
      </c>
      <c r="P9" s="35" t="s">
        <v>8</v>
      </c>
      <c r="Q9" s="35" t="s">
        <v>9</v>
      </c>
      <c r="R9" s="35" t="s">
        <v>10</v>
      </c>
      <c r="S9" s="35" t="s">
        <v>11</v>
      </c>
      <c r="T9" s="35" t="s">
        <v>211</v>
      </c>
      <c r="U9" s="35" t="s">
        <v>206</v>
      </c>
      <c r="V9" s="35" t="s">
        <v>210</v>
      </c>
    </row>
    <row r="10" spans="1:22" ht="16" thickBot="1" x14ac:dyDescent="0.25">
      <c r="A10" s="1" t="s">
        <v>126</v>
      </c>
      <c r="B10" s="34" t="str" cm="1">
        <f t="array" ref="B10:C10">_xlfn.XLOOKUP(A10,'Player List'!$A$2:$A$177,'Player List'!$B$2:$C$177)</f>
        <v>Ireland</v>
      </c>
      <c r="C10" s="34" t="str">
        <v>Back Three</v>
      </c>
      <c r="D10" s="34" t="str">
        <f>_xlfn.XLOOKUP(B10,$B$2:$B$7,$C$2:$C$7)</f>
        <v>Win</v>
      </c>
      <c r="E10" s="2">
        <v>80</v>
      </c>
      <c r="F10" s="2">
        <v>5</v>
      </c>
      <c r="G10" s="2"/>
      <c r="H10" s="2"/>
      <c r="I10" s="2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3">
        <v>25.6</v>
      </c>
      <c r="U10" s="2"/>
    </row>
    <row r="11" spans="1:22" ht="16" thickBot="1" x14ac:dyDescent="0.25">
      <c r="A11" s="4" t="s">
        <v>127</v>
      </c>
      <c r="B11" s="34" t="str" cm="1">
        <f t="array" ref="B11:C11">_xlfn.XLOOKUP(A11,'Player List'!$A$2:$A$177,'Player List'!$B$2:$C$177)</f>
        <v>Ireland</v>
      </c>
      <c r="C11" s="34" t="str">
        <v>Back Three</v>
      </c>
      <c r="D11" s="34" t="str">
        <f t="shared" ref="D11:D74" si="0">_xlfn.XLOOKUP(B11,$B$2:$B$7,$C$2:$C$7)</f>
        <v>Win</v>
      </c>
      <c r="E11" s="5">
        <v>80</v>
      </c>
      <c r="F11" s="5">
        <v>3</v>
      </c>
      <c r="G11" s="5">
        <v>1</v>
      </c>
      <c r="H11" s="5">
        <v>2</v>
      </c>
      <c r="I11" s="5">
        <v>205</v>
      </c>
      <c r="J11" s="5">
        <v>1</v>
      </c>
      <c r="K11" s="5"/>
      <c r="L11" s="5"/>
      <c r="M11" s="5">
        <v>1</v>
      </c>
      <c r="N11" s="5"/>
      <c r="O11" s="5"/>
      <c r="P11" s="5"/>
      <c r="Q11" s="5"/>
      <c r="R11" s="5"/>
      <c r="S11" s="5"/>
      <c r="T11" s="6">
        <v>98</v>
      </c>
      <c r="U11" s="5"/>
    </row>
    <row r="12" spans="1:22" ht="16" thickBot="1" x14ac:dyDescent="0.25">
      <c r="A12" s="1" t="s">
        <v>128</v>
      </c>
      <c r="B12" s="34" t="str" cm="1">
        <f t="array" ref="B12:C12">_xlfn.XLOOKUP(A12,'Player List'!$A$2:$A$177,'Player List'!$B$2:$C$177)</f>
        <v>Ireland</v>
      </c>
      <c r="C12" s="34" t="str">
        <v>Back Three</v>
      </c>
      <c r="D12" s="34" t="str">
        <f t="shared" si="0"/>
        <v>Win</v>
      </c>
      <c r="E12" s="2">
        <v>80</v>
      </c>
      <c r="F12" s="2">
        <v>4</v>
      </c>
      <c r="G12" s="2"/>
      <c r="H12" s="2">
        <v>1</v>
      </c>
      <c r="I12" s="2">
        <v>94</v>
      </c>
      <c r="J12" s="2"/>
      <c r="K12" s="2"/>
      <c r="L12" s="2"/>
      <c r="M12" s="2">
        <v>1</v>
      </c>
      <c r="N12" s="2"/>
      <c r="O12" s="2"/>
      <c r="P12" s="2"/>
      <c r="Q12" s="2"/>
      <c r="R12" s="2"/>
      <c r="S12" s="2"/>
      <c r="T12" s="3">
        <v>52.8</v>
      </c>
      <c r="U12" s="2"/>
    </row>
    <row r="13" spans="1:22" ht="16" thickBot="1" x14ac:dyDescent="0.25">
      <c r="A13" s="8" t="s">
        <v>129</v>
      </c>
      <c r="B13" s="34" t="str" cm="1">
        <f t="array" ref="B13:C13">_xlfn.XLOOKUP(A13,'Player List'!$A$2:$A$177,'Player List'!$B$2:$C$177)</f>
        <v>Ireland</v>
      </c>
      <c r="C13" s="34" t="str">
        <v>Centre</v>
      </c>
      <c r="D13" s="34" t="str">
        <f t="shared" si="0"/>
        <v>Win</v>
      </c>
      <c r="E13" s="5">
        <v>14</v>
      </c>
      <c r="F13" s="5">
        <v>3</v>
      </c>
      <c r="G13" s="5"/>
      <c r="H13" s="5"/>
      <c r="I13" s="5">
        <v>25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9.4</v>
      </c>
      <c r="U13" s="5"/>
    </row>
    <row r="14" spans="1:22" ht="16" thickBot="1" x14ac:dyDescent="0.25">
      <c r="A14" s="7" t="s">
        <v>130</v>
      </c>
      <c r="B14" s="34" t="str" cm="1">
        <f t="array" ref="B14:C14">_xlfn.XLOOKUP(A14,'Player List'!$A$2:$A$177,'Player List'!$B$2:$C$177)</f>
        <v>Ireland</v>
      </c>
      <c r="C14" s="34" t="str">
        <v>Centre</v>
      </c>
      <c r="D14" s="34" t="str">
        <f t="shared" si="0"/>
        <v>Win</v>
      </c>
      <c r="E14" s="2">
        <v>66</v>
      </c>
      <c r="F14" s="2">
        <v>3</v>
      </c>
      <c r="G14" s="2"/>
      <c r="H14" s="2"/>
      <c r="I14" s="2">
        <v>69</v>
      </c>
      <c r="J14" s="2"/>
      <c r="K14" s="2"/>
      <c r="L14" s="2">
        <v>1</v>
      </c>
      <c r="M14" s="2"/>
      <c r="N14" s="2"/>
      <c r="O14" s="2"/>
      <c r="P14" s="2"/>
      <c r="Q14" s="2"/>
      <c r="R14" s="2"/>
      <c r="S14" s="2"/>
      <c r="T14" s="3">
        <v>30.4</v>
      </c>
      <c r="U14" s="2"/>
    </row>
    <row r="15" spans="1:22" ht="16" thickBot="1" x14ac:dyDescent="0.25">
      <c r="A15" s="8" t="s">
        <v>131</v>
      </c>
      <c r="B15" s="34" t="str" cm="1">
        <f t="array" ref="B15:C15">_xlfn.XLOOKUP(A15,'Player List'!$A$2:$A$177,'Player List'!$B$2:$C$177)</f>
        <v>Ireland</v>
      </c>
      <c r="C15" s="34" t="str">
        <v>Centre</v>
      </c>
      <c r="D15" s="34" t="str">
        <f t="shared" si="0"/>
        <v>Win</v>
      </c>
      <c r="E15" s="5">
        <v>80</v>
      </c>
      <c r="F15" s="5">
        <v>9</v>
      </c>
      <c r="G15" s="5">
        <v>1</v>
      </c>
      <c r="H15" s="5">
        <v>1</v>
      </c>
      <c r="I15" s="5">
        <v>64</v>
      </c>
      <c r="J15" s="5"/>
      <c r="K15" s="5"/>
      <c r="L15" s="5"/>
      <c r="M15" s="5">
        <v>1</v>
      </c>
      <c r="N15" s="5">
        <v>1</v>
      </c>
      <c r="O15" s="5"/>
      <c r="P15" s="5"/>
      <c r="Q15" s="5"/>
      <c r="R15" s="5"/>
      <c r="S15" s="5"/>
      <c r="T15" s="6">
        <v>65.8</v>
      </c>
      <c r="U15" s="5"/>
    </row>
    <row r="16" spans="1:22" ht="16" thickBot="1" x14ac:dyDescent="0.25">
      <c r="A16" s="9" t="s">
        <v>132</v>
      </c>
      <c r="B16" s="34" t="str" cm="1">
        <f t="array" ref="B16:C16">_xlfn.XLOOKUP(A16,'Player List'!$A$2:$A$177,'Player List'!$B$2:$C$177)</f>
        <v>Ireland</v>
      </c>
      <c r="C16" s="34" t="str">
        <v>Fly Half</v>
      </c>
      <c r="D16" s="34" t="str">
        <f t="shared" si="0"/>
        <v>Win</v>
      </c>
      <c r="E16" s="2">
        <v>32</v>
      </c>
      <c r="F16" s="2">
        <v>3</v>
      </c>
      <c r="G16" s="2"/>
      <c r="H16" s="2"/>
      <c r="I16" s="2">
        <v>10</v>
      </c>
      <c r="J16" s="2"/>
      <c r="K16" s="2"/>
      <c r="L16" s="2"/>
      <c r="M16" s="2"/>
      <c r="N16" s="2"/>
      <c r="O16" s="2">
        <v>1</v>
      </c>
      <c r="P16" s="2">
        <v>1</v>
      </c>
      <c r="Q16" s="2"/>
      <c r="R16" s="2"/>
      <c r="S16" s="2"/>
      <c r="T16" s="3">
        <v>15.2</v>
      </c>
      <c r="U16" s="2"/>
    </row>
    <row r="17" spans="1:21" ht="16" thickBot="1" x14ac:dyDescent="0.25">
      <c r="A17" s="10" t="s">
        <v>133</v>
      </c>
      <c r="B17" s="34" t="str" cm="1">
        <f t="array" ref="B17:C17">_xlfn.XLOOKUP(A17,'Player List'!$A$2:$A$177,'Player List'!$B$2:$C$177)</f>
        <v>Ireland</v>
      </c>
      <c r="C17" s="34" t="str">
        <v>Fly Half</v>
      </c>
      <c r="D17" s="34" t="str">
        <f t="shared" si="0"/>
        <v>Win</v>
      </c>
      <c r="E17" s="5">
        <v>48</v>
      </c>
      <c r="F17" s="5">
        <v>3</v>
      </c>
      <c r="G17" s="5"/>
      <c r="H17" s="5">
        <v>2</v>
      </c>
      <c r="I17" s="5">
        <v>80</v>
      </c>
      <c r="J17" s="5"/>
      <c r="K17" s="5"/>
      <c r="L17" s="5"/>
      <c r="M17" s="5"/>
      <c r="N17" s="5"/>
      <c r="O17" s="5">
        <v>2</v>
      </c>
      <c r="P17" s="5">
        <v>1</v>
      </c>
      <c r="Q17" s="5"/>
      <c r="R17" s="5"/>
      <c r="S17" s="5"/>
      <c r="T17" s="6">
        <v>46.8</v>
      </c>
      <c r="U17" s="5"/>
    </row>
    <row r="18" spans="1:21" ht="16" thickBot="1" x14ac:dyDescent="0.25">
      <c r="A18" s="11" t="s">
        <v>134</v>
      </c>
      <c r="B18" s="34" t="str" cm="1">
        <f t="array" ref="B18:C18">_xlfn.XLOOKUP(A18,'Player List'!$A$2:$A$177,'Player List'!$B$2:$C$177)</f>
        <v>Ireland</v>
      </c>
      <c r="C18" s="34" t="str">
        <v>Scrum Half</v>
      </c>
      <c r="D18" s="34" t="str">
        <f t="shared" si="0"/>
        <v>Win</v>
      </c>
      <c r="E18" s="2">
        <v>24</v>
      </c>
      <c r="F18" s="2">
        <v>1</v>
      </c>
      <c r="G18" s="2"/>
      <c r="H18" s="2"/>
      <c r="I18" s="2">
        <v>14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v>6.2</v>
      </c>
      <c r="U18" s="2"/>
    </row>
    <row r="19" spans="1:21" ht="16" thickBot="1" x14ac:dyDescent="0.25">
      <c r="A19" s="12" t="s">
        <v>135</v>
      </c>
      <c r="B19" s="34" t="str" cm="1">
        <f t="array" ref="B19:C19">_xlfn.XLOOKUP(A19,'Player List'!$A$2:$A$177,'Player List'!$B$2:$C$177)</f>
        <v>Ireland</v>
      </c>
      <c r="C19" s="34" t="str">
        <v>Scrum Half</v>
      </c>
      <c r="D19" s="34" t="str">
        <f t="shared" si="0"/>
        <v>Win</v>
      </c>
      <c r="E19" s="5">
        <v>56</v>
      </c>
      <c r="F19" s="5">
        <v>3</v>
      </c>
      <c r="G19" s="5"/>
      <c r="H19" s="5"/>
      <c r="I19" s="5">
        <v>11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6">
        <v>10.8</v>
      </c>
      <c r="U19" s="5"/>
    </row>
    <row r="20" spans="1:21" ht="16" thickBot="1" x14ac:dyDescent="0.25">
      <c r="A20" s="13" t="s">
        <v>136</v>
      </c>
      <c r="B20" s="34" t="str" cm="1">
        <f t="array" ref="B20:C20">_xlfn.XLOOKUP(A20,'Player List'!$A$2:$A$177,'Player List'!$B$2:$C$177)</f>
        <v>Ireland</v>
      </c>
      <c r="C20" s="34" t="str">
        <v>Back Row</v>
      </c>
      <c r="D20" s="34" t="str">
        <f t="shared" si="0"/>
        <v>Win</v>
      </c>
      <c r="E20" s="2">
        <v>24</v>
      </c>
      <c r="F20" s="2">
        <v>2</v>
      </c>
      <c r="G20" s="2"/>
      <c r="H20" s="2"/>
      <c r="I20" s="2">
        <v>22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v>8.8000000000000007</v>
      </c>
      <c r="U20" s="2"/>
    </row>
    <row r="21" spans="1:21" ht="16" thickBot="1" x14ac:dyDescent="0.25">
      <c r="A21" s="14" t="s">
        <v>137</v>
      </c>
      <c r="B21" s="34" t="str" cm="1">
        <f t="array" ref="B21:C21">_xlfn.XLOOKUP(A21,'Player List'!$A$2:$A$177,'Player List'!$B$2:$C$177)</f>
        <v>Ireland</v>
      </c>
      <c r="C21" s="34" t="str">
        <v>Back Row</v>
      </c>
      <c r="D21" s="34" t="str">
        <f t="shared" si="0"/>
        <v>Win</v>
      </c>
      <c r="E21" s="5">
        <v>80</v>
      </c>
      <c r="F21" s="5">
        <v>6</v>
      </c>
      <c r="G21" s="5"/>
      <c r="H21" s="5"/>
      <c r="I21" s="5">
        <v>117</v>
      </c>
      <c r="J21" s="5"/>
      <c r="K21" s="5"/>
      <c r="L21" s="5">
        <v>1</v>
      </c>
      <c r="M21" s="5"/>
      <c r="N21" s="5">
        <v>1</v>
      </c>
      <c r="O21" s="5"/>
      <c r="P21" s="5"/>
      <c r="Q21" s="5"/>
      <c r="R21" s="5"/>
      <c r="S21" s="5"/>
      <c r="T21" s="6">
        <v>66.400000000000006</v>
      </c>
      <c r="U21" s="5">
        <v>1</v>
      </c>
    </row>
    <row r="22" spans="1:21" ht="16" thickBot="1" x14ac:dyDescent="0.25">
      <c r="A22" s="13" t="s">
        <v>138</v>
      </c>
      <c r="B22" s="34" t="str" cm="1">
        <f t="array" ref="B22:C22">_xlfn.XLOOKUP(A22,'Player List'!$A$2:$A$177,'Player List'!$B$2:$C$177)</f>
        <v>Ireland</v>
      </c>
      <c r="C22" s="34" t="str">
        <v>Back Row</v>
      </c>
      <c r="D22" s="34" t="str">
        <f t="shared" si="0"/>
        <v>Win</v>
      </c>
      <c r="E22" s="2">
        <v>56</v>
      </c>
      <c r="F22" s="2">
        <v>7</v>
      </c>
      <c r="G22" s="2"/>
      <c r="H22" s="2"/>
      <c r="I22" s="2">
        <v>15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v>15.6</v>
      </c>
      <c r="U22" s="2"/>
    </row>
    <row r="23" spans="1:21" ht="16" thickBot="1" x14ac:dyDescent="0.25">
      <c r="A23" s="14" t="s">
        <v>139</v>
      </c>
      <c r="B23" s="34" t="str" cm="1">
        <f t="array" ref="B23:C23">_xlfn.XLOOKUP(A23,'Player List'!$A$2:$A$177,'Player List'!$B$2:$C$177)</f>
        <v>Ireland</v>
      </c>
      <c r="C23" s="34" t="str">
        <v>Back Row</v>
      </c>
      <c r="D23" s="34" t="str">
        <f t="shared" si="0"/>
        <v>Win</v>
      </c>
      <c r="E23" s="5">
        <v>80</v>
      </c>
      <c r="F23" s="5">
        <v>12</v>
      </c>
      <c r="G23" s="5">
        <v>1</v>
      </c>
      <c r="H23" s="5"/>
      <c r="I23" s="5">
        <v>51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37.200000000000003</v>
      </c>
      <c r="U23" s="5"/>
    </row>
    <row r="24" spans="1:21" ht="16" thickBot="1" x14ac:dyDescent="0.25">
      <c r="A24" s="15" t="s">
        <v>140</v>
      </c>
      <c r="B24" s="34" t="str" cm="1">
        <f t="array" ref="B24:C24">_xlfn.XLOOKUP(A24,'Player List'!$A$2:$A$177,'Player List'!$B$2:$C$177)</f>
        <v>Ireland</v>
      </c>
      <c r="C24" s="34" t="str">
        <v>Second Row</v>
      </c>
      <c r="D24" s="34" t="str">
        <f t="shared" si="0"/>
        <v>Win</v>
      </c>
      <c r="E24" s="2">
        <v>45</v>
      </c>
      <c r="F24" s="2">
        <v>10</v>
      </c>
      <c r="G24" s="2">
        <v>2</v>
      </c>
      <c r="H24" s="2">
        <v>1</v>
      </c>
      <c r="I24" s="2">
        <v>33</v>
      </c>
      <c r="J24" s="2"/>
      <c r="K24" s="2"/>
      <c r="L24" s="2">
        <v>1</v>
      </c>
      <c r="M24" s="2"/>
      <c r="N24" s="2"/>
      <c r="O24" s="2"/>
      <c r="P24" s="2"/>
      <c r="Q24" s="2"/>
      <c r="R24" s="2"/>
      <c r="S24" s="2"/>
      <c r="T24" s="3">
        <v>49.1</v>
      </c>
      <c r="U24" s="2"/>
    </row>
    <row r="25" spans="1:21" ht="16" thickBot="1" x14ac:dyDescent="0.25">
      <c r="A25" s="16" t="s">
        <v>141</v>
      </c>
      <c r="B25" s="34" t="str" cm="1">
        <f t="array" ref="B25:C25">_xlfn.XLOOKUP(A25,'Player List'!$A$2:$A$177,'Player List'!$B$2:$C$177)</f>
        <v>Ireland</v>
      </c>
      <c r="C25" s="34" t="str">
        <v>Second Row</v>
      </c>
      <c r="D25" s="34" t="str">
        <f t="shared" si="0"/>
        <v>Win</v>
      </c>
      <c r="E25" s="5">
        <v>35</v>
      </c>
      <c r="F25" s="5">
        <v>4</v>
      </c>
      <c r="G25" s="5"/>
      <c r="H25" s="5"/>
      <c r="I25" s="5">
        <v>20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11.5</v>
      </c>
      <c r="U25" s="5"/>
    </row>
    <row r="26" spans="1:21" ht="16" thickBot="1" x14ac:dyDescent="0.25">
      <c r="A26" s="15" t="s">
        <v>142</v>
      </c>
      <c r="B26" s="34" t="str" cm="1">
        <f t="array" ref="B26:C26">_xlfn.XLOOKUP(A26,'Player List'!$A$2:$A$177,'Player List'!$B$2:$C$177)</f>
        <v>Ireland</v>
      </c>
      <c r="C26" s="34" t="str">
        <v>Second Row</v>
      </c>
      <c r="D26" s="34" t="str">
        <f t="shared" si="0"/>
        <v>Win</v>
      </c>
      <c r="E26" s="2">
        <v>80</v>
      </c>
      <c r="F26" s="2">
        <v>15</v>
      </c>
      <c r="G26" s="2">
        <v>1</v>
      </c>
      <c r="H26" s="2"/>
      <c r="I26" s="2">
        <v>52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3">
        <v>40.4</v>
      </c>
      <c r="U26" s="2"/>
    </row>
    <row r="27" spans="1:21" ht="16" thickBot="1" x14ac:dyDescent="0.25">
      <c r="A27" s="17" t="s">
        <v>143</v>
      </c>
      <c r="B27" s="34" t="str" cm="1">
        <f t="array" ref="B27:C27">_xlfn.XLOOKUP(A27,'Player List'!$A$2:$A$177,'Player List'!$B$2:$C$177)</f>
        <v>Ireland</v>
      </c>
      <c r="C27" s="34" t="str">
        <v>Prop</v>
      </c>
      <c r="D27" s="34" t="str">
        <f t="shared" si="0"/>
        <v>Win</v>
      </c>
      <c r="E27" s="5">
        <v>61</v>
      </c>
      <c r="F27" s="5">
        <v>12</v>
      </c>
      <c r="G27" s="5">
        <v>1</v>
      </c>
      <c r="H27" s="5"/>
      <c r="I27" s="5">
        <v>11</v>
      </c>
      <c r="J27" s="5"/>
      <c r="K27" s="5"/>
      <c r="L27" s="5"/>
      <c r="M27" s="5"/>
      <c r="N27" s="5">
        <v>1</v>
      </c>
      <c r="O27" s="5"/>
      <c r="P27" s="5"/>
      <c r="Q27" s="5"/>
      <c r="R27" s="5"/>
      <c r="S27" s="5"/>
      <c r="T27" s="6">
        <v>34.299999999999997</v>
      </c>
      <c r="U27" s="5"/>
    </row>
    <row r="28" spans="1:21" ht="16" thickBot="1" x14ac:dyDescent="0.25">
      <c r="A28" s="18" t="s">
        <v>144</v>
      </c>
      <c r="B28" s="34" t="str" cm="1">
        <f t="array" ref="B28:C28">_xlfn.XLOOKUP(A28,'Player List'!$A$2:$A$177,'Player List'!$B$2:$C$177)</f>
        <v>Ireland</v>
      </c>
      <c r="C28" s="34" t="str">
        <v>Prop</v>
      </c>
      <c r="D28" s="34" t="str">
        <f t="shared" si="0"/>
        <v>Win</v>
      </c>
      <c r="E28" s="2">
        <v>11</v>
      </c>
      <c r="F28" s="2">
        <v>3</v>
      </c>
      <c r="G28" s="2"/>
      <c r="H28" s="2"/>
      <c r="I28" s="2">
        <v>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3">
        <v>5.9</v>
      </c>
      <c r="U28" s="2"/>
    </row>
    <row r="29" spans="1:21" ht="16" thickBot="1" x14ac:dyDescent="0.25">
      <c r="A29" s="17" t="s">
        <v>145</v>
      </c>
      <c r="B29" s="34" t="str" cm="1">
        <f t="array" ref="B29:C29">_xlfn.XLOOKUP(A29,'Player List'!$A$2:$A$177,'Player List'!$B$2:$C$177)</f>
        <v>Ireland</v>
      </c>
      <c r="C29" s="34" t="str">
        <v>Prop</v>
      </c>
      <c r="D29" s="34" t="str">
        <f t="shared" si="0"/>
        <v>Win</v>
      </c>
      <c r="E29" s="5">
        <v>19</v>
      </c>
      <c r="F29" s="5"/>
      <c r="G29" s="5"/>
      <c r="H29" s="5"/>
      <c r="I29" s="5">
        <v>52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6">
        <v>12.3</v>
      </c>
      <c r="U29" s="5"/>
    </row>
    <row r="30" spans="1:21" ht="16" thickBot="1" x14ac:dyDescent="0.25">
      <c r="A30" s="18" t="s">
        <v>146</v>
      </c>
      <c r="B30" s="34" t="str" cm="1">
        <f t="array" ref="B30:C30">_xlfn.XLOOKUP(A30,'Player List'!$A$2:$A$177,'Player List'!$B$2:$C$177)</f>
        <v>Ireland</v>
      </c>
      <c r="C30" s="34" t="str">
        <v>Prop</v>
      </c>
      <c r="D30" s="34" t="str">
        <f t="shared" si="0"/>
        <v>Win</v>
      </c>
      <c r="E30" s="2">
        <v>69</v>
      </c>
      <c r="F30" s="2">
        <v>6</v>
      </c>
      <c r="G30" s="2"/>
      <c r="H30" s="2"/>
      <c r="I30" s="2">
        <v>17</v>
      </c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3">
        <v>31.3</v>
      </c>
      <c r="U30" s="2"/>
    </row>
    <row r="31" spans="1:21" ht="16" thickBot="1" x14ac:dyDescent="0.25">
      <c r="A31" s="19" t="s">
        <v>147</v>
      </c>
      <c r="B31" s="34" t="str" cm="1">
        <f t="array" ref="B31:C31">_xlfn.XLOOKUP(A31,'Player List'!$A$2:$A$177,'Player List'!$B$2:$C$177)</f>
        <v>Ireland</v>
      </c>
      <c r="C31" s="34" t="str">
        <v>Hooker</v>
      </c>
      <c r="D31" s="34" t="str">
        <f t="shared" si="0"/>
        <v>Win</v>
      </c>
      <c r="E31" s="5">
        <v>25</v>
      </c>
      <c r="F31" s="5">
        <v>6</v>
      </c>
      <c r="G31" s="5"/>
      <c r="H31" s="5"/>
      <c r="I31" s="5">
        <v>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6">
        <v>9.9</v>
      </c>
      <c r="U31" s="5"/>
    </row>
    <row r="32" spans="1:21" ht="16" thickBot="1" x14ac:dyDescent="0.25">
      <c r="A32" s="20" t="s">
        <v>148</v>
      </c>
      <c r="B32" s="34" t="str" cm="1">
        <f t="array" ref="B32:C32">_xlfn.XLOOKUP(A32,'Player List'!$A$2:$A$177,'Player List'!$B$2:$C$177)</f>
        <v>Ireland</v>
      </c>
      <c r="C32" s="34" t="str">
        <v>Hooker</v>
      </c>
      <c r="D32" s="34" t="str">
        <f t="shared" si="0"/>
        <v>Win</v>
      </c>
      <c r="E32" s="2">
        <v>55</v>
      </c>
      <c r="F32" s="2">
        <v>9</v>
      </c>
      <c r="G32" s="2">
        <v>2</v>
      </c>
      <c r="H32" s="2"/>
      <c r="I32" s="2">
        <v>38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3">
        <v>36.1</v>
      </c>
      <c r="U32" s="2"/>
    </row>
    <row r="33" spans="1:21" ht="16" thickBot="1" x14ac:dyDescent="0.25">
      <c r="A33" s="1" t="s">
        <v>12</v>
      </c>
      <c r="B33" s="34" t="str" cm="1">
        <f t="array" ref="B33:C33">_xlfn.XLOOKUP(A33,'Player List'!$A$2:$A$177,'Player List'!$B$2:$C$177)</f>
        <v>France</v>
      </c>
      <c r="C33" s="34" t="str">
        <v>Back Three</v>
      </c>
      <c r="D33" s="34" t="str">
        <f t="shared" si="0"/>
        <v>Loss</v>
      </c>
      <c r="E33" s="2">
        <v>80</v>
      </c>
      <c r="F33" s="2">
        <v>4</v>
      </c>
      <c r="G33" s="2"/>
      <c r="H33" s="2">
        <v>1</v>
      </c>
      <c r="I33" s="2">
        <v>134</v>
      </c>
      <c r="J33" s="2"/>
      <c r="K33" s="2"/>
      <c r="L33" s="2"/>
      <c r="M33" s="2">
        <v>1</v>
      </c>
      <c r="N33" s="2"/>
      <c r="O33" s="2"/>
      <c r="P33" s="2"/>
      <c r="Q33" s="2"/>
      <c r="R33" s="2"/>
      <c r="S33" s="2"/>
      <c r="T33" s="3">
        <v>52.8</v>
      </c>
      <c r="U33" s="2"/>
    </row>
    <row r="34" spans="1:21" ht="16" thickBot="1" x14ac:dyDescent="0.25">
      <c r="A34" s="4" t="s">
        <v>13</v>
      </c>
      <c r="B34" s="34" t="str" cm="1">
        <f t="array" ref="B34:C34">_xlfn.XLOOKUP(A34,'Player List'!$A$2:$A$177,'Player List'!$B$2:$C$177)</f>
        <v>France</v>
      </c>
      <c r="C34" s="34" t="str">
        <v>Back Three</v>
      </c>
      <c r="D34" s="34" t="str">
        <f t="shared" si="0"/>
        <v>Loss</v>
      </c>
      <c r="E34" s="5">
        <v>61</v>
      </c>
      <c r="F34" s="5">
        <v>3</v>
      </c>
      <c r="G34" s="5"/>
      <c r="H34" s="5"/>
      <c r="I34" s="5">
        <v>90</v>
      </c>
      <c r="J34" s="5"/>
      <c r="K34" s="5"/>
      <c r="L34" s="5"/>
      <c r="M34" s="5"/>
      <c r="N34" s="5"/>
      <c r="O34" s="5">
        <v>1</v>
      </c>
      <c r="P34" s="5">
        <v>3</v>
      </c>
      <c r="Q34" s="5">
        <v>1</v>
      </c>
      <c r="R34" s="5"/>
      <c r="S34" s="5"/>
      <c r="T34" s="6">
        <v>45</v>
      </c>
      <c r="U34" s="5"/>
    </row>
    <row r="35" spans="1:21" ht="16" thickBot="1" x14ac:dyDescent="0.25">
      <c r="A35" s="7" t="s">
        <v>14</v>
      </c>
      <c r="B35" s="34" t="str" cm="1">
        <f t="array" ref="B35:C35">_xlfn.XLOOKUP(A35,'Player List'!$A$2:$A$177,'Player List'!$B$2:$C$177)</f>
        <v>France</v>
      </c>
      <c r="C35" s="34" t="str">
        <v>Centre</v>
      </c>
      <c r="D35" s="34" t="str">
        <f t="shared" si="0"/>
        <v>Loss</v>
      </c>
      <c r="E35" s="2">
        <v>68</v>
      </c>
      <c r="F35" s="2">
        <v>2</v>
      </c>
      <c r="G35" s="2"/>
      <c r="H35" s="2">
        <v>2</v>
      </c>
      <c r="I35" s="2">
        <v>88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3">
        <v>33.6</v>
      </c>
      <c r="U35" s="2"/>
    </row>
    <row r="36" spans="1:21" ht="16" thickBot="1" x14ac:dyDescent="0.25">
      <c r="A36" s="8" t="s">
        <v>15</v>
      </c>
      <c r="B36" s="34" t="str" cm="1">
        <f t="array" ref="B36:C36">_xlfn.XLOOKUP(A36,'Player List'!$A$2:$A$177,'Player List'!$B$2:$C$177)</f>
        <v>France</v>
      </c>
      <c r="C36" s="34" t="str">
        <v>Centre</v>
      </c>
      <c r="D36" s="34" t="str">
        <f t="shared" si="0"/>
        <v>Loss</v>
      </c>
      <c r="E36" s="5">
        <v>80</v>
      </c>
      <c r="F36" s="5">
        <v>14</v>
      </c>
      <c r="G36" s="5"/>
      <c r="H36" s="5"/>
      <c r="I36" s="5">
        <v>83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6">
        <v>30.6</v>
      </c>
      <c r="U36" s="5"/>
    </row>
    <row r="37" spans="1:21" ht="16" thickBot="1" x14ac:dyDescent="0.25">
      <c r="A37" s="7" t="s">
        <v>16</v>
      </c>
      <c r="B37" s="34" t="str" cm="1">
        <f t="array" ref="B37:C37">_xlfn.XLOOKUP(A37,'Player List'!$A$2:$A$177,'Player List'!$B$2:$C$177)</f>
        <v>France</v>
      </c>
      <c r="C37" s="34" t="str">
        <v>Centre</v>
      </c>
      <c r="D37" s="34" t="str">
        <f t="shared" si="0"/>
        <v>Loss</v>
      </c>
      <c r="E37" s="2">
        <v>80</v>
      </c>
      <c r="F37" s="2">
        <v>9</v>
      </c>
      <c r="G37" s="2"/>
      <c r="H37" s="2"/>
      <c r="I37" s="2">
        <v>57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3">
        <v>20.399999999999999</v>
      </c>
      <c r="U37" s="2"/>
    </row>
    <row r="38" spans="1:21" ht="16" thickBot="1" x14ac:dyDescent="0.25">
      <c r="A38" s="10" t="s">
        <v>17</v>
      </c>
      <c r="B38" s="34" t="str" cm="1">
        <f t="array" ref="B38:C38">_xlfn.XLOOKUP(A38,'Player List'!$A$2:$A$177,'Player List'!$B$2:$C$177)</f>
        <v>France</v>
      </c>
      <c r="C38" s="34" t="str">
        <v>Fly Half</v>
      </c>
      <c r="D38" s="34" t="str">
        <f t="shared" si="0"/>
        <v>Loss</v>
      </c>
      <c r="E38" s="5">
        <v>19</v>
      </c>
      <c r="F38" s="5">
        <v>2</v>
      </c>
      <c r="G38" s="5"/>
      <c r="H38" s="5"/>
      <c r="I38" s="5">
        <v>19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6">
        <v>5.8</v>
      </c>
      <c r="U38" s="5"/>
    </row>
    <row r="39" spans="1:21" ht="16" thickBot="1" x14ac:dyDescent="0.25">
      <c r="A39" s="9" t="s">
        <v>18</v>
      </c>
      <c r="B39" s="34" t="str" cm="1">
        <f t="array" ref="B39:C39">_xlfn.XLOOKUP(A39,'Player List'!$A$2:$A$177,'Player List'!$B$2:$C$177)</f>
        <v>France</v>
      </c>
      <c r="C39" s="34" t="str">
        <v>Fly Half</v>
      </c>
      <c r="D39" s="34" t="str">
        <f t="shared" si="0"/>
        <v>Loss</v>
      </c>
      <c r="E39" s="2">
        <v>80</v>
      </c>
      <c r="F39" s="2">
        <v>12</v>
      </c>
      <c r="G39" s="2"/>
      <c r="H39" s="2"/>
      <c r="I39" s="2">
        <v>51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3">
        <v>22.2</v>
      </c>
      <c r="U39" s="2"/>
    </row>
    <row r="40" spans="1:21" ht="16" thickBot="1" x14ac:dyDescent="0.25">
      <c r="A40" s="12" t="s">
        <v>19</v>
      </c>
      <c r="B40" s="34" t="str" cm="1">
        <f t="array" ref="B40:C40">_xlfn.XLOOKUP(A40,'Player List'!$A$2:$A$177,'Player List'!$B$2:$C$177)</f>
        <v>France</v>
      </c>
      <c r="C40" s="34" t="str">
        <v>Scrum Half</v>
      </c>
      <c r="D40" s="34" t="str">
        <f t="shared" si="0"/>
        <v>Loss</v>
      </c>
      <c r="E40" s="5">
        <v>80</v>
      </c>
      <c r="F40" s="5">
        <v>10</v>
      </c>
      <c r="G40" s="5">
        <v>1</v>
      </c>
      <c r="H40" s="5">
        <v>2</v>
      </c>
      <c r="I40" s="5">
        <v>90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6">
        <v>49</v>
      </c>
      <c r="U40" s="5"/>
    </row>
    <row r="41" spans="1:21" ht="16" thickBot="1" x14ac:dyDescent="0.25">
      <c r="A41" s="13" t="s">
        <v>20</v>
      </c>
      <c r="B41" s="34" t="str" cm="1">
        <f t="array" ref="B41:C41">_xlfn.XLOOKUP(A41,'Player List'!$A$2:$A$177,'Player List'!$B$2:$C$177)</f>
        <v>France</v>
      </c>
      <c r="C41" s="34" t="str">
        <v>Back Row</v>
      </c>
      <c r="D41" s="34" t="str">
        <f t="shared" si="0"/>
        <v>Loss</v>
      </c>
      <c r="E41" s="2">
        <v>52</v>
      </c>
      <c r="F41" s="2">
        <v>13</v>
      </c>
      <c r="G41" s="2"/>
      <c r="H41" s="2"/>
      <c r="I41" s="2">
        <v>17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3">
        <v>16.399999999999999</v>
      </c>
      <c r="U41" s="2"/>
    </row>
    <row r="42" spans="1:21" ht="16" thickBot="1" x14ac:dyDescent="0.25">
      <c r="A42" s="14" t="s">
        <v>21</v>
      </c>
      <c r="B42" s="34" t="str" cm="1">
        <f t="array" ref="B42:C42">_xlfn.XLOOKUP(A42,'Player List'!$A$2:$A$177,'Player List'!$B$2:$C$177)</f>
        <v>France</v>
      </c>
      <c r="C42" s="34" t="str">
        <v>Back Row</v>
      </c>
      <c r="D42" s="34" t="str">
        <f t="shared" si="0"/>
        <v>Loss</v>
      </c>
      <c r="E42" s="5">
        <v>11</v>
      </c>
      <c r="F42" s="5">
        <v>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>
        <v>6</v>
      </c>
      <c r="U42" s="5"/>
    </row>
    <row r="43" spans="1:21" ht="16" thickBot="1" x14ac:dyDescent="0.25">
      <c r="A43" s="13" t="s">
        <v>22</v>
      </c>
      <c r="B43" s="34" t="str" cm="1">
        <f t="array" ref="B43:C43">_xlfn.XLOOKUP(A43,'Player List'!$A$2:$A$177,'Player List'!$B$2:$C$177)</f>
        <v>France</v>
      </c>
      <c r="C43" s="34" t="str">
        <v>Back Row</v>
      </c>
      <c r="D43" s="34" t="str">
        <f t="shared" si="0"/>
        <v>Loss</v>
      </c>
      <c r="E43" s="2">
        <v>80</v>
      </c>
      <c r="F43" s="2">
        <v>22</v>
      </c>
      <c r="G43" s="2"/>
      <c r="H43" s="2">
        <v>1</v>
      </c>
      <c r="I43" s="2">
        <v>58</v>
      </c>
      <c r="J43" s="2"/>
      <c r="K43" s="2"/>
      <c r="L43" s="2"/>
      <c r="M43" s="2"/>
      <c r="N43" s="2">
        <v>1</v>
      </c>
      <c r="O43" s="2"/>
      <c r="P43" s="2"/>
      <c r="Q43" s="2"/>
      <c r="R43" s="2"/>
      <c r="S43" s="2"/>
      <c r="T43" s="3">
        <v>47.6</v>
      </c>
      <c r="U43" s="2"/>
    </row>
    <row r="44" spans="1:21" ht="16" thickBot="1" x14ac:dyDescent="0.25">
      <c r="A44" s="14" t="s">
        <v>23</v>
      </c>
      <c r="B44" s="34" t="str" cm="1">
        <f t="array" ref="B44:C44">_xlfn.XLOOKUP(A44,'Player List'!$A$2:$A$177,'Player List'!$B$2:$C$177)</f>
        <v>France</v>
      </c>
      <c r="C44" s="34" t="str">
        <v>Back Row</v>
      </c>
      <c r="D44" s="34" t="str">
        <f t="shared" si="0"/>
        <v>Loss</v>
      </c>
      <c r="E44" s="5">
        <v>28</v>
      </c>
      <c r="F44" s="5">
        <v>7</v>
      </c>
      <c r="G44" s="5"/>
      <c r="H44" s="5"/>
      <c r="I44" s="5">
        <v>23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6">
        <v>11.6</v>
      </c>
      <c r="U44" s="5"/>
    </row>
    <row r="45" spans="1:21" ht="16" thickBot="1" x14ac:dyDescent="0.25">
      <c r="A45" s="13" t="s">
        <v>24</v>
      </c>
      <c r="B45" s="34" t="str" cm="1">
        <f t="array" ref="B45:C45">_xlfn.XLOOKUP(A45,'Player List'!$A$2:$A$177,'Player List'!$B$2:$C$177)</f>
        <v>France</v>
      </c>
      <c r="C45" s="34" t="str">
        <v>Back Row</v>
      </c>
      <c r="D45" s="34" t="str">
        <f t="shared" si="0"/>
        <v>Loss</v>
      </c>
      <c r="E45" s="2">
        <v>69</v>
      </c>
      <c r="F45" s="2">
        <v>21</v>
      </c>
      <c r="G45" s="2"/>
      <c r="H45" s="2"/>
      <c r="I45" s="2">
        <v>25</v>
      </c>
      <c r="J45" s="2"/>
      <c r="K45" s="2"/>
      <c r="L45" s="2">
        <v>1</v>
      </c>
      <c r="M45" s="2"/>
      <c r="N45" s="2"/>
      <c r="O45" s="2"/>
      <c r="P45" s="2"/>
      <c r="Q45" s="2"/>
      <c r="R45" s="2"/>
      <c r="S45" s="2"/>
      <c r="T45" s="3">
        <v>33</v>
      </c>
      <c r="U45" s="2"/>
    </row>
    <row r="46" spans="1:21" ht="16" thickBot="1" x14ac:dyDescent="0.25">
      <c r="A46" s="16" t="s">
        <v>25</v>
      </c>
      <c r="B46" s="34" t="str" cm="1">
        <f t="array" ref="B46:C46">_xlfn.XLOOKUP(A46,'Player List'!$A$2:$A$177,'Player List'!$B$2:$C$177)</f>
        <v>France</v>
      </c>
      <c r="C46" s="34" t="str">
        <v>Second Row</v>
      </c>
      <c r="D46" s="34" t="str">
        <f t="shared" si="0"/>
        <v>Loss</v>
      </c>
      <c r="E46" s="5">
        <v>80</v>
      </c>
      <c r="F46" s="5">
        <v>24</v>
      </c>
      <c r="G46" s="5">
        <v>2</v>
      </c>
      <c r="H46" s="5"/>
      <c r="I46" s="5">
        <v>60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6">
        <v>50</v>
      </c>
      <c r="U46" s="5"/>
    </row>
    <row r="47" spans="1:21" ht="16" thickBot="1" x14ac:dyDescent="0.25">
      <c r="A47" s="15" t="s">
        <v>26</v>
      </c>
      <c r="B47" s="34" t="str" cm="1">
        <f t="array" ref="B47:C47">_xlfn.XLOOKUP(A47,'Player List'!$A$2:$A$177,'Player List'!$B$2:$C$177)</f>
        <v>France</v>
      </c>
      <c r="C47" s="34" t="str">
        <v>Second Row</v>
      </c>
      <c r="D47" s="34" t="str">
        <f t="shared" si="0"/>
        <v>Loss</v>
      </c>
      <c r="E47" s="2">
        <v>35</v>
      </c>
      <c r="F47" s="2">
        <v>11</v>
      </c>
      <c r="G47" s="2">
        <v>1</v>
      </c>
      <c r="H47" s="2"/>
      <c r="I47" s="2">
        <v>3</v>
      </c>
      <c r="J47" s="2"/>
      <c r="K47" s="2"/>
      <c r="L47" s="2">
        <v>1</v>
      </c>
      <c r="M47" s="2"/>
      <c r="N47" s="2"/>
      <c r="O47" s="2"/>
      <c r="P47" s="2"/>
      <c r="Q47" s="2"/>
      <c r="R47" s="2"/>
      <c r="S47" s="2"/>
      <c r="T47" s="3">
        <v>25.6</v>
      </c>
      <c r="U47" s="2"/>
    </row>
    <row r="48" spans="1:21" ht="16" thickBot="1" x14ac:dyDescent="0.25">
      <c r="A48" s="16" t="s">
        <v>27</v>
      </c>
      <c r="B48" s="34" t="str" cm="1">
        <f t="array" ref="B48:C48">_xlfn.XLOOKUP(A48,'Player List'!$A$2:$A$177,'Player List'!$B$2:$C$177)</f>
        <v>France</v>
      </c>
      <c r="C48" s="34" t="str">
        <v>Second Row</v>
      </c>
      <c r="D48" s="34" t="str">
        <f t="shared" si="0"/>
        <v>Loss</v>
      </c>
      <c r="E48" s="5">
        <v>45</v>
      </c>
      <c r="F48" s="5">
        <v>10</v>
      </c>
      <c r="G48" s="5">
        <v>2</v>
      </c>
      <c r="H48" s="5"/>
      <c r="I48" s="5">
        <v>16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6">
        <v>27.2</v>
      </c>
      <c r="U48" s="5"/>
    </row>
    <row r="49" spans="1:21" ht="16" thickBot="1" x14ac:dyDescent="0.25">
      <c r="A49" s="18" t="s">
        <v>28</v>
      </c>
      <c r="B49" s="34" t="str" cm="1">
        <f t="array" ref="B49:C49">_xlfn.XLOOKUP(A49,'Player List'!$A$2:$A$177,'Player List'!$B$2:$C$177)</f>
        <v>France</v>
      </c>
      <c r="C49" s="34" t="str">
        <v>Prop</v>
      </c>
      <c r="D49" s="34" t="str">
        <f t="shared" si="0"/>
        <v>Loss</v>
      </c>
      <c r="E49" s="2">
        <v>44</v>
      </c>
      <c r="F49" s="2">
        <v>8</v>
      </c>
      <c r="G49" s="2">
        <v>2</v>
      </c>
      <c r="H49" s="2"/>
      <c r="I49" s="2">
        <v>6</v>
      </c>
      <c r="J49" s="2"/>
      <c r="K49" s="2"/>
      <c r="L49" s="2"/>
      <c r="M49" s="2"/>
      <c r="N49" s="2"/>
      <c r="O49" s="2"/>
      <c r="P49" s="2"/>
      <c r="Q49" s="2"/>
      <c r="R49" s="2">
        <v>1</v>
      </c>
      <c r="S49" s="2"/>
      <c r="T49" s="3">
        <v>18.2</v>
      </c>
      <c r="U49" s="2"/>
    </row>
    <row r="50" spans="1:21" ht="16" thickBot="1" x14ac:dyDescent="0.25">
      <c r="A50" s="17" t="s">
        <v>29</v>
      </c>
      <c r="B50" s="34" t="str" cm="1">
        <f t="array" ref="B50:C50">_xlfn.XLOOKUP(A50,'Player List'!$A$2:$A$177,'Player List'!$B$2:$C$177)</f>
        <v>France</v>
      </c>
      <c r="C50" s="34" t="str">
        <v>Prop</v>
      </c>
      <c r="D50" s="34" t="str">
        <f t="shared" si="0"/>
        <v>Loss</v>
      </c>
      <c r="E50" s="5">
        <v>56</v>
      </c>
      <c r="F50" s="5">
        <v>14</v>
      </c>
      <c r="G50" s="5"/>
      <c r="H50" s="5"/>
      <c r="I50" s="5">
        <v>23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6">
        <v>18.600000000000001</v>
      </c>
      <c r="U50" s="5"/>
    </row>
    <row r="51" spans="1:21" ht="16" thickBot="1" x14ac:dyDescent="0.25">
      <c r="A51" s="18" t="s">
        <v>30</v>
      </c>
      <c r="B51" s="34" t="str" cm="1">
        <f t="array" ref="B51:C51">_xlfn.XLOOKUP(A51,'Player List'!$A$2:$A$177,'Player List'!$B$2:$C$177)</f>
        <v>France</v>
      </c>
      <c r="C51" s="34" t="str">
        <v>Prop</v>
      </c>
      <c r="D51" s="34" t="str">
        <f t="shared" si="0"/>
        <v>Loss</v>
      </c>
      <c r="E51" s="2">
        <v>36</v>
      </c>
      <c r="F51" s="2">
        <v>6</v>
      </c>
      <c r="G51" s="2">
        <v>1</v>
      </c>
      <c r="H51" s="2"/>
      <c r="I51" s="2">
        <v>20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3">
        <v>17</v>
      </c>
      <c r="U51" s="2"/>
    </row>
    <row r="52" spans="1:21" ht="16" thickBot="1" x14ac:dyDescent="0.25">
      <c r="A52" s="17" t="s">
        <v>31</v>
      </c>
      <c r="B52" s="34" t="str" cm="1">
        <f t="array" ref="B52:C52">_xlfn.XLOOKUP(A52,'Player List'!$A$2:$A$177,'Player List'!$B$2:$C$177)</f>
        <v>France</v>
      </c>
      <c r="C52" s="34" t="str">
        <v>Prop</v>
      </c>
      <c r="D52" s="34" t="str">
        <f t="shared" si="0"/>
        <v>Loss</v>
      </c>
      <c r="E52" s="5">
        <v>24</v>
      </c>
      <c r="F52" s="5">
        <v>6</v>
      </c>
      <c r="G52" s="5">
        <v>1</v>
      </c>
      <c r="H52" s="5"/>
      <c r="I52" s="5">
        <v>11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6">
        <v>15.2</v>
      </c>
      <c r="U52" s="5"/>
    </row>
    <row r="53" spans="1:21" ht="16" thickBot="1" x14ac:dyDescent="0.25">
      <c r="A53" s="20" t="s">
        <v>32</v>
      </c>
      <c r="B53" s="34" t="str" cm="1">
        <f t="array" ref="B53:C53">_xlfn.XLOOKUP(A53,'Player List'!$A$2:$A$177,'Player List'!$B$2:$C$177)</f>
        <v>France</v>
      </c>
      <c r="C53" s="34" t="str">
        <v>Hooker</v>
      </c>
      <c r="D53" s="34" t="str">
        <f t="shared" si="0"/>
        <v>Loss</v>
      </c>
      <c r="E53" s="2">
        <v>6</v>
      </c>
      <c r="F53" s="2">
        <v>2</v>
      </c>
      <c r="G53" s="2"/>
      <c r="H53" s="2"/>
      <c r="I53" s="2">
        <v>18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3">
        <v>5.6</v>
      </c>
      <c r="U53" s="2"/>
    </row>
    <row r="54" spans="1:21" ht="16" thickBot="1" x14ac:dyDescent="0.25">
      <c r="A54" s="19" t="s">
        <v>33</v>
      </c>
      <c r="B54" s="34" t="str" cm="1">
        <f t="array" ref="B54:C54">_xlfn.XLOOKUP(A54,'Player List'!$A$2:$A$177,'Player List'!$B$2:$C$177)</f>
        <v>France</v>
      </c>
      <c r="C54" s="34" t="str">
        <v>Hooker</v>
      </c>
      <c r="D54" s="34" t="str">
        <f t="shared" si="0"/>
        <v>Loss</v>
      </c>
      <c r="E54" s="5">
        <v>74</v>
      </c>
      <c r="F54" s="5">
        <v>19</v>
      </c>
      <c r="G54" s="5"/>
      <c r="H54" s="5"/>
      <c r="I54" s="5">
        <v>24</v>
      </c>
      <c r="J54" s="5"/>
      <c r="K54" s="5"/>
      <c r="L54" s="5">
        <v>2</v>
      </c>
      <c r="M54" s="5"/>
      <c r="N54" s="5"/>
      <c r="O54" s="5"/>
      <c r="P54" s="5"/>
      <c r="Q54" s="5"/>
      <c r="R54" s="5"/>
      <c r="S54" s="5"/>
      <c r="T54" s="6">
        <v>37.799999999999997</v>
      </c>
      <c r="U54" s="5"/>
    </row>
    <row r="55" spans="1:21" ht="16" thickBot="1" x14ac:dyDescent="0.25">
      <c r="A55" s="1" t="s">
        <v>34</v>
      </c>
      <c r="B55" s="34" t="str" cm="1">
        <f t="array" ref="B55:C55">_xlfn.XLOOKUP(A55,'Player List'!$A$2:$A$177,'Player List'!$B$2:$C$177)</f>
        <v>Scotland</v>
      </c>
      <c r="C55" s="34" t="str">
        <v>Back Three</v>
      </c>
      <c r="D55" s="34" t="str">
        <f t="shared" si="0"/>
        <v>Win</v>
      </c>
      <c r="E55" s="2">
        <v>13</v>
      </c>
      <c r="F55" s="2">
        <v>1</v>
      </c>
      <c r="G55" s="2"/>
      <c r="H55" s="2"/>
      <c r="I55" s="2">
        <v>18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3">
        <v>5.9</v>
      </c>
      <c r="U55" s="2"/>
    </row>
    <row r="56" spans="1:21" ht="16" thickBot="1" x14ac:dyDescent="0.25">
      <c r="A56" s="4" t="s">
        <v>35</v>
      </c>
      <c r="B56" s="34" t="str" cm="1">
        <f t="array" ref="B56:C56">_xlfn.XLOOKUP(A56,'Player List'!$A$2:$A$177,'Player List'!$B$2:$C$177)</f>
        <v>Scotland</v>
      </c>
      <c r="C56" s="34" t="str">
        <v>Back Three</v>
      </c>
      <c r="D56" s="34" t="str">
        <f t="shared" si="0"/>
        <v>Win</v>
      </c>
      <c r="E56" s="5">
        <v>67</v>
      </c>
      <c r="F56" s="5">
        <v>5</v>
      </c>
      <c r="G56" s="5"/>
      <c r="H56" s="5">
        <v>2</v>
      </c>
      <c r="I56" s="5">
        <v>110</v>
      </c>
      <c r="J56" s="5"/>
      <c r="K56" s="5"/>
      <c r="L56" s="5"/>
      <c r="M56" s="5">
        <v>1</v>
      </c>
      <c r="N56" s="5"/>
      <c r="O56" s="5"/>
      <c r="P56" s="5"/>
      <c r="Q56" s="5"/>
      <c r="R56" s="5"/>
      <c r="S56" s="5"/>
      <c r="T56" s="6">
        <v>62.7</v>
      </c>
      <c r="U56" s="5"/>
    </row>
    <row r="57" spans="1:21" ht="16" thickBot="1" x14ac:dyDescent="0.25">
      <c r="A57" s="1" t="s">
        <v>36</v>
      </c>
      <c r="B57" s="34" t="str" cm="1">
        <f t="array" ref="B57:C57">_xlfn.XLOOKUP(A57,'Player List'!$A$2:$A$177,'Player List'!$B$2:$C$177)</f>
        <v>Scotland</v>
      </c>
      <c r="C57" s="34" t="str">
        <v>Back Three</v>
      </c>
      <c r="D57" s="34" t="str">
        <f t="shared" si="0"/>
        <v>Win</v>
      </c>
      <c r="E57" s="2">
        <v>80</v>
      </c>
      <c r="F57" s="2">
        <v>3</v>
      </c>
      <c r="G57" s="2"/>
      <c r="H57" s="2">
        <v>3</v>
      </c>
      <c r="I57" s="2">
        <v>65</v>
      </c>
      <c r="J57" s="2"/>
      <c r="K57" s="2"/>
      <c r="L57" s="2"/>
      <c r="M57" s="2">
        <v>2</v>
      </c>
      <c r="N57" s="2"/>
      <c r="O57" s="2"/>
      <c r="P57" s="2"/>
      <c r="Q57" s="2"/>
      <c r="R57" s="2"/>
      <c r="S57" s="2"/>
      <c r="T57" s="3">
        <v>75</v>
      </c>
      <c r="U57" s="2"/>
    </row>
    <row r="58" spans="1:21" ht="16" thickBot="1" x14ac:dyDescent="0.25">
      <c r="A58" s="4" t="s">
        <v>37</v>
      </c>
      <c r="B58" s="34" t="str" cm="1">
        <f t="array" ref="B58:C58">_xlfn.XLOOKUP(A58,'Player List'!$A$2:$A$177,'Player List'!$B$2:$C$177)</f>
        <v>Scotland</v>
      </c>
      <c r="C58" s="34" t="str">
        <v>Back Three</v>
      </c>
      <c r="D58" s="34" t="str">
        <f t="shared" si="0"/>
        <v>Win</v>
      </c>
      <c r="E58" s="5">
        <v>80</v>
      </c>
      <c r="F58" s="5">
        <v>2</v>
      </c>
      <c r="G58" s="5"/>
      <c r="H58" s="5">
        <v>3</v>
      </c>
      <c r="I58" s="5">
        <v>149</v>
      </c>
      <c r="J58" s="5"/>
      <c r="K58" s="5"/>
      <c r="L58" s="5"/>
      <c r="M58" s="5"/>
      <c r="N58" s="5">
        <v>1</v>
      </c>
      <c r="O58" s="5"/>
      <c r="P58" s="5"/>
      <c r="Q58" s="5"/>
      <c r="R58" s="5"/>
      <c r="S58" s="5"/>
      <c r="T58" s="6">
        <v>67.8</v>
      </c>
      <c r="U58" s="5"/>
    </row>
    <row r="59" spans="1:21" ht="16" thickBot="1" x14ac:dyDescent="0.25">
      <c r="A59" s="7" t="s">
        <v>38</v>
      </c>
      <c r="B59" s="34" t="str" cm="1">
        <f t="array" ref="B59:C59">_xlfn.XLOOKUP(A59,'Player List'!$A$2:$A$177,'Player List'!$B$2:$C$177)</f>
        <v>Scotland</v>
      </c>
      <c r="C59" s="34" t="str">
        <v>Centre</v>
      </c>
      <c r="D59" s="34" t="str">
        <f t="shared" si="0"/>
        <v>Win</v>
      </c>
      <c r="E59" s="2">
        <v>8</v>
      </c>
      <c r="F59" s="2">
        <v>3</v>
      </c>
      <c r="G59" s="2"/>
      <c r="H59" s="2"/>
      <c r="I59" s="2">
        <v>12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3">
        <v>6.2</v>
      </c>
      <c r="U59" s="2"/>
    </row>
    <row r="60" spans="1:21" ht="16" thickBot="1" x14ac:dyDescent="0.25">
      <c r="A60" s="8" t="s">
        <v>39</v>
      </c>
      <c r="B60" s="34" t="str" cm="1">
        <f t="array" ref="B60:C60">_xlfn.XLOOKUP(A60,'Player List'!$A$2:$A$177,'Player List'!$B$2:$C$177)</f>
        <v>Scotland</v>
      </c>
      <c r="C60" s="34" t="str">
        <v>Centre</v>
      </c>
      <c r="D60" s="34" t="str">
        <f t="shared" si="0"/>
        <v>Win</v>
      </c>
      <c r="E60" s="5">
        <v>80</v>
      </c>
      <c r="F60" s="5">
        <v>10</v>
      </c>
      <c r="G60" s="5">
        <v>1</v>
      </c>
      <c r="H60" s="5">
        <v>1</v>
      </c>
      <c r="I60" s="5">
        <v>72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6">
        <v>46.4</v>
      </c>
      <c r="U60" s="5"/>
    </row>
    <row r="61" spans="1:21" ht="16" thickBot="1" x14ac:dyDescent="0.25">
      <c r="A61" s="7" t="s">
        <v>40</v>
      </c>
      <c r="B61" s="34" t="str" cm="1">
        <f t="array" ref="B61:C61">_xlfn.XLOOKUP(A61,'Player List'!$A$2:$A$177,'Player List'!$B$2:$C$177)</f>
        <v>Scotland</v>
      </c>
      <c r="C61" s="34" t="str">
        <v>Centre</v>
      </c>
      <c r="D61" s="34" t="str">
        <f t="shared" si="0"/>
        <v>Win</v>
      </c>
      <c r="E61" s="2">
        <v>72</v>
      </c>
      <c r="F61" s="2">
        <v>12</v>
      </c>
      <c r="G61" s="2"/>
      <c r="H61" s="2"/>
      <c r="I61" s="2">
        <v>16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3">
        <v>22.4</v>
      </c>
      <c r="U61" s="2"/>
    </row>
    <row r="62" spans="1:21" ht="16" thickBot="1" x14ac:dyDescent="0.25">
      <c r="A62" s="10" t="s">
        <v>41</v>
      </c>
      <c r="B62" s="34" t="str" cm="1">
        <f t="array" ref="B62:C62">_xlfn.XLOOKUP(A62,'Player List'!$A$2:$A$177,'Player List'!$B$2:$C$177)</f>
        <v>Scotland</v>
      </c>
      <c r="C62" s="34" t="str">
        <v>Fly Half</v>
      </c>
      <c r="D62" s="34" t="str">
        <f t="shared" si="0"/>
        <v>Win</v>
      </c>
      <c r="E62" s="5">
        <v>80</v>
      </c>
      <c r="F62" s="5">
        <v>8</v>
      </c>
      <c r="G62" s="5"/>
      <c r="H62" s="5"/>
      <c r="I62" s="5">
        <v>73</v>
      </c>
      <c r="J62" s="5">
        <v>1</v>
      </c>
      <c r="K62" s="5"/>
      <c r="L62" s="5"/>
      <c r="M62" s="5"/>
      <c r="N62" s="5">
        <v>3</v>
      </c>
      <c r="O62" s="5">
        <v>2</v>
      </c>
      <c r="P62" s="5">
        <v>2</v>
      </c>
      <c r="Q62" s="5"/>
      <c r="R62" s="5"/>
      <c r="S62" s="5"/>
      <c r="T62" s="6">
        <v>90.6</v>
      </c>
      <c r="U62" s="5">
        <v>1</v>
      </c>
    </row>
    <row r="63" spans="1:21" ht="16" thickBot="1" x14ac:dyDescent="0.25">
      <c r="A63" s="11" t="s">
        <v>42</v>
      </c>
      <c r="B63" s="34" t="str" cm="1">
        <f t="array" ref="B63:C63">_xlfn.XLOOKUP(A63,'Player List'!$A$2:$A$177,'Player List'!$B$2:$C$177)</f>
        <v>Scotland</v>
      </c>
      <c r="C63" s="34" t="str">
        <v>Scrum Half</v>
      </c>
      <c r="D63" s="34" t="str">
        <f t="shared" si="0"/>
        <v>Win</v>
      </c>
      <c r="E63" s="2">
        <v>21</v>
      </c>
      <c r="F63" s="2">
        <v>3</v>
      </c>
      <c r="G63" s="2"/>
      <c r="H63" s="2"/>
      <c r="I63" s="2">
        <v>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3">
        <v>6.7</v>
      </c>
      <c r="U63" s="2"/>
    </row>
    <row r="64" spans="1:21" ht="16" thickBot="1" x14ac:dyDescent="0.25">
      <c r="A64" s="12" t="s">
        <v>43</v>
      </c>
      <c r="B64" s="34" t="str" cm="1">
        <f t="array" ref="B64:C64">_xlfn.XLOOKUP(A64,'Player List'!$A$2:$A$177,'Player List'!$B$2:$C$177)</f>
        <v>Scotland</v>
      </c>
      <c r="C64" s="34" t="str">
        <v>Scrum Half</v>
      </c>
      <c r="D64" s="34" t="str">
        <f t="shared" si="0"/>
        <v>Win</v>
      </c>
      <c r="E64" s="5">
        <v>59</v>
      </c>
      <c r="F64" s="5">
        <v>4</v>
      </c>
      <c r="G64" s="5"/>
      <c r="H64" s="5"/>
      <c r="I64" s="5">
        <v>23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6">
        <v>14.5</v>
      </c>
      <c r="U64" s="5"/>
    </row>
    <row r="65" spans="1:21" ht="16" thickBot="1" x14ac:dyDescent="0.25">
      <c r="A65" s="13" t="s">
        <v>44</v>
      </c>
      <c r="B65" s="34" t="str" cm="1">
        <f t="array" ref="B65:C65">_xlfn.XLOOKUP(A65,'Player List'!$A$2:$A$177,'Player List'!$B$2:$C$177)</f>
        <v>Scotland</v>
      </c>
      <c r="C65" s="34" t="str">
        <v>Back Row</v>
      </c>
      <c r="D65" s="34" t="str">
        <f t="shared" si="0"/>
        <v>Win</v>
      </c>
      <c r="E65" s="2">
        <v>39</v>
      </c>
      <c r="F65" s="2">
        <v>11</v>
      </c>
      <c r="G65" s="2">
        <v>1</v>
      </c>
      <c r="H65" s="2"/>
      <c r="I65" s="2">
        <v>10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3">
        <v>23.9</v>
      </c>
      <c r="U65" s="2"/>
    </row>
    <row r="66" spans="1:21" ht="16" thickBot="1" x14ac:dyDescent="0.25">
      <c r="A66" s="14" t="s">
        <v>45</v>
      </c>
      <c r="B66" s="34" t="str" cm="1">
        <f t="array" ref="B66:C66">_xlfn.XLOOKUP(A66,'Player List'!$A$2:$A$177,'Player List'!$B$2:$C$177)</f>
        <v>Scotland</v>
      </c>
      <c r="C66" s="34" t="str">
        <v>Back Row</v>
      </c>
      <c r="D66" s="34" t="str">
        <f t="shared" si="0"/>
        <v>Win</v>
      </c>
      <c r="E66" s="5">
        <v>36</v>
      </c>
      <c r="F66" s="5">
        <v>2</v>
      </c>
      <c r="G66" s="5"/>
      <c r="H66" s="5"/>
      <c r="I66" s="5">
        <v>14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6">
        <v>8.4</v>
      </c>
      <c r="U66" s="5"/>
    </row>
    <row r="67" spans="1:21" ht="16" thickBot="1" x14ac:dyDescent="0.25">
      <c r="A67" s="13" t="s">
        <v>46</v>
      </c>
      <c r="B67" s="34" t="str" cm="1">
        <f t="array" ref="B67:C67">_xlfn.XLOOKUP(A67,'Player List'!$A$2:$A$177,'Player List'!$B$2:$C$177)</f>
        <v>Scotland</v>
      </c>
      <c r="C67" s="34" t="str">
        <v>Back Row</v>
      </c>
      <c r="D67" s="34" t="str">
        <f t="shared" si="0"/>
        <v>Win</v>
      </c>
      <c r="E67" s="2">
        <v>80</v>
      </c>
      <c r="F67" s="2">
        <v>16</v>
      </c>
      <c r="G67" s="2">
        <v>2</v>
      </c>
      <c r="H67" s="2">
        <v>1</v>
      </c>
      <c r="I67" s="2">
        <v>49</v>
      </c>
      <c r="J67" s="2"/>
      <c r="K67" s="2"/>
      <c r="L67" s="2"/>
      <c r="M67" s="2">
        <v>1</v>
      </c>
      <c r="N67" s="2"/>
      <c r="O67" s="2"/>
      <c r="P67" s="2"/>
      <c r="Q67" s="2"/>
      <c r="R67" s="2"/>
      <c r="S67" s="2"/>
      <c r="T67" s="3">
        <v>69.8</v>
      </c>
      <c r="U67" s="2"/>
    </row>
    <row r="68" spans="1:21" ht="16" thickBot="1" x14ac:dyDescent="0.25">
      <c r="A68" s="14" t="s">
        <v>47</v>
      </c>
      <c r="B68" s="34" t="str" cm="1">
        <f t="array" ref="B68:C68">_xlfn.XLOOKUP(A68,'Player List'!$A$2:$A$177,'Player List'!$B$2:$C$177)</f>
        <v>Scotland</v>
      </c>
      <c r="C68" s="34" t="str">
        <v>Back Row</v>
      </c>
      <c r="D68" s="34" t="str">
        <f t="shared" si="0"/>
        <v>Win</v>
      </c>
      <c r="E68" s="5">
        <v>80</v>
      </c>
      <c r="F68" s="5">
        <v>8</v>
      </c>
      <c r="G68" s="5"/>
      <c r="H68" s="5"/>
      <c r="I68" s="5">
        <v>10</v>
      </c>
      <c r="J68" s="5"/>
      <c r="K68" s="5"/>
      <c r="L68" s="5">
        <v>2</v>
      </c>
      <c r="M68" s="5"/>
      <c r="N68" s="5"/>
      <c r="O68" s="5"/>
      <c r="P68" s="5"/>
      <c r="Q68" s="5"/>
      <c r="R68" s="5"/>
      <c r="S68" s="5"/>
      <c r="T68" s="6">
        <v>32</v>
      </c>
      <c r="U68" s="5"/>
    </row>
    <row r="69" spans="1:21" ht="16" thickBot="1" x14ac:dyDescent="0.25">
      <c r="A69" s="15" t="s">
        <v>48</v>
      </c>
      <c r="B69" s="34" t="str" cm="1">
        <f t="array" ref="B69:C69">_xlfn.XLOOKUP(A69,'Player List'!$A$2:$A$177,'Player List'!$B$2:$C$177)</f>
        <v>Scotland</v>
      </c>
      <c r="C69" s="34" t="str">
        <v>Second Row</v>
      </c>
      <c r="D69" s="34" t="str">
        <f t="shared" si="0"/>
        <v>Win</v>
      </c>
      <c r="E69" s="2">
        <v>64</v>
      </c>
      <c r="F69" s="2">
        <v>10</v>
      </c>
      <c r="G69" s="2">
        <v>2</v>
      </c>
      <c r="H69" s="2"/>
      <c r="I69" s="2"/>
      <c r="J69" s="2"/>
      <c r="K69" s="2">
        <v>1</v>
      </c>
      <c r="L69" s="2"/>
      <c r="M69" s="2"/>
      <c r="N69" s="2"/>
      <c r="O69" s="2"/>
      <c r="P69" s="2"/>
      <c r="Q69" s="2"/>
      <c r="R69" s="2"/>
      <c r="S69" s="2"/>
      <c r="T69" s="3">
        <v>37.4</v>
      </c>
      <c r="U69" s="2"/>
    </row>
    <row r="70" spans="1:21" ht="16" thickBot="1" x14ac:dyDescent="0.25">
      <c r="A70" s="16" t="s">
        <v>49</v>
      </c>
      <c r="B70" s="34" t="str" cm="1">
        <f t="array" ref="B70:C70">_xlfn.XLOOKUP(A70,'Player List'!$A$2:$A$177,'Player List'!$B$2:$C$177)</f>
        <v>Scotland</v>
      </c>
      <c r="C70" s="34" t="str">
        <v>Second Row</v>
      </c>
      <c r="D70" s="34" t="str">
        <f t="shared" si="0"/>
        <v>Win</v>
      </c>
      <c r="E70" s="5">
        <v>16</v>
      </c>
      <c r="F70" s="5">
        <v>3</v>
      </c>
      <c r="G70" s="5">
        <v>1</v>
      </c>
      <c r="H70" s="5"/>
      <c r="I70" s="5">
        <v>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6">
        <v>12</v>
      </c>
      <c r="U70" s="5"/>
    </row>
    <row r="71" spans="1:21" ht="16" thickBot="1" x14ac:dyDescent="0.25">
      <c r="A71" s="15" t="s">
        <v>50</v>
      </c>
      <c r="B71" s="34" t="str" cm="1">
        <f t="array" ref="B71:C71">_xlfn.XLOOKUP(A71,'Player List'!$A$2:$A$177,'Player List'!$B$2:$C$177)</f>
        <v>Scotland</v>
      </c>
      <c r="C71" s="34" t="str">
        <v>Second Row</v>
      </c>
      <c r="D71" s="34" t="str">
        <f t="shared" si="0"/>
        <v>Win</v>
      </c>
      <c r="E71" s="2">
        <v>80</v>
      </c>
      <c r="F71" s="2">
        <v>12</v>
      </c>
      <c r="G71" s="2">
        <v>1</v>
      </c>
      <c r="H71" s="2"/>
      <c r="I71" s="2">
        <v>4</v>
      </c>
      <c r="J71" s="2"/>
      <c r="K71" s="2">
        <v>1</v>
      </c>
      <c r="L71" s="2"/>
      <c r="M71" s="2"/>
      <c r="N71" s="2"/>
      <c r="O71" s="2"/>
      <c r="P71" s="2"/>
      <c r="Q71" s="2"/>
      <c r="R71" s="2"/>
      <c r="S71" s="2"/>
      <c r="T71" s="3">
        <v>34.799999999999997</v>
      </c>
      <c r="U71" s="2"/>
    </row>
    <row r="72" spans="1:21" ht="16" thickBot="1" x14ac:dyDescent="0.25">
      <c r="A72" s="17" t="s">
        <v>51</v>
      </c>
      <c r="B72" s="34" t="str" cm="1">
        <f t="array" ref="B72:C72">_xlfn.XLOOKUP(A72,'Player List'!$A$2:$A$177,'Player List'!$B$2:$C$177)</f>
        <v>Scotland</v>
      </c>
      <c r="C72" s="34" t="str">
        <v>Prop</v>
      </c>
      <c r="D72" s="34" t="str">
        <f t="shared" si="0"/>
        <v>Win</v>
      </c>
      <c r="E72" s="5">
        <v>16</v>
      </c>
      <c r="F72" s="5">
        <v>3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>
        <v>4.5999999999999996</v>
      </c>
      <c r="U72" s="5"/>
    </row>
    <row r="73" spans="1:21" ht="16" thickBot="1" x14ac:dyDescent="0.25">
      <c r="A73" s="18" t="s">
        <v>52</v>
      </c>
      <c r="B73" s="34" t="str" cm="1">
        <f t="array" ref="B73:C73">_xlfn.XLOOKUP(A73,'Player List'!$A$2:$A$177,'Player List'!$B$2:$C$177)</f>
        <v>Scotland</v>
      </c>
      <c r="C73" s="34" t="str">
        <v>Prop</v>
      </c>
      <c r="D73" s="34" t="str">
        <f t="shared" si="0"/>
        <v>Win</v>
      </c>
      <c r="E73" s="2">
        <v>64</v>
      </c>
      <c r="F73" s="2">
        <v>15</v>
      </c>
      <c r="G73" s="2">
        <v>2</v>
      </c>
      <c r="H73" s="2"/>
      <c r="I73" s="2">
        <v>14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3">
        <v>38.200000000000003</v>
      </c>
      <c r="U73" s="2"/>
    </row>
    <row r="74" spans="1:21" ht="16" thickBot="1" x14ac:dyDescent="0.25">
      <c r="A74" s="17" t="s">
        <v>53</v>
      </c>
      <c r="B74" s="34" t="str" cm="1">
        <f t="array" ref="B74:C74">_xlfn.XLOOKUP(A74,'Player List'!$A$2:$A$177,'Player List'!$B$2:$C$177)</f>
        <v>Scotland</v>
      </c>
      <c r="C74" s="34" t="str">
        <v>Prop</v>
      </c>
      <c r="D74" s="34" t="str">
        <f t="shared" si="0"/>
        <v>Win</v>
      </c>
      <c r="E74" s="5">
        <v>16</v>
      </c>
      <c r="F74" s="5">
        <v>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>
        <v>2.6</v>
      </c>
      <c r="U74" s="5"/>
    </row>
    <row r="75" spans="1:21" ht="16" thickBot="1" x14ac:dyDescent="0.25">
      <c r="A75" s="18" t="s">
        <v>54</v>
      </c>
      <c r="B75" s="34" t="str" cm="1">
        <f t="array" ref="B75:C75">_xlfn.XLOOKUP(A75,'Player List'!$A$2:$A$177,'Player List'!$B$2:$C$177)</f>
        <v>Scotland</v>
      </c>
      <c r="C75" s="34" t="str">
        <v>Prop</v>
      </c>
      <c r="D75" s="34" t="str">
        <f t="shared" ref="D75:D138" si="1">_xlfn.XLOOKUP(B75,$B$2:$B$7,$C$2:$C$7)</f>
        <v>Win</v>
      </c>
      <c r="E75" s="2">
        <v>64</v>
      </c>
      <c r="F75" s="2">
        <v>12</v>
      </c>
      <c r="G75" s="2"/>
      <c r="H75" s="2"/>
      <c r="I75" s="2">
        <v>35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3">
        <v>25.4</v>
      </c>
      <c r="U75" s="2"/>
    </row>
    <row r="76" spans="1:21" ht="16" thickBot="1" x14ac:dyDescent="0.25">
      <c r="A76" s="19" t="s">
        <v>55</v>
      </c>
      <c r="B76" s="34" t="str" cm="1">
        <f t="array" ref="B76:C76">_xlfn.XLOOKUP(A76,'Player List'!$A$2:$A$177,'Player List'!$B$2:$C$177)</f>
        <v>Scotland</v>
      </c>
      <c r="C76" s="34" t="str">
        <v>Hooker</v>
      </c>
      <c r="D76" s="34" t="str">
        <f t="shared" si="1"/>
        <v>Win</v>
      </c>
      <c r="E76" s="5">
        <v>27</v>
      </c>
      <c r="F76" s="5">
        <v>3</v>
      </c>
      <c r="G76" s="5"/>
      <c r="H76" s="5"/>
      <c r="I76" s="5">
        <v>14</v>
      </c>
      <c r="J76" s="5"/>
      <c r="K76" s="5"/>
      <c r="L76" s="5">
        <v>1</v>
      </c>
      <c r="M76" s="5"/>
      <c r="N76" s="5"/>
      <c r="O76" s="5"/>
      <c r="P76" s="5"/>
      <c r="Q76" s="5"/>
      <c r="R76" s="5"/>
      <c r="S76" s="5"/>
      <c r="T76" s="6">
        <v>15.5</v>
      </c>
      <c r="U76" s="5"/>
    </row>
    <row r="77" spans="1:21" ht="16" thickBot="1" x14ac:dyDescent="0.25">
      <c r="A77" s="20" t="s">
        <v>56</v>
      </c>
      <c r="B77" s="34" t="str" cm="1">
        <f t="array" ref="B77:C77">_xlfn.XLOOKUP(A77,'Player List'!$A$2:$A$177,'Player List'!$B$2:$C$177)</f>
        <v>Scotland</v>
      </c>
      <c r="C77" s="34" t="str">
        <v>Hooker</v>
      </c>
      <c r="D77" s="34" t="str">
        <f t="shared" si="1"/>
        <v>Win</v>
      </c>
      <c r="E77" s="2">
        <v>48</v>
      </c>
      <c r="F77" s="2">
        <v>5</v>
      </c>
      <c r="G77" s="2"/>
      <c r="H77" s="2"/>
      <c r="I77" s="2">
        <v>37</v>
      </c>
      <c r="J77" s="2"/>
      <c r="K77" s="2"/>
      <c r="L77" s="2"/>
      <c r="M77" s="2">
        <v>1</v>
      </c>
      <c r="N77" s="2"/>
      <c r="O77" s="2"/>
      <c r="P77" s="2"/>
      <c r="Q77" s="2"/>
      <c r="R77" s="2">
        <v>1</v>
      </c>
      <c r="S77" s="2"/>
      <c r="T77" s="3">
        <v>27.2</v>
      </c>
      <c r="U77" s="2"/>
    </row>
    <row r="78" spans="1:21" ht="16" thickBot="1" x14ac:dyDescent="0.25">
      <c r="A78" s="1" t="s">
        <v>57</v>
      </c>
      <c r="B78" s="34" t="str" cm="1">
        <f t="array" ref="B78:C78">_xlfn.XLOOKUP(A78,'Player List'!$A$2:$A$177,'Player List'!$B$2:$C$177)</f>
        <v>Wales</v>
      </c>
      <c r="C78" s="34" t="str">
        <v>Back Three</v>
      </c>
      <c r="D78" s="34" t="str">
        <f t="shared" si="1"/>
        <v>Loss</v>
      </c>
      <c r="E78" s="2">
        <v>59</v>
      </c>
      <c r="F78" s="2">
        <v>5</v>
      </c>
      <c r="G78" s="2">
        <v>1</v>
      </c>
      <c r="H78" s="2"/>
      <c r="I78" s="2">
        <v>21</v>
      </c>
      <c r="J78" s="2"/>
      <c r="K78" s="2"/>
      <c r="L78" s="2">
        <v>1</v>
      </c>
      <c r="M78" s="2"/>
      <c r="N78" s="2"/>
      <c r="O78" s="2"/>
      <c r="P78" s="2"/>
      <c r="Q78" s="2"/>
      <c r="R78" s="2"/>
      <c r="S78" s="2"/>
      <c r="T78" s="3">
        <v>23.2</v>
      </c>
      <c r="U78" s="2"/>
    </row>
    <row r="79" spans="1:21" ht="16" thickBot="1" x14ac:dyDescent="0.25">
      <c r="A79" s="4" t="s">
        <v>58</v>
      </c>
      <c r="B79" s="34" t="str" cm="1">
        <f t="array" ref="B79:C79">_xlfn.XLOOKUP(A79,'Player List'!$A$2:$A$177,'Player List'!$B$2:$C$177)</f>
        <v>Wales</v>
      </c>
      <c r="C79" s="34" t="str">
        <v>Back Three</v>
      </c>
      <c r="D79" s="34" t="str">
        <f t="shared" si="1"/>
        <v>Loss</v>
      </c>
      <c r="E79" s="5">
        <v>28</v>
      </c>
      <c r="F79" s="5">
        <v>1</v>
      </c>
      <c r="G79" s="5"/>
      <c r="H79" s="5"/>
      <c r="I79" s="5">
        <v>47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6">
        <v>10.4</v>
      </c>
      <c r="U79" s="5"/>
    </row>
    <row r="80" spans="1:21" ht="16" thickBot="1" x14ac:dyDescent="0.25">
      <c r="A80" s="1" t="s">
        <v>59</v>
      </c>
      <c r="B80" s="34" t="str" cm="1">
        <f t="array" ref="B80:C80">_xlfn.XLOOKUP(A80,'Player List'!$A$2:$A$177,'Player List'!$B$2:$C$177)</f>
        <v>Wales</v>
      </c>
      <c r="C80" s="34" t="str">
        <v>Back Three</v>
      </c>
      <c r="D80" s="34" t="str">
        <f t="shared" si="1"/>
        <v>Loss</v>
      </c>
      <c r="E80" s="2">
        <v>80</v>
      </c>
      <c r="F80" s="2">
        <v>5</v>
      </c>
      <c r="G80" s="2"/>
      <c r="H80" s="2">
        <v>1</v>
      </c>
      <c r="I80" s="2">
        <v>90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3">
        <v>30</v>
      </c>
      <c r="U80" s="2"/>
    </row>
    <row r="81" spans="1:21" ht="16" thickBot="1" x14ac:dyDescent="0.25">
      <c r="A81" s="4" t="s">
        <v>60</v>
      </c>
      <c r="B81" s="34" t="str" cm="1">
        <f t="array" ref="B81:C81">_xlfn.XLOOKUP(A81,'Player List'!$A$2:$A$177,'Player List'!$B$2:$C$177)</f>
        <v>Wales</v>
      </c>
      <c r="C81" s="34" t="str">
        <v>Back Three</v>
      </c>
      <c r="D81" s="34" t="str">
        <f t="shared" si="1"/>
        <v>Loss</v>
      </c>
      <c r="E81" s="5">
        <v>69</v>
      </c>
      <c r="F81" s="5">
        <v>9</v>
      </c>
      <c r="G81" s="5"/>
      <c r="H81" s="5"/>
      <c r="I81" s="5">
        <v>44</v>
      </c>
      <c r="J81" s="5"/>
      <c r="K81" s="5"/>
      <c r="L81" s="5"/>
      <c r="M81" s="5"/>
      <c r="N81" s="5"/>
      <c r="O81" s="5"/>
      <c r="P81" s="5"/>
      <c r="Q81" s="5"/>
      <c r="R81" s="5">
        <v>1</v>
      </c>
      <c r="S81" s="5"/>
      <c r="T81" s="6">
        <v>12.8</v>
      </c>
      <c r="U81" s="5"/>
    </row>
    <row r="82" spans="1:21" ht="16" thickBot="1" x14ac:dyDescent="0.25">
      <c r="A82" s="7" t="s">
        <v>61</v>
      </c>
      <c r="B82" s="34" t="str" cm="1">
        <f t="array" ref="B82:C82">_xlfn.XLOOKUP(A82,'Player List'!$A$2:$A$177,'Player List'!$B$2:$C$177)</f>
        <v>Wales</v>
      </c>
      <c r="C82" s="34" t="str">
        <v>Centre</v>
      </c>
      <c r="D82" s="34" t="str">
        <f t="shared" si="1"/>
        <v>Loss</v>
      </c>
      <c r="E82" s="2">
        <v>80</v>
      </c>
      <c r="F82" s="2">
        <v>7</v>
      </c>
      <c r="G82" s="2"/>
      <c r="H82" s="2"/>
      <c r="I82" s="2">
        <v>26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3">
        <v>12.2</v>
      </c>
      <c r="U82" s="2"/>
    </row>
    <row r="83" spans="1:21" ht="16" thickBot="1" x14ac:dyDescent="0.25">
      <c r="A83" s="8" t="s">
        <v>62</v>
      </c>
      <c r="B83" s="34" t="str" cm="1">
        <f t="array" ref="B83:C83">_xlfn.XLOOKUP(A83,'Player List'!$A$2:$A$177,'Player List'!$B$2:$C$177)</f>
        <v>Wales</v>
      </c>
      <c r="C83" s="34" t="str">
        <v>Centre</v>
      </c>
      <c r="D83" s="34" t="str">
        <f t="shared" si="1"/>
        <v>Loss</v>
      </c>
      <c r="E83" s="5">
        <v>73</v>
      </c>
      <c r="F83" s="5">
        <v>2</v>
      </c>
      <c r="G83" s="5">
        <v>1</v>
      </c>
      <c r="H83" s="5"/>
      <c r="I83" s="5">
        <v>51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6">
        <v>19.2</v>
      </c>
      <c r="U83" s="5"/>
    </row>
    <row r="84" spans="1:21" ht="16" thickBot="1" x14ac:dyDescent="0.25">
      <c r="A84" s="9" t="s">
        <v>63</v>
      </c>
      <c r="B84" s="34" t="str" cm="1">
        <f t="array" ref="B84:C84">_xlfn.XLOOKUP(A84,'Player List'!$A$2:$A$177,'Player List'!$B$2:$C$177)</f>
        <v>Wales</v>
      </c>
      <c r="C84" s="34" t="str">
        <v>Fly Half</v>
      </c>
      <c r="D84" s="34" t="str">
        <f t="shared" si="1"/>
        <v>Loss</v>
      </c>
      <c r="E84" s="2">
        <v>57</v>
      </c>
      <c r="F84" s="2">
        <v>6</v>
      </c>
      <c r="G84" s="2"/>
      <c r="H84" s="2"/>
      <c r="I84" s="2">
        <v>16</v>
      </c>
      <c r="J84" s="2"/>
      <c r="K84" s="2"/>
      <c r="L84" s="2">
        <v>1</v>
      </c>
      <c r="M84" s="2"/>
      <c r="N84" s="2"/>
      <c r="O84" s="2">
        <v>1</v>
      </c>
      <c r="P84" s="2"/>
      <c r="Q84" s="2"/>
      <c r="R84" s="2"/>
      <c r="S84" s="2"/>
      <c r="T84" s="3">
        <v>18.2</v>
      </c>
      <c r="U84" s="2"/>
    </row>
    <row r="85" spans="1:21" ht="16" thickBot="1" x14ac:dyDescent="0.25">
      <c r="A85" s="10" t="s">
        <v>64</v>
      </c>
      <c r="B85" s="34" t="str" cm="1">
        <f t="array" ref="B85:C85">_xlfn.XLOOKUP(A85,'Player List'!$A$2:$A$177,'Player List'!$B$2:$C$177)</f>
        <v>Wales</v>
      </c>
      <c r="C85" s="34" t="str">
        <v>Fly Half</v>
      </c>
      <c r="D85" s="34" t="str">
        <f t="shared" si="1"/>
        <v>Loss</v>
      </c>
      <c r="E85" s="5">
        <v>23</v>
      </c>
      <c r="F85" s="5">
        <v>1</v>
      </c>
      <c r="G85" s="5"/>
      <c r="H85" s="5"/>
      <c r="I85" s="5">
        <v>18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6">
        <v>4.5999999999999996</v>
      </c>
      <c r="U85" s="5"/>
    </row>
    <row r="86" spans="1:21" ht="16" thickBot="1" x14ac:dyDescent="0.25">
      <c r="A86" s="11" t="s">
        <v>65</v>
      </c>
      <c r="B86" s="34" t="str" cm="1">
        <f t="array" ref="B86:C86">_xlfn.XLOOKUP(A86,'Player List'!$A$2:$A$177,'Player List'!$B$2:$C$177)</f>
        <v>Wales</v>
      </c>
      <c r="C86" s="34" t="str">
        <v>Scrum Half</v>
      </c>
      <c r="D86" s="34" t="str">
        <f t="shared" si="1"/>
        <v>Loss</v>
      </c>
      <c r="E86" s="2">
        <v>23</v>
      </c>
      <c r="F86" s="2">
        <v>2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>
        <v>1</v>
      </c>
      <c r="S86" s="2"/>
      <c r="T86" s="3">
        <v>-3</v>
      </c>
      <c r="U86" s="2"/>
    </row>
    <row r="87" spans="1:21" ht="16" thickBot="1" x14ac:dyDescent="0.25">
      <c r="A87" s="12" t="s">
        <v>66</v>
      </c>
      <c r="B87" s="34" t="str" cm="1">
        <f t="array" ref="B87:C87">_xlfn.XLOOKUP(A87,'Player List'!$A$2:$A$177,'Player List'!$B$2:$C$177)</f>
        <v>Wales</v>
      </c>
      <c r="C87" s="34" t="str">
        <v>Scrum Half</v>
      </c>
      <c r="D87" s="34" t="str">
        <f t="shared" si="1"/>
        <v>Loss</v>
      </c>
      <c r="E87" s="5">
        <v>57</v>
      </c>
      <c r="F87" s="5">
        <v>4</v>
      </c>
      <c r="G87" s="5">
        <v>1</v>
      </c>
      <c r="H87" s="5"/>
      <c r="I87" s="5">
        <v>13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6">
        <v>13.6</v>
      </c>
      <c r="U87" s="5"/>
    </row>
    <row r="88" spans="1:21" ht="16" thickBot="1" x14ac:dyDescent="0.25">
      <c r="A88" s="13" t="s">
        <v>67</v>
      </c>
      <c r="B88" s="34" t="str" cm="1">
        <f t="array" ref="B88:C88">_xlfn.XLOOKUP(A88,'Player List'!$A$2:$A$177,'Player List'!$B$2:$C$177)</f>
        <v>Wales</v>
      </c>
      <c r="C88" s="34" t="str">
        <v>Back Row</v>
      </c>
      <c r="D88" s="34" t="str">
        <f t="shared" si="1"/>
        <v>Loss</v>
      </c>
      <c r="E88" s="2">
        <v>28</v>
      </c>
      <c r="F88" s="2">
        <v>8</v>
      </c>
      <c r="G88" s="2"/>
      <c r="H88" s="2"/>
      <c r="I88" s="2">
        <v>25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3">
        <v>13</v>
      </c>
      <c r="U88" s="2"/>
    </row>
    <row r="89" spans="1:21" ht="16" thickBot="1" x14ac:dyDescent="0.25">
      <c r="A89" s="14" t="s">
        <v>68</v>
      </c>
      <c r="B89" s="34" t="str" cm="1">
        <f t="array" ref="B89:C89">_xlfn.XLOOKUP(A89,'Player List'!$A$2:$A$177,'Player List'!$B$2:$C$177)</f>
        <v>Wales</v>
      </c>
      <c r="C89" s="34" t="str">
        <v>Back Row</v>
      </c>
      <c r="D89" s="34" t="str">
        <f t="shared" si="1"/>
        <v>Loss</v>
      </c>
      <c r="E89" s="5">
        <v>52</v>
      </c>
      <c r="F89" s="5">
        <v>11</v>
      </c>
      <c r="G89" s="5"/>
      <c r="H89" s="5"/>
      <c r="I89" s="5">
        <v>32</v>
      </c>
      <c r="J89" s="5"/>
      <c r="K89" s="5"/>
      <c r="L89" s="5">
        <v>2</v>
      </c>
      <c r="M89" s="5"/>
      <c r="N89" s="5"/>
      <c r="O89" s="5"/>
      <c r="P89" s="5"/>
      <c r="Q89" s="5"/>
      <c r="R89" s="5"/>
      <c r="S89" s="5"/>
      <c r="T89" s="6">
        <v>31.4</v>
      </c>
      <c r="U89" s="5"/>
    </row>
    <row r="90" spans="1:21" ht="16" thickBot="1" x14ac:dyDescent="0.25">
      <c r="A90" s="13" t="s">
        <v>69</v>
      </c>
      <c r="B90" s="34" t="str" cm="1">
        <f t="array" ref="B90:C90">_xlfn.XLOOKUP(A90,'Player List'!$A$2:$A$177,'Player List'!$B$2:$C$177)</f>
        <v>Wales</v>
      </c>
      <c r="C90" s="34" t="str">
        <v>Back Row</v>
      </c>
      <c r="D90" s="34" t="str">
        <f t="shared" si="1"/>
        <v>Loss</v>
      </c>
      <c r="E90" s="2">
        <v>80</v>
      </c>
      <c r="F90" s="2">
        <v>13</v>
      </c>
      <c r="G90" s="2">
        <v>1</v>
      </c>
      <c r="H90" s="2"/>
      <c r="I90" s="2">
        <v>20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3">
        <v>24</v>
      </c>
      <c r="U90" s="2"/>
    </row>
    <row r="91" spans="1:21" ht="16" thickBot="1" x14ac:dyDescent="0.25">
      <c r="A91" s="16" t="s">
        <v>70</v>
      </c>
      <c r="B91" s="34" t="str" cm="1">
        <f t="array" ref="B91:C91">_xlfn.XLOOKUP(A91,'Player List'!$A$2:$A$177,'Player List'!$B$2:$C$177)</f>
        <v>Wales</v>
      </c>
      <c r="C91" s="34" t="str">
        <v>Second Row</v>
      </c>
      <c r="D91" s="34" t="str">
        <f t="shared" si="1"/>
        <v>Loss</v>
      </c>
      <c r="E91" s="5">
        <v>80</v>
      </c>
      <c r="F91" s="5">
        <v>7</v>
      </c>
      <c r="G91" s="5"/>
      <c r="H91" s="5"/>
      <c r="I91" s="5">
        <v>22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6">
        <v>11.4</v>
      </c>
      <c r="U91" s="5"/>
    </row>
    <row r="92" spans="1:21" ht="16" thickBot="1" x14ac:dyDescent="0.25">
      <c r="A92" s="15" t="s">
        <v>71</v>
      </c>
      <c r="B92" s="34" t="str" cm="1">
        <f t="array" ref="B92:C92">_xlfn.XLOOKUP(A92,'Player List'!$A$2:$A$177,'Player List'!$B$2:$C$177)</f>
        <v>Wales</v>
      </c>
      <c r="C92" s="34" t="str">
        <v>Second Row</v>
      </c>
      <c r="D92" s="34" t="str">
        <f t="shared" si="1"/>
        <v>Loss</v>
      </c>
      <c r="E92" s="2">
        <v>14</v>
      </c>
      <c r="F92" s="2">
        <v>1</v>
      </c>
      <c r="G92" s="2"/>
      <c r="H92" s="2"/>
      <c r="I92" s="2">
        <v>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3">
        <v>1.2</v>
      </c>
      <c r="U92" s="2"/>
    </row>
    <row r="93" spans="1:21" ht="16" thickBot="1" x14ac:dyDescent="0.25">
      <c r="A93" s="16" t="s">
        <v>72</v>
      </c>
      <c r="B93" s="34" t="str" cm="1">
        <f t="array" ref="B93:C93">_xlfn.XLOOKUP(A93,'Player List'!$A$2:$A$177,'Player List'!$B$2:$C$177)</f>
        <v>Wales</v>
      </c>
      <c r="C93" s="34" t="str">
        <v>Second Row</v>
      </c>
      <c r="D93" s="34" t="str">
        <f t="shared" si="1"/>
        <v>Loss</v>
      </c>
      <c r="E93" s="5">
        <v>66</v>
      </c>
      <c r="F93" s="5">
        <v>8</v>
      </c>
      <c r="G93" s="5"/>
      <c r="H93" s="5"/>
      <c r="I93" s="5">
        <v>30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6">
        <v>14</v>
      </c>
      <c r="U93" s="5"/>
    </row>
    <row r="94" spans="1:21" ht="16" thickBot="1" x14ac:dyDescent="0.25">
      <c r="A94" s="15" t="s">
        <v>73</v>
      </c>
      <c r="B94" s="34" t="str" cm="1">
        <f t="array" ref="B94:C94">_xlfn.XLOOKUP(A94,'Player List'!$A$2:$A$177,'Player List'!$B$2:$C$177)</f>
        <v>Wales</v>
      </c>
      <c r="C94" s="34" t="str">
        <v>Second Row</v>
      </c>
      <c r="D94" s="34" t="str">
        <f t="shared" si="1"/>
        <v>Loss</v>
      </c>
      <c r="E94" s="2">
        <v>80</v>
      </c>
      <c r="F94" s="2">
        <v>7</v>
      </c>
      <c r="G94" s="2"/>
      <c r="H94" s="2"/>
      <c r="I94" s="2">
        <v>50</v>
      </c>
      <c r="J94" s="2"/>
      <c r="K94" s="2">
        <v>1</v>
      </c>
      <c r="L94" s="2"/>
      <c r="M94" s="2"/>
      <c r="N94" s="2"/>
      <c r="O94" s="2"/>
      <c r="P94" s="2"/>
      <c r="Q94" s="2"/>
      <c r="R94" s="2"/>
      <c r="S94" s="2"/>
      <c r="T94" s="3">
        <v>24</v>
      </c>
      <c r="U94" s="2"/>
    </row>
    <row r="95" spans="1:21" ht="16" thickBot="1" x14ac:dyDescent="0.25">
      <c r="A95" s="17" t="s">
        <v>74</v>
      </c>
      <c r="B95" s="34" t="str" cm="1">
        <f t="array" ref="B95:C95">_xlfn.XLOOKUP(A95,'Player List'!$A$2:$A$177,'Player List'!$B$2:$C$177)</f>
        <v>Wales</v>
      </c>
      <c r="C95" s="34" t="str">
        <v>Prop</v>
      </c>
      <c r="D95" s="34" t="str">
        <f t="shared" si="1"/>
        <v>Loss</v>
      </c>
      <c r="E95" s="5">
        <v>16</v>
      </c>
      <c r="F95" s="5">
        <v>1</v>
      </c>
      <c r="G95" s="5">
        <v>1</v>
      </c>
      <c r="H95" s="5"/>
      <c r="I95" s="5">
        <v>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6">
        <v>9.6</v>
      </c>
      <c r="U95" s="5"/>
    </row>
    <row r="96" spans="1:21" ht="16" thickBot="1" x14ac:dyDescent="0.25">
      <c r="A96" s="18" t="s">
        <v>75</v>
      </c>
      <c r="B96" s="34" t="str" cm="1">
        <f t="array" ref="B96:C96">_xlfn.XLOOKUP(A96,'Player List'!$A$2:$A$177,'Player List'!$B$2:$C$177)</f>
        <v>Wales</v>
      </c>
      <c r="C96" s="34" t="str">
        <v>Prop</v>
      </c>
      <c r="D96" s="34" t="str">
        <f t="shared" si="1"/>
        <v>Loss</v>
      </c>
      <c r="E96" s="2">
        <v>28</v>
      </c>
      <c r="F96" s="2">
        <v>2</v>
      </c>
      <c r="G96" s="2"/>
      <c r="H96" s="2"/>
      <c r="I96" s="2">
        <v>23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3">
        <v>6.6</v>
      </c>
      <c r="U96" s="2"/>
    </row>
    <row r="97" spans="1:21" ht="16" thickBot="1" x14ac:dyDescent="0.25">
      <c r="A97" s="17" t="s">
        <v>76</v>
      </c>
      <c r="B97" s="34" t="str" cm="1">
        <f t="array" ref="B97:C97">_xlfn.XLOOKUP(A97,'Player List'!$A$2:$A$177,'Player List'!$B$2:$C$177)</f>
        <v>Wales</v>
      </c>
      <c r="C97" s="34" t="str">
        <v>Prop</v>
      </c>
      <c r="D97" s="34" t="str">
        <f t="shared" si="1"/>
        <v>Loss</v>
      </c>
      <c r="E97" s="5">
        <v>52</v>
      </c>
      <c r="F97" s="5">
        <v>4</v>
      </c>
      <c r="G97" s="5">
        <v>1</v>
      </c>
      <c r="H97" s="5"/>
      <c r="I97" s="5">
        <v>19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6">
        <v>14.8</v>
      </c>
      <c r="U97" s="5"/>
    </row>
    <row r="98" spans="1:21" ht="16" thickBot="1" x14ac:dyDescent="0.25">
      <c r="A98" s="18" t="s">
        <v>77</v>
      </c>
      <c r="B98" s="34" t="str" cm="1">
        <f t="array" ref="B98:C98">_xlfn.XLOOKUP(A98,'Player List'!$A$2:$A$177,'Player List'!$B$2:$C$177)</f>
        <v>Wales</v>
      </c>
      <c r="C98" s="34" t="str">
        <v>Prop</v>
      </c>
      <c r="D98" s="34" t="str">
        <f t="shared" si="1"/>
        <v>Loss</v>
      </c>
      <c r="E98" s="2">
        <v>64</v>
      </c>
      <c r="F98" s="2">
        <v>8</v>
      </c>
      <c r="G98" s="2"/>
      <c r="H98" s="2"/>
      <c r="I98" s="2">
        <v>22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3">
        <v>12.4</v>
      </c>
      <c r="U98" s="2"/>
    </row>
    <row r="99" spans="1:21" ht="16" thickBot="1" x14ac:dyDescent="0.25">
      <c r="A99" s="19" t="s">
        <v>78</v>
      </c>
      <c r="B99" s="34" t="str" cm="1">
        <f t="array" ref="B99:C99">_xlfn.XLOOKUP(A99,'Player List'!$A$2:$A$177,'Player List'!$B$2:$C$177)</f>
        <v>Wales</v>
      </c>
      <c r="C99" s="34" t="str">
        <v>Hooker</v>
      </c>
      <c r="D99" s="34" t="str">
        <f t="shared" si="1"/>
        <v>Loss</v>
      </c>
      <c r="E99" s="5">
        <v>16</v>
      </c>
      <c r="F99" s="5">
        <v>4</v>
      </c>
      <c r="G99" s="5"/>
      <c r="H99" s="5"/>
      <c r="I99" s="5">
        <v>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6">
        <v>5.6</v>
      </c>
      <c r="U99" s="5"/>
    </row>
    <row r="100" spans="1:21" ht="16" thickBot="1" x14ac:dyDescent="0.25">
      <c r="A100" s="20" t="s">
        <v>79</v>
      </c>
      <c r="B100" s="34" t="str" cm="1">
        <f t="array" ref="B100:C100">_xlfn.XLOOKUP(A100,'Player List'!$A$2:$A$177,'Player List'!$B$2:$C$177)</f>
        <v>Wales</v>
      </c>
      <c r="C100" s="34" t="str">
        <v>Hooker</v>
      </c>
      <c r="D100" s="34" t="str">
        <f t="shared" si="1"/>
        <v>Loss</v>
      </c>
      <c r="E100" s="2">
        <v>64</v>
      </c>
      <c r="F100" s="2">
        <v>9</v>
      </c>
      <c r="G100" s="2">
        <v>1</v>
      </c>
      <c r="H100" s="2"/>
      <c r="I100" s="2">
        <v>35</v>
      </c>
      <c r="J100" s="2"/>
      <c r="K100" s="2"/>
      <c r="L100" s="2"/>
      <c r="M100" s="2">
        <v>1</v>
      </c>
      <c r="N100" s="2"/>
      <c r="O100" s="2"/>
      <c r="P100" s="2"/>
      <c r="Q100" s="2"/>
      <c r="R100" s="2"/>
      <c r="S100" s="2"/>
      <c r="T100" s="3">
        <v>38</v>
      </c>
      <c r="U100" s="2"/>
    </row>
    <row r="101" spans="1:21" ht="16" thickBot="1" x14ac:dyDescent="0.25">
      <c r="A101" s="1" t="s">
        <v>80</v>
      </c>
      <c r="B101" s="34" t="str" cm="1">
        <f t="array" ref="B101:C101">_xlfn.XLOOKUP(A101,'Player List'!$A$2:$A$177,'Player List'!$B$2:$C$177)</f>
        <v>England</v>
      </c>
      <c r="C101" s="34" t="str">
        <v>Back Three</v>
      </c>
      <c r="D101" s="34" t="str">
        <f t="shared" si="1"/>
        <v>Win</v>
      </c>
      <c r="E101" s="2">
        <v>26</v>
      </c>
      <c r="F101" s="2">
        <v>1</v>
      </c>
      <c r="G101" s="2"/>
      <c r="H101" s="2"/>
      <c r="I101" s="2">
        <v>12</v>
      </c>
      <c r="J101" s="2"/>
      <c r="K101" s="2"/>
      <c r="L101" s="2"/>
      <c r="M101" s="2">
        <v>1</v>
      </c>
      <c r="N101" s="2"/>
      <c r="O101" s="2"/>
      <c r="P101" s="2"/>
      <c r="Q101" s="2"/>
      <c r="R101" s="2"/>
      <c r="S101" s="2"/>
      <c r="T101" s="3">
        <v>21</v>
      </c>
      <c r="U101" s="2"/>
    </row>
    <row r="102" spans="1:21" ht="16" thickBot="1" x14ac:dyDescent="0.25">
      <c r="A102" s="4" t="s">
        <v>81</v>
      </c>
      <c r="B102" s="34" t="str" cm="1">
        <f t="array" ref="B102:C102">_xlfn.XLOOKUP(A102,'Player List'!$A$2:$A$177,'Player List'!$B$2:$C$177)</f>
        <v>England</v>
      </c>
      <c r="C102" s="34" t="str">
        <v>Back Three</v>
      </c>
      <c r="D102" s="34" t="str">
        <f t="shared" si="1"/>
        <v>Win</v>
      </c>
      <c r="E102" s="5">
        <v>54</v>
      </c>
      <c r="F102" s="5">
        <v>4</v>
      </c>
      <c r="G102" s="5"/>
      <c r="H102" s="5"/>
      <c r="I102" s="5">
        <v>17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>
        <v>12.8</v>
      </c>
      <c r="U102" s="5"/>
    </row>
    <row r="103" spans="1:21" ht="16" thickBot="1" x14ac:dyDescent="0.25">
      <c r="A103" s="1" t="s">
        <v>82</v>
      </c>
      <c r="B103" s="34" t="str" cm="1">
        <f t="array" ref="B103:C103">_xlfn.XLOOKUP(A103,'Player List'!$A$2:$A$177,'Player List'!$B$2:$C$177)</f>
        <v>England</v>
      </c>
      <c r="C103" s="34" t="str">
        <v>Back Three</v>
      </c>
      <c r="D103" s="34" t="str">
        <f t="shared" si="1"/>
        <v>Win</v>
      </c>
      <c r="E103" s="2">
        <v>80</v>
      </c>
      <c r="F103" s="2">
        <v>8</v>
      </c>
      <c r="G103" s="2"/>
      <c r="H103" s="2">
        <v>1</v>
      </c>
      <c r="I103" s="2">
        <v>58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>
        <v>34.6</v>
      </c>
      <c r="U103" s="2"/>
    </row>
    <row r="104" spans="1:21" ht="16" thickBot="1" x14ac:dyDescent="0.25">
      <c r="A104" s="4" t="s">
        <v>83</v>
      </c>
      <c r="B104" s="34" t="str" cm="1">
        <f t="array" ref="B104:C104">_xlfn.XLOOKUP(A104,'Player List'!$A$2:$A$177,'Player List'!$B$2:$C$177)</f>
        <v>England</v>
      </c>
      <c r="C104" s="34" t="str">
        <v>Back Three</v>
      </c>
      <c r="D104" s="34" t="str">
        <f t="shared" si="1"/>
        <v>Win</v>
      </c>
      <c r="E104" s="5">
        <v>80</v>
      </c>
      <c r="F104" s="5">
        <v>3</v>
      </c>
      <c r="G104" s="5"/>
      <c r="H104" s="5"/>
      <c r="I104" s="5">
        <v>40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>
        <v>19</v>
      </c>
      <c r="U104" s="5"/>
    </row>
    <row r="105" spans="1:21" ht="16" thickBot="1" x14ac:dyDescent="0.25">
      <c r="A105" s="7" t="s">
        <v>84</v>
      </c>
      <c r="B105" s="34" t="str" cm="1">
        <f t="array" ref="B105:C105">_xlfn.XLOOKUP(A105,'Player List'!$A$2:$A$177,'Player List'!$B$2:$C$177)</f>
        <v>England</v>
      </c>
      <c r="C105" s="34" t="str">
        <v>Centre</v>
      </c>
      <c r="D105" s="34" t="str">
        <f t="shared" si="1"/>
        <v>Win</v>
      </c>
      <c r="E105" s="2">
        <v>80</v>
      </c>
      <c r="F105" s="2">
        <v>12</v>
      </c>
      <c r="G105" s="2"/>
      <c r="H105" s="2"/>
      <c r="I105" s="2">
        <v>19</v>
      </c>
      <c r="J105" s="2"/>
      <c r="K105" s="2"/>
      <c r="L105" s="2"/>
      <c r="M105" s="2"/>
      <c r="N105" s="2"/>
      <c r="O105" s="2">
        <v>2</v>
      </c>
      <c r="P105" s="2"/>
      <c r="Q105" s="2"/>
      <c r="R105" s="2"/>
      <c r="S105" s="2"/>
      <c r="T105" s="3">
        <v>27.8</v>
      </c>
      <c r="U105" s="2"/>
    </row>
    <row r="106" spans="1:21" ht="16" thickBot="1" x14ac:dyDescent="0.25">
      <c r="A106" s="8" t="s">
        <v>85</v>
      </c>
      <c r="B106" s="34" t="str" cm="1">
        <f t="array" ref="B106:C106">_xlfn.XLOOKUP(A106,'Player List'!$A$2:$A$177,'Player List'!$B$2:$C$177)</f>
        <v>England</v>
      </c>
      <c r="C106" s="34" t="str">
        <v>Centre</v>
      </c>
      <c r="D106" s="34" t="str">
        <f t="shared" si="1"/>
        <v>Win</v>
      </c>
      <c r="E106" s="5">
        <v>80</v>
      </c>
      <c r="F106" s="5">
        <v>8</v>
      </c>
      <c r="G106" s="5"/>
      <c r="H106" s="5">
        <v>1</v>
      </c>
      <c r="I106" s="5">
        <v>83</v>
      </c>
      <c r="J106" s="5"/>
      <c r="K106" s="5"/>
      <c r="L106" s="5">
        <v>1</v>
      </c>
      <c r="M106" s="5"/>
      <c r="N106" s="5"/>
      <c r="O106" s="5"/>
      <c r="P106" s="5"/>
      <c r="Q106" s="5"/>
      <c r="R106" s="5"/>
      <c r="S106" s="5"/>
      <c r="T106" s="6">
        <v>61.6</v>
      </c>
      <c r="U106" s="5">
        <v>1</v>
      </c>
    </row>
    <row r="107" spans="1:21" ht="16" thickBot="1" x14ac:dyDescent="0.25">
      <c r="A107" s="7" t="s">
        <v>86</v>
      </c>
      <c r="B107" s="34" t="str" cm="1">
        <f t="array" ref="B107:C107">_xlfn.XLOOKUP(A107,'Player List'!$A$2:$A$177,'Player List'!$B$2:$C$177)</f>
        <v>England</v>
      </c>
      <c r="C107" s="34" t="str">
        <v>Centre</v>
      </c>
      <c r="D107" s="34" t="str">
        <f t="shared" si="1"/>
        <v>Win</v>
      </c>
      <c r="E107" s="2">
        <v>72</v>
      </c>
      <c r="F107" s="2">
        <v>4</v>
      </c>
      <c r="G107" s="2"/>
      <c r="H107" s="2"/>
      <c r="I107" s="2">
        <v>7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>
        <v>12.6</v>
      </c>
      <c r="U107" s="2"/>
    </row>
    <row r="108" spans="1:21" ht="16" thickBot="1" x14ac:dyDescent="0.25">
      <c r="A108" s="10" t="s">
        <v>87</v>
      </c>
      <c r="B108" s="34" t="str" cm="1">
        <f t="array" ref="B108:C108">_xlfn.XLOOKUP(A108,'Player List'!$A$2:$A$177,'Player List'!$B$2:$C$177)</f>
        <v>England</v>
      </c>
      <c r="C108" s="34" t="str">
        <v>Fly Half</v>
      </c>
      <c r="D108" s="34" t="str">
        <f t="shared" si="1"/>
        <v>Win</v>
      </c>
      <c r="E108" s="5">
        <v>8</v>
      </c>
      <c r="F108" s="5">
        <v>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>
        <v>4.8</v>
      </c>
      <c r="U108" s="5"/>
    </row>
    <row r="109" spans="1:21" ht="16" thickBot="1" x14ac:dyDescent="0.25">
      <c r="A109" s="11" t="s">
        <v>88</v>
      </c>
      <c r="B109" s="34" t="str" cm="1">
        <f t="array" ref="B109:C109">_xlfn.XLOOKUP(A109,'Player List'!$A$2:$A$177,'Player List'!$B$2:$C$177)</f>
        <v>England</v>
      </c>
      <c r="C109" s="34" t="str">
        <v>Scrum Half</v>
      </c>
      <c r="D109" s="34" t="str">
        <f t="shared" si="1"/>
        <v>Win</v>
      </c>
      <c r="E109" s="2">
        <v>20</v>
      </c>
      <c r="F109" s="2">
        <v>5</v>
      </c>
      <c r="G109" s="2"/>
      <c r="H109" s="2"/>
      <c r="I109" s="2">
        <v>1</v>
      </c>
      <c r="J109" s="2"/>
      <c r="K109" s="2"/>
      <c r="L109" s="2"/>
      <c r="M109" s="2"/>
      <c r="N109" s="2">
        <v>1</v>
      </c>
      <c r="O109" s="2"/>
      <c r="P109" s="2"/>
      <c r="Q109" s="2"/>
      <c r="R109" s="2"/>
      <c r="S109" s="2"/>
      <c r="T109" s="3">
        <v>14.2</v>
      </c>
      <c r="U109" s="2"/>
    </row>
    <row r="110" spans="1:21" ht="16" thickBot="1" x14ac:dyDescent="0.25">
      <c r="A110" s="12" t="s">
        <v>89</v>
      </c>
      <c r="B110" s="34" t="str" cm="1">
        <f t="array" ref="B110:C110">_xlfn.XLOOKUP(A110,'Player List'!$A$2:$A$177,'Player List'!$B$2:$C$177)</f>
        <v>England</v>
      </c>
      <c r="C110" s="34" t="str">
        <v>Scrum Half</v>
      </c>
      <c r="D110" s="34" t="str">
        <f t="shared" si="1"/>
        <v>Win</v>
      </c>
      <c r="E110" s="5">
        <v>60</v>
      </c>
      <c r="F110" s="5">
        <v>1</v>
      </c>
      <c r="G110" s="5"/>
      <c r="H110" s="5">
        <v>1</v>
      </c>
      <c r="I110" s="5">
        <v>39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>
        <v>21.8</v>
      </c>
      <c r="U110" s="5"/>
    </row>
    <row r="111" spans="1:21" ht="16" thickBot="1" x14ac:dyDescent="0.25">
      <c r="A111" s="13" t="s">
        <v>90</v>
      </c>
      <c r="B111" s="34" t="str" cm="1">
        <f t="array" ref="B111:C111">_xlfn.XLOOKUP(A111,'Player List'!$A$2:$A$177,'Player List'!$B$2:$C$177)</f>
        <v>England</v>
      </c>
      <c r="C111" s="34" t="str">
        <v>Back Row</v>
      </c>
      <c r="D111" s="34" t="str">
        <f t="shared" si="1"/>
        <v>Win</v>
      </c>
      <c r="E111" s="2">
        <v>65</v>
      </c>
      <c r="F111" s="2">
        <v>9</v>
      </c>
      <c r="G111" s="2"/>
      <c r="H111" s="2"/>
      <c r="I111" s="2">
        <v>70</v>
      </c>
      <c r="J111" s="2"/>
      <c r="K111" s="2"/>
      <c r="L111" s="2">
        <v>2</v>
      </c>
      <c r="M111" s="2"/>
      <c r="N111" s="2"/>
      <c r="O111" s="2"/>
      <c r="P111" s="2"/>
      <c r="Q111" s="2"/>
      <c r="R111" s="2"/>
      <c r="S111" s="2"/>
      <c r="T111" s="3">
        <v>43.5</v>
      </c>
      <c r="U111" s="2"/>
    </row>
    <row r="112" spans="1:21" ht="16" thickBot="1" x14ac:dyDescent="0.25">
      <c r="A112" s="14" t="s">
        <v>91</v>
      </c>
      <c r="B112" s="34" t="str" cm="1">
        <f t="array" ref="B112:C112">_xlfn.XLOOKUP(A112,'Player List'!$A$2:$A$177,'Player List'!$B$2:$C$177)</f>
        <v>England</v>
      </c>
      <c r="C112" s="34" t="str">
        <v>Back Row</v>
      </c>
      <c r="D112" s="34" t="str">
        <f t="shared" si="1"/>
        <v>Win</v>
      </c>
      <c r="E112" s="5">
        <v>27</v>
      </c>
      <c r="F112" s="5">
        <v>6</v>
      </c>
      <c r="G112" s="5"/>
      <c r="H112" s="5"/>
      <c r="I112" s="5">
        <v>10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>
        <v>10.7</v>
      </c>
      <c r="U112" s="5"/>
    </row>
    <row r="113" spans="1:21" ht="16" thickBot="1" x14ac:dyDescent="0.25">
      <c r="A113" s="13" t="s">
        <v>92</v>
      </c>
      <c r="B113" s="34" t="str" cm="1">
        <f t="array" ref="B113:C113">_xlfn.XLOOKUP(A113,'Player List'!$A$2:$A$177,'Player List'!$B$2:$C$177)</f>
        <v>England</v>
      </c>
      <c r="C113" s="34" t="str">
        <v>Back Row</v>
      </c>
      <c r="D113" s="34" t="str">
        <f t="shared" si="1"/>
        <v>Win</v>
      </c>
      <c r="E113" s="2">
        <v>80</v>
      </c>
      <c r="F113" s="2">
        <v>19</v>
      </c>
      <c r="G113" s="2">
        <v>3</v>
      </c>
      <c r="H113" s="2"/>
      <c r="I113" s="2">
        <v>25</v>
      </c>
      <c r="J113" s="2"/>
      <c r="K113" s="2"/>
      <c r="L113" s="2">
        <v>1</v>
      </c>
      <c r="M113" s="2"/>
      <c r="N113" s="2"/>
      <c r="O113" s="2"/>
      <c r="P113" s="2"/>
      <c r="Q113" s="2"/>
      <c r="R113" s="2"/>
      <c r="S113" s="2"/>
      <c r="T113" s="3">
        <v>60</v>
      </c>
      <c r="U113" s="2"/>
    </row>
    <row r="114" spans="1:21" ht="16" thickBot="1" x14ac:dyDescent="0.25">
      <c r="A114" s="14" t="s">
        <v>93</v>
      </c>
      <c r="B114" s="34" t="str" cm="1">
        <f t="array" ref="B114:C114">_xlfn.XLOOKUP(A114,'Player List'!$A$2:$A$177,'Player List'!$B$2:$C$177)</f>
        <v>England</v>
      </c>
      <c r="C114" s="34" t="str">
        <v>Back Row</v>
      </c>
      <c r="D114" s="34" t="str">
        <f t="shared" si="1"/>
        <v>Win</v>
      </c>
      <c r="E114" s="5">
        <v>53</v>
      </c>
      <c r="F114" s="5">
        <v>20</v>
      </c>
      <c r="G114" s="5">
        <v>1</v>
      </c>
      <c r="H114" s="5">
        <v>1</v>
      </c>
      <c r="I114" s="5">
        <v>27</v>
      </c>
      <c r="J114" s="5"/>
      <c r="K114" s="5"/>
      <c r="L114" s="5">
        <v>1</v>
      </c>
      <c r="M114" s="5">
        <v>1</v>
      </c>
      <c r="N114" s="5"/>
      <c r="O114" s="5"/>
      <c r="P114" s="5"/>
      <c r="Q114" s="5"/>
      <c r="R114" s="5"/>
      <c r="S114" s="5"/>
      <c r="T114" s="6">
        <v>66.7</v>
      </c>
      <c r="U114" s="5"/>
    </row>
    <row r="115" spans="1:21" ht="16" thickBot="1" x14ac:dyDescent="0.25">
      <c r="A115" s="15" t="s">
        <v>94</v>
      </c>
      <c r="B115" s="34" t="str" cm="1">
        <f t="array" ref="B115:C115">_xlfn.XLOOKUP(A115,'Player List'!$A$2:$A$177,'Player List'!$B$2:$C$177)</f>
        <v>England</v>
      </c>
      <c r="C115" s="34" t="str">
        <v>Second Row</v>
      </c>
      <c r="D115" s="34" t="str">
        <f t="shared" si="1"/>
        <v>Win</v>
      </c>
      <c r="E115" s="2">
        <v>80</v>
      </c>
      <c r="F115" s="2">
        <v>8</v>
      </c>
      <c r="G115" s="2">
        <v>1</v>
      </c>
      <c r="H115" s="2"/>
      <c r="I115" s="2">
        <v>37</v>
      </c>
      <c r="J115" s="2"/>
      <c r="K115" s="2"/>
      <c r="L115" s="2"/>
      <c r="M115" s="2">
        <v>1</v>
      </c>
      <c r="N115" s="2"/>
      <c r="O115" s="2"/>
      <c r="P115" s="2"/>
      <c r="Q115" s="2"/>
      <c r="R115" s="2"/>
      <c r="S115" s="2"/>
      <c r="T115" s="3">
        <v>45.4</v>
      </c>
      <c r="U115" s="2"/>
    </row>
    <row r="116" spans="1:21" ht="16" thickBot="1" x14ac:dyDescent="0.25">
      <c r="A116" s="16" t="s">
        <v>95</v>
      </c>
      <c r="B116" s="34" t="str" cm="1">
        <f t="array" ref="B116:C116">_xlfn.XLOOKUP(A116,'Player List'!$A$2:$A$177,'Player List'!$B$2:$C$177)</f>
        <v>England</v>
      </c>
      <c r="C116" s="34" t="str">
        <v>Second Row</v>
      </c>
      <c r="D116" s="34" t="str">
        <f t="shared" si="1"/>
        <v>Win</v>
      </c>
      <c r="E116" s="5">
        <v>15</v>
      </c>
      <c r="F116" s="5">
        <v>3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>
        <v>4.5</v>
      </c>
      <c r="U116" s="5"/>
    </row>
    <row r="117" spans="1:21" ht="16" thickBot="1" x14ac:dyDescent="0.25">
      <c r="A117" s="15" t="s">
        <v>96</v>
      </c>
      <c r="B117" s="34" t="str" cm="1">
        <f t="array" ref="B117:C117">_xlfn.XLOOKUP(A117,'Player List'!$A$2:$A$177,'Player List'!$B$2:$C$177)</f>
        <v>England</v>
      </c>
      <c r="C117" s="34" t="str">
        <v>Second Row</v>
      </c>
      <c r="D117" s="34" t="str">
        <f t="shared" si="1"/>
        <v>Win</v>
      </c>
      <c r="E117" s="2">
        <v>80</v>
      </c>
      <c r="F117" s="2">
        <v>16</v>
      </c>
      <c r="G117" s="2">
        <v>1</v>
      </c>
      <c r="H117" s="2"/>
      <c r="I117" s="2">
        <v>20</v>
      </c>
      <c r="J117" s="2"/>
      <c r="K117" s="2"/>
      <c r="L117" s="2">
        <v>1</v>
      </c>
      <c r="M117" s="2"/>
      <c r="N117" s="2"/>
      <c r="O117" s="2"/>
      <c r="P117" s="2"/>
      <c r="Q117" s="2"/>
      <c r="R117" s="2"/>
      <c r="S117" s="2"/>
      <c r="T117" s="3">
        <v>42</v>
      </c>
      <c r="U117" s="2"/>
    </row>
    <row r="118" spans="1:21" ht="16" thickBot="1" x14ac:dyDescent="0.25">
      <c r="A118" s="17" t="s">
        <v>97</v>
      </c>
      <c r="B118" s="34" t="str" cm="1">
        <f t="array" ref="B118:C118">_xlfn.XLOOKUP(A118,'Player List'!$A$2:$A$177,'Player List'!$B$2:$C$177)</f>
        <v>England</v>
      </c>
      <c r="C118" s="34" t="str">
        <v>Prop</v>
      </c>
      <c r="D118" s="34" t="str">
        <f t="shared" si="1"/>
        <v>Win</v>
      </c>
      <c r="E118" s="5">
        <v>31</v>
      </c>
      <c r="F118" s="5">
        <v>2</v>
      </c>
      <c r="G118" s="5"/>
      <c r="H118" s="5"/>
      <c r="I118" s="5">
        <v>8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>
        <v>6.7</v>
      </c>
      <c r="U118" s="5"/>
    </row>
    <row r="119" spans="1:21" ht="16" thickBot="1" x14ac:dyDescent="0.25">
      <c r="A119" s="18" t="s">
        <v>98</v>
      </c>
      <c r="B119" s="34" t="str" cm="1">
        <f t="array" ref="B119:C119">_xlfn.XLOOKUP(A119,'Player List'!$A$2:$A$177,'Player List'!$B$2:$C$177)</f>
        <v>England</v>
      </c>
      <c r="C119" s="34" t="str">
        <v>Prop</v>
      </c>
      <c r="D119" s="34" t="str">
        <f t="shared" si="1"/>
        <v>Win</v>
      </c>
      <c r="E119" s="2">
        <v>54</v>
      </c>
      <c r="F119" s="2">
        <v>5</v>
      </c>
      <c r="G119" s="2"/>
      <c r="H119" s="2"/>
      <c r="I119" s="2">
        <v>21</v>
      </c>
      <c r="J119" s="2"/>
      <c r="K119" s="2"/>
      <c r="L119" s="2"/>
      <c r="M119" s="2"/>
      <c r="N119" s="2">
        <v>1</v>
      </c>
      <c r="O119" s="2"/>
      <c r="P119" s="2"/>
      <c r="Q119" s="2"/>
      <c r="R119" s="2"/>
      <c r="S119" s="2"/>
      <c r="T119" s="3">
        <v>21.6</v>
      </c>
      <c r="U119" s="2"/>
    </row>
    <row r="120" spans="1:21" ht="16" thickBot="1" x14ac:dyDescent="0.25">
      <c r="A120" s="17" t="s">
        <v>99</v>
      </c>
      <c r="B120" s="34" t="str" cm="1">
        <f t="array" ref="B120:C120">_xlfn.XLOOKUP(A120,'Player List'!$A$2:$A$177,'Player List'!$B$2:$C$177)</f>
        <v>England</v>
      </c>
      <c r="C120" s="34" t="str">
        <v>Prop</v>
      </c>
      <c r="D120" s="34" t="str">
        <f t="shared" si="1"/>
        <v>Win</v>
      </c>
      <c r="E120" s="5">
        <v>49</v>
      </c>
      <c r="F120" s="5">
        <v>11</v>
      </c>
      <c r="G120" s="5">
        <v>1</v>
      </c>
      <c r="H120" s="5"/>
      <c r="I120" s="5">
        <v>12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>
        <v>25.3</v>
      </c>
      <c r="U120" s="5"/>
    </row>
    <row r="121" spans="1:21" ht="16" thickBot="1" x14ac:dyDescent="0.25">
      <c r="A121" s="18" t="s">
        <v>100</v>
      </c>
      <c r="B121" s="34" t="str" cm="1">
        <f t="array" ref="B121:C121">_xlfn.XLOOKUP(A121,'Player List'!$A$2:$A$177,'Player List'!$B$2:$C$177)</f>
        <v>England</v>
      </c>
      <c r="C121" s="34" t="str">
        <v>Prop</v>
      </c>
      <c r="D121" s="34" t="str">
        <f t="shared" si="1"/>
        <v>Win</v>
      </c>
      <c r="E121" s="2">
        <v>26</v>
      </c>
      <c r="F121" s="2">
        <v>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>
        <v>5.6</v>
      </c>
      <c r="U121" s="2"/>
    </row>
    <row r="122" spans="1:21" ht="16" thickBot="1" x14ac:dyDescent="0.25">
      <c r="A122" s="19" t="s">
        <v>101</v>
      </c>
      <c r="B122" s="34" t="str" cm="1">
        <f t="array" ref="B122:C122">_xlfn.XLOOKUP(A122,'Player List'!$A$2:$A$177,'Player List'!$B$2:$C$177)</f>
        <v>England</v>
      </c>
      <c r="C122" s="34" t="str">
        <v>Hooker</v>
      </c>
      <c r="D122" s="34" t="str">
        <f t="shared" si="1"/>
        <v>Win</v>
      </c>
      <c r="E122" s="5">
        <v>73</v>
      </c>
      <c r="F122" s="5">
        <v>7</v>
      </c>
      <c r="G122" s="5">
        <v>1</v>
      </c>
      <c r="H122" s="5"/>
      <c r="I122" s="5">
        <v>6</v>
      </c>
      <c r="J122" s="5"/>
      <c r="K122" s="5"/>
      <c r="L122" s="5"/>
      <c r="M122" s="5">
        <v>1</v>
      </c>
      <c r="N122" s="5"/>
      <c r="O122" s="5"/>
      <c r="P122" s="5"/>
      <c r="Q122" s="5"/>
      <c r="R122" s="5"/>
      <c r="S122" s="5"/>
      <c r="T122" s="6">
        <v>37.5</v>
      </c>
      <c r="U122" s="5"/>
    </row>
    <row r="123" spans="1:21" ht="16" thickBot="1" x14ac:dyDescent="0.25">
      <c r="A123" s="20" t="s">
        <v>102</v>
      </c>
      <c r="B123" s="34" t="str" cm="1">
        <f t="array" ref="B123:C123">_xlfn.XLOOKUP(A123,'Player List'!$A$2:$A$177,'Player List'!$B$2:$C$177)</f>
        <v>England</v>
      </c>
      <c r="C123" s="34" t="str">
        <v>Hooker</v>
      </c>
      <c r="D123" s="34" t="str">
        <f t="shared" si="1"/>
        <v>Win</v>
      </c>
      <c r="E123" s="2">
        <v>7</v>
      </c>
      <c r="F123" s="2">
        <v>3</v>
      </c>
      <c r="G123" s="2"/>
      <c r="H123" s="2"/>
      <c r="I123" s="2">
        <v>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>
        <v>5.5</v>
      </c>
      <c r="U123" s="2"/>
    </row>
    <row r="124" spans="1:21" ht="16" thickBot="1" x14ac:dyDescent="0.25">
      <c r="A124" s="1" t="s">
        <v>103</v>
      </c>
      <c r="B124" s="34" t="str" cm="1">
        <f t="array" ref="B124:C124">_xlfn.XLOOKUP(A124,'Player List'!$A$2:$A$177,'Player List'!$B$2:$C$177)</f>
        <v>Italy</v>
      </c>
      <c r="C124" s="34" t="str">
        <v>Back Three</v>
      </c>
      <c r="D124" s="34" t="str">
        <f t="shared" si="1"/>
        <v>Loss</v>
      </c>
      <c r="E124" s="2">
        <v>33</v>
      </c>
      <c r="F124" s="2"/>
      <c r="G124" s="2"/>
      <c r="H124" s="2"/>
      <c r="I124" s="2">
        <v>27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>
        <v>5.4</v>
      </c>
      <c r="U124" s="2"/>
    </row>
    <row r="125" spans="1:21" ht="16" thickBot="1" x14ac:dyDescent="0.25">
      <c r="A125" s="4" t="s">
        <v>104</v>
      </c>
      <c r="B125" s="34" t="str" cm="1">
        <f t="array" ref="B125:C125">_xlfn.XLOOKUP(A125,'Player List'!$A$2:$A$177,'Player List'!$B$2:$C$177)</f>
        <v>Italy</v>
      </c>
      <c r="C125" s="34" t="str">
        <v>Back Three</v>
      </c>
      <c r="D125" s="34" t="str">
        <f t="shared" si="1"/>
        <v>Loss</v>
      </c>
      <c r="E125" s="5">
        <v>80</v>
      </c>
      <c r="F125" s="5">
        <v>2</v>
      </c>
      <c r="G125" s="5"/>
      <c r="H125" s="5">
        <v>3</v>
      </c>
      <c r="I125" s="5">
        <v>127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>
        <v>48.4</v>
      </c>
      <c r="U125" s="5"/>
    </row>
    <row r="126" spans="1:21" ht="16" thickBot="1" x14ac:dyDescent="0.25">
      <c r="A126" s="1" t="s">
        <v>105</v>
      </c>
      <c r="B126" s="34" t="str" cm="1">
        <f t="array" ref="B126:C126">_xlfn.XLOOKUP(A126,'Player List'!$A$2:$A$177,'Player List'!$B$2:$C$177)</f>
        <v>Italy</v>
      </c>
      <c r="C126" s="34" t="str">
        <v>Back Three</v>
      </c>
      <c r="D126" s="34" t="str">
        <f t="shared" si="1"/>
        <v>Loss</v>
      </c>
      <c r="E126" s="2">
        <v>18</v>
      </c>
      <c r="F126" s="2">
        <v>1</v>
      </c>
      <c r="G126" s="2">
        <v>1</v>
      </c>
      <c r="H126" s="2"/>
      <c r="I126" s="2">
        <v>8</v>
      </c>
      <c r="J126" s="2"/>
      <c r="K126" s="2"/>
      <c r="L126" s="2"/>
      <c r="M126" s="2">
        <v>1</v>
      </c>
      <c r="N126" s="2"/>
      <c r="O126" s="2"/>
      <c r="P126" s="2"/>
      <c r="Q126" s="2"/>
      <c r="R126" s="2"/>
      <c r="S126" s="2"/>
      <c r="T126" s="3">
        <v>24.6</v>
      </c>
      <c r="U126" s="2"/>
    </row>
    <row r="127" spans="1:21" ht="16" thickBot="1" x14ac:dyDescent="0.25">
      <c r="A127" s="4" t="s">
        <v>106</v>
      </c>
      <c r="B127" s="34" t="str" cm="1">
        <f t="array" ref="B127:C127">_xlfn.XLOOKUP(A127,'Player List'!$A$2:$A$177,'Player List'!$B$2:$C$177)</f>
        <v>Italy</v>
      </c>
      <c r="C127" s="34" t="str">
        <v>Back Three</v>
      </c>
      <c r="D127" s="34" t="str">
        <f t="shared" si="1"/>
        <v>Loss</v>
      </c>
      <c r="E127" s="5">
        <v>80</v>
      </c>
      <c r="F127" s="5">
        <v>7</v>
      </c>
      <c r="G127" s="5"/>
      <c r="H127" s="5">
        <v>1</v>
      </c>
      <c r="I127" s="5">
        <v>33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>
        <v>20.6</v>
      </c>
      <c r="U127" s="5"/>
    </row>
    <row r="128" spans="1:21" ht="16" thickBot="1" x14ac:dyDescent="0.25">
      <c r="A128" s="1" t="s">
        <v>107</v>
      </c>
      <c r="B128" s="34" t="str" cm="1">
        <f t="array" ref="B128:C128">_xlfn.XLOOKUP(A128,'Player List'!$A$2:$A$177,'Player List'!$B$2:$C$177)</f>
        <v>Italy</v>
      </c>
      <c r="C128" s="34" t="str">
        <v>Back Three</v>
      </c>
      <c r="D128" s="34" t="str">
        <f t="shared" si="1"/>
        <v>Loss</v>
      </c>
      <c r="E128" s="2">
        <v>80</v>
      </c>
      <c r="F128" s="2">
        <v>3</v>
      </c>
      <c r="G128" s="2"/>
      <c r="H128" s="2"/>
      <c r="I128" s="2">
        <v>36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>
        <v>10.199999999999999</v>
      </c>
      <c r="U128" s="2"/>
    </row>
    <row r="129" spans="1:21" ht="16" thickBot="1" x14ac:dyDescent="0.25">
      <c r="A129" s="8" t="s">
        <v>108</v>
      </c>
      <c r="B129" s="34" t="str" cm="1">
        <f t="array" ref="B129:C129">_xlfn.XLOOKUP(A129,'Player List'!$A$2:$A$177,'Player List'!$B$2:$C$177)</f>
        <v>Italy</v>
      </c>
      <c r="C129" s="34" t="str">
        <v>Centre</v>
      </c>
      <c r="D129" s="34" t="str">
        <f t="shared" si="1"/>
        <v>Loss</v>
      </c>
      <c r="E129" s="5">
        <v>80</v>
      </c>
      <c r="F129" s="5">
        <v>4</v>
      </c>
      <c r="G129" s="5"/>
      <c r="H129" s="5"/>
      <c r="I129" s="5">
        <v>92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>
        <v>22.4</v>
      </c>
      <c r="U129" s="5"/>
    </row>
    <row r="130" spans="1:21" ht="16" thickBot="1" x14ac:dyDescent="0.25">
      <c r="A130" s="7" t="s">
        <v>109</v>
      </c>
      <c r="B130" s="34" t="str" cm="1">
        <f t="array" ref="B130:C130">_xlfn.XLOOKUP(A130,'Player List'!$A$2:$A$177,'Player List'!$B$2:$C$177)</f>
        <v>Italy</v>
      </c>
      <c r="C130" s="34" t="str">
        <v>Centre</v>
      </c>
      <c r="D130" s="34" t="str">
        <f t="shared" si="1"/>
        <v>Loss</v>
      </c>
      <c r="E130" s="2">
        <v>47</v>
      </c>
      <c r="F130" s="2">
        <v>10</v>
      </c>
      <c r="G130" s="2"/>
      <c r="H130" s="2"/>
      <c r="I130" s="2">
        <v>27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>
        <v>15.4</v>
      </c>
      <c r="U130" s="2"/>
    </row>
    <row r="131" spans="1:21" ht="16" thickBot="1" x14ac:dyDescent="0.25">
      <c r="A131" s="10" t="s">
        <v>110</v>
      </c>
      <c r="B131" s="34" t="str" cm="1">
        <f t="array" ref="B131:C131">_xlfn.XLOOKUP(A131,'Player List'!$A$2:$A$177,'Player List'!$B$2:$C$177)</f>
        <v>Italy</v>
      </c>
      <c r="C131" s="34" t="str">
        <v>Fly Half</v>
      </c>
      <c r="D131" s="34" t="str">
        <f t="shared" si="1"/>
        <v>Loss</v>
      </c>
      <c r="E131" s="5">
        <v>80</v>
      </c>
      <c r="F131" s="5">
        <v>13</v>
      </c>
      <c r="G131" s="5"/>
      <c r="H131" s="5"/>
      <c r="I131" s="5">
        <v>51</v>
      </c>
      <c r="J131" s="5"/>
      <c r="K131" s="5"/>
      <c r="L131" s="5"/>
      <c r="M131" s="5"/>
      <c r="N131" s="5"/>
      <c r="O131" s="5">
        <v>2</v>
      </c>
      <c r="P131" s="5"/>
      <c r="Q131" s="5"/>
      <c r="R131" s="5"/>
      <c r="S131" s="5"/>
      <c r="T131" s="6">
        <v>27.2</v>
      </c>
      <c r="U131" s="5"/>
    </row>
    <row r="132" spans="1:21" ht="16" thickBot="1" x14ac:dyDescent="0.25">
      <c r="A132" s="11" t="s">
        <v>111</v>
      </c>
      <c r="B132" s="34" t="str" cm="1">
        <f t="array" ref="B132:C132">_xlfn.XLOOKUP(A132,'Player List'!$A$2:$A$177,'Player List'!$B$2:$C$177)</f>
        <v>Italy</v>
      </c>
      <c r="C132" s="34" t="str">
        <v>Scrum Half</v>
      </c>
      <c r="D132" s="34" t="str">
        <f t="shared" si="1"/>
        <v>Loss</v>
      </c>
      <c r="E132" s="2">
        <v>62</v>
      </c>
      <c r="F132" s="2">
        <v>1</v>
      </c>
      <c r="G132" s="2">
        <v>1</v>
      </c>
      <c r="H132" s="2"/>
      <c r="I132" s="2">
        <v>20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>
        <v>12</v>
      </c>
      <c r="U132" s="2"/>
    </row>
    <row r="133" spans="1:21" ht="16" thickBot="1" x14ac:dyDescent="0.25">
      <c r="A133" s="14" t="s">
        <v>112</v>
      </c>
      <c r="B133" s="34" t="str" cm="1">
        <f t="array" ref="B133:C133">_xlfn.XLOOKUP(A133,'Player List'!$A$2:$A$177,'Player List'!$B$2:$C$177)</f>
        <v>Italy</v>
      </c>
      <c r="C133" s="34" t="str">
        <v>Back Row</v>
      </c>
      <c r="D133" s="34" t="str">
        <f t="shared" si="1"/>
        <v>Loss</v>
      </c>
      <c r="E133" s="5">
        <v>8</v>
      </c>
      <c r="F133" s="5"/>
      <c r="G133" s="5"/>
      <c r="H133" s="5"/>
      <c r="I133" s="5">
        <v>26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>
        <v>5.2</v>
      </c>
      <c r="U133" s="5"/>
    </row>
    <row r="134" spans="1:21" ht="16" thickBot="1" x14ac:dyDescent="0.25">
      <c r="A134" s="13" t="s">
        <v>113</v>
      </c>
      <c r="B134" s="34" t="str" cm="1">
        <f t="array" ref="B134:C134">_xlfn.XLOOKUP(A134,'Player List'!$A$2:$A$177,'Player List'!$B$2:$C$177)</f>
        <v>Italy</v>
      </c>
      <c r="C134" s="34" t="str">
        <v>Back Row</v>
      </c>
      <c r="D134" s="34" t="str">
        <f t="shared" si="1"/>
        <v>Loss</v>
      </c>
      <c r="E134" s="2">
        <v>23</v>
      </c>
      <c r="F134" s="2"/>
      <c r="G134" s="2"/>
      <c r="H134" s="2"/>
      <c r="I134" s="2">
        <v>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>
        <v>1</v>
      </c>
      <c r="U134" s="2"/>
    </row>
    <row r="135" spans="1:21" ht="16" thickBot="1" x14ac:dyDescent="0.25">
      <c r="A135" s="14" t="s">
        <v>114</v>
      </c>
      <c r="B135" s="34" t="str" cm="1">
        <f t="array" ref="B135:C135">_xlfn.XLOOKUP(A135,'Player List'!$A$2:$A$177,'Player List'!$B$2:$C$177)</f>
        <v>Italy</v>
      </c>
      <c r="C135" s="34" t="str">
        <v>Back Row</v>
      </c>
      <c r="D135" s="34" t="str">
        <f t="shared" si="1"/>
        <v>Loss</v>
      </c>
      <c r="E135" s="5">
        <v>74</v>
      </c>
      <c r="F135" s="5">
        <v>6</v>
      </c>
      <c r="G135" s="5">
        <v>1</v>
      </c>
      <c r="H135" s="5">
        <v>1</v>
      </c>
      <c r="I135" s="5">
        <v>83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>
        <v>36.6</v>
      </c>
      <c r="U135" s="5"/>
    </row>
    <row r="136" spans="1:21" ht="16" thickBot="1" x14ac:dyDescent="0.25">
      <c r="A136" s="13" t="s">
        <v>115</v>
      </c>
      <c r="B136" s="34" t="str" cm="1">
        <f t="array" ref="B136:C136">_xlfn.XLOOKUP(A136,'Player List'!$A$2:$A$177,'Player List'!$B$2:$C$177)</f>
        <v>Italy</v>
      </c>
      <c r="C136" s="34" t="str">
        <v>Back Row</v>
      </c>
      <c r="D136" s="34" t="str">
        <f t="shared" si="1"/>
        <v>Loss</v>
      </c>
      <c r="E136" s="2">
        <v>23</v>
      </c>
      <c r="F136" s="2">
        <v>1</v>
      </c>
      <c r="G136" s="2">
        <v>1</v>
      </c>
      <c r="H136" s="2"/>
      <c r="I136" s="2">
        <v>26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>
        <v>13.2</v>
      </c>
      <c r="U136" s="2"/>
    </row>
    <row r="137" spans="1:21" ht="16" thickBot="1" x14ac:dyDescent="0.25">
      <c r="A137" s="16" t="s">
        <v>116</v>
      </c>
      <c r="B137" s="34" t="str" cm="1">
        <f t="array" ref="B137:C137">_xlfn.XLOOKUP(A137,'Player List'!$A$2:$A$177,'Player List'!$B$2:$C$177)</f>
        <v>Italy</v>
      </c>
      <c r="C137" s="34" t="str">
        <v>Second Row</v>
      </c>
      <c r="D137" s="34" t="str">
        <f t="shared" si="1"/>
        <v>Loss</v>
      </c>
      <c r="E137" s="5">
        <v>48</v>
      </c>
      <c r="F137" s="5">
        <v>7</v>
      </c>
      <c r="G137" s="5">
        <v>1</v>
      </c>
      <c r="H137" s="5"/>
      <c r="I137" s="5">
        <v>44</v>
      </c>
      <c r="J137" s="5"/>
      <c r="K137" s="5"/>
      <c r="L137" s="5"/>
      <c r="M137" s="5"/>
      <c r="N137" s="5"/>
      <c r="O137" s="5"/>
      <c r="P137" s="5"/>
      <c r="Q137" s="5"/>
      <c r="R137" s="5">
        <v>1</v>
      </c>
      <c r="S137" s="5"/>
      <c r="T137" s="6">
        <v>17.8</v>
      </c>
      <c r="U137" s="5"/>
    </row>
    <row r="138" spans="1:21" ht="16" thickBot="1" x14ac:dyDescent="0.25">
      <c r="A138" s="15" t="s">
        <v>117</v>
      </c>
      <c r="B138" s="34" t="str" cm="1">
        <f t="array" ref="B138:C138">_xlfn.XLOOKUP(A138,'Player List'!$A$2:$A$177,'Player List'!$B$2:$C$177)</f>
        <v>Italy</v>
      </c>
      <c r="C138" s="34" t="str">
        <v>Second Row</v>
      </c>
      <c r="D138" s="34" t="str">
        <f t="shared" si="1"/>
        <v>Loss</v>
      </c>
      <c r="E138" s="2">
        <v>72</v>
      </c>
      <c r="F138" s="2">
        <v>6</v>
      </c>
      <c r="G138" s="2"/>
      <c r="H138" s="2"/>
      <c r="I138" s="2">
        <v>21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>
        <v>10.199999999999999</v>
      </c>
      <c r="U138" s="2"/>
    </row>
    <row r="139" spans="1:21" ht="16" thickBot="1" x14ac:dyDescent="0.25">
      <c r="A139" s="16" t="s">
        <v>118</v>
      </c>
      <c r="B139" s="34" t="str" cm="1">
        <f t="array" ref="B139:C139">_xlfn.XLOOKUP(A139,'Player List'!$A$2:$A$177,'Player List'!$B$2:$C$177)</f>
        <v>Italy</v>
      </c>
      <c r="C139" s="34" t="str">
        <v>Second Row</v>
      </c>
      <c r="D139" s="34" t="str">
        <f t="shared" ref="D139:D146" si="2">_xlfn.XLOOKUP(B139,$B$2:$B$7,$C$2:$C$7)</f>
        <v>Loss</v>
      </c>
      <c r="E139" s="5">
        <v>80</v>
      </c>
      <c r="F139" s="5">
        <v>7</v>
      </c>
      <c r="G139" s="5">
        <v>1</v>
      </c>
      <c r="H139" s="5">
        <v>1</v>
      </c>
      <c r="I139" s="5">
        <v>52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>
        <v>31.4</v>
      </c>
      <c r="U139" s="5"/>
    </row>
    <row r="140" spans="1:21" ht="16" thickBot="1" x14ac:dyDescent="0.25">
      <c r="A140" s="15" t="s">
        <v>119</v>
      </c>
      <c r="B140" s="34" t="str" cm="1">
        <f t="array" ref="B140:C140">_xlfn.XLOOKUP(A140,'Player List'!$A$2:$A$177,'Player List'!$B$2:$C$177)</f>
        <v>Italy</v>
      </c>
      <c r="C140" s="34" t="str">
        <v>Second Row</v>
      </c>
      <c r="D140" s="34" t="str">
        <f t="shared" si="2"/>
        <v>Loss</v>
      </c>
      <c r="E140" s="2">
        <v>56</v>
      </c>
      <c r="F140" s="2">
        <v>9</v>
      </c>
      <c r="G140" s="2">
        <v>2</v>
      </c>
      <c r="H140" s="2"/>
      <c r="I140" s="2">
        <v>61</v>
      </c>
      <c r="J140" s="2"/>
      <c r="K140" s="2"/>
      <c r="L140" s="2">
        <v>1</v>
      </c>
      <c r="M140" s="2"/>
      <c r="N140" s="2"/>
      <c r="O140" s="2"/>
      <c r="P140" s="2"/>
      <c r="Q140" s="2"/>
      <c r="R140" s="2"/>
      <c r="S140" s="2"/>
      <c r="T140" s="3">
        <v>42.2</v>
      </c>
      <c r="U140" s="2"/>
    </row>
    <row r="141" spans="1:21" ht="16" thickBot="1" x14ac:dyDescent="0.25">
      <c r="A141" s="17" t="s">
        <v>120</v>
      </c>
      <c r="B141" s="34" t="str" cm="1">
        <f t="array" ref="B141:C141">_xlfn.XLOOKUP(A141,'Player List'!$A$2:$A$177,'Player List'!$B$2:$C$177)</f>
        <v>Italy</v>
      </c>
      <c r="C141" s="34" t="str">
        <v>Prop</v>
      </c>
      <c r="D141" s="34" t="str">
        <f t="shared" si="2"/>
        <v>Loss</v>
      </c>
      <c r="E141" s="5">
        <v>21</v>
      </c>
      <c r="F141" s="5">
        <v>3</v>
      </c>
      <c r="G141" s="5"/>
      <c r="H141" s="5"/>
      <c r="I141" s="5">
        <v>4</v>
      </c>
      <c r="J141" s="5"/>
      <c r="K141" s="5"/>
      <c r="L141" s="5"/>
      <c r="M141" s="5"/>
      <c r="N141" s="5"/>
      <c r="O141" s="5"/>
      <c r="P141" s="5"/>
      <c r="Q141" s="5"/>
      <c r="R141" s="5">
        <v>1</v>
      </c>
      <c r="S141" s="5"/>
      <c r="T141" s="6">
        <v>-1.2</v>
      </c>
      <c r="U141" s="5"/>
    </row>
    <row r="142" spans="1:21" ht="16" thickBot="1" x14ac:dyDescent="0.25">
      <c r="A142" s="18" t="s">
        <v>121</v>
      </c>
      <c r="B142" s="34" t="str" cm="1">
        <f t="array" ref="B142:C142">_xlfn.XLOOKUP(A142,'Player List'!$A$2:$A$177,'Player List'!$B$2:$C$177)</f>
        <v>Italy</v>
      </c>
      <c r="C142" s="34" t="str">
        <v>Prop</v>
      </c>
      <c r="D142" s="34" t="str">
        <f t="shared" si="2"/>
        <v>Loss</v>
      </c>
      <c r="E142" s="2">
        <v>55</v>
      </c>
      <c r="F142" s="2">
        <v>7</v>
      </c>
      <c r="G142" s="2">
        <v>3</v>
      </c>
      <c r="H142" s="2"/>
      <c r="I142" s="2">
        <v>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>
        <v>29.4</v>
      </c>
      <c r="U142" s="2"/>
    </row>
    <row r="143" spans="1:21" ht="16" thickBot="1" x14ac:dyDescent="0.25">
      <c r="A143" s="17" t="s">
        <v>122</v>
      </c>
      <c r="B143" s="34" t="str" cm="1">
        <f t="array" ref="B143:C143">_xlfn.XLOOKUP(A143,'Player List'!$A$2:$A$177,'Player List'!$B$2:$C$177)</f>
        <v>Italy</v>
      </c>
      <c r="C143" s="34" t="str">
        <v>Prop</v>
      </c>
      <c r="D143" s="34" t="str">
        <f t="shared" si="2"/>
        <v>Loss</v>
      </c>
      <c r="E143" s="5">
        <v>54</v>
      </c>
      <c r="F143" s="5">
        <v>7</v>
      </c>
      <c r="G143" s="5"/>
      <c r="H143" s="5"/>
      <c r="I143" s="5">
        <v>15</v>
      </c>
      <c r="J143" s="5"/>
      <c r="K143" s="5"/>
      <c r="L143" s="5"/>
      <c r="M143" s="5">
        <v>1</v>
      </c>
      <c r="N143" s="5"/>
      <c r="O143" s="5"/>
      <c r="P143" s="5"/>
      <c r="Q143" s="5"/>
      <c r="R143" s="5"/>
      <c r="S143" s="5"/>
      <c r="T143" s="6">
        <v>25</v>
      </c>
      <c r="U143" s="5"/>
    </row>
    <row r="144" spans="1:21" ht="16" thickBot="1" x14ac:dyDescent="0.25">
      <c r="A144" s="18" t="s">
        <v>123</v>
      </c>
      <c r="B144" s="34" t="str" cm="1">
        <f t="array" ref="B144:C144">_xlfn.XLOOKUP(A144,'Player List'!$A$2:$A$177,'Player List'!$B$2:$C$177)</f>
        <v>Italy</v>
      </c>
      <c r="C144" s="34" t="str">
        <v>Prop</v>
      </c>
      <c r="D144" s="34" t="str">
        <f t="shared" si="2"/>
        <v>Loss</v>
      </c>
      <c r="E144" s="2">
        <v>25</v>
      </c>
      <c r="F144" s="2">
        <v>1</v>
      </c>
      <c r="G144" s="2"/>
      <c r="H144" s="2"/>
      <c r="I144" s="2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>
        <v>3.4</v>
      </c>
      <c r="U144" s="2"/>
    </row>
    <row r="145" spans="1:21" ht="16" thickBot="1" x14ac:dyDescent="0.25">
      <c r="A145" s="19" t="s">
        <v>124</v>
      </c>
      <c r="B145" s="34" t="str" cm="1">
        <f t="array" ref="B145:C145">_xlfn.XLOOKUP(A145,'Player List'!$A$2:$A$177,'Player List'!$B$2:$C$177)</f>
        <v>Italy</v>
      </c>
      <c r="C145" s="34" t="str">
        <v>Hooker</v>
      </c>
      <c r="D145" s="34" t="str">
        <f t="shared" si="2"/>
        <v>Loss</v>
      </c>
      <c r="E145" s="5">
        <v>19</v>
      </c>
      <c r="F145" s="5">
        <v>2</v>
      </c>
      <c r="G145" s="5">
        <v>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>
        <v>9</v>
      </c>
      <c r="U145" s="5"/>
    </row>
    <row r="146" spans="1:21" ht="16" thickBot="1" x14ac:dyDescent="0.25">
      <c r="A146" s="20" t="s">
        <v>125</v>
      </c>
      <c r="B146" s="34" t="str" cm="1">
        <f t="array" ref="B146:C146">_xlfn.XLOOKUP(A146,'Player List'!$A$2:$A$177,'Player List'!$B$2:$C$177)</f>
        <v>Italy</v>
      </c>
      <c r="C146" s="34" t="str">
        <v>Hooker</v>
      </c>
      <c r="D146" s="34" t="str">
        <f t="shared" si="2"/>
        <v>Loss</v>
      </c>
      <c r="E146" s="2">
        <v>61</v>
      </c>
      <c r="F146" s="2">
        <v>13</v>
      </c>
      <c r="G146" s="2"/>
      <c r="H146" s="2"/>
      <c r="I146" s="2">
        <v>43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>
        <v>21.6</v>
      </c>
      <c r="U14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6028-C72E-417E-9E3D-C35E533D9214}">
  <sheetPr>
    <tabColor theme="5" tint="0.79998168889431442"/>
  </sheetPr>
  <dimension ref="A2:V145"/>
  <sheetViews>
    <sheetView workbookViewId="0">
      <selection activeCell="M28" sqref="M28"/>
    </sheetView>
  </sheetViews>
  <sheetFormatPr baseColWidth="10" defaultColWidth="8.83203125" defaultRowHeight="15" x14ac:dyDescent="0.2"/>
  <sheetData>
    <row r="2" spans="1:22" x14ac:dyDescent="0.2">
      <c r="B2" t="s">
        <v>191</v>
      </c>
      <c r="C2" t="s">
        <v>212</v>
      </c>
      <c r="E2" t="s">
        <v>192</v>
      </c>
      <c r="F2">
        <v>20</v>
      </c>
      <c r="G2">
        <v>34</v>
      </c>
      <c r="H2" t="s">
        <v>189</v>
      </c>
    </row>
    <row r="3" spans="1:22" x14ac:dyDescent="0.2">
      <c r="B3" t="s">
        <v>188</v>
      </c>
      <c r="C3" t="s">
        <v>212</v>
      </c>
      <c r="E3" t="s">
        <v>188</v>
      </c>
      <c r="F3">
        <v>10</v>
      </c>
      <c r="G3">
        <v>20</v>
      </c>
      <c r="H3" t="s">
        <v>190</v>
      </c>
    </row>
    <row r="4" spans="1:22" x14ac:dyDescent="0.2">
      <c r="B4" t="s">
        <v>189</v>
      </c>
      <c r="C4" t="s">
        <v>204</v>
      </c>
      <c r="E4" t="s">
        <v>193</v>
      </c>
      <c r="F4">
        <v>32</v>
      </c>
      <c r="G4">
        <v>21</v>
      </c>
      <c r="H4" t="s">
        <v>191</v>
      </c>
    </row>
    <row r="5" spans="1:22" x14ac:dyDescent="0.2">
      <c r="B5" t="s">
        <v>190</v>
      </c>
      <c r="C5" t="s">
        <v>204</v>
      </c>
    </row>
    <row r="6" spans="1:22" x14ac:dyDescent="0.2">
      <c r="B6" t="s">
        <v>193</v>
      </c>
      <c r="C6" t="s">
        <v>204</v>
      </c>
    </row>
    <row r="7" spans="1:22" x14ac:dyDescent="0.2">
      <c r="B7" t="s">
        <v>192</v>
      </c>
      <c r="C7" t="s">
        <v>212</v>
      </c>
    </row>
    <row r="8" spans="1:22" ht="16" thickBot="1" x14ac:dyDescent="0.25"/>
    <row r="9" spans="1:22" ht="31" thickBot="1" x14ac:dyDescent="0.25">
      <c r="A9" t="s">
        <v>0</v>
      </c>
      <c r="B9" s="40" t="s">
        <v>203</v>
      </c>
      <c r="C9" s="40" t="s">
        <v>202</v>
      </c>
      <c r="D9" t="s">
        <v>213</v>
      </c>
      <c r="E9" t="s">
        <v>205</v>
      </c>
      <c r="F9" s="35" t="s">
        <v>207</v>
      </c>
      <c r="G9" s="35" t="s">
        <v>1</v>
      </c>
      <c r="H9" s="35" t="s">
        <v>2</v>
      </c>
      <c r="I9" s="35" t="s">
        <v>208</v>
      </c>
      <c r="J9" s="35" t="s">
        <v>3</v>
      </c>
      <c r="K9" s="35" t="s">
        <v>4</v>
      </c>
      <c r="L9" s="35" t="s">
        <v>5</v>
      </c>
      <c r="M9" s="35" t="s">
        <v>6</v>
      </c>
      <c r="N9" s="35" t="s">
        <v>209</v>
      </c>
      <c r="O9" s="35" t="s">
        <v>7</v>
      </c>
      <c r="P9" s="35" t="s">
        <v>8</v>
      </c>
      <c r="Q9" s="35" t="s">
        <v>9</v>
      </c>
      <c r="R9" s="35" t="s">
        <v>10</v>
      </c>
      <c r="S9" s="35" t="s">
        <v>11</v>
      </c>
      <c r="T9" s="35" t="s">
        <v>211</v>
      </c>
      <c r="U9" s="35" t="s">
        <v>206</v>
      </c>
      <c r="V9" s="35" t="s">
        <v>210</v>
      </c>
    </row>
    <row r="10" spans="1:22" ht="16" thickBot="1" x14ac:dyDescent="0.25">
      <c r="A10" s="1" t="s">
        <v>126</v>
      </c>
      <c r="B10" s="34" t="str" cm="1">
        <f t="array" ref="B10:C10">_xlfn.XLOOKUP(A10,'Player List'!$A$2:$A$177,'Player List'!$B$2:$C$177)</f>
        <v>Ireland</v>
      </c>
      <c r="C10" s="34" t="str">
        <v>Back Three</v>
      </c>
      <c r="D10" s="34" t="str">
        <f>_xlfn.XLOOKUP(B10,$B$2:$B$7,$C$2:$C$7)</f>
        <v>Win</v>
      </c>
      <c r="E10" s="2">
        <v>80</v>
      </c>
      <c r="F10" s="2">
        <v>2</v>
      </c>
      <c r="G10" s="2"/>
      <c r="H10" s="2">
        <v>3</v>
      </c>
      <c r="I10" s="2">
        <v>75</v>
      </c>
      <c r="J10" s="2"/>
      <c r="K10" s="2"/>
      <c r="L10" s="2">
        <v>1</v>
      </c>
      <c r="M10" s="2">
        <v>2</v>
      </c>
      <c r="N10" s="2"/>
      <c r="O10" s="2"/>
      <c r="P10" s="2"/>
      <c r="Q10" s="2"/>
      <c r="R10" s="2"/>
      <c r="S10" s="2"/>
      <c r="T10" s="3">
        <v>98</v>
      </c>
      <c r="U10" s="2">
        <v>1</v>
      </c>
    </row>
    <row r="11" spans="1:22" ht="16" thickBot="1" x14ac:dyDescent="0.25">
      <c r="A11" s="4" t="s">
        <v>127</v>
      </c>
      <c r="B11" s="34" t="str" cm="1">
        <f t="array" ref="B11:C11">_xlfn.XLOOKUP(A11,'Player List'!$A$2:$A$177,'Player List'!$B$2:$C$177)</f>
        <v>Ireland</v>
      </c>
      <c r="C11" s="34" t="str">
        <v>Back Three</v>
      </c>
      <c r="D11" s="34" t="str">
        <f t="shared" ref="D11:D74" si="0">_xlfn.XLOOKUP(B11,$B$2:$B$7,$C$2:$C$7)</f>
        <v>Win</v>
      </c>
      <c r="E11" s="5">
        <v>80</v>
      </c>
      <c r="F11" s="5">
        <v>3</v>
      </c>
      <c r="G11" s="5">
        <v>1</v>
      </c>
      <c r="H11" s="5"/>
      <c r="I11" s="5">
        <v>124</v>
      </c>
      <c r="J11" s="5"/>
      <c r="K11" s="5"/>
      <c r="L11" s="5"/>
      <c r="M11" s="5">
        <v>1</v>
      </c>
      <c r="N11" s="5"/>
      <c r="O11" s="5"/>
      <c r="P11" s="5"/>
      <c r="Q11" s="5"/>
      <c r="R11" s="5"/>
      <c r="S11" s="5"/>
      <c r="T11" s="6">
        <v>57.8</v>
      </c>
      <c r="U11" s="5"/>
    </row>
    <row r="12" spans="1:22" ht="16" thickBot="1" x14ac:dyDescent="0.25">
      <c r="A12" s="1" t="s">
        <v>128</v>
      </c>
      <c r="B12" s="34" t="str" cm="1">
        <f t="array" ref="B12:C12">_xlfn.XLOOKUP(A12,'Player List'!$A$2:$A$177,'Player List'!$B$2:$C$177)</f>
        <v>Ireland</v>
      </c>
      <c r="C12" s="34" t="str">
        <v>Back Three</v>
      </c>
      <c r="D12" s="34" t="str">
        <f t="shared" si="0"/>
        <v>Win</v>
      </c>
      <c r="E12" s="2">
        <v>80</v>
      </c>
      <c r="F12" s="2">
        <v>1</v>
      </c>
      <c r="G12" s="2">
        <v>2</v>
      </c>
      <c r="H12" s="2">
        <v>4</v>
      </c>
      <c r="I12" s="2">
        <v>131</v>
      </c>
      <c r="J12" s="2"/>
      <c r="K12" s="2"/>
      <c r="L12" s="2"/>
      <c r="M12" s="2"/>
      <c r="N12" s="2">
        <v>2</v>
      </c>
      <c r="O12" s="2"/>
      <c r="P12" s="2"/>
      <c r="Q12" s="2"/>
      <c r="R12" s="2"/>
      <c r="S12" s="2"/>
      <c r="T12" s="3">
        <v>91.2</v>
      </c>
      <c r="U12" s="2"/>
    </row>
    <row r="13" spans="1:22" ht="16" thickBot="1" x14ac:dyDescent="0.25">
      <c r="A13" s="4" t="s">
        <v>149</v>
      </c>
      <c r="B13" s="34" t="str" cm="1">
        <f t="array" ref="B13:C13">_xlfn.XLOOKUP(A13,'Player List'!$A$2:$A$177,'Player List'!$B$2:$C$177)</f>
        <v>Ireland</v>
      </c>
      <c r="C13" s="34" t="str">
        <v>Back Three</v>
      </c>
      <c r="D13" s="34" t="str">
        <f t="shared" si="0"/>
        <v>Win</v>
      </c>
      <c r="E13" s="5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0.8</v>
      </c>
      <c r="U13" s="5"/>
    </row>
    <row r="14" spans="1:22" ht="16" thickBot="1" x14ac:dyDescent="0.25">
      <c r="A14" s="7" t="s">
        <v>129</v>
      </c>
      <c r="B14" s="34" t="str" cm="1">
        <f t="array" ref="B14:C14">_xlfn.XLOOKUP(A14,'Player List'!$A$2:$A$177,'Player List'!$B$2:$C$177)</f>
        <v>Ireland</v>
      </c>
      <c r="C14" s="34" t="str">
        <v>Centre</v>
      </c>
      <c r="D14" s="34" t="str">
        <f t="shared" si="0"/>
        <v>Win</v>
      </c>
      <c r="E14" s="2">
        <v>80</v>
      </c>
      <c r="F14" s="2">
        <v>7</v>
      </c>
      <c r="G14" s="2"/>
      <c r="H14" s="2">
        <v>1</v>
      </c>
      <c r="I14" s="2">
        <v>107</v>
      </c>
      <c r="J14" s="2"/>
      <c r="K14" s="2"/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3">
        <v>72.400000000000006</v>
      </c>
      <c r="U14" s="2"/>
    </row>
    <row r="15" spans="1:22" ht="16" thickBot="1" x14ac:dyDescent="0.25">
      <c r="A15" s="8" t="s">
        <v>130</v>
      </c>
      <c r="B15" s="34" t="str" cm="1">
        <f t="array" ref="B15:C15">_xlfn.XLOOKUP(A15,'Player List'!$A$2:$A$177,'Player List'!$B$2:$C$177)</f>
        <v>Ireland</v>
      </c>
      <c r="C15" s="34" t="str">
        <v>Centre</v>
      </c>
      <c r="D15" s="34" t="str">
        <f t="shared" si="0"/>
        <v>Win</v>
      </c>
      <c r="E15" s="5">
        <v>72</v>
      </c>
      <c r="F15" s="5">
        <v>14</v>
      </c>
      <c r="G15" s="5"/>
      <c r="H15" s="5"/>
      <c r="I15" s="5">
        <v>69</v>
      </c>
      <c r="J15" s="5"/>
      <c r="K15" s="5"/>
      <c r="L15" s="5"/>
      <c r="M15" s="5"/>
      <c r="N15" s="5">
        <v>1</v>
      </c>
      <c r="O15" s="5"/>
      <c r="P15" s="5"/>
      <c r="Q15" s="5"/>
      <c r="R15" s="5"/>
      <c r="S15" s="5"/>
      <c r="T15" s="6">
        <v>42</v>
      </c>
      <c r="U15" s="5"/>
    </row>
    <row r="16" spans="1:22" ht="16" thickBot="1" x14ac:dyDescent="0.25">
      <c r="A16" s="9" t="s">
        <v>132</v>
      </c>
      <c r="B16" s="34" t="str" cm="1">
        <f t="array" ref="B16:C16">_xlfn.XLOOKUP(A16,'Player List'!$A$2:$A$177,'Player List'!$B$2:$C$177)</f>
        <v>Ireland</v>
      </c>
      <c r="C16" s="34" t="str">
        <v>Fly Half</v>
      </c>
      <c r="D16" s="34" t="str">
        <f t="shared" si="0"/>
        <v>Win</v>
      </c>
      <c r="E16" s="2">
        <v>78</v>
      </c>
      <c r="F16" s="2">
        <v>4</v>
      </c>
      <c r="G16" s="2"/>
      <c r="H16" s="2"/>
      <c r="I16" s="2">
        <v>12</v>
      </c>
      <c r="J16" s="2"/>
      <c r="K16" s="2"/>
      <c r="L16" s="2"/>
      <c r="M16" s="2"/>
      <c r="N16" s="2"/>
      <c r="O16" s="2">
        <v>3</v>
      </c>
      <c r="P16" s="2">
        <v>1</v>
      </c>
      <c r="Q16" s="2"/>
      <c r="R16" s="2"/>
      <c r="S16" s="2"/>
      <c r="T16" s="3">
        <v>25.2</v>
      </c>
      <c r="U16" s="2"/>
    </row>
    <row r="17" spans="1:21" ht="16" thickBot="1" x14ac:dyDescent="0.25">
      <c r="A17" s="10" t="s">
        <v>150</v>
      </c>
      <c r="B17" s="34" t="str" cm="1">
        <f t="array" ref="B17:C17">_xlfn.XLOOKUP(A17,'Player List'!$A$2:$A$177,'Player List'!$B$2:$C$177)</f>
        <v>Ireland</v>
      </c>
      <c r="C17" s="34" t="str">
        <v>Fly Half</v>
      </c>
      <c r="D17" s="34" t="str">
        <f t="shared" si="0"/>
        <v>Win</v>
      </c>
      <c r="E17" s="5">
        <v>2</v>
      </c>
      <c r="F17" s="5">
        <v>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>
        <v>2.2000000000000002</v>
      </c>
      <c r="U17" s="5"/>
    </row>
    <row r="18" spans="1:21" ht="16" thickBot="1" x14ac:dyDescent="0.25">
      <c r="A18" s="11" t="s">
        <v>134</v>
      </c>
      <c r="B18" s="34" t="str" cm="1">
        <f t="array" ref="B18:C18">_xlfn.XLOOKUP(A18,'Player List'!$A$2:$A$177,'Player List'!$B$2:$C$177)</f>
        <v>Ireland</v>
      </c>
      <c r="C18" s="34" t="str">
        <v>Scrum Half</v>
      </c>
      <c r="D18" s="34" t="str">
        <f t="shared" si="0"/>
        <v>Win</v>
      </c>
      <c r="E18" s="2">
        <v>65</v>
      </c>
      <c r="F18" s="2">
        <v>2</v>
      </c>
      <c r="G18" s="2"/>
      <c r="H18" s="2"/>
      <c r="I18" s="2">
        <v>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v>9.3000000000000007</v>
      </c>
      <c r="U18" s="2"/>
    </row>
    <row r="19" spans="1:21" ht="16" thickBot="1" x14ac:dyDescent="0.25">
      <c r="A19" s="12" t="s">
        <v>135</v>
      </c>
      <c r="B19" s="34" t="str" cm="1">
        <f t="array" ref="B19:C19">_xlfn.XLOOKUP(A19,'Player List'!$A$2:$A$177,'Player List'!$B$2:$C$177)</f>
        <v>Ireland</v>
      </c>
      <c r="C19" s="34" t="str">
        <v>Scrum Half</v>
      </c>
      <c r="D19" s="34" t="str">
        <f t="shared" si="0"/>
        <v>Win</v>
      </c>
      <c r="E19" s="5">
        <v>15</v>
      </c>
      <c r="F19" s="5">
        <v>1</v>
      </c>
      <c r="G19" s="5"/>
      <c r="H19" s="5"/>
      <c r="I19" s="5">
        <v>6</v>
      </c>
      <c r="J19" s="5"/>
      <c r="K19" s="5"/>
      <c r="L19" s="5"/>
      <c r="M19" s="5"/>
      <c r="N19" s="5">
        <v>1</v>
      </c>
      <c r="O19" s="5"/>
      <c r="P19" s="5"/>
      <c r="Q19" s="5"/>
      <c r="R19" s="5"/>
      <c r="S19" s="5"/>
      <c r="T19" s="6">
        <v>10.7</v>
      </c>
      <c r="U19" s="5"/>
    </row>
    <row r="20" spans="1:21" ht="16" thickBot="1" x14ac:dyDescent="0.25">
      <c r="A20" s="13" t="s">
        <v>136</v>
      </c>
      <c r="B20" s="34" t="str" cm="1">
        <f t="array" ref="B20:C20">_xlfn.XLOOKUP(A20,'Player List'!$A$2:$A$177,'Player List'!$B$2:$C$177)</f>
        <v>Ireland</v>
      </c>
      <c r="C20" s="34" t="str">
        <v>Back Row</v>
      </c>
      <c r="D20" s="34" t="str">
        <f t="shared" si="0"/>
        <v>Win</v>
      </c>
      <c r="E20" s="2">
        <v>56</v>
      </c>
      <c r="F20" s="2">
        <v>4</v>
      </c>
      <c r="G20" s="2"/>
      <c r="H20" s="2"/>
      <c r="I20" s="2">
        <v>42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v>18</v>
      </c>
      <c r="U20" s="2"/>
    </row>
    <row r="21" spans="1:21" ht="16" thickBot="1" x14ac:dyDescent="0.25">
      <c r="A21" s="14" t="s">
        <v>137</v>
      </c>
      <c r="B21" s="34" t="str" cm="1">
        <f t="array" ref="B21:C21">_xlfn.XLOOKUP(A21,'Player List'!$A$2:$A$177,'Player List'!$B$2:$C$177)</f>
        <v>Ireland</v>
      </c>
      <c r="C21" s="34" t="str">
        <v>Back Row</v>
      </c>
      <c r="D21" s="34" t="str">
        <f t="shared" si="0"/>
        <v>Win</v>
      </c>
      <c r="E21" s="5">
        <v>80</v>
      </c>
      <c r="F21" s="5">
        <v>10</v>
      </c>
      <c r="G21" s="5">
        <v>1</v>
      </c>
      <c r="H21" s="5"/>
      <c r="I21" s="5">
        <v>43</v>
      </c>
      <c r="J21" s="5"/>
      <c r="K21" s="5"/>
      <c r="L21" s="5">
        <v>1</v>
      </c>
      <c r="M21" s="5"/>
      <c r="N21" s="5"/>
      <c r="O21" s="5"/>
      <c r="P21" s="5"/>
      <c r="Q21" s="5"/>
      <c r="R21" s="5"/>
      <c r="S21" s="5"/>
      <c r="T21" s="6">
        <v>40.6</v>
      </c>
      <c r="U21" s="5"/>
    </row>
    <row r="22" spans="1:21" ht="16" thickBot="1" x14ac:dyDescent="0.25">
      <c r="A22" s="13" t="s">
        <v>138</v>
      </c>
      <c r="B22" s="34" t="str" cm="1">
        <f t="array" ref="B22:C22">_xlfn.XLOOKUP(A22,'Player List'!$A$2:$A$177,'Player List'!$B$2:$C$177)</f>
        <v>Ireland</v>
      </c>
      <c r="C22" s="34" t="str">
        <v>Back Row</v>
      </c>
      <c r="D22" s="34" t="str">
        <f t="shared" si="0"/>
        <v>Win</v>
      </c>
      <c r="E22" s="2">
        <v>24</v>
      </c>
      <c r="F22" s="2">
        <v>4</v>
      </c>
      <c r="G22" s="2">
        <v>1</v>
      </c>
      <c r="H22" s="2"/>
      <c r="I22" s="2">
        <v>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v>14.2</v>
      </c>
      <c r="U22" s="2"/>
    </row>
    <row r="23" spans="1:21" ht="16" thickBot="1" x14ac:dyDescent="0.25">
      <c r="A23" s="14" t="s">
        <v>139</v>
      </c>
      <c r="B23" s="34" t="str" cm="1">
        <f t="array" ref="B23:C23">_xlfn.XLOOKUP(A23,'Player List'!$A$2:$A$177,'Player List'!$B$2:$C$177)</f>
        <v>Ireland</v>
      </c>
      <c r="C23" s="34" t="str">
        <v>Back Row</v>
      </c>
      <c r="D23" s="34" t="str">
        <f t="shared" si="0"/>
        <v>Win</v>
      </c>
      <c r="E23" s="5">
        <v>80</v>
      </c>
      <c r="F23" s="5">
        <v>12</v>
      </c>
      <c r="G23" s="5"/>
      <c r="H23" s="5">
        <v>1</v>
      </c>
      <c r="I23" s="5">
        <v>52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37.4</v>
      </c>
      <c r="U23" s="5"/>
    </row>
    <row r="24" spans="1:21" ht="16" thickBot="1" x14ac:dyDescent="0.25">
      <c r="A24" s="15" t="s">
        <v>151</v>
      </c>
      <c r="B24" s="34" t="str" cm="1">
        <f t="array" ref="B24:C24">_xlfn.XLOOKUP(A24,'Player List'!$A$2:$A$177,'Player List'!$B$2:$C$177)</f>
        <v>Ireland</v>
      </c>
      <c r="C24" s="34" t="str">
        <v>Second Row</v>
      </c>
      <c r="D24" s="34" t="str">
        <f t="shared" si="0"/>
        <v>Win</v>
      </c>
      <c r="E24" s="2">
        <v>28</v>
      </c>
      <c r="F24" s="2">
        <v>1</v>
      </c>
      <c r="G24" s="2">
        <v>1</v>
      </c>
      <c r="H24" s="2"/>
      <c r="I24" s="2">
        <v>8</v>
      </c>
      <c r="J24" s="2"/>
      <c r="K24" s="2">
        <v>1</v>
      </c>
      <c r="L24" s="2">
        <v>1</v>
      </c>
      <c r="M24" s="2"/>
      <c r="N24" s="2"/>
      <c r="O24" s="2"/>
      <c r="P24" s="2"/>
      <c r="Q24" s="2"/>
      <c r="R24" s="2"/>
      <c r="S24" s="2"/>
      <c r="T24" s="3">
        <v>26.4</v>
      </c>
      <c r="U24" s="2"/>
    </row>
    <row r="25" spans="1:21" ht="16" thickBot="1" x14ac:dyDescent="0.25">
      <c r="A25" s="16" t="s">
        <v>141</v>
      </c>
      <c r="B25" s="34" t="str" cm="1">
        <f t="array" ref="B25:C25">_xlfn.XLOOKUP(A25,'Player List'!$A$2:$A$177,'Player List'!$B$2:$C$177)</f>
        <v>Ireland</v>
      </c>
      <c r="C25" s="34" t="str">
        <v>Second Row</v>
      </c>
      <c r="D25" s="34" t="str">
        <f t="shared" si="0"/>
        <v>Win</v>
      </c>
      <c r="E25" s="5">
        <v>52</v>
      </c>
      <c r="F25" s="5">
        <v>7</v>
      </c>
      <c r="G25" s="5"/>
      <c r="H25" s="5"/>
      <c r="I25" s="5">
        <v>13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14.8</v>
      </c>
      <c r="U25" s="5"/>
    </row>
    <row r="26" spans="1:21" ht="16" thickBot="1" x14ac:dyDescent="0.25">
      <c r="A26" s="15" t="s">
        <v>142</v>
      </c>
      <c r="B26" s="34" t="str" cm="1">
        <f t="array" ref="B26:C26">_xlfn.XLOOKUP(A26,'Player List'!$A$2:$A$177,'Player List'!$B$2:$C$177)</f>
        <v>Ireland</v>
      </c>
      <c r="C26" s="34" t="str">
        <v>Second Row</v>
      </c>
      <c r="D26" s="34" t="str">
        <f t="shared" si="0"/>
        <v>Win</v>
      </c>
      <c r="E26" s="2">
        <v>80</v>
      </c>
      <c r="F26" s="2">
        <v>9</v>
      </c>
      <c r="G26" s="2">
        <v>1</v>
      </c>
      <c r="H26" s="2"/>
      <c r="I26" s="2">
        <v>53</v>
      </c>
      <c r="J26" s="2"/>
      <c r="K26" s="2"/>
      <c r="L26" s="2"/>
      <c r="M26" s="2">
        <v>1</v>
      </c>
      <c r="N26" s="2"/>
      <c r="O26" s="2"/>
      <c r="P26" s="2"/>
      <c r="Q26" s="2"/>
      <c r="R26" s="2"/>
      <c r="S26" s="2"/>
      <c r="T26" s="3">
        <v>49.6</v>
      </c>
      <c r="U26" s="2"/>
    </row>
    <row r="27" spans="1:21" ht="16" thickBot="1" x14ac:dyDescent="0.25">
      <c r="A27" s="17" t="s">
        <v>143</v>
      </c>
      <c r="B27" s="34" t="str" cm="1">
        <f t="array" ref="B27:C27">_xlfn.XLOOKUP(A27,'Player List'!$A$2:$A$177,'Player List'!$B$2:$C$177)</f>
        <v>Ireland</v>
      </c>
      <c r="C27" s="34" t="str">
        <v>Prop</v>
      </c>
      <c r="D27" s="34" t="str">
        <f t="shared" si="0"/>
        <v>Win</v>
      </c>
      <c r="E27" s="5">
        <v>37</v>
      </c>
      <c r="F27" s="5">
        <v>2</v>
      </c>
      <c r="G27" s="5">
        <v>1</v>
      </c>
      <c r="H27" s="5"/>
      <c r="I27" s="5">
        <v>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6">
        <v>12.9</v>
      </c>
      <c r="U27" s="5"/>
    </row>
    <row r="28" spans="1:21" ht="16" thickBot="1" x14ac:dyDescent="0.25">
      <c r="A28" s="18" t="s">
        <v>144</v>
      </c>
      <c r="B28" s="34" t="str" cm="1">
        <f t="array" ref="B28:C28">_xlfn.XLOOKUP(A28,'Player List'!$A$2:$A$177,'Player List'!$B$2:$C$177)</f>
        <v>Ireland</v>
      </c>
      <c r="C28" s="34" t="str">
        <v>Prop</v>
      </c>
      <c r="D28" s="34" t="str">
        <f t="shared" si="0"/>
        <v>Win</v>
      </c>
      <c r="E28" s="2">
        <v>15</v>
      </c>
      <c r="F28" s="2"/>
      <c r="G28" s="2">
        <v>1</v>
      </c>
      <c r="H28" s="2"/>
      <c r="I28" s="2">
        <v>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3">
        <v>9.9</v>
      </c>
      <c r="U28" s="2"/>
    </row>
    <row r="29" spans="1:21" ht="16" thickBot="1" x14ac:dyDescent="0.25">
      <c r="A29" s="17" t="s">
        <v>145</v>
      </c>
      <c r="B29" s="34" t="str" cm="1">
        <f t="array" ref="B29:C29">_xlfn.XLOOKUP(A29,'Player List'!$A$2:$A$177,'Player List'!$B$2:$C$177)</f>
        <v>Ireland</v>
      </c>
      <c r="C29" s="34" t="str">
        <v>Prop</v>
      </c>
      <c r="D29" s="34" t="str">
        <f t="shared" si="0"/>
        <v>Win</v>
      </c>
      <c r="E29" s="5">
        <v>43</v>
      </c>
      <c r="F29" s="5">
        <v>6</v>
      </c>
      <c r="G29" s="5"/>
      <c r="H29" s="5"/>
      <c r="I29" s="5">
        <v>24</v>
      </c>
      <c r="J29" s="5"/>
      <c r="K29" s="5"/>
      <c r="L29" s="5">
        <v>1</v>
      </c>
      <c r="M29" s="5"/>
      <c r="N29" s="5"/>
      <c r="O29" s="5"/>
      <c r="P29" s="5"/>
      <c r="Q29" s="5"/>
      <c r="R29" s="5"/>
      <c r="S29" s="5"/>
      <c r="T29" s="6">
        <v>22.1</v>
      </c>
      <c r="U29" s="5"/>
    </row>
    <row r="30" spans="1:21" ht="16" thickBot="1" x14ac:dyDescent="0.25">
      <c r="A30" s="18" t="s">
        <v>146</v>
      </c>
      <c r="B30" s="34" t="str" cm="1">
        <f t="array" ref="B30:C30">_xlfn.XLOOKUP(A30,'Player List'!$A$2:$A$177,'Player List'!$B$2:$C$177)</f>
        <v>Ireland</v>
      </c>
      <c r="C30" s="34" t="str">
        <v>Prop</v>
      </c>
      <c r="D30" s="34" t="str">
        <f t="shared" si="0"/>
        <v>Win</v>
      </c>
      <c r="E30" s="2">
        <v>65</v>
      </c>
      <c r="F30" s="2">
        <v>3</v>
      </c>
      <c r="G30" s="2"/>
      <c r="H30" s="2"/>
      <c r="I30" s="2">
        <v>10</v>
      </c>
      <c r="J30" s="2"/>
      <c r="K30" s="2"/>
      <c r="L30" s="2">
        <v>1</v>
      </c>
      <c r="M30" s="2"/>
      <c r="N30" s="2"/>
      <c r="O30" s="2"/>
      <c r="P30" s="2"/>
      <c r="Q30" s="2"/>
      <c r="R30" s="2"/>
      <c r="S30" s="2"/>
      <c r="T30" s="3">
        <v>18.5</v>
      </c>
      <c r="U30" s="2"/>
    </row>
    <row r="31" spans="1:21" ht="16" thickBot="1" x14ac:dyDescent="0.25">
      <c r="A31" s="19" t="s">
        <v>148</v>
      </c>
      <c r="B31" s="34" t="str" cm="1">
        <f t="array" ref="B31:C31">_xlfn.XLOOKUP(A31,'Player List'!$A$2:$A$177,'Player List'!$B$2:$C$177)</f>
        <v>Ireland</v>
      </c>
      <c r="C31" s="34" t="str">
        <v>Hooker</v>
      </c>
      <c r="D31" s="34" t="str">
        <f t="shared" si="0"/>
        <v>Win</v>
      </c>
      <c r="E31" s="5">
        <v>56</v>
      </c>
      <c r="F31" s="5">
        <v>9</v>
      </c>
      <c r="G31" s="5"/>
      <c r="H31" s="5"/>
      <c r="I31" s="5">
        <v>23</v>
      </c>
      <c r="J31" s="5"/>
      <c r="K31" s="5"/>
      <c r="L31" s="5">
        <v>1</v>
      </c>
      <c r="M31" s="5"/>
      <c r="N31" s="5"/>
      <c r="O31" s="5"/>
      <c r="P31" s="5"/>
      <c r="Q31" s="5"/>
      <c r="R31" s="5"/>
      <c r="S31" s="5"/>
      <c r="T31" s="6">
        <v>26.2</v>
      </c>
      <c r="U31" s="5"/>
    </row>
    <row r="32" spans="1:21" ht="16" thickBot="1" x14ac:dyDescent="0.25">
      <c r="A32" s="20" t="s">
        <v>152</v>
      </c>
      <c r="B32" s="34" t="str" cm="1">
        <f t="array" ref="B32:C32">_xlfn.XLOOKUP(A32,'Player List'!$A$2:$A$177,'Player List'!$B$2:$C$177)</f>
        <v>Ireland</v>
      </c>
      <c r="C32" s="34" t="str">
        <v>Hooker</v>
      </c>
      <c r="D32" s="34" t="str">
        <f t="shared" si="0"/>
        <v>Win</v>
      </c>
      <c r="E32" s="2">
        <v>24</v>
      </c>
      <c r="F32" s="2">
        <v>2</v>
      </c>
      <c r="G32" s="2">
        <v>2</v>
      </c>
      <c r="H32" s="2"/>
      <c r="I32" s="2">
        <v>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3">
        <v>19.399999999999999</v>
      </c>
      <c r="U32" s="2"/>
    </row>
    <row r="33" spans="1:21" ht="16" thickBot="1" x14ac:dyDescent="0.25">
      <c r="A33" s="1" t="s">
        <v>103</v>
      </c>
      <c r="B33" s="34" t="str" cm="1">
        <f t="array" ref="B33:C33">_xlfn.XLOOKUP(A33,'Player List'!$A$2:$A$177,'Player List'!$B$2:$C$177)</f>
        <v>Italy</v>
      </c>
      <c r="C33" s="34" t="str">
        <v>Back Three</v>
      </c>
      <c r="D33" s="34" t="str">
        <f t="shared" si="0"/>
        <v>Loss</v>
      </c>
      <c r="E33" s="2">
        <v>80</v>
      </c>
      <c r="F33" s="2">
        <v>3</v>
      </c>
      <c r="G33" s="2"/>
      <c r="H33" s="2">
        <v>1</v>
      </c>
      <c r="I33" s="2">
        <v>176</v>
      </c>
      <c r="J33" s="2"/>
      <c r="K33" s="2"/>
      <c r="L33" s="2"/>
      <c r="M33" s="2">
        <v>1</v>
      </c>
      <c r="N33" s="2"/>
      <c r="O33" s="2"/>
      <c r="P33" s="2"/>
      <c r="Q33" s="2"/>
      <c r="R33" s="2"/>
      <c r="S33" s="2"/>
      <c r="T33" s="3">
        <v>60.2</v>
      </c>
      <c r="U33" s="2"/>
    </row>
    <row r="34" spans="1:21" ht="16" thickBot="1" x14ac:dyDescent="0.25">
      <c r="A34" s="4" t="s">
        <v>104</v>
      </c>
      <c r="B34" s="34" t="str" cm="1">
        <f t="array" ref="B34:C34">_xlfn.XLOOKUP(A34,'Player List'!$A$2:$A$177,'Player List'!$B$2:$C$177)</f>
        <v>Italy</v>
      </c>
      <c r="C34" s="34" t="str">
        <v>Back Three</v>
      </c>
      <c r="D34" s="34" t="str">
        <f t="shared" si="0"/>
        <v>Loss</v>
      </c>
      <c r="E34" s="5">
        <v>80</v>
      </c>
      <c r="F34" s="5">
        <v>3</v>
      </c>
      <c r="G34" s="5">
        <v>1</v>
      </c>
      <c r="H34" s="5">
        <v>1</v>
      </c>
      <c r="I34" s="5">
        <v>60</v>
      </c>
      <c r="J34" s="5"/>
      <c r="K34" s="5"/>
      <c r="L34" s="5">
        <v>1</v>
      </c>
      <c r="M34" s="5"/>
      <c r="N34" s="5"/>
      <c r="O34" s="5"/>
      <c r="P34" s="5"/>
      <c r="Q34" s="5"/>
      <c r="R34" s="5"/>
      <c r="S34" s="5"/>
      <c r="T34" s="6">
        <v>36</v>
      </c>
      <c r="U34" s="5"/>
    </row>
    <row r="35" spans="1:21" ht="16" thickBot="1" x14ac:dyDescent="0.25">
      <c r="A35" s="1" t="s">
        <v>105</v>
      </c>
      <c r="B35" s="34" t="str" cm="1">
        <f t="array" ref="B35:C35">_xlfn.XLOOKUP(A35,'Player List'!$A$2:$A$177,'Player List'!$B$2:$C$177)</f>
        <v>Italy</v>
      </c>
      <c r="C35" s="34" t="str">
        <v>Back Three</v>
      </c>
      <c r="D35" s="34" t="str">
        <f t="shared" si="0"/>
        <v>Loss</v>
      </c>
      <c r="E35" s="2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>
        <v>0</v>
      </c>
      <c r="U35" s="2"/>
    </row>
    <row r="36" spans="1:21" ht="16" thickBot="1" x14ac:dyDescent="0.25">
      <c r="A36" s="4" t="s">
        <v>106</v>
      </c>
      <c r="B36" s="34" t="str" cm="1">
        <f t="array" ref="B36:C36">_xlfn.XLOOKUP(A36,'Player List'!$A$2:$A$177,'Player List'!$B$2:$C$177)</f>
        <v>Italy</v>
      </c>
      <c r="C36" s="34" t="str">
        <v>Back Three</v>
      </c>
      <c r="D36" s="34" t="str">
        <f t="shared" si="0"/>
        <v>Loss</v>
      </c>
      <c r="E36" s="5">
        <v>78</v>
      </c>
      <c r="F36" s="5">
        <v>12</v>
      </c>
      <c r="G36" s="5"/>
      <c r="H36" s="5">
        <v>1</v>
      </c>
      <c r="I36" s="5">
        <v>72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6">
        <v>33.4</v>
      </c>
      <c r="U36" s="5"/>
    </row>
    <row r="37" spans="1:21" ht="16" thickBot="1" x14ac:dyDescent="0.25">
      <c r="A37" s="1" t="s">
        <v>107</v>
      </c>
      <c r="B37" s="34" t="str" cm="1">
        <f t="array" ref="B37:C37">_xlfn.XLOOKUP(A37,'Player List'!$A$2:$A$177,'Player List'!$B$2:$C$177)</f>
        <v>Italy</v>
      </c>
      <c r="C37" s="34" t="str">
        <v>Back Three</v>
      </c>
      <c r="D37" s="34" t="str">
        <f t="shared" si="0"/>
        <v>Loss</v>
      </c>
      <c r="E37" s="2">
        <v>80</v>
      </c>
      <c r="F37" s="2"/>
      <c r="G37" s="2"/>
      <c r="H37" s="2"/>
      <c r="I37" s="2">
        <v>51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3">
        <v>10.199999999999999</v>
      </c>
      <c r="U37" s="2"/>
    </row>
    <row r="38" spans="1:21" ht="16" thickBot="1" x14ac:dyDescent="0.25">
      <c r="A38" s="8" t="s">
        <v>108</v>
      </c>
      <c r="B38" s="34" t="str" cm="1">
        <f t="array" ref="B38:C38">_xlfn.XLOOKUP(A38,'Player List'!$A$2:$A$177,'Player List'!$B$2:$C$177)</f>
        <v>Italy</v>
      </c>
      <c r="C38" s="34" t="str">
        <v>Centre</v>
      </c>
      <c r="D38" s="34" t="str">
        <f t="shared" si="0"/>
        <v>Loss</v>
      </c>
      <c r="E38" s="5">
        <v>80</v>
      </c>
      <c r="F38" s="5">
        <v>8</v>
      </c>
      <c r="G38" s="5">
        <v>1</v>
      </c>
      <c r="H38" s="5"/>
      <c r="I38" s="5">
        <v>26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6">
        <v>20.2</v>
      </c>
      <c r="U38" s="5"/>
    </row>
    <row r="39" spans="1:21" ht="16" thickBot="1" x14ac:dyDescent="0.25">
      <c r="A39" s="7" t="s">
        <v>109</v>
      </c>
      <c r="B39" s="34" t="str" cm="1">
        <f t="array" ref="B39:C39">_xlfn.XLOOKUP(A39,'Player List'!$A$2:$A$177,'Player List'!$B$2:$C$177)</f>
        <v>Italy</v>
      </c>
      <c r="C39" s="34" t="str">
        <v>Centre</v>
      </c>
      <c r="D39" s="34" t="str">
        <f t="shared" si="0"/>
        <v>Loss</v>
      </c>
      <c r="E39" s="2">
        <v>2</v>
      </c>
      <c r="F39" s="2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>
        <v>1</v>
      </c>
      <c r="U39" s="2"/>
    </row>
    <row r="40" spans="1:21" ht="16" thickBot="1" x14ac:dyDescent="0.25">
      <c r="A40" s="10" t="s">
        <v>110</v>
      </c>
      <c r="B40" s="34" t="str" cm="1">
        <f t="array" ref="B40:C40">_xlfn.XLOOKUP(A40,'Player List'!$A$2:$A$177,'Player List'!$B$2:$C$177)</f>
        <v>Italy</v>
      </c>
      <c r="C40" s="34" t="str">
        <v>Fly Half</v>
      </c>
      <c r="D40" s="34" t="str">
        <f t="shared" si="0"/>
        <v>Loss</v>
      </c>
      <c r="E40" s="5">
        <v>8</v>
      </c>
      <c r="F40" s="5">
        <v>1</v>
      </c>
      <c r="G40" s="5"/>
      <c r="H40" s="5"/>
      <c r="I40" s="5">
        <v>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6">
        <v>3.8</v>
      </c>
      <c r="U40" s="5"/>
    </row>
    <row r="41" spans="1:21" ht="16" thickBot="1" x14ac:dyDescent="0.25">
      <c r="A41" s="9" t="s">
        <v>153</v>
      </c>
      <c r="B41" s="34" t="str" cm="1">
        <f t="array" ref="B41:C41">_xlfn.XLOOKUP(A41,'Player List'!$A$2:$A$177,'Player List'!$B$2:$C$177)</f>
        <v>Italy</v>
      </c>
      <c r="C41" s="34" t="str">
        <v>Fly Half</v>
      </c>
      <c r="D41" s="34" t="str">
        <f t="shared" si="0"/>
        <v>Loss</v>
      </c>
      <c r="E41" s="2">
        <v>72</v>
      </c>
      <c r="F41" s="2">
        <v>5</v>
      </c>
      <c r="G41" s="2"/>
      <c r="H41" s="2"/>
      <c r="I41" s="2">
        <v>42</v>
      </c>
      <c r="J41" s="2"/>
      <c r="K41" s="2"/>
      <c r="L41" s="2"/>
      <c r="M41" s="2"/>
      <c r="N41" s="2"/>
      <c r="O41" s="2">
        <v>2</v>
      </c>
      <c r="P41" s="2">
        <v>2</v>
      </c>
      <c r="Q41" s="2"/>
      <c r="R41" s="2"/>
      <c r="S41" s="2"/>
      <c r="T41" s="3">
        <v>27.4</v>
      </c>
      <c r="U41" s="2"/>
    </row>
    <row r="42" spans="1:21" ht="16" thickBot="1" x14ac:dyDescent="0.25">
      <c r="A42" s="12" t="s">
        <v>111</v>
      </c>
      <c r="B42" s="34" t="str" cm="1">
        <f t="array" ref="B42:C42">_xlfn.XLOOKUP(A42,'Player List'!$A$2:$A$177,'Player List'!$B$2:$C$177)</f>
        <v>Italy</v>
      </c>
      <c r="C42" s="34" t="str">
        <v>Scrum Half</v>
      </c>
      <c r="D42" s="34" t="str">
        <f t="shared" si="0"/>
        <v>Loss</v>
      </c>
      <c r="E42" s="5">
        <v>67</v>
      </c>
      <c r="F42" s="5">
        <v>1</v>
      </c>
      <c r="G42" s="5">
        <v>1</v>
      </c>
      <c r="H42" s="5"/>
      <c r="I42" s="5">
        <v>12</v>
      </c>
      <c r="J42" s="5"/>
      <c r="K42" s="5"/>
      <c r="L42" s="5"/>
      <c r="M42" s="5">
        <v>1</v>
      </c>
      <c r="N42" s="5"/>
      <c r="O42" s="5"/>
      <c r="P42" s="5"/>
      <c r="Q42" s="5"/>
      <c r="R42" s="5"/>
      <c r="S42" s="5"/>
      <c r="T42" s="6">
        <v>25.4</v>
      </c>
      <c r="U42" s="5"/>
    </row>
    <row r="43" spans="1:21" ht="16" thickBot="1" x14ac:dyDescent="0.25">
      <c r="A43" s="13" t="s">
        <v>112</v>
      </c>
      <c r="B43" s="34" t="str" cm="1">
        <f t="array" ref="B43:C43">_xlfn.XLOOKUP(A43,'Player List'!$A$2:$A$177,'Player List'!$B$2:$C$177)</f>
        <v>Italy</v>
      </c>
      <c r="C43" s="34" t="str">
        <v>Back Row</v>
      </c>
      <c r="D43" s="34" t="str">
        <f t="shared" si="0"/>
        <v>Loss</v>
      </c>
      <c r="E43" s="2">
        <v>15</v>
      </c>
      <c r="F43" s="2">
        <v>4</v>
      </c>
      <c r="G43" s="2">
        <v>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>
        <v>11</v>
      </c>
      <c r="U43" s="2"/>
    </row>
    <row r="44" spans="1:21" ht="16" thickBot="1" x14ac:dyDescent="0.25">
      <c r="A44" s="14" t="s">
        <v>113</v>
      </c>
      <c r="B44" s="34" t="str" cm="1">
        <f t="array" ref="B44:C44">_xlfn.XLOOKUP(A44,'Player List'!$A$2:$A$177,'Player List'!$B$2:$C$177)</f>
        <v>Italy</v>
      </c>
      <c r="C44" s="34" t="str">
        <v>Back Row</v>
      </c>
      <c r="D44" s="34" t="str">
        <f t="shared" si="0"/>
        <v>Loss</v>
      </c>
      <c r="E44" s="5">
        <v>80</v>
      </c>
      <c r="F44" s="5">
        <v>12</v>
      </c>
      <c r="G44" s="5">
        <v>2</v>
      </c>
      <c r="H44" s="5"/>
      <c r="I44" s="5">
        <v>19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6">
        <v>29.8</v>
      </c>
      <c r="U44" s="5"/>
    </row>
    <row r="45" spans="1:21" ht="16" thickBot="1" x14ac:dyDescent="0.25">
      <c r="A45" s="13" t="s">
        <v>114</v>
      </c>
      <c r="B45" s="34" t="str" cm="1">
        <f t="array" ref="B45:C45">_xlfn.XLOOKUP(A45,'Player List'!$A$2:$A$177,'Player List'!$B$2:$C$177)</f>
        <v>Italy</v>
      </c>
      <c r="C45" s="34" t="str">
        <v>Back Row</v>
      </c>
      <c r="D45" s="34" t="str">
        <f t="shared" si="0"/>
        <v>Loss</v>
      </c>
      <c r="E45" s="2">
        <v>80</v>
      </c>
      <c r="F45" s="2">
        <v>11</v>
      </c>
      <c r="G45" s="2">
        <v>1</v>
      </c>
      <c r="H45" s="2"/>
      <c r="I45" s="2">
        <v>54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3">
        <v>28.8</v>
      </c>
      <c r="U45" s="2"/>
    </row>
    <row r="46" spans="1:21" ht="16" thickBot="1" x14ac:dyDescent="0.25">
      <c r="A46" s="14" t="s">
        <v>154</v>
      </c>
      <c r="B46" s="34" t="str" cm="1">
        <f t="array" ref="B46:C46">_xlfn.XLOOKUP(A46,'Player List'!$A$2:$A$177,'Player List'!$B$2:$C$177)</f>
        <v>Italy</v>
      </c>
      <c r="C46" s="34" t="str">
        <v>Back Row</v>
      </c>
      <c r="D46" s="34" t="str">
        <f t="shared" si="0"/>
        <v>Loss</v>
      </c>
      <c r="E46" s="5">
        <v>15</v>
      </c>
      <c r="F46" s="5">
        <v>4</v>
      </c>
      <c r="G46" s="5"/>
      <c r="H46" s="5">
        <v>1</v>
      </c>
      <c r="I46" s="5">
        <v>33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6">
        <v>17.600000000000001</v>
      </c>
      <c r="U46" s="5"/>
    </row>
    <row r="47" spans="1:21" ht="16" thickBot="1" x14ac:dyDescent="0.25">
      <c r="A47" s="15" t="s">
        <v>117</v>
      </c>
      <c r="B47" s="34" t="str" cm="1">
        <f t="array" ref="B47:C47">_xlfn.XLOOKUP(A47,'Player List'!$A$2:$A$177,'Player List'!$B$2:$C$177)</f>
        <v>Italy</v>
      </c>
      <c r="C47" s="34" t="str">
        <v>Second Row</v>
      </c>
      <c r="D47" s="34" t="str">
        <f t="shared" si="0"/>
        <v>Loss</v>
      </c>
      <c r="E47" s="2">
        <v>65</v>
      </c>
      <c r="F47" s="2">
        <v>12</v>
      </c>
      <c r="G47" s="2">
        <v>1</v>
      </c>
      <c r="H47" s="2"/>
      <c r="I47" s="2">
        <v>16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3">
        <v>22.2</v>
      </c>
      <c r="U47" s="2"/>
    </row>
    <row r="48" spans="1:21" ht="16" thickBot="1" x14ac:dyDescent="0.25">
      <c r="A48" s="16" t="s">
        <v>116</v>
      </c>
      <c r="B48" s="34" t="str" cm="1">
        <f t="array" ref="B48:C48">_xlfn.XLOOKUP(A48,'Player List'!$A$2:$A$177,'Player List'!$B$2:$C$177)</f>
        <v>Italy</v>
      </c>
      <c r="C48" s="34" t="str">
        <v>Second Row</v>
      </c>
      <c r="D48" s="34" t="str">
        <f t="shared" si="0"/>
        <v>Loss</v>
      </c>
      <c r="E48" s="5">
        <v>65</v>
      </c>
      <c r="F48" s="5">
        <v>13</v>
      </c>
      <c r="G48" s="5">
        <v>2</v>
      </c>
      <c r="H48" s="5">
        <v>2</v>
      </c>
      <c r="I48" s="5">
        <v>102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6">
        <v>61.4</v>
      </c>
      <c r="U48" s="5"/>
    </row>
    <row r="49" spans="1:21" ht="16" thickBot="1" x14ac:dyDescent="0.25">
      <c r="A49" s="15" t="s">
        <v>118</v>
      </c>
      <c r="B49" s="34" t="str" cm="1">
        <f t="array" ref="B49:C49">_xlfn.XLOOKUP(A49,'Player List'!$A$2:$A$177,'Player List'!$B$2:$C$177)</f>
        <v>Italy</v>
      </c>
      <c r="C49" s="34" t="str">
        <v>Second Row</v>
      </c>
      <c r="D49" s="34" t="str">
        <f t="shared" si="0"/>
        <v>Loss</v>
      </c>
      <c r="E49" s="2">
        <v>80</v>
      </c>
      <c r="F49" s="2">
        <v>9</v>
      </c>
      <c r="G49" s="2">
        <v>1</v>
      </c>
      <c r="H49" s="2"/>
      <c r="I49" s="2">
        <v>5</v>
      </c>
      <c r="J49" s="2"/>
      <c r="K49" s="2">
        <v>1</v>
      </c>
      <c r="L49" s="2"/>
      <c r="M49" s="2"/>
      <c r="N49" s="2"/>
      <c r="O49" s="2"/>
      <c r="P49" s="2"/>
      <c r="Q49" s="2"/>
      <c r="R49" s="2"/>
      <c r="S49" s="2"/>
      <c r="T49" s="3">
        <v>24</v>
      </c>
      <c r="U49" s="2"/>
    </row>
    <row r="50" spans="1:21" ht="16" thickBot="1" x14ac:dyDescent="0.25">
      <c r="A50" s="17" t="s">
        <v>120</v>
      </c>
      <c r="B50" s="34" t="str" cm="1">
        <f t="array" ref="B50:C50">_xlfn.XLOOKUP(A50,'Player List'!$A$2:$A$177,'Player List'!$B$2:$C$177)</f>
        <v>Italy</v>
      </c>
      <c r="C50" s="34" t="str">
        <v>Prop</v>
      </c>
      <c r="D50" s="34" t="str">
        <f t="shared" si="0"/>
        <v>Loss</v>
      </c>
      <c r="E50" s="5">
        <v>47</v>
      </c>
      <c r="F50" s="5">
        <v>8</v>
      </c>
      <c r="G50" s="5"/>
      <c r="H50" s="5"/>
      <c r="I50" s="5">
        <v>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6">
        <v>9.1999999999999993</v>
      </c>
      <c r="U50" s="5"/>
    </row>
    <row r="51" spans="1:21" ht="16" thickBot="1" x14ac:dyDescent="0.25">
      <c r="A51" s="18" t="s">
        <v>121</v>
      </c>
      <c r="B51" s="34" t="str" cm="1">
        <f t="array" ref="B51:C51">_xlfn.XLOOKUP(A51,'Player List'!$A$2:$A$177,'Player List'!$B$2:$C$177)</f>
        <v>Italy</v>
      </c>
      <c r="C51" s="34" t="str">
        <v>Prop</v>
      </c>
      <c r="D51" s="34" t="str">
        <f t="shared" si="0"/>
        <v>Loss</v>
      </c>
      <c r="E51" s="2">
        <v>60</v>
      </c>
      <c r="F51" s="2">
        <v>10</v>
      </c>
      <c r="G51" s="2">
        <v>3</v>
      </c>
      <c r="H51" s="2"/>
      <c r="I51" s="2">
        <v>28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3">
        <v>36.6</v>
      </c>
      <c r="U51" s="2"/>
    </row>
    <row r="52" spans="1:21" ht="16" thickBot="1" x14ac:dyDescent="0.25">
      <c r="A52" s="17" t="s">
        <v>122</v>
      </c>
      <c r="B52" s="34" t="str" cm="1">
        <f t="array" ref="B52:C52">_xlfn.XLOOKUP(A52,'Player List'!$A$2:$A$177,'Player List'!$B$2:$C$177)</f>
        <v>Italy</v>
      </c>
      <c r="C52" s="34" t="str">
        <v>Prop</v>
      </c>
      <c r="D52" s="34" t="str">
        <f t="shared" si="0"/>
        <v>Loss</v>
      </c>
      <c r="E52" s="5">
        <v>33</v>
      </c>
      <c r="F52" s="5">
        <v>9</v>
      </c>
      <c r="G52" s="5">
        <v>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>
        <v>16</v>
      </c>
      <c r="U52" s="5"/>
    </row>
    <row r="53" spans="1:21" ht="16" thickBot="1" x14ac:dyDescent="0.25">
      <c r="A53" s="18" t="s">
        <v>123</v>
      </c>
      <c r="B53" s="34" t="str" cm="1">
        <f t="array" ref="B53:C53">_xlfn.XLOOKUP(A53,'Player List'!$A$2:$A$177,'Player List'!$B$2:$C$177)</f>
        <v>Italy</v>
      </c>
      <c r="C53" s="34" t="str">
        <v>Prop</v>
      </c>
      <c r="D53" s="34" t="str">
        <f t="shared" si="0"/>
        <v>Loss</v>
      </c>
      <c r="E53" s="2">
        <v>20</v>
      </c>
      <c r="F53" s="2">
        <v>5</v>
      </c>
      <c r="G53" s="2">
        <v>1</v>
      </c>
      <c r="H53" s="2"/>
      <c r="I53" s="2">
        <v>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3">
        <v>12.2</v>
      </c>
      <c r="U53" s="2"/>
    </row>
    <row r="54" spans="1:21" ht="16" thickBot="1" x14ac:dyDescent="0.25">
      <c r="A54" s="19" t="s">
        <v>124</v>
      </c>
      <c r="B54" s="34" t="str" cm="1">
        <f t="array" ref="B54:C54">_xlfn.XLOOKUP(A54,'Player List'!$A$2:$A$177,'Player List'!$B$2:$C$177)</f>
        <v>Italy</v>
      </c>
      <c r="C54" s="34" t="str">
        <v>Hooker</v>
      </c>
      <c r="D54" s="34" t="str">
        <f t="shared" si="0"/>
        <v>Loss</v>
      </c>
      <c r="E54" s="5">
        <v>29</v>
      </c>
      <c r="F54" s="5">
        <v>11</v>
      </c>
      <c r="G54" s="5">
        <v>1</v>
      </c>
      <c r="H54" s="5"/>
      <c r="I54" s="5">
        <v>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6">
        <v>19.2</v>
      </c>
      <c r="U54" s="5"/>
    </row>
    <row r="55" spans="1:21" ht="16" thickBot="1" x14ac:dyDescent="0.25">
      <c r="A55" s="20" t="s">
        <v>125</v>
      </c>
      <c r="B55" s="34" t="str" cm="1">
        <f t="array" ref="B55:C55">_xlfn.XLOOKUP(A55,'Player List'!$A$2:$A$177,'Player List'!$B$2:$C$177)</f>
        <v>Italy</v>
      </c>
      <c r="C55" s="34" t="str">
        <v>Hooker</v>
      </c>
      <c r="D55" s="34" t="str">
        <f t="shared" si="0"/>
        <v>Loss</v>
      </c>
      <c r="E55" s="2">
        <v>51</v>
      </c>
      <c r="F55" s="2">
        <v>7</v>
      </c>
      <c r="G55" s="2">
        <v>1</v>
      </c>
      <c r="H55" s="2"/>
      <c r="I55" s="2">
        <v>22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3">
        <v>18.399999999999999</v>
      </c>
      <c r="U55" s="2"/>
    </row>
    <row r="56" spans="1:21" ht="16" thickBot="1" x14ac:dyDescent="0.25">
      <c r="A56" s="1" t="s">
        <v>57</v>
      </c>
      <c r="B56" s="34" t="str" cm="1">
        <f t="array" ref="B56:C56">_xlfn.XLOOKUP(A56,'Player List'!$A$2:$A$177,'Player List'!$B$2:$C$177)</f>
        <v>Wales</v>
      </c>
      <c r="C56" s="34" t="str">
        <v>Back Three</v>
      </c>
      <c r="D56" s="34" t="str">
        <f t="shared" si="0"/>
        <v>Loss</v>
      </c>
      <c r="E56" s="2">
        <v>54</v>
      </c>
      <c r="F56" s="2">
        <v>6</v>
      </c>
      <c r="G56" s="2"/>
      <c r="H56" s="2"/>
      <c r="I56" s="2">
        <v>17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3">
        <v>9.4</v>
      </c>
      <c r="U56" s="2"/>
    </row>
    <row r="57" spans="1:21" ht="16" thickBot="1" x14ac:dyDescent="0.25">
      <c r="A57" s="4" t="s">
        <v>155</v>
      </c>
      <c r="B57" s="34" t="str" cm="1">
        <f t="array" ref="B57:C57">_xlfn.XLOOKUP(A57,'Player List'!$A$2:$A$177,'Player List'!$B$2:$C$177)</f>
        <v>Wales</v>
      </c>
      <c r="C57" s="34" t="str">
        <v>Back Three</v>
      </c>
      <c r="D57" s="34" t="str">
        <f t="shared" si="0"/>
        <v>Loss</v>
      </c>
      <c r="E57" s="5">
        <v>80</v>
      </c>
      <c r="F57" s="5">
        <v>3</v>
      </c>
      <c r="G57" s="5"/>
      <c r="H57" s="5"/>
      <c r="I57" s="5">
        <v>60</v>
      </c>
      <c r="J57" s="5"/>
      <c r="K57" s="5"/>
      <c r="L57" s="5"/>
      <c r="M57" s="5"/>
      <c r="N57" s="5"/>
      <c r="O57" s="5">
        <v>1</v>
      </c>
      <c r="P57" s="5">
        <v>1</v>
      </c>
      <c r="Q57" s="5"/>
      <c r="R57" s="5"/>
      <c r="S57" s="5"/>
      <c r="T57" s="6">
        <v>22</v>
      </c>
      <c r="U57" s="5"/>
    </row>
    <row r="58" spans="1:21" ht="16" thickBot="1" x14ac:dyDescent="0.25">
      <c r="A58" s="1" t="s">
        <v>156</v>
      </c>
      <c r="B58" s="34" t="str" cm="1">
        <f t="array" ref="B58:C58">_xlfn.XLOOKUP(A58,'Player List'!$A$2:$A$177,'Player List'!$B$2:$C$177)</f>
        <v>Wales</v>
      </c>
      <c r="C58" s="34" t="str">
        <v>Back Three</v>
      </c>
      <c r="D58" s="34" t="str">
        <f t="shared" si="0"/>
        <v>Loss</v>
      </c>
      <c r="E58" s="2">
        <v>80</v>
      </c>
      <c r="F58" s="2">
        <v>2</v>
      </c>
      <c r="G58" s="2">
        <v>2</v>
      </c>
      <c r="H58" s="2">
        <v>3</v>
      </c>
      <c r="I58" s="2">
        <v>125</v>
      </c>
      <c r="J58" s="2"/>
      <c r="K58" s="2"/>
      <c r="L58" s="2"/>
      <c r="M58" s="2">
        <v>1</v>
      </c>
      <c r="N58" s="2"/>
      <c r="O58" s="2"/>
      <c r="P58" s="2"/>
      <c r="Q58" s="2"/>
      <c r="R58" s="2"/>
      <c r="S58" s="2"/>
      <c r="T58" s="3">
        <v>77</v>
      </c>
      <c r="U58" s="2"/>
    </row>
    <row r="59" spans="1:21" ht="16" thickBot="1" x14ac:dyDescent="0.25">
      <c r="A59" s="8" t="s">
        <v>157</v>
      </c>
      <c r="B59" s="34" t="str" cm="1">
        <f t="array" ref="B59:C59">_xlfn.XLOOKUP(A59,'Player List'!$A$2:$A$177,'Player List'!$B$2:$C$177)</f>
        <v>Wales</v>
      </c>
      <c r="C59" s="34" t="str">
        <v>Centre</v>
      </c>
      <c r="D59" s="34" t="str">
        <f t="shared" si="0"/>
        <v>Loss</v>
      </c>
      <c r="E59" s="5">
        <v>80</v>
      </c>
      <c r="F59" s="5">
        <v>8</v>
      </c>
      <c r="G59" s="5"/>
      <c r="H59" s="5"/>
      <c r="I59" s="5">
        <v>48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6">
        <v>17.600000000000001</v>
      </c>
      <c r="U59" s="5"/>
    </row>
    <row r="60" spans="1:21" ht="16" thickBot="1" x14ac:dyDescent="0.25">
      <c r="A60" s="7" t="s">
        <v>61</v>
      </c>
      <c r="B60" s="34" t="str" cm="1">
        <f t="array" ref="B60:C60">_xlfn.XLOOKUP(A60,'Player List'!$A$2:$A$177,'Player List'!$B$2:$C$177)</f>
        <v>Wales</v>
      </c>
      <c r="C60" s="34" t="str">
        <v>Centre</v>
      </c>
      <c r="D60" s="34" t="str">
        <f t="shared" si="0"/>
        <v>Loss</v>
      </c>
      <c r="E60" s="2">
        <v>80</v>
      </c>
      <c r="F60" s="2">
        <v>6</v>
      </c>
      <c r="G60" s="2"/>
      <c r="H60" s="2"/>
      <c r="I60" s="2">
        <v>79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3">
        <v>21.8</v>
      </c>
      <c r="U60" s="2"/>
    </row>
    <row r="61" spans="1:21" ht="16" thickBot="1" x14ac:dyDescent="0.25">
      <c r="A61" s="8" t="s">
        <v>158</v>
      </c>
      <c r="B61" s="34" t="str" cm="1">
        <f t="array" ref="B61:C61">_xlfn.XLOOKUP(A61,'Player List'!$A$2:$A$177,'Player List'!$B$2:$C$177)</f>
        <v>Wales</v>
      </c>
      <c r="C61" s="34" t="str">
        <v>Centre</v>
      </c>
      <c r="D61" s="34" t="str">
        <f t="shared" si="0"/>
        <v>Loss</v>
      </c>
      <c r="E61" s="5">
        <v>26</v>
      </c>
      <c r="F61" s="5">
        <v>5</v>
      </c>
      <c r="G61" s="5"/>
      <c r="H61" s="5"/>
      <c r="I61" s="5">
        <v>29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6">
        <v>10.8</v>
      </c>
      <c r="U61" s="5"/>
    </row>
    <row r="62" spans="1:21" ht="16" thickBot="1" x14ac:dyDescent="0.25">
      <c r="A62" s="9" t="s">
        <v>63</v>
      </c>
      <c r="B62" s="34" t="str" cm="1">
        <f t="array" ref="B62:C62">_xlfn.XLOOKUP(A62,'Player List'!$A$2:$A$177,'Player List'!$B$2:$C$177)</f>
        <v>Wales</v>
      </c>
      <c r="C62" s="34" t="str">
        <v>Fly Half</v>
      </c>
      <c r="D62" s="34" t="str">
        <f t="shared" si="0"/>
        <v>Loss</v>
      </c>
      <c r="E62" s="2">
        <v>26</v>
      </c>
      <c r="F62" s="2">
        <v>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3">
        <v>4</v>
      </c>
      <c r="U62" s="2"/>
    </row>
    <row r="63" spans="1:21" ht="16" thickBot="1" x14ac:dyDescent="0.25">
      <c r="A63" s="10" t="s">
        <v>159</v>
      </c>
      <c r="B63" s="34" t="str" cm="1">
        <f t="array" ref="B63:C63">_xlfn.XLOOKUP(A63,'Player List'!$A$2:$A$177,'Player List'!$B$2:$C$177)</f>
        <v>Wales</v>
      </c>
      <c r="C63" s="34" t="str">
        <v>Fly Half</v>
      </c>
      <c r="D63" s="34" t="str">
        <f t="shared" si="0"/>
        <v>Loss</v>
      </c>
      <c r="E63" s="5">
        <v>54</v>
      </c>
      <c r="F63" s="5">
        <v>6</v>
      </c>
      <c r="G63" s="5"/>
      <c r="H63" s="5"/>
      <c r="I63" s="5">
        <v>24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6">
        <v>10.8</v>
      </c>
      <c r="U63" s="5"/>
    </row>
    <row r="64" spans="1:21" ht="16" thickBot="1" x14ac:dyDescent="0.25">
      <c r="A64" s="11" t="s">
        <v>160</v>
      </c>
      <c r="B64" s="34" t="str" cm="1">
        <f t="array" ref="B64:C64">_xlfn.XLOOKUP(A64,'Player List'!$A$2:$A$177,'Player List'!$B$2:$C$177)</f>
        <v>Wales</v>
      </c>
      <c r="C64" s="34" t="str">
        <v>Scrum Half</v>
      </c>
      <c r="D64" s="34" t="str">
        <f t="shared" si="0"/>
        <v>Loss</v>
      </c>
      <c r="E64" s="2">
        <v>11</v>
      </c>
      <c r="F64" s="2">
        <v>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3">
        <v>4</v>
      </c>
      <c r="U64" s="2"/>
    </row>
    <row r="65" spans="1:21" ht="16" thickBot="1" x14ac:dyDescent="0.25">
      <c r="A65" s="12" t="s">
        <v>66</v>
      </c>
      <c r="B65" s="34" t="str" cm="1">
        <f t="array" ref="B65:C65">_xlfn.XLOOKUP(A65,'Player List'!$A$2:$A$177,'Player List'!$B$2:$C$177)</f>
        <v>Wales</v>
      </c>
      <c r="C65" s="34" t="str">
        <v>Scrum Half</v>
      </c>
      <c r="D65" s="34" t="str">
        <f t="shared" si="0"/>
        <v>Loss</v>
      </c>
      <c r="E65" s="5">
        <v>69</v>
      </c>
      <c r="F65" s="5">
        <v>2</v>
      </c>
      <c r="G65" s="5"/>
      <c r="H65" s="5"/>
      <c r="I65" s="5">
        <v>26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6">
        <v>7.2</v>
      </c>
      <c r="U65" s="5"/>
    </row>
    <row r="66" spans="1:21" ht="16" thickBot="1" x14ac:dyDescent="0.25">
      <c r="A66" s="13" t="s">
        <v>67</v>
      </c>
      <c r="B66" s="34" t="str" cm="1">
        <f t="array" ref="B66:C66">_xlfn.XLOOKUP(A66,'Player List'!$A$2:$A$177,'Player List'!$B$2:$C$177)</f>
        <v>Wales</v>
      </c>
      <c r="C66" s="34" t="str">
        <v>Back Row</v>
      </c>
      <c r="D66" s="34" t="str">
        <f t="shared" si="0"/>
        <v>Loss</v>
      </c>
      <c r="E66" s="2">
        <v>80</v>
      </c>
      <c r="F66" s="2">
        <v>11</v>
      </c>
      <c r="G66" s="2"/>
      <c r="H66" s="2"/>
      <c r="I66" s="2">
        <v>55</v>
      </c>
      <c r="J66" s="2"/>
      <c r="K66" s="2"/>
      <c r="L66" s="2">
        <v>2</v>
      </c>
      <c r="M66" s="2"/>
      <c r="N66" s="2"/>
      <c r="O66" s="2"/>
      <c r="P66" s="2"/>
      <c r="Q66" s="2"/>
      <c r="R66" s="2"/>
      <c r="S66" s="2"/>
      <c r="T66" s="3">
        <v>36</v>
      </c>
      <c r="U66" s="2"/>
    </row>
    <row r="67" spans="1:21" ht="16" thickBot="1" x14ac:dyDescent="0.25">
      <c r="A67" s="14" t="s">
        <v>69</v>
      </c>
      <c r="B67" s="34" t="str" cm="1">
        <f t="array" ref="B67:C67">_xlfn.XLOOKUP(A67,'Player List'!$A$2:$A$177,'Player List'!$B$2:$C$177)</f>
        <v>Wales</v>
      </c>
      <c r="C67" s="34" t="str">
        <v>Back Row</v>
      </c>
      <c r="D67" s="34" t="str">
        <f t="shared" si="0"/>
        <v>Loss</v>
      </c>
      <c r="E67" s="5">
        <v>17</v>
      </c>
      <c r="F67" s="5">
        <v>3</v>
      </c>
      <c r="G67" s="5"/>
      <c r="H67" s="5"/>
      <c r="I67" s="5">
        <v>25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6">
        <v>8</v>
      </c>
      <c r="U67" s="5"/>
    </row>
    <row r="68" spans="1:21" ht="16" thickBot="1" x14ac:dyDescent="0.25">
      <c r="A68" s="13" t="s">
        <v>161</v>
      </c>
      <c r="B68" s="34" t="str" cm="1">
        <f t="array" ref="B68:C68">_xlfn.XLOOKUP(A68,'Player List'!$A$2:$A$177,'Player List'!$B$2:$C$177)</f>
        <v>Wales</v>
      </c>
      <c r="C68" s="34" t="str">
        <v>Back Row</v>
      </c>
      <c r="D68" s="34" t="str">
        <f t="shared" si="0"/>
        <v>Loss</v>
      </c>
      <c r="E68" s="2">
        <v>80</v>
      </c>
      <c r="F68" s="2">
        <v>15</v>
      </c>
      <c r="G68" s="2">
        <v>2</v>
      </c>
      <c r="H68" s="2"/>
      <c r="I68" s="2">
        <v>31</v>
      </c>
      <c r="J68" s="2"/>
      <c r="K68" s="2"/>
      <c r="L68" s="2">
        <v>1</v>
      </c>
      <c r="M68" s="2"/>
      <c r="N68" s="2"/>
      <c r="O68" s="2"/>
      <c r="P68" s="2"/>
      <c r="Q68" s="2"/>
      <c r="R68" s="2"/>
      <c r="S68" s="2"/>
      <c r="T68" s="3">
        <v>42.2</v>
      </c>
      <c r="U68" s="2"/>
    </row>
    <row r="69" spans="1:21" ht="16" thickBot="1" x14ac:dyDescent="0.25">
      <c r="A69" s="16" t="s">
        <v>70</v>
      </c>
      <c r="B69" s="34" t="str" cm="1">
        <f t="array" ref="B69:C69">_xlfn.XLOOKUP(A69,'Player List'!$A$2:$A$177,'Player List'!$B$2:$C$177)</f>
        <v>Wales</v>
      </c>
      <c r="C69" s="34" t="str">
        <v>Second Row</v>
      </c>
      <c r="D69" s="34" t="str">
        <f t="shared" si="0"/>
        <v>Loss</v>
      </c>
      <c r="E69" s="5">
        <v>80</v>
      </c>
      <c r="F69" s="5">
        <v>13</v>
      </c>
      <c r="G69" s="5">
        <v>1</v>
      </c>
      <c r="H69" s="5"/>
      <c r="I69" s="5">
        <v>24</v>
      </c>
      <c r="J69" s="5"/>
      <c r="K69" s="5"/>
      <c r="L69" s="5">
        <v>1</v>
      </c>
      <c r="M69" s="5"/>
      <c r="N69" s="5"/>
      <c r="O69" s="5"/>
      <c r="P69" s="5"/>
      <c r="Q69" s="5"/>
      <c r="R69" s="5"/>
      <c r="S69" s="5"/>
      <c r="T69" s="6">
        <v>31.8</v>
      </c>
      <c r="U69" s="5"/>
    </row>
    <row r="70" spans="1:21" ht="16" thickBot="1" x14ac:dyDescent="0.25">
      <c r="A70" s="15" t="s">
        <v>72</v>
      </c>
      <c r="B70" s="34" t="str" cm="1">
        <f t="array" ref="B70:C70">_xlfn.XLOOKUP(A70,'Player List'!$A$2:$A$177,'Player List'!$B$2:$C$177)</f>
        <v>Wales</v>
      </c>
      <c r="C70" s="34" t="str">
        <v>Second Row</v>
      </c>
      <c r="D70" s="34" t="str">
        <f t="shared" si="0"/>
        <v>Loss</v>
      </c>
      <c r="E70" s="2">
        <v>17</v>
      </c>
      <c r="F70" s="2">
        <v>4</v>
      </c>
      <c r="G70" s="2"/>
      <c r="H70" s="2"/>
      <c r="I70" s="2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3">
        <v>5.6</v>
      </c>
      <c r="U70" s="2"/>
    </row>
    <row r="71" spans="1:21" ht="16" thickBot="1" x14ac:dyDescent="0.25">
      <c r="A71" s="16" t="s">
        <v>162</v>
      </c>
      <c r="B71" s="34" t="str" cm="1">
        <f t="array" ref="B71:C71">_xlfn.XLOOKUP(A71,'Player List'!$A$2:$A$177,'Player List'!$B$2:$C$177)</f>
        <v>Wales</v>
      </c>
      <c r="C71" s="34" t="str">
        <v>Second Row</v>
      </c>
      <c r="D71" s="34" t="str">
        <f t="shared" si="0"/>
        <v>Loss</v>
      </c>
      <c r="E71" s="5">
        <v>63</v>
      </c>
      <c r="F71" s="5">
        <v>9</v>
      </c>
      <c r="G71" s="5">
        <v>1</v>
      </c>
      <c r="H71" s="5"/>
      <c r="I71" s="5">
        <v>12</v>
      </c>
      <c r="J71" s="5"/>
      <c r="K71" s="5">
        <v>1</v>
      </c>
      <c r="L71" s="5">
        <v>1</v>
      </c>
      <c r="M71" s="5"/>
      <c r="N71" s="5"/>
      <c r="O71" s="5"/>
      <c r="P71" s="5"/>
      <c r="Q71" s="5"/>
      <c r="R71" s="5"/>
      <c r="S71" s="5"/>
      <c r="T71" s="6">
        <v>32.4</v>
      </c>
      <c r="U71" s="5"/>
    </row>
    <row r="72" spans="1:21" ht="16" thickBot="1" x14ac:dyDescent="0.25">
      <c r="A72" s="15" t="s">
        <v>73</v>
      </c>
      <c r="B72" s="34" t="str" cm="1">
        <f t="array" ref="B72:C72">_xlfn.XLOOKUP(A72,'Player List'!$A$2:$A$177,'Player List'!$B$2:$C$177)</f>
        <v>Wales</v>
      </c>
      <c r="C72" s="34" t="str">
        <v>Second Row</v>
      </c>
      <c r="D72" s="34" t="str">
        <f t="shared" si="0"/>
        <v>Loss</v>
      </c>
      <c r="E72" s="2">
        <v>63</v>
      </c>
      <c r="F72" s="2">
        <v>13</v>
      </c>
      <c r="G72" s="2">
        <v>1</v>
      </c>
      <c r="H72" s="2"/>
      <c r="I72" s="2">
        <v>28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3">
        <v>25.6</v>
      </c>
      <c r="U72" s="2"/>
    </row>
    <row r="73" spans="1:21" ht="16" thickBot="1" x14ac:dyDescent="0.25">
      <c r="A73" s="17" t="s">
        <v>75</v>
      </c>
      <c r="B73" s="34" t="str" cm="1">
        <f t="array" ref="B73:C73">_xlfn.XLOOKUP(A73,'Player List'!$A$2:$A$177,'Player List'!$B$2:$C$177)</f>
        <v>Wales</v>
      </c>
      <c r="C73" s="34" t="str">
        <v>Prop</v>
      </c>
      <c r="D73" s="34" t="str">
        <f t="shared" si="0"/>
        <v>Loss</v>
      </c>
      <c r="E73" s="5">
        <v>24</v>
      </c>
      <c r="F73" s="5">
        <v>3</v>
      </c>
      <c r="G73" s="5"/>
      <c r="H73" s="5"/>
      <c r="I73" s="5">
        <v>24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6">
        <v>7.8</v>
      </c>
      <c r="U73" s="5"/>
    </row>
    <row r="74" spans="1:21" ht="16" thickBot="1" x14ac:dyDescent="0.25">
      <c r="A74" s="18" t="s">
        <v>163</v>
      </c>
      <c r="B74" s="34" t="str" cm="1">
        <f t="array" ref="B74:C74">_xlfn.XLOOKUP(A74,'Player List'!$A$2:$A$177,'Player List'!$B$2:$C$177)</f>
        <v>Wales</v>
      </c>
      <c r="C74" s="34" t="str">
        <v>Prop</v>
      </c>
      <c r="D74" s="34" t="str">
        <f t="shared" si="0"/>
        <v>Loss</v>
      </c>
      <c r="E74" s="2">
        <v>56</v>
      </c>
      <c r="F74" s="2">
        <v>11</v>
      </c>
      <c r="G74" s="2"/>
      <c r="H74" s="2"/>
      <c r="I74" s="2">
        <v>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3">
        <v>12.4</v>
      </c>
      <c r="U74" s="2"/>
    </row>
    <row r="75" spans="1:21" ht="16" thickBot="1" x14ac:dyDescent="0.25">
      <c r="A75" s="17" t="s">
        <v>77</v>
      </c>
      <c r="B75" s="34" t="str" cm="1">
        <f t="array" ref="B75:C75">_xlfn.XLOOKUP(A75,'Player List'!$A$2:$A$177,'Player List'!$B$2:$C$177)</f>
        <v>Wales</v>
      </c>
      <c r="C75" s="34" t="str">
        <v>Prop</v>
      </c>
      <c r="D75" s="34" t="str">
        <f t="shared" ref="D75:D138" si="1">_xlfn.XLOOKUP(B75,$B$2:$B$7,$C$2:$C$7)</f>
        <v>Loss</v>
      </c>
      <c r="E75" s="5">
        <v>24</v>
      </c>
      <c r="F75" s="5">
        <v>2</v>
      </c>
      <c r="G75" s="5"/>
      <c r="H75" s="5"/>
      <c r="I75" s="5">
        <v>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6">
        <v>2.6</v>
      </c>
      <c r="U75" s="5"/>
    </row>
    <row r="76" spans="1:21" ht="16" thickBot="1" x14ac:dyDescent="0.25">
      <c r="A76" s="18" t="s">
        <v>164</v>
      </c>
      <c r="B76" s="34" t="str" cm="1">
        <f t="array" ref="B76:C76">_xlfn.XLOOKUP(A76,'Player List'!$A$2:$A$177,'Player List'!$B$2:$C$177)</f>
        <v>Wales</v>
      </c>
      <c r="C76" s="34" t="str">
        <v>Prop</v>
      </c>
      <c r="D76" s="34" t="str">
        <f t="shared" si="1"/>
        <v>Loss</v>
      </c>
      <c r="E76" s="2">
        <v>56</v>
      </c>
      <c r="F76" s="2">
        <v>11</v>
      </c>
      <c r="G76" s="2"/>
      <c r="H76" s="2">
        <v>1</v>
      </c>
      <c r="I76" s="2">
        <v>29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3">
        <v>23.8</v>
      </c>
      <c r="U76" s="2"/>
    </row>
    <row r="77" spans="1:21" ht="16" thickBot="1" x14ac:dyDescent="0.25">
      <c r="A77" s="19" t="s">
        <v>79</v>
      </c>
      <c r="B77" s="34" t="str" cm="1">
        <f t="array" ref="B77:C77">_xlfn.XLOOKUP(A77,'Player List'!$A$2:$A$177,'Player List'!$B$2:$C$177)</f>
        <v>Wales</v>
      </c>
      <c r="C77" s="34" t="str">
        <v>Hooker</v>
      </c>
      <c r="D77" s="34" t="str">
        <f t="shared" si="1"/>
        <v>Loss</v>
      </c>
      <c r="E77" s="5">
        <v>69</v>
      </c>
      <c r="F77" s="5">
        <v>8</v>
      </c>
      <c r="G77" s="5">
        <v>1</v>
      </c>
      <c r="H77" s="5"/>
      <c r="I77" s="5">
        <v>29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6">
        <v>20.8</v>
      </c>
      <c r="U77" s="5"/>
    </row>
    <row r="78" spans="1:21" ht="16" thickBot="1" x14ac:dyDescent="0.25">
      <c r="A78" s="20" t="s">
        <v>165</v>
      </c>
      <c r="B78" s="34" t="str" cm="1">
        <f t="array" ref="B78:C78">_xlfn.XLOOKUP(A78,'Player List'!$A$2:$A$177,'Player List'!$B$2:$C$177)</f>
        <v>Wales</v>
      </c>
      <c r="C78" s="34" t="str">
        <v>Hooker</v>
      </c>
      <c r="D78" s="34" t="str">
        <f t="shared" si="1"/>
        <v>Loss</v>
      </c>
      <c r="E78" s="2">
        <v>11</v>
      </c>
      <c r="F78" s="2">
        <v>3</v>
      </c>
      <c r="G78" s="2"/>
      <c r="H78" s="2"/>
      <c r="I78" s="2">
        <v>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3">
        <v>4</v>
      </c>
      <c r="U78" s="2"/>
    </row>
    <row r="79" spans="1:21" ht="16" thickBot="1" x14ac:dyDescent="0.25">
      <c r="A79" s="1" t="s">
        <v>80</v>
      </c>
      <c r="B79" s="34" t="str" cm="1">
        <f t="array" ref="B79:C79">_xlfn.XLOOKUP(A79,'Player List'!$A$2:$A$177,'Player List'!$B$2:$C$177)</f>
        <v>England</v>
      </c>
      <c r="C79" s="34" t="str">
        <v>Back Three</v>
      </c>
      <c r="D79" s="34" t="str">
        <f t="shared" si="1"/>
        <v>Win</v>
      </c>
      <c r="E79" s="2">
        <v>1</v>
      </c>
      <c r="F79" s="2"/>
      <c r="G79" s="2"/>
      <c r="H79" s="2"/>
      <c r="I79" s="2">
        <v>12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3">
        <v>2.5</v>
      </c>
      <c r="U79" s="2"/>
    </row>
    <row r="80" spans="1:21" ht="16" thickBot="1" x14ac:dyDescent="0.25">
      <c r="A80" s="4" t="s">
        <v>82</v>
      </c>
      <c r="B80" s="34" t="str" cm="1">
        <f t="array" ref="B80:C80">_xlfn.XLOOKUP(A80,'Player List'!$A$2:$A$177,'Player List'!$B$2:$C$177)</f>
        <v>England</v>
      </c>
      <c r="C80" s="34" t="str">
        <v>Back Three</v>
      </c>
      <c r="D80" s="34" t="str">
        <f t="shared" si="1"/>
        <v>Win</v>
      </c>
      <c r="E80" s="5">
        <v>80</v>
      </c>
      <c r="F80" s="5">
        <v>11</v>
      </c>
      <c r="G80" s="5">
        <v>1</v>
      </c>
      <c r="H80" s="5">
        <v>1</v>
      </c>
      <c r="I80" s="5">
        <v>66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6">
        <v>46.2</v>
      </c>
      <c r="U80" s="5"/>
    </row>
    <row r="81" spans="1:21" ht="16" thickBot="1" x14ac:dyDescent="0.25">
      <c r="A81" s="1" t="s">
        <v>83</v>
      </c>
      <c r="B81" s="34" t="str" cm="1">
        <f t="array" ref="B81:C81">_xlfn.XLOOKUP(A81,'Player List'!$A$2:$A$177,'Player List'!$B$2:$C$177)</f>
        <v>England</v>
      </c>
      <c r="C81" s="34" t="str">
        <v>Back Three</v>
      </c>
      <c r="D81" s="34" t="str">
        <f t="shared" si="1"/>
        <v>Win</v>
      </c>
      <c r="E81" s="2">
        <v>80</v>
      </c>
      <c r="F81" s="2">
        <v>3</v>
      </c>
      <c r="G81" s="2">
        <v>1</v>
      </c>
      <c r="H81" s="2"/>
      <c r="I81" s="2">
        <v>94</v>
      </c>
      <c r="J81" s="2"/>
      <c r="K81" s="2"/>
      <c r="L81" s="2"/>
      <c r="M81" s="2"/>
      <c r="N81" s="2">
        <v>1</v>
      </c>
      <c r="O81" s="2"/>
      <c r="P81" s="2"/>
      <c r="Q81" s="2"/>
      <c r="R81" s="2"/>
      <c r="S81" s="2"/>
      <c r="T81" s="3">
        <v>58.8</v>
      </c>
      <c r="U81" s="2">
        <v>1</v>
      </c>
    </row>
    <row r="82" spans="1:21" ht="16" thickBot="1" x14ac:dyDescent="0.25">
      <c r="A82" s="4" t="s">
        <v>166</v>
      </c>
      <c r="B82" s="34" t="str" cm="1">
        <f t="array" ref="B82:C82">_xlfn.XLOOKUP(A82,'Player List'!$A$2:$A$177,'Player List'!$B$2:$C$177)</f>
        <v>England</v>
      </c>
      <c r="C82" s="34" t="str">
        <v>Back Three</v>
      </c>
      <c r="D82" s="34" t="str">
        <f t="shared" si="1"/>
        <v>Win</v>
      </c>
      <c r="E82" s="5">
        <v>80</v>
      </c>
      <c r="F82" s="5">
        <v>3</v>
      </c>
      <c r="G82" s="5">
        <v>1</v>
      </c>
      <c r="H82" s="5">
        <v>2</v>
      </c>
      <c r="I82" s="5">
        <v>58</v>
      </c>
      <c r="J82" s="5"/>
      <c r="K82" s="5"/>
      <c r="L82" s="5"/>
      <c r="M82" s="5">
        <v>1</v>
      </c>
      <c r="N82" s="5"/>
      <c r="O82" s="5"/>
      <c r="P82" s="5"/>
      <c r="Q82" s="5"/>
      <c r="R82" s="5"/>
      <c r="S82" s="5"/>
      <c r="T82" s="6">
        <v>58.6</v>
      </c>
      <c r="U82" s="5"/>
    </row>
    <row r="83" spans="1:21" ht="16" thickBot="1" x14ac:dyDescent="0.25">
      <c r="A83" s="7" t="s">
        <v>84</v>
      </c>
      <c r="B83" s="34" t="str" cm="1">
        <f t="array" ref="B83:C83">_xlfn.XLOOKUP(A83,'Player List'!$A$2:$A$177,'Player List'!$B$2:$C$177)</f>
        <v>England</v>
      </c>
      <c r="C83" s="34" t="str">
        <v>Centre</v>
      </c>
      <c r="D83" s="34" t="str">
        <f t="shared" si="1"/>
        <v>Win</v>
      </c>
      <c r="E83" s="2">
        <v>80</v>
      </c>
      <c r="F83" s="2">
        <v>17</v>
      </c>
      <c r="G83" s="2"/>
      <c r="H83" s="2"/>
      <c r="I83" s="2">
        <v>23</v>
      </c>
      <c r="J83" s="2"/>
      <c r="K83" s="2"/>
      <c r="L83" s="2">
        <v>2</v>
      </c>
      <c r="M83" s="2"/>
      <c r="N83" s="2"/>
      <c r="O83" s="2">
        <v>1</v>
      </c>
      <c r="P83" s="2">
        <v>1</v>
      </c>
      <c r="Q83" s="2"/>
      <c r="R83" s="2"/>
      <c r="S83" s="2"/>
      <c r="T83" s="3">
        <v>50.6</v>
      </c>
      <c r="U83" s="2"/>
    </row>
    <row r="84" spans="1:21" ht="16" thickBot="1" x14ac:dyDescent="0.25">
      <c r="A84" s="8" t="s">
        <v>85</v>
      </c>
      <c r="B84" s="34" t="str" cm="1">
        <f t="array" ref="B84:C84">_xlfn.XLOOKUP(A84,'Player List'!$A$2:$A$177,'Player List'!$B$2:$C$177)</f>
        <v>England</v>
      </c>
      <c r="C84" s="34" t="str">
        <v>Centre</v>
      </c>
      <c r="D84" s="34" t="str">
        <f t="shared" si="1"/>
        <v>Win</v>
      </c>
      <c r="E84" s="5">
        <v>80</v>
      </c>
      <c r="F84" s="5">
        <v>7</v>
      </c>
      <c r="G84" s="5">
        <v>2</v>
      </c>
      <c r="H84" s="5">
        <v>1</v>
      </c>
      <c r="I84" s="5">
        <v>86</v>
      </c>
      <c r="J84" s="5"/>
      <c r="K84" s="5"/>
      <c r="L84" s="5">
        <v>1</v>
      </c>
      <c r="M84" s="5">
        <v>1</v>
      </c>
      <c r="N84" s="5"/>
      <c r="O84" s="5"/>
      <c r="P84" s="5"/>
      <c r="Q84" s="5"/>
      <c r="R84" s="5"/>
      <c r="S84" s="5"/>
      <c r="T84" s="6">
        <v>75.2</v>
      </c>
      <c r="U84" s="5"/>
    </row>
    <row r="85" spans="1:21" ht="16" thickBot="1" x14ac:dyDescent="0.25">
      <c r="A85" s="7" t="s">
        <v>86</v>
      </c>
      <c r="B85" s="34" t="str" cm="1">
        <f t="array" ref="B85:C85">_xlfn.XLOOKUP(A85,'Player List'!$A$2:$A$177,'Player List'!$B$2:$C$177)</f>
        <v>England</v>
      </c>
      <c r="C85" s="34" t="str">
        <v>Centre</v>
      </c>
      <c r="D85" s="34" t="str">
        <f t="shared" si="1"/>
        <v>Win</v>
      </c>
      <c r="E85" s="2">
        <v>80</v>
      </c>
      <c r="F85" s="2">
        <v>5</v>
      </c>
      <c r="G85" s="2"/>
      <c r="H85" s="2">
        <v>3</v>
      </c>
      <c r="I85" s="2">
        <v>41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3">
        <v>42.2</v>
      </c>
      <c r="U85" s="2"/>
    </row>
    <row r="86" spans="1:21" ht="16" thickBot="1" x14ac:dyDescent="0.25">
      <c r="A86" s="10" t="s">
        <v>87</v>
      </c>
      <c r="B86" s="34" t="str" cm="1">
        <f t="array" ref="B86:C86">_xlfn.XLOOKUP(A86,'Player List'!$A$2:$A$177,'Player List'!$B$2:$C$177)</f>
        <v>England</v>
      </c>
      <c r="C86" s="34" t="str">
        <v>Fly Half</v>
      </c>
      <c r="D86" s="34" t="str">
        <f t="shared" si="1"/>
        <v>Win</v>
      </c>
      <c r="E86" s="5">
        <v>1</v>
      </c>
      <c r="F86" s="5"/>
      <c r="G86" s="5"/>
      <c r="H86" s="5"/>
      <c r="I86" s="5">
        <v>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6">
        <v>1.5</v>
      </c>
      <c r="U86" s="5"/>
    </row>
    <row r="87" spans="1:21" ht="16" thickBot="1" x14ac:dyDescent="0.25">
      <c r="A87" s="11" t="s">
        <v>88</v>
      </c>
      <c r="B87" s="34" t="str" cm="1">
        <f t="array" ref="B87:C87">_xlfn.XLOOKUP(A87,'Player List'!$A$2:$A$177,'Player List'!$B$2:$C$177)</f>
        <v>England</v>
      </c>
      <c r="C87" s="34" t="str">
        <v>Scrum Half</v>
      </c>
      <c r="D87" s="34" t="str">
        <f t="shared" si="1"/>
        <v>Win</v>
      </c>
      <c r="E87" s="2">
        <v>8</v>
      </c>
      <c r="F87" s="2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>
        <v>1.8</v>
      </c>
      <c r="U87" s="2"/>
    </row>
    <row r="88" spans="1:21" ht="16" thickBot="1" x14ac:dyDescent="0.25">
      <c r="A88" s="12" t="s">
        <v>89</v>
      </c>
      <c r="B88" s="34" t="str" cm="1">
        <f t="array" ref="B88:C88">_xlfn.XLOOKUP(A88,'Player List'!$A$2:$A$177,'Player List'!$B$2:$C$177)</f>
        <v>England</v>
      </c>
      <c r="C88" s="34" t="str">
        <v>Scrum Half</v>
      </c>
      <c r="D88" s="34" t="str">
        <f t="shared" si="1"/>
        <v>Win</v>
      </c>
      <c r="E88" s="5">
        <v>72</v>
      </c>
      <c r="F88" s="5">
        <v>7</v>
      </c>
      <c r="G88" s="5"/>
      <c r="H88" s="5"/>
      <c r="I88" s="5">
        <v>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6">
        <v>15.4</v>
      </c>
      <c r="U88" s="5"/>
    </row>
    <row r="89" spans="1:21" ht="16" thickBot="1" x14ac:dyDescent="0.25">
      <c r="A89" s="13" t="s">
        <v>167</v>
      </c>
      <c r="B89" s="34" t="str" cm="1">
        <f t="array" ref="B89:C89">_xlfn.XLOOKUP(A89,'Player List'!$A$2:$A$177,'Player List'!$B$2:$C$177)</f>
        <v>England</v>
      </c>
      <c r="C89" s="34" t="str">
        <v>Back Row</v>
      </c>
      <c r="D89" s="34" t="str">
        <f t="shared" si="1"/>
        <v>Win</v>
      </c>
      <c r="E89" s="2">
        <v>21</v>
      </c>
      <c r="F89" s="2">
        <v>4</v>
      </c>
      <c r="G89" s="2">
        <v>1</v>
      </c>
      <c r="H89" s="2"/>
      <c r="I89" s="2">
        <v>16</v>
      </c>
      <c r="J89" s="2"/>
      <c r="K89" s="2"/>
      <c r="L89" s="2">
        <v>1</v>
      </c>
      <c r="M89" s="2"/>
      <c r="N89" s="2"/>
      <c r="O89" s="2"/>
      <c r="P89" s="2"/>
      <c r="Q89" s="2"/>
      <c r="R89" s="2"/>
      <c r="S89" s="2"/>
      <c r="T89" s="3">
        <v>23.3</v>
      </c>
      <c r="U89" s="2"/>
    </row>
    <row r="90" spans="1:21" ht="16" thickBot="1" x14ac:dyDescent="0.25">
      <c r="A90" s="14" t="s">
        <v>90</v>
      </c>
      <c r="B90" s="34" t="str" cm="1">
        <f t="array" ref="B90:C90">_xlfn.XLOOKUP(A90,'Player List'!$A$2:$A$177,'Player List'!$B$2:$C$177)</f>
        <v>England</v>
      </c>
      <c r="C90" s="34" t="str">
        <v>Back Row</v>
      </c>
      <c r="D90" s="34" t="str">
        <f t="shared" si="1"/>
        <v>Win</v>
      </c>
      <c r="E90" s="5">
        <v>69</v>
      </c>
      <c r="F90" s="5">
        <v>6</v>
      </c>
      <c r="G90" s="5"/>
      <c r="H90" s="5">
        <v>1</v>
      </c>
      <c r="I90" s="5">
        <v>56</v>
      </c>
      <c r="J90" s="5"/>
      <c r="K90" s="5"/>
      <c r="L90" s="5"/>
      <c r="M90" s="5"/>
      <c r="N90" s="5">
        <v>1</v>
      </c>
      <c r="O90" s="5"/>
      <c r="P90" s="5"/>
      <c r="Q90" s="5"/>
      <c r="R90" s="5"/>
      <c r="S90" s="5"/>
      <c r="T90" s="6">
        <v>38.1</v>
      </c>
      <c r="U90" s="5"/>
    </row>
    <row r="91" spans="1:21" ht="16" thickBot="1" x14ac:dyDescent="0.25">
      <c r="A91" s="13" t="s">
        <v>92</v>
      </c>
      <c r="B91" s="34" t="str" cm="1">
        <f t="array" ref="B91:C91">_xlfn.XLOOKUP(A91,'Player List'!$A$2:$A$177,'Player List'!$B$2:$C$177)</f>
        <v>England</v>
      </c>
      <c r="C91" s="34" t="str">
        <v>Back Row</v>
      </c>
      <c r="D91" s="34" t="str">
        <f t="shared" si="1"/>
        <v>Win</v>
      </c>
      <c r="E91" s="2">
        <v>80</v>
      </c>
      <c r="F91" s="2">
        <v>13</v>
      </c>
      <c r="G91" s="2">
        <v>2</v>
      </c>
      <c r="H91" s="2"/>
      <c r="I91" s="2">
        <v>25</v>
      </c>
      <c r="J91" s="2"/>
      <c r="K91" s="2"/>
      <c r="L91" s="2">
        <v>1</v>
      </c>
      <c r="M91" s="2"/>
      <c r="N91" s="2"/>
      <c r="O91" s="2"/>
      <c r="P91" s="2"/>
      <c r="Q91" s="2"/>
      <c r="R91" s="2"/>
      <c r="S91" s="2"/>
      <c r="T91" s="3">
        <v>47</v>
      </c>
      <c r="U91" s="2"/>
    </row>
    <row r="92" spans="1:21" ht="16" thickBot="1" x14ac:dyDescent="0.25">
      <c r="A92" s="14" t="s">
        <v>93</v>
      </c>
      <c r="B92" s="34" t="str" cm="1">
        <f t="array" ref="B92:C92">_xlfn.XLOOKUP(A92,'Player List'!$A$2:$A$177,'Player List'!$B$2:$C$177)</f>
        <v>England</v>
      </c>
      <c r="C92" s="34" t="str">
        <v>Back Row</v>
      </c>
      <c r="D92" s="34" t="str">
        <f t="shared" si="1"/>
        <v>Win</v>
      </c>
      <c r="E92" s="5">
        <v>59</v>
      </c>
      <c r="F92" s="5">
        <v>7</v>
      </c>
      <c r="G92" s="5">
        <v>2</v>
      </c>
      <c r="H92" s="5"/>
      <c r="I92" s="5">
        <v>11</v>
      </c>
      <c r="J92" s="5"/>
      <c r="K92" s="5"/>
      <c r="L92" s="5">
        <v>1</v>
      </c>
      <c r="M92" s="5"/>
      <c r="N92" s="5"/>
      <c r="O92" s="5"/>
      <c r="P92" s="5"/>
      <c r="Q92" s="5"/>
      <c r="R92" s="5"/>
      <c r="S92" s="5"/>
      <c r="T92" s="6">
        <v>36.1</v>
      </c>
      <c r="U92" s="5"/>
    </row>
    <row r="93" spans="1:21" ht="16" thickBot="1" x14ac:dyDescent="0.25">
      <c r="A93" s="15" t="s">
        <v>94</v>
      </c>
      <c r="B93" s="34" t="str" cm="1">
        <f t="array" ref="B93:C93">_xlfn.XLOOKUP(A93,'Player List'!$A$2:$A$177,'Player List'!$B$2:$C$177)</f>
        <v>England</v>
      </c>
      <c r="C93" s="34" t="str">
        <v>Second Row</v>
      </c>
      <c r="D93" s="34" t="str">
        <f t="shared" si="1"/>
        <v>Win</v>
      </c>
      <c r="E93" s="2">
        <v>80</v>
      </c>
      <c r="F93" s="2">
        <v>9</v>
      </c>
      <c r="G93" s="2">
        <v>3</v>
      </c>
      <c r="H93" s="2"/>
      <c r="I93" s="2">
        <v>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3">
        <v>39</v>
      </c>
      <c r="U93" s="2"/>
    </row>
    <row r="94" spans="1:21" ht="16" thickBot="1" x14ac:dyDescent="0.25">
      <c r="A94" s="16" t="s">
        <v>96</v>
      </c>
      <c r="B94" s="34" t="str" cm="1">
        <f t="array" ref="B94:C94">_xlfn.XLOOKUP(A94,'Player List'!$A$2:$A$177,'Player List'!$B$2:$C$177)</f>
        <v>England</v>
      </c>
      <c r="C94" s="34" t="str">
        <v>Second Row</v>
      </c>
      <c r="D94" s="34" t="str">
        <f t="shared" si="1"/>
        <v>Win</v>
      </c>
      <c r="E94" s="5">
        <v>80</v>
      </c>
      <c r="F94" s="5">
        <v>16</v>
      </c>
      <c r="G94" s="5">
        <v>2</v>
      </c>
      <c r="H94" s="5"/>
      <c r="I94" s="5">
        <v>16</v>
      </c>
      <c r="J94" s="5"/>
      <c r="K94" s="5"/>
      <c r="L94" s="5"/>
      <c r="M94" s="5"/>
      <c r="N94" s="5">
        <v>1</v>
      </c>
      <c r="O94" s="5"/>
      <c r="P94" s="5"/>
      <c r="Q94" s="5"/>
      <c r="R94" s="5"/>
      <c r="S94" s="5"/>
      <c r="T94" s="6">
        <v>48.2</v>
      </c>
      <c r="U94" s="5"/>
    </row>
    <row r="95" spans="1:21" ht="16" thickBot="1" x14ac:dyDescent="0.25">
      <c r="A95" s="15" t="s">
        <v>168</v>
      </c>
      <c r="B95" s="34" t="str" cm="1">
        <f t="array" ref="B95:C95">_xlfn.XLOOKUP(A95,'Player List'!$A$2:$A$177,'Player List'!$B$2:$C$177)</f>
        <v>England</v>
      </c>
      <c r="C95" s="34" t="str">
        <v>Second Row</v>
      </c>
      <c r="D95" s="34" t="str">
        <f t="shared" si="1"/>
        <v>Win</v>
      </c>
      <c r="E95" s="2">
        <v>11</v>
      </c>
      <c r="F95" s="2">
        <v>1</v>
      </c>
      <c r="G95" s="2"/>
      <c r="H95" s="2"/>
      <c r="I95" s="2">
        <v>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3">
        <v>3.3</v>
      </c>
      <c r="U95" s="2"/>
    </row>
    <row r="96" spans="1:21" ht="16" thickBot="1" x14ac:dyDescent="0.25">
      <c r="A96" s="17" t="s">
        <v>97</v>
      </c>
      <c r="B96" s="34" t="str" cm="1">
        <f t="array" ref="B96:C96">_xlfn.XLOOKUP(A96,'Player List'!$A$2:$A$177,'Player List'!$B$2:$C$177)</f>
        <v>England</v>
      </c>
      <c r="C96" s="34" t="str">
        <v>Prop</v>
      </c>
      <c r="D96" s="34" t="str">
        <f t="shared" si="1"/>
        <v>Win</v>
      </c>
      <c r="E96" s="5">
        <v>16</v>
      </c>
      <c r="F96" s="5">
        <v>3</v>
      </c>
      <c r="G96" s="5"/>
      <c r="H96" s="5"/>
      <c r="I96" s="5">
        <v>6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6">
        <v>5.8</v>
      </c>
      <c r="U96" s="5"/>
    </row>
    <row r="97" spans="1:21" ht="16" thickBot="1" x14ac:dyDescent="0.25">
      <c r="A97" s="18" t="s">
        <v>98</v>
      </c>
      <c r="B97" s="34" t="str" cm="1">
        <f t="array" ref="B97:C97">_xlfn.XLOOKUP(A97,'Player List'!$A$2:$A$177,'Player List'!$B$2:$C$177)</f>
        <v>England</v>
      </c>
      <c r="C97" s="34" t="str">
        <v>Prop</v>
      </c>
      <c r="D97" s="34" t="str">
        <f t="shared" si="1"/>
        <v>Win</v>
      </c>
      <c r="E97" s="2">
        <v>54</v>
      </c>
      <c r="F97" s="2">
        <v>9</v>
      </c>
      <c r="G97" s="2">
        <v>1</v>
      </c>
      <c r="H97" s="2"/>
      <c r="I97" s="2">
        <v>61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3">
        <v>33.6</v>
      </c>
      <c r="U97" s="2"/>
    </row>
    <row r="98" spans="1:21" ht="16" thickBot="1" x14ac:dyDescent="0.25">
      <c r="A98" s="17" t="s">
        <v>99</v>
      </c>
      <c r="B98" s="34" t="str" cm="1">
        <f t="array" ref="B98:C98">_xlfn.XLOOKUP(A98,'Player List'!$A$2:$A$177,'Player List'!$B$2:$C$177)</f>
        <v>England</v>
      </c>
      <c r="C98" s="34" t="str">
        <v>Prop</v>
      </c>
      <c r="D98" s="34" t="str">
        <f t="shared" si="1"/>
        <v>Win</v>
      </c>
      <c r="E98" s="5">
        <v>64</v>
      </c>
      <c r="F98" s="5">
        <v>11</v>
      </c>
      <c r="G98" s="5">
        <v>1</v>
      </c>
      <c r="H98" s="5"/>
      <c r="I98" s="5">
        <v>24</v>
      </c>
      <c r="J98" s="5"/>
      <c r="K98" s="5"/>
      <c r="L98" s="5"/>
      <c r="M98" s="5">
        <v>1</v>
      </c>
      <c r="N98" s="5"/>
      <c r="O98" s="5"/>
      <c r="P98" s="5"/>
      <c r="Q98" s="5"/>
      <c r="R98" s="5"/>
      <c r="S98" s="5"/>
      <c r="T98" s="6">
        <v>44.2</v>
      </c>
      <c r="U98" s="5"/>
    </row>
    <row r="99" spans="1:21" ht="16" thickBot="1" x14ac:dyDescent="0.25">
      <c r="A99" s="18" t="s">
        <v>100</v>
      </c>
      <c r="B99" s="34" t="str" cm="1">
        <f t="array" ref="B99:C99">_xlfn.XLOOKUP(A99,'Player List'!$A$2:$A$177,'Player List'!$B$2:$C$177)</f>
        <v>England</v>
      </c>
      <c r="C99" s="34" t="str">
        <v>Prop</v>
      </c>
      <c r="D99" s="34" t="str">
        <f t="shared" si="1"/>
        <v>Win</v>
      </c>
      <c r="E99" s="2">
        <v>26</v>
      </c>
      <c r="F99" s="2">
        <v>5</v>
      </c>
      <c r="G99" s="2"/>
      <c r="H99" s="2"/>
      <c r="I99" s="2">
        <v>18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3">
        <v>11.2</v>
      </c>
      <c r="U99" s="2"/>
    </row>
    <row r="100" spans="1:21" ht="16" thickBot="1" x14ac:dyDescent="0.25">
      <c r="A100" s="19" t="s">
        <v>101</v>
      </c>
      <c r="B100" s="34" t="str" cm="1">
        <f t="array" ref="B100:C100">_xlfn.XLOOKUP(A100,'Player List'!$A$2:$A$177,'Player List'!$B$2:$C$177)</f>
        <v>England</v>
      </c>
      <c r="C100" s="34" t="str">
        <v>Hooker</v>
      </c>
      <c r="D100" s="34" t="str">
        <f t="shared" si="1"/>
        <v>Win</v>
      </c>
      <c r="E100" s="5">
        <v>80</v>
      </c>
      <c r="F100" s="5">
        <v>15</v>
      </c>
      <c r="G100" s="5">
        <v>1</v>
      </c>
      <c r="H100" s="5"/>
      <c r="I100" s="5">
        <v>18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>
        <v>33.6</v>
      </c>
      <c r="U100" s="5"/>
    </row>
    <row r="101" spans="1:21" ht="16" thickBot="1" x14ac:dyDescent="0.25">
      <c r="A101" s="20" t="s">
        <v>102</v>
      </c>
      <c r="B101" s="34" t="str" cm="1">
        <f t="array" ref="B101:C101">_xlfn.XLOOKUP(A101,'Player List'!$A$2:$A$177,'Player List'!$B$2:$C$177)</f>
        <v>England</v>
      </c>
      <c r="C101" s="34" t="str">
        <v>Hooker</v>
      </c>
      <c r="D101" s="34" t="str">
        <f t="shared" si="1"/>
        <v>Win</v>
      </c>
      <c r="E101" s="2">
        <v>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>
        <v>0.1</v>
      </c>
      <c r="U101" s="2"/>
    </row>
    <row r="102" spans="1:21" ht="16" thickBot="1" x14ac:dyDescent="0.25">
      <c r="A102" s="1" t="s">
        <v>12</v>
      </c>
      <c r="B102" s="34" t="str" cm="1">
        <f t="array" ref="B102:C102">_xlfn.XLOOKUP(A102,'Player List'!$A$2:$A$177,'Player List'!$B$2:$C$177)</f>
        <v>France</v>
      </c>
      <c r="C102" s="34" t="str">
        <v>Back Three</v>
      </c>
      <c r="D102" s="34" t="str">
        <f t="shared" si="1"/>
        <v>Win</v>
      </c>
      <c r="E102" s="2">
        <v>80</v>
      </c>
      <c r="F102" s="2">
        <v>3</v>
      </c>
      <c r="G102" s="2"/>
      <c r="H102" s="2"/>
      <c r="I102" s="2">
        <v>24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>
        <v>15.8</v>
      </c>
      <c r="U102" s="2"/>
    </row>
    <row r="103" spans="1:21" ht="16" thickBot="1" x14ac:dyDescent="0.25">
      <c r="A103" s="4" t="s">
        <v>13</v>
      </c>
      <c r="B103" s="34" t="str" cm="1">
        <f t="array" ref="B103:C103">_xlfn.XLOOKUP(A103,'Player List'!$A$2:$A$177,'Player List'!$B$2:$C$177)</f>
        <v>France</v>
      </c>
      <c r="C103" s="34" t="str">
        <v>Back Three</v>
      </c>
      <c r="D103" s="34" t="str">
        <f t="shared" si="1"/>
        <v>Win</v>
      </c>
      <c r="E103" s="5">
        <v>80</v>
      </c>
      <c r="F103" s="5"/>
      <c r="G103" s="5"/>
      <c r="H103" s="5">
        <v>2</v>
      </c>
      <c r="I103" s="5">
        <v>173</v>
      </c>
      <c r="J103" s="5"/>
      <c r="K103" s="5"/>
      <c r="L103" s="5"/>
      <c r="M103" s="5">
        <v>1</v>
      </c>
      <c r="N103" s="5"/>
      <c r="O103" s="5">
        <v>3</v>
      </c>
      <c r="P103" s="5">
        <v>2</v>
      </c>
      <c r="Q103" s="5"/>
      <c r="R103" s="5"/>
      <c r="S103" s="5"/>
      <c r="T103" s="6">
        <v>87.6</v>
      </c>
      <c r="U103" s="5"/>
    </row>
    <row r="104" spans="1:21" ht="16" thickBot="1" x14ac:dyDescent="0.25">
      <c r="A104" s="7" t="s">
        <v>14</v>
      </c>
      <c r="B104" s="34" t="str" cm="1">
        <f t="array" ref="B104:C104">_xlfn.XLOOKUP(A104,'Player List'!$A$2:$A$177,'Player List'!$B$2:$C$177)</f>
        <v>France</v>
      </c>
      <c r="C104" s="34" t="str">
        <v>Centre</v>
      </c>
      <c r="D104" s="34" t="str">
        <f t="shared" si="1"/>
        <v>Win</v>
      </c>
      <c r="E104" s="2">
        <v>80</v>
      </c>
      <c r="F104" s="2">
        <v>3</v>
      </c>
      <c r="G104" s="2"/>
      <c r="H104" s="2">
        <v>2</v>
      </c>
      <c r="I104" s="2">
        <v>46</v>
      </c>
      <c r="J104" s="2"/>
      <c r="K104" s="2"/>
      <c r="L104" s="2"/>
      <c r="M104" s="2">
        <v>1</v>
      </c>
      <c r="N104" s="2"/>
      <c r="O104" s="2"/>
      <c r="P104" s="2"/>
      <c r="Q104" s="2"/>
      <c r="R104" s="2"/>
      <c r="S104" s="2"/>
      <c r="T104" s="3">
        <v>49.2</v>
      </c>
      <c r="U104" s="2"/>
    </row>
    <row r="105" spans="1:21" ht="16" thickBot="1" x14ac:dyDescent="0.25">
      <c r="A105" s="8" t="s">
        <v>15</v>
      </c>
      <c r="B105" s="34" t="str" cm="1">
        <f t="array" ref="B105:C105">_xlfn.XLOOKUP(A105,'Player List'!$A$2:$A$177,'Player List'!$B$2:$C$177)</f>
        <v>France</v>
      </c>
      <c r="C105" s="34" t="str">
        <v>Centre</v>
      </c>
      <c r="D105" s="34" t="str">
        <f t="shared" si="1"/>
        <v>Win</v>
      </c>
      <c r="E105" s="5">
        <v>80</v>
      </c>
      <c r="F105" s="5">
        <v>15</v>
      </c>
      <c r="G105" s="5"/>
      <c r="H105" s="5">
        <v>1</v>
      </c>
      <c r="I105" s="5">
        <v>55</v>
      </c>
      <c r="J105" s="5"/>
      <c r="K105" s="5"/>
      <c r="L105" s="5"/>
      <c r="M105" s="5">
        <v>1</v>
      </c>
      <c r="N105" s="5"/>
      <c r="O105" s="5"/>
      <c r="P105" s="5"/>
      <c r="Q105" s="5"/>
      <c r="R105" s="5"/>
      <c r="S105" s="5"/>
      <c r="T105" s="6">
        <v>71</v>
      </c>
      <c r="U105" s="5">
        <v>1</v>
      </c>
    </row>
    <row r="106" spans="1:21" ht="16" thickBot="1" x14ac:dyDescent="0.25">
      <c r="A106" s="7" t="s">
        <v>16</v>
      </c>
      <c r="B106" s="34" t="str" cm="1">
        <f t="array" ref="B106:C106">_xlfn.XLOOKUP(A106,'Player List'!$A$2:$A$177,'Player List'!$B$2:$C$177)</f>
        <v>France</v>
      </c>
      <c r="C106" s="34" t="str">
        <v>Centre</v>
      </c>
      <c r="D106" s="34" t="str">
        <f t="shared" si="1"/>
        <v>Win</v>
      </c>
      <c r="E106" s="2">
        <v>80</v>
      </c>
      <c r="F106" s="2">
        <v>10</v>
      </c>
      <c r="G106" s="2"/>
      <c r="H106" s="2">
        <v>1</v>
      </c>
      <c r="I106" s="2">
        <v>39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>
        <v>32.799999999999997</v>
      </c>
      <c r="U106" s="2"/>
    </row>
    <row r="107" spans="1:21" ht="16" thickBot="1" x14ac:dyDescent="0.25">
      <c r="A107" s="10" t="s">
        <v>17</v>
      </c>
      <c r="B107" s="34" t="str" cm="1">
        <f t="array" ref="B107:C107">_xlfn.XLOOKUP(A107,'Player List'!$A$2:$A$177,'Player List'!$B$2:$C$177)</f>
        <v>France</v>
      </c>
      <c r="C107" s="34" t="str">
        <v>Fly Half</v>
      </c>
      <c r="D107" s="34" t="str">
        <f t="shared" si="1"/>
        <v>Win</v>
      </c>
      <c r="E107" s="5">
        <v>11</v>
      </c>
      <c r="F107" s="5">
        <v>1</v>
      </c>
      <c r="G107" s="5"/>
      <c r="H107" s="5"/>
      <c r="I107" s="5">
        <v>10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>
        <v>4.0999999999999996</v>
      </c>
      <c r="U107" s="5"/>
    </row>
    <row r="108" spans="1:21" ht="16" thickBot="1" x14ac:dyDescent="0.25">
      <c r="A108" s="9" t="s">
        <v>18</v>
      </c>
      <c r="B108" s="34" t="str" cm="1">
        <f t="array" ref="B108:C108">_xlfn.XLOOKUP(A108,'Player List'!$A$2:$A$177,'Player List'!$B$2:$C$177)</f>
        <v>France</v>
      </c>
      <c r="C108" s="34" t="str">
        <v>Fly Half</v>
      </c>
      <c r="D108" s="34" t="str">
        <f t="shared" si="1"/>
        <v>Win</v>
      </c>
      <c r="E108" s="2">
        <v>69</v>
      </c>
      <c r="F108" s="2">
        <v>12</v>
      </c>
      <c r="G108" s="2"/>
      <c r="H108" s="2">
        <v>1</v>
      </c>
      <c r="I108" s="2">
        <v>20</v>
      </c>
      <c r="J108" s="2"/>
      <c r="K108" s="2"/>
      <c r="L108" s="2"/>
      <c r="M108" s="2">
        <v>1</v>
      </c>
      <c r="N108" s="2">
        <v>1</v>
      </c>
      <c r="O108" s="2"/>
      <c r="P108" s="2"/>
      <c r="Q108" s="2"/>
      <c r="R108" s="2"/>
      <c r="S108" s="2"/>
      <c r="T108" s="3">
        <v>51.9</v>
      </c>
      <c r="U108" s="2"/>
    </row>
    <row r="109" spans="1:21" ht="16" thickBot="1" x14ac:dyDescent="0.25">
      <c r="A109" s="12" t="s">
        <v>19</v>
      </c>
      <c r="B109" s="34" t="str" cm="1">
        <f t="array" ref="B109:C109">_xlfn.XLOOKUP(A109,'Player List'!$A$2:$A$177,'Player List'!$B$2:$C$177)</f>
        <v>France</v>
      </c>
      <c r="C109" s="34" t="str">
        <v>Scrum Half</v>
      </c>
      <c r="D109" s="34" t="str">
        <f t="shared" si="1"/>
        <v>Win</v>
      </c>
      <c r="E109" s="5">
        <v>80</v>
      </c>
      <c r="F109" s="5">
        <v>13</v>
      </c>
      <c r="G109" s="5"/>
      <c r="H109" s="5"/>
      <c r="I109" s="5">
        <v>14</v>
      </c>
      <c r="J109" s="5"/>
      <c r="K109" s="5"/>
      <c r="L109" s="5">
        <v>1</v>
      </c>
      <c r="M109" s="5"/>
      <c r="N109" s="5">
        <v>2</v>
      </c>
      <c r="O109" s="5"/>
      <c r="P109" s="5"/>
      <c r="Q109" s="5"/>
      <c r="R109" s="5"/>
      <c r="S109" s="5"/>
      <c r="T109" s="6">
        <v>44.8</v>
      </c>
      <c r="U109" s="5"/>
    </row>
    <row r="110" spans="1:21" ht="16" thickBot="1" x14ac:dyDescent="0.25">
      <c r="A110" s="13" t="s">
        <v>20</v>
      </c>
      <c r="B110" s="34" t="str" cm="1">
        <f t="array" ref="B110:C110">_xlfn.XLOOKUP(A110,'Player List'!$A$2:$A$177,'Player List'!$B$2:$C$177)</f>
        <v>France</v>
      </c>
      <c r="C110" s="34" t="str">
        <v>Back Row</v>
      </c>
      <c r="D110" s="34" t="str">
        <f t="shared" si="1"/>
        <v>Win</v>
      </c>
      <c r="E110" s="2">
        <v>12</v>
      </c>
      <c r="F110" s="2"/>
      <c r="G110" s="2"/>
      <c r="H110" s="2"/>
      <c r="I110" s="2">
        <v>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>
        <v>2.4</v>
      </c>
      <c r="U110" s="2"/>
    </row>
    <row r="111" spans="1:21" ht="16" thickBot="1" x14ac:dyDescent="0.25">
      <c r="A111" s="14" t="s">
        <v>21</v>
      </c>
      <c r="B111" s="34" t="str" cm="1">
        <f t="array" ref="B111:C111">_xlfn.XLOOKUP(A111,'Player List'!$A$2:$A$177,'Player List'!$B$2:$C$177)</f>
        <v>France</v>
      </c>
      <c r="C111" s="34" t="str">
        <v>Back Row</v>
      </c>
      <c r="D111" s="34" t="str">
        <f t="shared" si="1"/>
        <v>Win</v>
      </c>
      <c r="E111" s="5">
        <v>63</v>
      </c>
      <c r="F111" s="5">
        <v>10</v>
      </c>
      <c r="G111" s="5">
        <v>2</v>
      </c>
      <c r="H111" s="5"/>
      <c r="I111" s="5">
        <v>26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>
        <v>35.5</v>
      </c>
      <c r="U111" s="5"/>
    </row>
    <row r="112" spans="1:21" ht="16" thickBot="1" x14ac:dyDescent="0.25">
      <c r="A112" s="13" t="s">
        <v>22</v>
      </c>
      <c r="B112" s="34" t="str" cm="1">
        <f t="array" ref="B112:C112">_xlfn.XLOOKUP(A112,'Player List'!$A$2:$A$177,'Player List'!$B$2:$C$177)</f>
        <v>France</v>
      </c>
      <c r="C112" s="34" t="str">
        <v>Back Row</v>
      </c>
      <c r="D112" s="34" t="str">
        <f t="shared" si="1"/>
        <v>Win</v>
      </c>
      <c r="E112" s="2">
        <v>17</v>
      </c>
      <c r="F112" s="2">
        <v>4</v>
      </c>
      <c r="G112" s="2">
        <v>2</v>
      </c>
      <c r="H112" s="2"/>
      <c r="I112" s="2">
        <v>19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>
        <v>23.5</v>
      </c>
      <c r="U112" s="2"/>
    </row>
    <row r="113" spans="1:21" ht="16" thickBot="1" x14ac:dyDescent="0.25">
      <c r="A113" s="14" t="s">
        <v>24</v>
      </c>
      <c r="B113" s="34" t="str" cm="1">
        <f t="array" ref="B113:C113">_xlfn.XLOOKUP(A113,'Player List'!$A$2:$A$177,'Player List'!$B$2:$C$177)</f>
        <v>France</v>
      </c>
      <c r="C113" s="34" t="str">
        <v>Back Row</v>
      </c>
      <c r="D113" s="34" t="str">
        <f t="shared" si="1"/>
        <v>Win</v>
      </c>
      <c r="E113" s="5">
        <v>80</v>
      </c>
      <c r="F113" s="5">
        <v>15</v>
      </c>
      <c r="G113" s="5">
        <v>1</v>
      </c>
      <c r="H113" s="5"/>
      <c r="I113" s="5">
        <v>35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>
        <v>37</v>
      </c>
      <c r="U113" s="5"/>
    </row>
    <row r="114" spans="1:21" ht="16" thickBot="1" x14ac:dyDescent="0.25">
      <c r="A114" s="15" t="s">
        <v>25</v>
      </c>
      <c r="B114" s="34" t="str" cm="1">
        <f t="array" ref="B114:C114">_xlfn.XLOOKUP(A114,'Player List'!$A$2:$A$177,'Player List'!$B$2:$C$177)</f>
        <v>France</v>
      </c>
      <c r="C114" s="34" t="str">
        <v>Second Row</v>
      </c>
      <c r="D114" s="34" t="str">
        <f t="shared" si="1"/>
        <v>Win</v>
      </c>
      <c r="E114" s="2">
        <v>80</v>
      </c>
      <c r="F114" s="2">
        <v>14</v>
      </c>
      <c r="G114" s="2">
        <v>1</v>
      </c>
      <c r="H114" s="2"/>
      <c r="I114" s="2">
        <v>15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>
        <v>32</v>
      </c>
      <c r="U114" s="2"/>
    </row>
    <row r="115" spans="1:21" ht="16" thickBot="1" x14ac:dyDescent="0.25">
      <c r="A115" s="16" t="s">
        <v>26</v>
      </c>
      <c r="B115" s="34" t="str" cm="1">
        <f t="array" ref="B115:C115">_xlfn.XLOOKUP(A115,'Player List'!$A$2:$A$177,'Player List'!$B$2:$C$177)</f>
        <v>France</v>
      </c>
      <c r="C115" s="34" t="str">
        <v>Second Row</v>
      </c>
      <c r="D115" s="34" t="str">
        <f t="shared" si="1"/>
        <v>Win</v>
      </c>
      <c r="E115" s="5">
        <v>27</v>
      </c>
      <c r="F115" s="5">
        <v>4</v>
      </c>
      <c r="G115" s="5"/>
      <c r="H115" s="5"/>
      <c r="I115" s="5">
        <v>8</v>
      </c>
      <c r="J115" s="5"/>
      <c r="K115" s="5"/>
      <c r="L115" s="5">
        <v>1</v>
      </c>
      <c r="M115" s="5"/>
      <c r="N115" s="5"/>
      <c r="O115" s="5"/>
      <c r="P115" s="5"/>
      <c r="Q115" s="5"/>
      <c r="R115" s="5"/>
      <c r="S115" s="5"/>
      <c r="T115" s="6">
        <v>15.3</v>
      </c>
      <c r="U115" s="5"/>
    </row>
    <row r="116" spans="1:21" ht="16" thickBot="1" x14ac:dyDescent="0.25">
      <c r="A116" s="15" t="s">
        <v>27</v>
      </c>
      <c r="B116" s="34" t="str" cm="1">
        <f t="array" ref="B116:C116">_xlfn.XLOOKUP(A116,'Player List'!$A$2:$A$177,'Player List'!$B$2:$C$177)</f>
        <v>France</v>
      </c>
      <c r="C116" s="34" t="str">
        <v>Second Row</v>
      </c>
      <c r="D116" s="34" t="str">
        <f t="shared" si="1"/>
        <v>Win</v>
      </c>
      <c r="E116" s="2">
        <v>53</v>
      </c>
      <c r="F116" s="2">
        <v>9</v>
      </c>
      <c r="G116" s="2">
        <v>1</v>
      </c>
      <c r="H116" s="2"/>
      <c r="I116" s="2">
        <v>20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>
        <v>25.3</v>
      </c>
      <c r="U116" s="2"/>
    </row>
    <row r="117" spans="1:21" ht="16" thickBot="1" x14ac:dyDescent="0.25">
      <c r="A117" s="17" t="s">
        <v>29</v>
      </c>
      <c r="B117" s="34" t="str" cm="1">
        <f t="array" ref="B117:C117">_xlfn.XLOOKUP(A117,'Player List'!$A$2:$A$177,'Player List'!$B$2:$C$177)</f>
        <v>France</v>
      </c>
      <c r="C117" s="34" t="str">
        <v>Prop</v>
      </c>
      <c r="D117" s="34" t="str">
        <f t="shared" si="1"/>
        <v>Win</v>
      </c>
      <c r="E117" s="5">
        <v>63</v>
      </c>
      <c r="F117" s="5">
        <v>3</v>
      </c>
      <c r="G117" s="5">
        <v>1</v>
      </c>
      <c r="H117" s="5"/>
      <c r="I117" s="5">
        <v>41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>
        <v>24.5</v>
      </c>
      <c r="U117" s="5"/>
    </row>
    <row r="118" spans="1:21" ht="16" thickBot="1" x14ac:dyDescent="0.25">
      <c r="A118" s="18" t="s">
        <v>30</v>
      </c>
      <c r="B118" s="34" t="str" cm="1">
        <f t="array" ref="B118:C118">_xlfn.XLOOKUP(A118,'Player List'!$A$2:$A$177,'Player List'!$B$2:$C$177)</f>
        <v>France</v>
      </c>
      <c r="C118" s="34" t="str">
        <v>Prop</v>
      </c>
      <c r="D118" s="34" t="str">
        <f t="shared" si="1"/>
        <v>Win</v>
      </c>
      <c r="E118" s="2">
        <v>68</v>
      </c>
      <c r="F118" s="2">
        <v>7</v>
      </c>
      <c r="G118" s="2">
        <v>2</v>
      </c>
      <c r="H118" s="2"/>
      <c r="I118" s="2">
        <v>22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>
        <v>32.200000000000003</v>
      </c>
      <c r="U118" s="2"/>
    </row>
    <row r="119" spans="1:21" ht="16" thickBot="1" x14ac:dyDescent="0.25">
      <c r="A119" s="17" t="s">
        <v>169</v>
      </c>
      <c r="B119" s="34" t="str" cm="1">
        <f t="array" ref="B119:C119">_xlfn.XLOOKUP(A119,'Player List'!$A$2:$A$177,'Player List'!$B$2:$C$177)</f>
        <v>France</v>
      </c>
      <c r="C119" s="34" t="str">
        <v>Prop</v>
      </c>
      <c r="D119" s="34" t="str">
        <f t="shared" si="1"/>
        <v>Win</v>
      </c>
      <c r="E119" s="5">
        <v>11</v>
      </c>
      <c r="F119" s="5">
        <v>1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>
        <v>1</v>
      </c>
      <c r="T119" s="6">
        <v>-7.9</v>
      </c>
      <c r="U119" s="5"/>
    </row>
    <row r="120" spans="1:21" ht="16" thickBot="1" x14ac:dyDescent="0.25">
      <c r="A120" s="18" t="s">
        <v>31</v>
      </c>
      <c r="B120" s="34" t="str" cm="1">
        <f t="array" ref="B120:C120">_xlfn.XLOOKUP(A120,'Player List'!$A$2:$A$177,'Player List'!$B$2:$C$177)</f>
        <v>France</v>
      </c>
      <c r="C120" s="34" t="str">
        <v>Prop</v>
      </c>
      <c r="D120" s="34" t="str">
        <f t="shared" si="1"/>
        <v>Win</v>
      </c>
      <c r="E120" s="2">
        <v>17</v>
      </c>
      <c r="F120" s="2"/>
      <c r="G120" s="2"/>
      <c r="H120" s="2"/>
      <c r="I120" s="2">
        <v>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>
        <v>3.3</v>
      </c>
      <c r="U120" s="2"/>
    </row>
    <row r="121" spans="1:21" ht="16" thickBot="1" x14ac:dyDescent="0.25">
      <c r="A121" s="19" t="s">
        <v>32</v>
      </c>
      <c r="B121" s="34" t="str" cm="1">
        <f t="array" ref="B121:C121">_xlfn.XLOOKUP(A121,'Player List'!$A$2:$A$177,'Player List'!$B$2:$C$177)</f>
        <v>France</v>
      </c>
      <c r="C121" s="34" t="str">
        <v>Hooker</v>
      </c>
      <c r="D121" s="34" t="str">
        <f t="shared" si="1"/>
        <v>Win</v>
      </c>
      <c r="E121" s="5">
        <v>11</v>
      </c>
      <c r="F121" s="5"/>
      <c r="G121" s="5"/>
      <c r="H121" s="5"/>
      <c r="I121" s="5">
        <v>9</v>
      </c>
      <c r="J121" s="5"/>
      <c r="K121" s="5">
        <v>1</v>
      </c>
      <c r="L121" s="5"/>
      <c r="M121" s="5"/>
      <c r="N121" s="5"/>
      <c r="O121" s="5"/>
      <c r="P121" s="5"/>
      <c r="Q121" s="5"/>
      <c r="R121" s="5"/>
      <c r="S121" s="5"/>
      <c r="T121" s="6">
        <v>9.9</v>
      </c>
      <c r="U121" s="5"/>
    </row>
    <row r="122" spans="1:21" ht="16" thickBot="1" x14ac:dyDescent="0.25">
      <c r="A122" s="20" t="s">
        <v>33</v>
      </c>
      <c r="B122" s="34" t="str" cm="1">
        <f t="array" ref="B122:C122">_xlfn.XLOOKUP(A122,'Player List'!$A$2:$A$177,'Player List'!$B$2:$C$177)</f>
        <v>France</v>
      </c>
      <c r="C122" s="34" t="str">
        <v>Hooker</v>
      </c>
      <c r="D122" s="34" t="str">
        <f t="shared" si="1"/>
        <v>Win</v>
      </c>
      <c r="E122" s="2">
        <v>69</v>
      </c>
      <c r="F122" s="2">
        <v>16</v>
      </c>
      <c r="G122" s="2"/>
      <c r="H122" s="2"/>
      <c r="I122" s="2">
        <v>17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>
        <v>26.3</v>
      </c>
      <c r="U122" s="2"/>
    </row>
    <row r="123" spans="1:21" ht="16" thickBot="1" x14ac:dyDescent="0.25">
      <c r="A123" s="1" t="s">
        <v>34</v>
      </c>
      <c r="B123" s="34" t="str" cm="1">
        <f t="array" ref="B123:C123">_xlfn.XLOOKUP(A123,'Player List'!$A$2:$A$177,'Player List'!$B$2:$C$177)</f>
        <v>Scotland</v>
      </c>
      <c r="C123" s="34" t="str">
        <v>Back Three</v>
      </c>
      <c r="D123" s="34" t="str">
        <f t="shared" si="1"/>
        <v>Loss</v>
      </c>
      <c r="E123" s="2">
        <v>80</v>
      </c>
      <c r="F123" s="2">
        <v>6</v>
      </c>
      <c r="G123" s="2"/>
      <c r="H123" s="2">
        <v>1</v>
      </c>
      <c r="I123" s="2">
        <v>87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>
        <v>30.4</v>
      </c>
      <c r="U123" s="2"/>
    </row>
    <row r="124" spans="1:21" ht="16" thickBot="1" x14ac:dyDescent="0.25">
      <c r="A124" s="4" t="s">
        <v>35</v>
      </c>
      <c r="B124" s="34" t="str" cm="1">
        <f t="array" ref="B124:C124">_xlfn.XLOOKUP(A124,'Player List'!$A$2:$A$177,'Player List'!$B$2:$C$177)</f>
        <v>Scotland</v>
      </c>
      <c r="C124" s="34" t="str">
        <v>Back Three</v>
      </c>
      <c r="D124" s="34" t="str">
        <f t="shared" si="1"/>
        <v>Loss</v>
      </c>
      <c r="E124" s="5">
        <v>11</v>
      </c>
      <c r="F124" s="5">
        <v>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>
        <v>1</v>
      </c>
      <c r="U124" s="5"/>
    </row>
    <row r="125" spans="1:21" ht="16" thickBot="1" x14ac:dyDescent="0.25">
      <c r="A125" s="1" t="s">
        <v>36</v>
      </c>
      <c r="B125" s="34" t="str" cm="1">
        <f t="array" ref="B125:C125">_xlfn.XLOOKUP(A125,'Player List'!$A$2:$A$177,'Player List'!$B$2:$C$177)</f>
        <v>Scotland</v>
      </c>
      <c r="C125" s="34" t="str">
        <v>Back Three</v>
      </c>
      <c r="D125" s="34" t="str">
        <f t="shared" si="1"/>
        <v>Loss</v>
      </c>
      <c r="E125" s="2">
        <v>69</v>
      </c>
      <c r="F125" s="2">
        <v>2</v>
      </c>
      <c r="G125" s="2"/>
      <c r="H125" s="2"/>
      <c r="I125" s="2">
        <v>45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>
        <v>11</v>
      </c>
      <c r="U125" s="2"/>
    </row>
    <row r="126" spans="1:21" ht="16" thickBot="1" x14ac:dyDescent="0.25">
      <c r="A126" s="4" t="s">
        <v>37</v>
      </c>
      <c r="B126" s="34" t="str" cm="1">
        <f t="array" ref="B126:C126">_xlfn.XLOOKUP(A126,'Player List'!$A$2:$A$177,'Player List'!$B$2:$C$177)</f>
        <v>Scotland</v>
      </c>
      <c r="C126" s="34" t="str">
        <v>Back Three</v>
      </c>
      <c r="D126" s="34" t="str">
        <f t="shared" si="1"/>
        <v>Loss</v>
      </c>
      <c r="E126" s="5">
        <v>80</v>
      </c>
      <c r="F126" s="5">
        <v>4</v>
      </c>
      <c r="G126" s="5"/>
      <c r="H126" s="5"/>
      <c r="I126" s="5">
        <v>21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>
        <v>8.1999999999999993</v>
      </c>
      <c r="U126" s="5"/>
    </row>
    <row r="127" spans="1:21" ht="16" thickBot="1" x14ac:dyDescent="0.25">
      <c r="A127" s="7" t="s">
        <v>39</v>
      </c>
      <c r="B127" s="34" t="str" cm="1">
        <f t="array" ref="B127:C127">_xlfn.XLOOKUP(A127,'Player List'!$A$2:$A$177,'Player List'!$B$2:$C$177)</f>
        <v>Scotland</v>
      </c>
      <c r="C127" s="34" t="str">
        <v>Centre</v>
      </c>
      <c r="D127" s="34" t="str">
        <f t="shared" si="1"/>
        <v>Loss</v>
      </c>
      <c r="E127" s="2">
        <v>80</v>
      </c>
      <c r="F127" s="2">
        <v>4</v>
      </c>
      <c r="G127" s="2"/>
      <c r="H127" s="2">
        <v>1</v>
      </c>
      <c r="I127" s="2">
        <v>141</v>
      </c>
      <c r="J127" s="2"/>
      <c r="K127" s="2"/>
      <c r="L127" s="2"/>
      <c r="M127" s="2">
        <v>2</v>
      </c>
      <c r="N127" s="2"/>
      <c r="O127" s="2"/>
      <c r="P127" s="2"/>
      <c r="Q127" s="2"/>
      <c r="R127" s="2"/>
      <c r="S127" s="2"/>
      <c r="T127" s="3">
        <v>69.2</v>
      </c>
      <c r="U127" s="2"/>
    </row>
    <row r="128" spans="1:21" ht="16" thickBot="1" x14ac:dyDescent="0.25">
      <c r="A128" s="8" t="s">
        <v>40</v>
      </c>
      <c r="B128" s="34" t="str" cm="1">
        <f t="array" ref="B128:C128">_xlfn.XLOOKUP(A128,'Player List'!$A$2:$A$177,'Player List'!$B$2:$C$177)</f>
        <v>Scotland</v>
      </c>
      <c r="C128" s="34" t="str">
        <v>Centre</v>
      </c>
      <c r="D128" s="34" t="str">
        <f t="shared" si="1"/>
        <v>Loss</v>
      </c>
      <c r="E128" s="5">
        <v>80</v>
      </c>
      <c r="F128" s="5">
        <v>9</v>
      </c>
      <c r="G128" s="5"/>
      <c r="H128" s="5"/>
      <c r="I128" s="5">
        <v>52</v>
      </c>
      <c r="J128" s="5"/>
      <c r="K128" s="5"/>
      <c r="L128" s="5"/>
      <c r="M128" s="5"/>
      <c r="N128" s="5">
        <v>1</v>
      </c>
      <c r="O128" s="5"/>
      <c r="P128" s="5"/>
      <c r="Q128" s="5"/>
      <c r="R128" s="5"/>
      <c r="S128" s="5"/>
      <c r="T128" s="6">
        <v>26.4</v>
      </c>
      <c r="U128" s="5"/>
    </row>
    <row r="129" spans="1:21" ht="16" thickBot="1" x14ac:dyDescent="0.25">
      <c r="A129" s="9" t="s">
        <v>41</v>
      </c>
      <c r="B129" s="34" t="str" cm="1">
        <f t="array" ref="B129:C129">_xlfn.XLOOKUP(A129,'Player List'!$A$2:$A$177,'Player List'!$B$2:$C$177)</f>
        <v>Scotland</v>
      </c>
      <c r="C129" s="34" t="str">
        <v>Fly Half</v>
      </c>
      <c r="D129" s="34" t="str">
        <f t="shared" si="1"/>
        <v>Loss</v>
      </c>
      <c r="E129" s="2">
        <v>80</v>
      </c>
      <c r="F129" s="2">
        <v>7</v>
      </c>
      <c r="G129" s="2"/>
      <c r="H129" s="2">
        <v>1</v>
      </c>
      <c r="I129" s="2">
        <v>117</v>
      </c>
      <c r="J129" s="2">
        <v>1</v>
      </c>
      <c r="K129" s="2"/>
      <c r="L129" s="2"/>
      <c r="M129" s="2">
        <v>1</v>
      </c>
      <c r="N129" s="2">
        <v>1</v>
      </c>
      <c r="O129" s="2">
        <v>3</v>
      </c>
      <c r="P129" s="2"/>
      <c r="Q129" s="2"/>
      <c r="R129" s="2"/>
      <c r="S129" s="2"/>
      <c r="T129" s="3">
        <v>75.400000000000006</v>
      </c>
      <c r="U129" s="2"/>
    </row>
    <row r="130" spans="1:21" ht="16" thickBot="1" x14ac:dyDescent="0.25">
      <c r="A130" s="12" t="s">
        <v>170</v>
      </c>
      <c r="B130" s="34" t="str" cm="1">
        <f t="array" ref="B130:C130">_xlfn.XLOOKUP(A130,'Player List'!$A$2:$A$177,'Player List'!$B$2:$C$177)</f>
        <v>Scotland</v>
      </c>
      <c r="C130" s="34" t="str">
        <v>Scrum Half</v>
      </c>
      <c r="D130" s="34" t="str">
        <f t="shared" si="1"/>
        <v>Loss</v>
      </c>
      <c r="E130" s="5">
        <v>23</v>
      </c>
      <c r="F130" s="5">
        <v>1</v>
      </c>
      <c r="G130" s="5"/>
      <c r="H130" s="5"/>
      <c r="I130" s="5"/>
      <c r="J130" s="5"/>
      <c r="K130" s="5"/>
      <c r="L130" s="5"/>
      <c r="M130" s="5"/>
      <c r="N130" s="5">
        <v>1</v>
      </c>
      <c r="O130" s="5"/>
      <c r="P130" s="5"/>
      <c r="Q130" s="5"/>
      <c r="R130" s="5"/>
      <c r="S130" s="5"/>
      <c r="T130" s="6">
        <v>8</v>
      </c>
      <c r="U130" s="5"/>
    </row>
    <row r="131" spans="1:21" ht="16" thickBot="1" x14ac:dyDescent="0.25">
      <c r="A131" s="11" t="s">
        <v>43</v>
      </c>
      <c r="B131" s="34" t="str" cm="1">
        <f t="array" ref="B131:C131">_xlfn.XLOOKUP(A131,'Player List'!$A$2:$A$177,'Player List'!$B$2:$C$177)</f>
        <v>Scotland</v>
      </c>
      <c r="C131" s="34" t="str">
        <v>Scrum Half</v>
      </c>
      <c r="D131" s="34" t="str">
        <f t="shared" si="1"/>
        <v>Loss</v>
      </c>
      <c r="E131" s="2">
        <v>57</v>
      </c>
      <c r="F131" s="2">
        <v>5</v>
      </c>
      <c r="G131" s="2"/>
      <c r="H131" s="2"/>
      <c r="I131" s="2">
        <v>20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>
        <v>9</v>
      </c>
      <c r="U131" s="2"/>
    </row>
    <row r="132" spans="1:21" ht="16" thickBot="1" x14ac:dyDescent="0.25">
      <c r="A132" s="14" t="s">
        <v>45</v>
      </c>
      <c r="B132" s="34" t="str" cm="1">
        <f t="array" ref="B132:C132">_xlfn.XLOOKUP(A132,'Player List'!$A$2:$A$177,'Player List'!$B$2:$C$177)</f>
        <v>Scotland</v>
      </c>
      <c r="C132" s="34" t="str">
        <v>Back Row</v>
      </c>
      <c r="D132" s="34" t="str">
        <f t="shared" si="1"/>
        <v>Loss</v>
      </c>
      <c r="E132" s="5">
        <v>23</v>
      </c>
      <c r="F132" s="5">
        <v>2</v>
      </c>
      <c r="G132" s="5"/>
      <c r="H132" s="5"/>
      <c r="I132" s="5">
        <v>20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>
        <v>6</v>
      </c>
      <c r="U132" s="5"/>
    </row>
    <row r="133" spans="1:21" ht="16" thickBot="1" x14ac:dyDescent="0.25">
      <c r="A133" s="13" t="s">
        <v>46</v>
      </c>
      <c r="B133" s="34" t="str" cm="1">
        <f t="array" ref="B133:C133">_xlfn.XLOOKUP(A133,'Player List'!$A$2:$A$177,'Player List'!$B$2:$C$177)</f>
        <v>Scotland</v>
      </c>
      <c r="C133" s="34" t="str">
        <v>Back Row</v>
      </c>
      <c r="D133" s="34" t="str">
        <f t="shared" si="1"/>
        <v>Loss</v>
      </c>
      <c r="E133" s="2">
        <v>57</v>
      </c>
      <c r="F133" s="2">
        <v>11</v>
      </c>
      <c r="G133" s="2"/>
      <c r="H133" s="2"/>
      <c r="I133" s="2">
        <v>17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>
        <v>14.4</v>
      </c>
      <c r="U133" s="2"/>
    </row>
    <row r="134" spans="1:21" ht="16" thickBot="1" x14ac:dyDescent="0.25">
      <c r="A134" s="14" t="s">
        <v>47</v>
      </c>
      <c r="B134" s="34" t="str" cm="1">
        <f t="array" ref="B134:C134">_xlfn.XLOOKUP(A134,'Player List'!$A$2:$A$177,'Player List'!$B$2:$C$177)</f>
        <v>Scotland</v>
      </c>
      <c r="C134" s="34" t="str">
        <v>Back Row</v>
      </c>
      <c r="D134" s="34" t="str">
        <f t="shared" si="1"/>
        <v>Loss</v>
      </c>
      <c r="E134" s="5">
        <v>80</v>
      </c>
      <c r="F134" s="5">
        <v>13</v>
      </c>
      <c r="G134" s="5"/>
      <c r="H134" s="5"/>
      <c r="I134" s="5">
        <v>46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>
        <v>22.2</v>
      </c>
      <c r="U134" s="5"/>
    </row>
    <row r="135" spans="1:21" ht="16" thickBot="1" x14ac:dyDescent="0.25">
      <c r="A135" s="13" t="s">
        <v>171</v>
      </c>
      <c r="B135" s="34" t="str" cm="1">
        <f t="array" ref="B135:C135">_xlfn.XLOOKUP(A135,'Player List'!$A$2:$A$177,'Player List'!$B$2:$C$177)</f>
        <v>Scotland</v>
      </c>
      <c r="C135" s="34" t="str">
        <v>Back Row</v>
      </c>
      <c r="D135" s="34" t="str">
        <f t="shared" si="1"/>
        <v>Loss</v>
      </c>
      <c r="E135" s="2">
        <v>9</v>
      </c>
      <c r="F135" s="2">
        <v>4</v>
      </c>
      <c r="G135" s="2"/>
      <c r="H135" s="2"/>
      <c r="I135" s="2"/>
      <c r="J135" s="2"/>
      <c r="K135" s="2"/>
      <c r="L135" s="2">
        <v>1</v>
      </c>
      <c r="M135" s="2"/>
      <c r="N135" s="2"/>
      <c r="O135" s="2"/>
      <c r="P135" s="2"/>
      <c r="Q135" s="2"/>
      <c r="R135" s="2"/>
      <c r="S135" s="2"/>
      <c r="T135" s="3">
        <v>11</v>
      </c>
      <c r="U135" s="2"/>
    </row>
    <row r="136" spans="1:21" ht="16" thickBot="1" x14ac:dyDescent="0.25">
      <c r="A136" s="14" t="s">
        <v>172</v>
      </c>
      <c r="B136" s="34" t="str" cm="1">
        <f t="array" ref="B136:C136">_xlfn.XLOOKUP(A136,'Player List'!$A$2:$A$177,'Player List'!$B$2:$C$177)</f>
        <v>Scotland</v>
      </c>
      <c r="C136" s="34" t="str">
        <v>Back Row</v>
      </c>
      <c r="D136" s="34" t="str">
        <f t="shared" si="1"/>
        <v>Loss</v>
      </c>
      <c r="E136" s="5">
        <v>10</v>
      </c>
      <c r="F136" s="5">
        <v>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>
        <v>5</v>
      </c>
      <c r="U136" s="5"/>
    </row>
    <row r="137" spans="1:21" ht="16" thickBot="1" x14ac:dyDescent="0.25">
      <c r="A137" s="15" t="s">
        <v>48</v>
      </c>
      <c r="B137" s="34" t="str" cm="1">
        <f t="array" ref="B137:C137">_xlfn.XLOOKUP(A137,'Player List'!$A$2:$A$177,'Player List'!$B$2:$C$177)</f>
        <v>Scotland</v>
      </c>
      <c r="C137" s="34" t="str">
        <v>Second Row</v>
      </c>
      <c r="D137" s="34" t="str">
        <f t="shared" si="1"/>
        <v>Loss</v>
      </c>
      <c r="E137" s="2">
        <v>7</v>
      </c>
      <c r="F137" s="2">
        <v>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>
        <v>1</v>
      </c>
      <c r="T137" s="3">
        <v>-7</v>
      </c>
      <c r="U137" s="2"/>
    </row>
    <row r="138" spans="1:21" ht="16" thickBot="1" x14ac:dyDescent="0.25">
      <c r="A138" s="16" t="s">
        <v>49</v>
      </c>
      <c r="B138" s="34" t="str" cm="1">
        <f t="array" ref="B138:C138">_xlfn.XLOOKUP(A138,'Player List'!$A$2:$A$177,'Player List'!$B$2:$C$177)</f>
        <v>Scotland</v>
      </c>
      <c r="C138" s="34" t="str">
        <v>Second Row</v>
      </c>
      <c r="D138" s="34" t="str">
        <f t="shared" si="1"/>
        <v>Loss</v>
      </c>
      <c r="E138" s="5">
        <v>70</v>
      </c>
      <c r="F138" s="5">
        <v>8</v>
      </c>
      <c r="G138" s="5">
        <v>1</v>
      </c>
      <c r="H138" s="5"/>
      <c r="I138" s="5">
        <v>28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>
        <v>20.6</v>
      </c>
      <c r="U138" s="5"/>
    </row>
    <row r="139" spans="1:21" ht="16" thickBot="1" x14ac:dyDescent="0.25">
      <c r="A139" s="15" t="s">
        <v>50</v>
      </c>
      <c r="B139" s="34" t="str" cm="1">
        <f t="array" ref="B139:C139">_xlfn.XLOOKUP(A139,'Player List'!$A$2:$A$177,'Player List'!$B$2:$C$177)</f>
        <v>Scotland</v>
      </c>
      <c r="C139" s="34" t="str">
        <v>Second Row</v>
      </c>
      <c r="D139" s="34" t="str">
        <f t="shared" ref="D139:D145" si="2">_xlfn.XLOOKUP(B139,$B$2:$B$7,$C$2:$C$7)</f>
        <v>Loss</v>
      </c>
      <c r="E139" s="2">
        <v>71</v>
      </c>
      <c r="F139" s="2">
        <v>7</v>
      </c>
      <c r="G139" s="2"/>
      <c r="H139" s="2"/>
      <c r="I139" s="2">
        <v>15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>
        <v>10</v>
      </c>
      <c r="U139" s="2"/>
    </row>
    <row r="140" spans="1:21" ht="16" thickBot="1" x14ac:dyDescent="0.25">
      <c r="A140" s="17" t="s">
        <v>51</v>
      </c>
      <c r="B140" s="34" t="str" cm="1">
        <f t="array" ref="B140:C140">_xlfn.XLOOKUP(A140,'Player List'!$A$2:$A$177,'Player List'!$B$2:$C$177)</f>
        <v>Scotland</v>
      </c>
      <c r="C140" s="34" t="str">
        <v>Prop</v>
      </c>
      <c r="D140" s="34" t="str">
        <f t="shared" si="2"/>
        <v>Loss</v>
      </c>
      <c r="E140" s="5">
        <v>17</v>
      </c>
      <c r="F140" s="5">
        <v>2</v>
      </c>
      <c r="G140" s="5">
        <v>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>
        <v>9</v>
      </c>
      <c r="U140" s="5"/>
    </row>
    <row r="141" spans="1:21" ht="16" thickBot="1" x14ac:dyDescent="0.25">
      <c r="A141" s="18" t="s">
        <v>52</v>
      </c>
      <c r="B141" s="34" t="str" cm="1">
        <f t="array" ref="B141:C141">_xlfn.XLOOKUP(A141,'Player List'!$A$2:$A$177,'Player List'!$B$2:$C$177)</f>
        <v>Scotland</v>
      </c>
      <c r="C141" s="34" t="str">
        <v>Prop</v>
      </c>
      <c r="D141" s="34" t="str">
        <f t="shared" si="2"/>
        <v>Loss</v>
      </c>
      <c r="E141" s="2">
        <v>63</v>
      </c>
      <c r="F141" s="2">
        <v>6</v>
      </c>
      <c r="G141" s="2"/>
      <c r="H141" s="2"/>
      <c r="I141" s="2">
        <v>29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>
        <v>11.8</v>
      </c>
      <c r="U141" s="2"/>
    </row>
    <row r="142" spans="1:21" ht="16" thickBot="1" x14ac:dyDescent="0.25">
      <c r="A142" s="17" t="s">
        <v>53</v>
      </c>
      <c r="B142" s="34" t="str" cm="1">
        <f t="array" ref="B142:C142">_xlfn.XLOOKUP(A142,'Player List'!$A$2:$A$177,'Player List'!$B$2:$C$177)</f>
        <v>Scotland</v>
      </c>
      <c r="C142" s="34" t="str">
        <v>Prop</v>
      </c>
      <c r="D142" s="34" t="str">
        <f t="shared" si="2"/>
        <v>Loss</v>
      </c>
      <c r="E142" s="5">
        <v>17</v>
      </c>
      <c r="F142" s="5">
        <v>3</v>
      </c>
      <c r="G142" s="5"/>
      <c r="H142" s="5"/>
      <c r="I142" s="5">
        <v>5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>
        <v>4</v>
      </c>
      <c r="U142" s="5"/>
    </row>
    <row r="143" spans="1:21" ht="16" thickBot="1" x14ac:dyDescent="0.25">
      <c r="A143" s="18" t="s">
        <v>54</v>
      </c>
      <c r="B143" s="34" t="str" cm="1">
        <f t="array" ref="B143:C143">_xlfn.XLOOKUP(A143,'Player List'!$A$2:$A$177,'Player List'!$B$2:$C$177)</f>
        <v>Scotland</v>
      </c>
      <c r="C143" s="34" t="str">
        <v>Prop</v>
      </c>
      <c r="D143" s="34" t="str">
        <f t="shared" si="2"/>
        <v>Loss</v>
      </c>
      <c r="E143" s="2">
        <v>63</v>
      </c>
      <c r="F143" s="2">
        <v>7</v>
      </c>
      <c r="G143" s="2"/>
      <c r="H143" s="2"/>
      <c r="I143" s="2">
        <v>65</v>
      </c>
      <c r="J143" s="2"/>
      <c r="K143" s="2"/>
      <c r="L143" s="2">
        <v>1</v>
      </c>
      <c r="M143" s="2"/>
      <c r="N143" s="2"/>
      <c r="O143" s="2"/>
      <c r="P143" s="2"/>
      <c r="Q143" s="2"/>
      <c r="R143" s="2"/>
      <c r="S143" s="2"/>
      <c r="T143" s="3">
        <v>27</v>
      </c>
      <c r="U143" s="2"/>
    </row>
    <row r="144" spans="1:21" ht="16" thickBot="1" x14ac:dyDescent="0.25">
      <c r="A144" s="19" t="s">
        <v>55</v>
      </c>
      <c r="B144" s="34" t="str" cm="1">
        <f t="array" ref="B144:C144">_xlfn.XLOOKUP(A144,'Player List'!$A$2:$A$177,'Player List'!$B$2:$C$177)</f>
        <v>Scotland</v>
      </c>
      <c r="C144" s="34" t="str">
        <v>Hooker</v>
      </c>
      <c r="D144" s="34" t="str">
        <f t="shared" si="2"/>
        <v>Loss</v>
      </c>
      <c r="E144" s="5">
        <v>17</v>
      </c>
      <c r="F144" s="5">
        <v>4</v>
      </c>
      <c r="G144" s="5"/>
      <c r="H144" s="5"/>
      <c r="I144" s="5">
        <v>7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>
        <v>5.4</v>
      </c>
      <c r="U144" s="5"/>
    </row>
    <row r="145" spans="1:21" ht="16" thickBot="1" x14ac:dyDescent="0.25">
      <c r="A145" s="20" t="s">
        <v>56</v>
      </c>
      <c r="B145" s="34" t="str" cm="1">
        <f t="array" ref="B145:C145">_xlfn.XLOOKUP(A145,'Player List'!$A$2:$A$177,'Player List'!$B$2:$C$177)</f>
        <v>Scotland</v>
      </c>
      <c r="C145" s="34" t="str">
        <v>Hooker</v>
      </c>
      <c r="D145" s="34" t="str">
        <f t="shared" si="2"/>
        <v>Loss</v>
      </c>
      <c r="E145" s="2">
        <v>63</v>
      </c>
      <c r="F145" s="2">
        <v>5</v>
      </c>
      <c r="G145" s="2"/>
      <c r="H145" s="2"/>
      <c r="I145" s="2">
        <v>47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>
        <v>14.4</v>
      </c>
      <c r="U145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E8D9-079D-4059-9824-B650F4CB6C82}">
  <sheetPr>
    <tabColor theme="5" tint="0.79998168889431442"/>
  </sheetPr>
  <dimension ref="A2:V147"/>
  <sheetViews>
    <sheetView topLeftCell="C1" workbookViewId="0">
      <selection activeCell="M28" sqref="M28"/>
    </sheetView>
  </sheetViews>
  <sheetFormatPr baseColWidth="10" defaultColWidth="8.83203125" defaultRowHeight="15" x14ac:dyDescent="0.2"/>
  <cols>
    <col min="5" max="5" width="11.1640625" customWidth="1"/>
    <col min="6" max="6" width="9.83203125" customWidth="1"/>
    <col min="7" max="7" width="10.5" customWidth="1"/>
    <col min="8" max="8" width="11.83203125" customWidth="1"/>
    <col min="9" max="9" width="9.83203125" customWidth="1"/>
    <col min="10" max="10" width="10.1640625" customWidth="1"/>
    <col min="12" max="12" width="11.6640625" customWidth="1"/>
  </cols>
  <sheetData>
    <row r="2" spans="1:22" x14ac:dyDescent="0.2">
      <c r="B2" t="s">
        <v>191</v>
      </c>
      <c r="C2" t="s">
        <v>212</v>
      </c>
      <c r="E2" t="s">
        <v>192</v>
      </c>
      <c r="F2">
        <v>17</v>
      </c>
      <c r="G2">
        <v>29</v>
      </c>
      <c r="H2" t="s">
        <v>188</v>
      </c>
    </row>
    <row r="3" spans="1:22" x14ac:dyDescent="0.2">
      <c r="B3" t="s">
        <v>188</v>
      </c>
      <c r="C3" t="s">
        <v>204</v>
      </c>
      <c r="E3" t="s">
        <v>190</v>
      </c>
      <c r="F3">
        <v>53</v>
      </c>
      <c r="G3">
        <v>10</v>
      </c>
      <c r="H3" t="s">
        <v>193</v>
      </c>
    </row>
    <row r="4" spans="1:22" x14ac:dyDescent="0.2">
      <c r="B4" t="s">
        <v>189</v>
      </c>
      <c r="C4" t="s">
        <v>204</v>
      </c>
      <c r="E4" t="s">
        <v>191</v>
      </c>
      <c r="F4">
        <v>7</v>
      </c>
      <c r="G4">
        <v>22</v>
      </c>
      <c r="H4" t="s">
        <v>189</v>
      </c>
    </row>
    <row r="5" spans="1:22" x14ac:dyDescent="0.2">
      <c r="B5" t="s">
        <v>190</v>
      </c>
      <c r="C5" t="s">
        <v>212</v>
      </c>
    </row>
    <row r="6" spans="1:22" x14ac:dyDescent="0.2">
      <c r="B6" t="s">
        <v>193</v>
      </c>
      <c r="C6" t="s">
        <v>204</v>
      </c>
    </row>
    <row r="7" spans="1:22" x14ac:dyDescent="0.2">
      <c r="B7" t="s">
        <v>192</v>
      </c>
      <c r="C7" t="s">
        <v>212</v>
      </c>
    </row>
    <row r="8" spans="1:22" ht="16" thickBot="1" x14ac:dyDescent="0.25"/>
    <row r="9" spans="1:22" ht="31" thickBot="1" x14ac:dyDescent="0.25">
      <c r="A9" t="s">
        <v>0</v>
      </c>
      <c r="B9" s="40" t="s">
        <v>203</v>
      </c>
      <c r="C9" s="40" t="s">
        <v>202</v>
      </c>
      <c r="D9" t="s">
        <v>213</v>
      </c>
      <c r="E9" t="s">
        <v>205</v>
      </c>
      <c r="F9" s="35" t="s">
        <v>207</v>
      </c>
      <c r="G9" s="35" t="s">
        <v>1</v>
      </c>
      <c r="H9" s="35" t="s">
        <v>2</v>
      </c>
      <c r="I9" s="35" t="s">
        <v>208</v>
      </c>
      <c r="J9" s="35" t="s">
        <v>3</v>
      </c>
      <c r="K9" s="35" t="s">
        <v>4</v>
      </c>
      <c r="L9" s="35" t="s">
        <v>5</v>
      </c>
      <c r="M9" s="35" t="s">
        <v>6</v>
      </c>
      <c r="N9" s="35" t="s">
        <v>209</v>
      </c>
      <c r="O9" s="35" t="s">
        <v>7</v>
      </c>
      <c r="P9" s="35" t="s">
        <v>8</v>
      </c>
      <c r="Q9" s="35" t="s">
        <v>9</v>
      </c>
      <c r="R9" s="35" t="s">
        <v>10</v>
      </c>
      <c r="S9" s="35" t="s">
        <v>11</v>
      </c>
      <c r="T9" s="35" t="s">
        <v>211</v>
      </c>
      <c r="U9" s="35" t="s">
        <v>206</v>
      </c>
      <c r="V9" s="35" t="s">
        <v>210</v>
      </c>
    </row>
    <row r="10" spans="1:22" ht="16" thickBot="1" x14ac:dyDescent="0.25">
      <c r="A10" s="1" t="s">
        <v>103</v>
      </c>
      <c r="B10" s="34" t="str" cm="1">
        <f t="array" ref="B10:C10">_xlfn.XLOOKUP(A10,'Player List'!$A$2:$A$177,'Player List'!$B$2:$C$177)</f>
        <v>Italy</v>
      </c>
      <c r="C10" s="34" t="str">
        <v>Back Three</v>
      </c>
      <c r="D10" s="34" t="str">
        <f>_xlfn.XLOOKUP(B10,$B$2:$B$7,$C$2:$C$7)</f>
        <v>Loss</v>
      </c>
      <c r="E10" s="2">
        <v>69</v>
      </c>
      <c r="F10" s="2">
        <v>2</v>
      </c>
      <c r="G10" s="2"/>
      <c r="H10" s="2"/>
      <c r="I10" s="2">
        <v>29</v>
      </c>
      <c r="J10" s="2"/>
      <c r="K10" s="2"/>
      <c r="L10" s="2"/>
      <c r="M10" s="2"/>
      <c r="N10" s="2">
        <v>1</v>
      </c>
      <c r="O10" s="2"/>
      <c r="P10" s="2"/>
      <c r="Q10" s="2"/>
      <c r="R10" s="2">
        <v>1</v>
      </c>
      <c r="S10" s="2"/>
      <c r="T10" s="3">
        <v>9.8000000000000007</v>
      </c>
      <c r="U10" s="2"/>
    </row>
    <row r="11" spans="1:22" ht="16" thickBot="1" x14ac:dyDescent="0.25">
      <c r="A11" s="4" t="s">
        <v>105</v>
      </c>
      <c r="B11" s="34" t="str" cm="1">
        <f t="array" ref="B11:C11">_xlfn.XLOOKUP(A11,'Player List'!$A$2:$A$177,'Player List'!$B$2:$C$177)</f>
        <v>Italy</v>
      </c>
      <c r="C11" s="34" t="str">
        <v>Back Three</v>
      </c>
      <c r="D11" s="34" t="str">
        <f t="shared" ref="D11:D74" si="0">_xlfn.XLOOKUP(B11,$B$2:$B$7,$C$2:$C$7)</f>
        <v>Loss</v>
      </c>
      <c r="E11" s="5">
        <v>24</v>
      </c>
      <c r="F11" s="5"/>
      <c r="G11" s="5"/>
      <c r="H11" s="5">
        <v>1</v>
      </c>
      <c r="I11" s="5">
        <v>50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17</v>
      </c>
      <c r="U11" s="5"/>
    </row>
    <row r="12" spans="1:22" ht="16" thickBot="1" x14ac:dyDescent="0.25">
      <c r="A12" s="1" t="s">
        <v>106</v>
      </c>
      <c r="B12" s="34" t="str" cm="1">
        <f t="array" ref="B12:C12">_xlfn.XLOOKUP(A12,'Player List'!$A$2:$A$177,'Player List'!$B$2:$C$177)</f>
        <v>Italy</v>
      </c>
      <c r="C12" s="34" t="str">
        <v>Back Three</v>
      </c>
      <c r="D12" s="34" t="str">
        <f t="shared" si="0"/>
        <v>Loss</v>
      </c>
      <c r="E12" s="2">
        <v>59</v>
      </c>
      <c r="F12" s="2">
        <v>7</v>
      </c>
      <c r="G12" s="2">
        <v>1</v>
      </c>
      <c r="H12" s="2">
        <v>1</v>
      </c>
      <c r="I12" s="2">
        <v>79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3">
        <v>36.799999999999997</v>
      </c>
      <c r="U12" s="2"/>
    </row>
    <row r="13" spans="1:22" ht="16" thickBot="1" x14ac:dyDescent="0.25">
      <c r="A13" s="4" t="s">
        <v>107</v>
      </c>
      <c r="B13" s="34" t="str" cm="1">
        <f t="array" ref="B13:C13">_xlfn.XLOOKUP(A13,'Player List'!$A$2:$A$177,'Player List'!$B$2:$C$177)</f>
        <v>Italy</v>
      </c>
      <c r="C13" s="34" t="str">
        <v>Back Three</v>
      </c>
      <c r="D13" s="34" t="str">
        <f t="shared" si="0"/>
        <v>Loss</v>
      </c>
      <c r="E13" s="5">
        <v>80</v>
      </c>
      <c r="F13" s="5">
        <v>1</v>
      </c>
      <c r="G13" s="5">
        <v>1</v>
      </c>
      <c r="H13" s="5">
        <v>1</v>
      </c>
      <c r="I13" s="5">
        <v>51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25.2</v>
      </c>
      <c r="U13" s="5"/>
    </row>
    <row r="14" spans="1:22" ht="16" thickBot="1" x14ac:dyDescent="0.25">
      <c r="A14" s="7" t="s">
        <v>108</v>
      </c>
      <c r="B14" s="34" t="str" cm="1">
        <f t="array" ref="B14:C14">_xlfn.XLOOKUP(A14,'Player List'!$A$2:$A$177,'Player List'!$B$2:$C$177)</f>
        <v>Italy</v>
      </c>
      <c r="C14" s="34" t="str">
        <v>Centre</v>
      </c>
      <c r="D14" s="34" t="str">
        <f t="shared" si="0"/>
        <v>Loss</v>
      </c>
      <c r="E14" s="2">
        <v>80</v>
      </c>
      <c r="F14" s="2">
        <v>2</v>
      </c>
      <c r="G14" s="2"/>
      <c r="H14" s="2">
        <v>1</v>
      </c>
      <c r="I14" s="2">
        <v>90</v>
      </c>
      <c r="J14" s="2"/>
      <c r="K14" s="2"/>
      <c r="L14" s="2"/>
      <c r="M14" s="2">
        <v>1</v>
      </c>
      <c r="N14" s="2"/>
      <c r="O14" s="2"/>
      <c r="P14" s="2"/>
      <c r="Q14" s="2"/>
      <c r="R14" s="2"/>
      <c r="S14" s="2"/>
      <c r="T14" s="3">
        <v>42</v>
      </c>
      <c r="U14" s="2"/>
    </row>
    <row r="15" spans="1:22" ht="16" thickBot="1" x14ac:dyDescent="0.25">
      <c r="A15" s="8" t="s">
        <v>109</v>
      </c>
      <c r="B15" s="34" t="str" cm="1">
        <f t="array" ref="B15:C15">_xlfn.XLOOKUP(A15,'Player List'!$A$2:$A$177,'Player List'!$B$2:$C$177)</f>
        <v>Italy</v>
      </c>
      <c r="C15" s="34" t="str">
        <v>Centre</v>
      </c>
      <c r="D15" s="34" t="str">
        <f t="shared" si="0"/>
        <v>Loss</v>
      </c>
      <c r="E15" s="5">
        <v>21</v>
      </c>
      <c r="F15" s="5"/>
      <c r="G15" s="5"/>
      <c r="H15" s="5"/>
      <c r="I15" s="5">
        <v>24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6">
        <v>4.8</v>
      </c>
      <c r="U15" s="5"/>
    </row>
    <row r="16" spans="1:22" ht="16" thickBot="1" x14ac:dyDescent="0.25">
      <c r="A16" s="9" t="s">
        <v>110</v>
      </c>
      <c r="B16" s="34" t="str" cm="1">
        <f t="array" ref="B16:C16">_xlfn.XLOOKUP(A16,'Player List'!$A$2:$A$177,'Player List'!$B$2:$C$177)</f>
        <v>Italy</v>
      </c>
      <c r="C16" s="34" t="str">
        <v>Fly Half</v>
      </c>
      <c r="D16" s="34" t="str">
        <f t="shared" si="0"/>
        <v>Loss</v>
      </c>
      <c r="E16" s="2">
        <v>80</v>
      </c>
      <c r="F16" s="2"/>
      <c r="G16" s="2"/>
      <c r="H16" s="2">
        <v>3</v>
      </c>
      <c r="I16" s="2">
        <v>78</v>
      </c>
      <c r="J16" s="2"/>
      <c r="K16" s="2"/>
      <c r="L16" s="2"/>
      <c r="M16" s="2"/>
      <c r="N16" s="2">
        <v>1</v>
      </c>
      <c r="O16" s="2">
        <v>2</v>
      </c>
      <c r="P16" s="2">
        <v>1</v>
      </c>
      <c r="Q16" s="2"/>
      <c r="R16" s="2"/>
      <c r="S16" s="2"/>
      <c r="T16" s="3">
        <v>52.6</v>
      </c>
      <c r="U16" s="2"/>
    </row>
    <row r="17" spans="1:21" ht="16" thickBot="1" x14ac:dyDescent="0.25">
      <c r="A17" s="10" t="s">
        <v>153</v>
      </c>
      <c r="B17" s="34" t="str" cm="1">
        <f t="array" ref="B17:C17">_xlfn.XLOOKUP(A17,'Player List'!$A$2:$A$177,'Player List'!$B$2:$C$177)</f>
        <v>Italy</v>
      </c>
      <c r="C17" s="34" t="str">
        <v>Fly Half</v>
      </c>
      <c r="D17" s="34" t="str">
        <f t="shared" si="0"/>
        <v>Loss</v>
      </c>
      <c r="E17" s="5">
        <v>80</v>
      </c>
      <c r="F17" s="5">
        <v>6</v>
      </c>
      <c r="G17" s="5"/>
      <c r="H17" s="5">
        <v>1</v>
      </c>
      <c r="I17" s="5">
        <v>37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6">
        <v>20.399999999999999</v>
      </c>
      <c r="U17" s="5"/>
    </row>
    <row r="18" spans="1:21" ht="16" thickBot="1" x14ac:dyDescent="0.25">
      <c r="A18" s="11" t="s">
        <v>111</v>
      </c>
      <c r="B18" s="34" t="str" cm="1">
        <f t="array" ref="B18:C18">_xlfn.XLOOKUP(A18,'Player List'!$A$2:$A$177,'Player List'!$B$2:$C$177)</f>
        <v>Italy</v>
      </c>
      <c r="C18" s="34" t="str">
        <v>Scrum Half</v>
      </c>
      <c r="D18" s="34" t="str">
        <f t="shared" si="0"/>
        <v>Loss</v>
      </c>
      <c r="E18" s="2">
        <v>56</v>
      </c>
      <c r="F18" s="2">
        <v>3</v>
      </c>
      <c r="G18" s="2"/>
      <c r="H18" s="2"/>
      <c r="I18" s="2">
        <v>38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v>10.6</v>
      </c>
      <c r="U18" s="2"/>
    </row>
    <row r="19" spans="1:21" ht="16" thickBot="1" x14ac:dyDescent="0.25">
      <c r="A19" s="14" t="s">
        <v>112</v>
      </c>
      <c r="B19" s="34" t="str" cm="1">
        <f t="array" ref="B19:C19">_xlfn.XLOOKUP(A19,'Player List'!$A$2:$A$177,'Player List'!$B$2:$C$177)</f>
        <v>Italy</v>
      </c>
      <c r="C19" s="34" t="str">
        <v>Back Row</v>
      </c>
      <c r="D19" s="34" t="str">
        <f t="shared" si="0"/>
        <v>Loss</v>
      </c>
      <c r="E19" s="5">
        <v>20</v>
      </c>
      <c r="F19" s="5">
        <v>1</v>
      </c>
      <c r="G19" s="5"/>
      <c r="H19" s="5">
        <v>1</v>
      </c>
      <c r="I19" s="5">
        <v>28</v>
      </c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6">
        <v>20.6</v>
      </c>
      <c r="U19" s="5"/>
    </row>
    <row r="20" spans="1:21" ht="16" thickBot="1" x14ac:dyDescent="0.25">
      <c r="A20" s="13" t="s">
        <v>113</v>
      </c>
      <c r="B20" s="34" t="str" cm="1">
        <f t="array" ref="B20:C20">_xlfn.XLOOKUP(A20,'Player List'!$A$2:$A$177,'Player List'!$B$2:$C$177)</f>
        <v>Italy</v>
      </c>
      <c r="C20" s="34" t="str">
        <v>Back Row</v>
      </c>
      <c r="D20" s="34" t="str">
        <f t="shared" si="0"/>
        <v>Loss</v>
      </c>
      <c r="E20" s="2">
        <v>77</v>
      </c>
      <c r="F20" s="2">
        <v>7</v>
      </c>
      <c r="G20" s="2"/>
      <c r="H20" s="2"/>
      <c r="I20" s="2">
        <v>24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v>11.8</v>
      </c>
      <c r="U20" s="2"/>
    </row>
    <row r="21" spans="1:21" ht="16" thickBot="1" x14ac:dyDescent="0.25">
      <c r="A21" s="14" t="s">
        <v>114</v>
      </c>
      <c r="B21" s="34" t="str" cm="1">
        <f t="array" ref="B21:C21">_xlfn.XLOOKUP(A21,'Player List'!$A$2:$A$177,'Player List'!$B$2:$C$177)</f>
        <v>Italy</v>
      </c>
      <c r="C21" s="34" t="str">
        <v>Back Row</v>
      </c>
      <c r="D21" s="34" t="str">
        <f t="shared" si="0"/>
        <v>Loss</v>
      </c>
      <c r="E21" s="5">
        <v>52</v>
      </c>
      <c r="F21" s="5">
        <v>5</v>
      </c>
      <c r="G21" s="5"/>
      <c r="H21" s="5">
        <v>1</v>
      </c>
      <c r="I21" s="5">
        <v>50</v>
      </c>
      <c r="J21" s="5"/>
      <c r="K21" s="5"/>
      <c r="L21" s="5"/>
      <c r="M21" s="5">
        <v>1</v>
      </c>
      <c r="N21" s="5"/>
      <c r="O21" s="5"/>
      <c r="P21" s="5"/>
      <c r="Q21" s="5"/>
      <c r="R21" s="5"/>
      <c r="S21" s="5"/>
      <c r="T21" s="6">
        <v>37</v>
      </c>
      <c r="U21" s="5"/>
    </row>
    <row r="22" spans="1:21" ht="16" thickBot="1" x14ac:dyDescent="0.25">
      <c r="A22" s="13" t="s">
        <v>154</v>
      </c>
      <c r="B22" s="34" t="str" cm="1">
        <f t="array" ref="B22:C22">_xlfn.XLOOKUP(A22,'Player List'!$A$2:$A$177,'Player List'!$B$2:$C$177)</f>
        <v>Italy</v>
      </c>
      <c r="C22" s="34" t="str">
        <v>Back Row</v>
      </c>
      <c r="D22" s="34" t="str">
        <f t="shared" si="0"/>
        <v>Loss</v>
      </c>
      <c r="E22" s="2">
        <v>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v>0</v>
      </c>
      <c r="U22" s="2"/>
    </row>
    <row r="23" spans="1:21" ht="16" thickBot="1" x14ac:dyDescent="0.25">
      <c r="A23" s="16" t="s">
        <v>117</v>
      </c>
      <c r="B23" s="34" t="str" cm="1">
        <f t="array" ref="B23:C23">_xlfn.XLOOKUP(A23,'Player List'!$A$2:$A$177,'Player List'!$B$2:$C$177)</f>
        <v>Italy</v>
      </c>
      <c r="C23" s="34" t="str">
        <v>Second Row</v>
      </c>
      <c r="D23" s="34" t="str">
        <f t="shared" si="0"/>
        <v>Loss</v>
      </c>
      <c r="E23" s="5">
        <v>60</v>
      </c>
      <c r="F23" s="5">
        <v>3</v>
      </c>
      <c r="G23" s="5"/>
      <c r="H23" s="5"/>
      <c r="I23" s="5">
        <v>16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6.2</v>
      </c>
      <c r="U23" s="5"/>
    </row>
    <row r="24" spans="1:21" ht="16" thickBot="1" x14ac:dyDescent="0.25">
      <c r="A24" s="15" t="s">
        <v>116</v>
      </c>
      <c r="B24" s="34" t="str" cm="1">
        <f t="array" ref="B24:C24">_xlfn.XLOOKUP(A24,'Player List'!$A$2:$A$177,'Player List'!$B$2:$C$177)</f>
        <v>Italy</v>
      </c>
      <c r="C24" s="34" t="str">
        <v>Second Row</v>
      </c>
      <c r="D24" s="34" t="str">
        <f t="shared" si="0"/>
        <v>Loss</v>
      </c>
      <c r="E24" s="2">
        <v>71</v>
      </c>
      <c r="F24" s="2">
        <v>7</v>
      </c>
      <c r="G24" s="2">
        <v>1</v>
      </c>
      <c r="H24" s="2"/>
      <c r="I24" s="2">
        <v>51</v>
      </c>
      <c r="J24" s="2"/>
      <c r="K24" s="2"/>
      <c r="L24" s="2"/>
      <c r="M24" s="2"/>
      <c r="N24" s="2"/>
      <c r="O24" s="2"/>
      <c r="P24" s="2"/>
      <c r="Q24" s="2"/>
      <c r="R24" s="2">
        <v>1</v>
      </c>
      <c r="S24" s="2"/>
      <c r="T24" s="3">
        <v>19.2</v>
      </c>
      <c r="U24" s="2"/>
    </row>
    <row r="25" spans="1:21" ht="16" thickBot="1" x14ac:dyDescent="0.25">
      <c r="A25" s="16" t="s">
        <v>118</v>
      </c>
      <c r="B25" s="34" t="str" cm="1">
        <f t="array" ref="B25:C25">_xlfn.XLOOKUP(A25,'Player List'!$A$2:$A$177,'Player List'!$B$2:$C$177)</f>
        <v>Italy</v>
      </c>
      <c r="C25" s="34" t="str">
        <v>Second Row</v>
      </c>
      <c r="D25" s="34" t="str">
        <f t="shared" si="0"/>
        <v>Loss</v>
      </c>
      <c r="E25" s="5">
        <v>80</v>
      </c>
      <c r="F25" s="5">
        <v>3</v>
      </c>
      <c r="G25" s="5"/>
      <c r="H25" s="5"/>
      <c r="I25" s="5">
        <v>35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10</v>
      </c>
      <c r="U25" s="5"/>
    </row>
    <row r="26" spans="1:21" ht="16" thickBot="1" x14ac:dyDescent="0.25">
      <c r="A26" s="15" t="s">
        <v>119</v>
      </c>
      <c r="B26" s="34" t="str" cm="1">
        <f t="array" ref="B26:C26">_xlfn.XLOOKUP(A26,'Player List'!$A$2:$A$177,'Player List'!$B$2:$C$177)</f>
        <v>Italy</v>
      </c>
      <c r="C26" s="34" t="str">
        <v>Second Row</v>
      </c>
      <c r="D26" s="34" t="str">
        <f t="shared" si="0"/>
        <v>Loss</v>
      </c>
      <c r="E26" s="2">
        <v>28</v>
      </c>
      <c r="F26" s="2">
        <v>1</v>
      </c>
      <c r="G26" s="2"/>
      <c r="H26" s="2">
        <v>1</v>
      </c>
      <c r="I26" s="2">
        <v>36</v>
      </c>
      <c r="J26" s="2"/>
      <c r="K26" s="2"/>
      <c r="L26" s="2">
        <v>1</v>
      </c>
      <c r="M26" s="2"/>
      <c r="N26" s="2"/>
      <c r="O26" s="2"/>
      <c r="P26" s="2"/>
      <c r="Q26" s="2"/>
      <c r="R26" s="2"/>
      <c r="S26" s="2"/>
      <c r="T26" s="3">
        <v>22.2</v>
      </c>
      <c r="U26" s="2"/>
    </row>
    <row r="27" spans="1:21" ht="16" thickBot="1" x14ac:dyDescent="0.25">
      <c r="A27" s="17" t="s">
        <v>120</v>
      </c>
      <c r="B27" s="34" t="str" cm="1">
        <f t="array" ref="B27:C27">_xlfn.XLOOKUP(A27,'Player List'!$A$2:$A$177,'Player List'!$B$2:$C$177)</f>
        <v>Italy</v>
      </c>
      <c r="C27" s="34" t="str">
        <v>Prop</v>
      </c>
      <c r="D27" s="34" t="str">
        <f t="shared" si="0"/>
        <v>Loss</v>
      </c>
      <c r="E27" s="5">
        <v>42</v>
      </c>
      <c r="F27" s="5">
        <v>4</v>
      </c>
      <c r="G27" s="5">
        <v>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>
        <v>11</v>
      </c>
      <c r="U27" s="5"/>
    </row>
    <row r="28" spans="1:21" ht="16" thickBot="1" x14ac:dyDescent="0.25">
      <c r="A28" s="18" t="s">
        <v>121</v>
      </c>
      <c r="B28" s="34" t="str" cm="1">
        <f t="array" ref="B28:C28">_xlfn.XLOOKUP(A28,'Player List'!$A$2:$A$177,'Player List'!$B$2:$C$177)</f>
        <v>Italy</v>
      </c>
      <c r="C28" s="34" t="str">
        <v>Prop</v>
      </c>
      <c r="D28" s="34" t="str">
        <f t="shared" si="0"/>
        <v>Loss</v>
      </c>
      <c r="E28" s="2">
        <v>62</v>
      </c>
      <c r="F28" s="2">
        <v>5</v>
      </c>
      <c r="G28" s="2"/>
      <c r="H28" s="2"/>
      <c r="I28" s="2">
        <v>39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3">
        <v>12.8</v>
      </c>
      <c r="U28" s="2"/>
    </row>
    <row r="29" spans="1:21" ht="16" thickBot="1" x14ac:dyDescent="0.25">
      <c r="A29" s="17" t="s">
        <v>122</v>
      </c>
      <c r="B29" s="34" t="str" cm="1">
        <f t="array" ref="B29:C29">_xlfn.XLOOKUP(A29,'Player List'!$A$2:$A$177,'Player List'!$B$2:$C$177)</f>
        <v>Italy</v>
      </c>
      <c r="C29" s="34" t="str">
        <v>Prop</v>
      </c>
      <c r="D29" s="34" t="str">
        <f t="shared" si="0"/>
        <v>Loss</v>
      </c>
      <c r="E29" s="5">
        <v>38</v>
      </c>
      <c r="F29" s="5">
        <v>2</v>
      </c>
      <c r="G29" s="5"/>
      <c r="H29" s="5"/>
      <c r="I29" s="5">
        <v>14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6">
        <v>4.8</v>
      </c>
      <c r="U29" s="5"/>
    </row>
    <row r="30" spans="1:21" ht="16" thickBot="1" x14ac:dyDescent="0.25">
      <c r="A30" s="18" t="s">
        <v>123</v>
      </c>
      <c r="B30" s="34" t="str" cm="1">
        <f t="array" ref="B30:C30">_xlfn.XLOOKUP(A30,'Player List'!$A$2:$A$177,'Player List'!$B$2:$C$177)</f>
        <v>Italy</v>
      </c>
      <c r="C30" s="34" t="str">
        <v>Prop</v>
      </c>
      <c r="D30" s="34" t="str">
        <f t="shared" si="0"/>
        <v>Loss</v>
      </c>
      <c r="E30" s="2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>
        <v>0</v>
      </c>
      <c r="U30" s="2"/>
    </row>
    <row r="31" spans="1:21" ht="16" thickBot="1" x14ac:dyDescent="0.25">
      <c r="A31" s="19" t="s">
        <v>124</v>
      </c>
      <c r="B31" s="34" t="str" cm="1">
        <f t="array" ref="B31:C31">_xlfn.XLOOKUP(A31,'Player List'!$A$2:$A$177,'Player List'!$B$2:$C$177)</f>
        <v>Italy</v>
      </c>
      <c r="C31" s="34" t="str">
        <v>Hooker</v>
      </c>
      <c r="D31" s="34" t="str">
        <f t="shared" si="0"/>
        <v>Loss</v>
      </c>
      <c r="E31" s="5">
        <v>28</v>
      </c>
      <c r="F31" s="5">
        <v>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>
        <v>3</v>
      </c>
      <c r="U31" s="5"/>
    </row>
    <row r="32" spans="1:21" ht="16" thickBot="1" x14ac:dyDescent="0.25">
      <c r="A32" s="20" t="s">
        <v>125</v>
      </c>
      <c r="B32" s="34" t="str" cm="1">
        <f t="array" ref="B32:C32">_xlfn.XLOOKUP(A32,'Player List'!$A$2:$A$177,'Player List'!$B$2:$C$177)</f>
        <v>Italy</v>
      </c>
      <c r="C32" s="34" t="str">
        <v>Hooker</v>
      </c>
      <c r="D32" s="34" t="str">
        <f t="shared" si="0"/>
        <v>Loss</v>
      </c>
      <c r="E32" s="2">
        <v>52</v>
      </c>
      <c r="F32" s="2">
        <v>11</v>
      </c>
      <c r="G32" s="2"/>
      <c r="H32" s="2"/>
      <c r="I32" s="2">
        <v>17</v>
      </c>
      <c r="J32" s="2"/>
      <c r="K32" s="2"/>
      <c r="L32" s="2">
        <v>1</v>
      </c>
      <c r="M32" s="2"/>
      <c r="N32" s="2"/>
      <c r="O32" s="2"/>
      <c r="P32" s="2"/>
      <c r="Q32" s="2"/>
      <c r="R32" s="2"/>
      <c r="S32" s="2"/>
      <c r="T32" s="3">
        <v>21.4</v>
      </c>
      <c r="U32" s="2"/>
    </row>
    <row r="33" spans="1:21" ht="16" thickBot="1" x14ac:dyDescent="0.25">
      <c r="A33" s="1" t="s">
        <v>57</v>
      </c>
      <c r="B33" s="34" t="str" cm="1">
        <f t="array" ref="B33:C33">_xlfn.XLOOKUP(A33,'Player List'!$A$2:$A$177,'Player List'!$B$2:$C$177)</f>
        <v>Wales</v>
      </c>
      <c r="C33" s="34" t="str">
        <v>Back Three</v>
      </c>
      <c r="D33" s="34" t="str">
        <f t="shared" si="0"/>
        <v>Win</v>
      </c>
      <c r="E33" s="2">
        <v>51</v>
      </c>
      <c r="F33" s="2">
        <v>1</v>
      </c>
      <c r="G33" s="2">
        <v>1</v>
      </c>
      <c r="H33" s="2">
        <v>1</v>
      </c>
      <c r="I33" s="2">
        <v>31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3">
        <v>26.3</v>
      </c>
      <c r="U33" s="2"/>
    </row>
    <row r="34" spans="1:21" ht="16" thickBot="1" x14ac:dyDescent="0.25">
      <c r="A34" s="4" t="s">
        <v>59</v>
      </c>
      <c r="B34" s="34" t="str" cm="1">
        <f t="array" ref="B34:C34">_xlfn.XLOOKUP(A34,'Player List'!$A$2:$A$177,'Player List'!$B$2:$C$177)</f>
        <v>Wales</v>
      </c>
      <c r="C34" s="34" t="str">
        <v>Back Three</v>
      </c>
      <c r="D34" s="34" t="str">
        <f t="shared" si="0"/>
        <v>Win</v>
      </c>
      <c r="E34" s="5">
        <v>80</v>
      </c>
      <c r="F34" s="5">
        <v>4</v>
      </c>
      <c r="G34" s="5">
        <v>1</v>
      </c>
      <c r="H34" s="5">
        <v>1</v>
      </c>
      <c r="I34" s="5">
        <v>19</v>
      </c>
      <c r="J34" s="5"/>
      <c r="K34" s="5"/>
      <c r="L34" s="5"/>
      <c r="M34" s="5">
        <v>1</v>
      </c>
      <c r="N34" s="5"/>
      <c r="O34" s="5"/>
      <c r="P34" s="5"/>
      <c r="Q34" s="5"/>
      <c r="R34" s="5"/>
      <c r="S34" s="5"/>
      <c r="T34" s="6">
        <v>44.8</v>
      </c>
      <c r="U34" s="5"/>
    </row>
    <row r="35" spans="1:21" ht="16" thickBot="1" x14ac:dyDescent="0.25">
      <c r="A35" s="1" t="s">
        <v>156</v>
      </c>
      <c r="B35" s="34" t="str" cm="1">
        <f t="array" ref="B35:C35">_xlfn.XLOOKUP(A35,'Player List'!$A$2:$A$177,'Player List'!$B$2:$C$177)</f>
        <v>Wales</v>
      </c>
      <c r="C35" s="34" t="str">
        <v>Back Three</v>
      </c>
      <c r="D35" s="34" t="str">
        <f t="shared" si="0"/>
        <v>Win</v>
      </c>
      <c r="E35" s="2">
        <v>29</v>
      </c>
      <c r="F35" s="2">
        <v>3</v>
      </c>
      <c r="G35" s="2"/>
      <c r="H35" s="2"/>
      <c r="I35" s="2">
        <v>46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3">
        <v>15.1</v>
      </c>
      <c r="U35" s="2"/>
    </row>
    <row r="36" spans="1:21" ht="16" thickBot="1" x14ac:dyDescent="0.25">
      <c r="A36" s="4" t="s">
        <v>60</v>
      </c>
      <c r="B36" s="34" t="str" cm="1">
        <f t="array" ref="B36:C36">_xlfn.XLOOKUP(A36,'Player List'!$A$2:$A$177,'Player List'!$B$2:$C$177)</f>
        <v>Wales</v>
      </c>
      <c r="C36" s="34" t="str">
        <v>Back Three</v>
      </c>
      <c r="D36" s="34" t="str">
        <f t="shared" si="0"/>
        <v>Win</v>
      </c>
      <c r="E36" s="5">
        <v>62</v>
      </c>
      <c r="F36" s="5">
        <v>1</v>
      </c>
      <c r="G36" s="5"/>
      <c r="H36" s="5">
        <v>1</v>
      </c>
      <c r="I36" s="5">
        <v>87</v>
      </c>
      <c r="J36" s="5"/>
      <c r="K36" s="5"/>
      <c r="L36" s="5">
        <v>1</v>
      </c>
      <c r="M36" s="5">
        <v>1</v>
      </c>
      <c r="N36" s="5"/>
      <c r="O36" s="5"/>
      <c r="P36" s="5"/>
      <c r="Q36" s="5"/>
      <c r="R36" s="5"/>
      <c r="S36" s="5"/>
      <c r="T36" s="6">
        <v>53.6</v>
      </c>
      <c r="U36" s="5"/>
    </row>
    <row r="37" spans="1:21" ht="16" thickBot="1" x14ac:dyDescent="0.25">
      <c r="A37" s="7" t="s">
        <v>157</v>
      </c>
      <c r="B37" s="34" t="str" cm="1">
        <f t="array" ref="B37:C37">_xlfn.XLOOKUP(A37,'Player List'!$A$2:$A$177,'Player List'!$B$2:$C$177)</f>
        <v>Wales</v>
      </c>
      <c r="C37" s="34" t="str">
        <v>Centre</v>
      </c>
      <c r="D37" s="34" t="str">
        <f t="shared" si="0"/>
        <v>Win</v>
      </c>
      <c r="E37" s="2">
        <v>80</v>
      </c>
      <c r="F37" s="2">
        <v>5</v>
      </c>
      <c r="G37" s="2"/>
      <c r="H37" s="2"/>
      <c r="I37" s="2">
        <v>26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3">
        <v>18.2</v>
      </c>
      <c r="U37" s="2"/>
    </row>
    <row r="38" spans="1:21" ht="16" thickBot="1" x14ac:dyDescent="0.25">
      <c r="A38" s="8" t="s">
        <v>61</v>
      </c>
      <c r="B38" s="34" t="str" cm="1">
        <f t="array" ref="B38:C38">_xlfn.XLOOKUP(A38,'Player List'!$A$2:$A$177,'Player List'!$B$2:$C$177)</f>
        <v>Wales</v>
      </c>
      <c r="C38" s="34" t="str">
        <v>Centre</v>
      </c>
      <c r="D38" s="34" t="str">
        <f t="shared" si="0"/>
        <v>Win</v>
      </c>
      <c r="E38" s="5">
        <v>80</v>
      </c>
      <c r="F38" s="5">
        <v>3</v>
      </c>
      <c r="G38" s="5">
        <v>1</v>
      </c>
      <c r="H38" s="5"/>
      <c r="I38" s="5">
        <v>97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6">
        <v>37.4</v>
      </c>
      <c r="U38" s="5"/>
    </row>
    <row r="39" spans="1:21" ht="16" thickBot="1" x14ac:dyDescent="0.25">
      <c r="A39" s="7" t="s">
        <v>62</v>
      </c>
      <c r="B39" s="34" t="str" cm="1">
        <f t="array" ref="B39:C39">_xlfn.XLOOKUP(A39,'Player List'!$A$2:$A$177,'Player List'!$B$2:$C$177)</f>
        <v>Wales</v>
      </c>
      <c r="C39" s="34" t="str">
        <v>Centre</v>
      </c>
      <c r="D39" s="34" t="str">
        <f t="shared" si="0"/>
        <v>Win</v>
      </c>
      <c r="E39" s="2">
        <v>18</v>
      </c>
      <c r="F39" s="2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>
        <v>2.8</v>
      </c>
      <c r="U39" s="2"/>
    </row>
    <row r="40" spans="1:21" ht="16" thickBot="1" x14ac:dyDescent="0.25">
      <c r="A40" s="10" t="s">
        <v>159</v>
      </c>
      <c r="B40" s="34" t="str" cm="1">
        <f t="array" ref="B40:C40">_xlfn.XLOOKUP(A40,'Player List'!$A$2:$A$177,'Player List'!$B$2:$C$177)</f>
        <v>Wales</v>
      </c>
      <c r="C40" s="34" t="str">
        <v>Fly Half</v>
      </c>
      <c r="D40" s="34" t="str">
        <f t="shared" si="0"/>
        <v>Win</v>
      </c>
      <c r="E40" s="5">
        <v>80</v>
      </c>
      <c r="F40" s="5">
        <v>8</v>
      </c>
      <c r="G40" s="5"/>
      <c r="H40" s="5"/>
      <c r="I40" s="5">
        <v>19</v>
      </c>
      <c r="J40" s="5"/>
      <c r="K40" s="5"/>
      <c r="L40" s="5"/>
      <c r="M40" s="5"/>
      <c r="N40" s="5"/>
      <c r="O40" s="5">
        <v>2</v>
      </c>
      <c r="P40" s="5">
        <v>1</v>
      </c>
      <c r="Q40" s="5"/>
      <c r="R40" s="5"/>
      <c r="S40" s="5"/>
      <c r="T40" s="6">
        <v>28.8</v>
      </c>
      <c r="U40" s="5"/>
    </row>
    <row r="41" spans="1:21" ht="16" thickBot="1" x14ac:dyDescent="0.25">
      <c r="A41" s="11" t="s">
        <v>65</v>
      </c>
      <c r="B41" s="34" t="str" cm="1">
        <f t="array" ref="B41:C41">_xlfn.XLOOKUP(A41,'Player List'!$A$2:$A$177,'Player List'!$B$2:$C$177)</f>
        <v>Wales</v>
      </c>
      <c r="C41" s="34" t="str">
        <v>Scrum Half</v>
      </c>
      <c r="D41" s="34" t="str">
        <f t="shared" si="0"/>
        <v>Win</v>
      </c>
      <c r="E41" s="2">
        <v>54</v>
      </c>
      <c r="F41" s="2">
        <v>5</v>
      </c>
      <c r="G41" s="2">
        <v>1</v>
      </c>
      <c r="H41" s="2">
        <v>1</v>
      </c>
      <c r="I41" s="2">
        <v>28</v>
      </c>
      <c r="J41" s="2">
        <v>1</v>
      </c>
      <c r="K41" s="2"/>
      <c r="L41" s="2"/>
      <c r="M41" s="2"/>
      <c r="N41" s="2">
        <v>2</v>
      </c>
      <c r="O41" s="2"/>
      <c r="P41" s="2"/>
      <c r="Q41" s="2"/>
      <c r="R41" s="2"/>
      <c r="S41" s="2"/>
      <c r="T41" s="3">
        <v>69</v>
      </c>
      <c r="U41" s="2">
        <v>1</v>
      </c>
    </row>
    <row r="42" spans="1:21" ht="16" thickBot="1" x14ac:dyDescent="0.25">
      <c r="A42" s="12" t="s">
        <v>66</v>
      </c>
      <c r="B42" s="34" t="str" cm="1">
        <f t="array" ref="B42:C42">_xlfn.XLOOKUP(A42,'Player List'!$A$2:$A$177,'Player List'!$B$2:$C$177)</f>
        <v>Wales</v>
      </c>
      <c r="C42" s="34" t="str">
        <v>Scrum Half</v>
      </c>
      <c r="D42" s="34" t="str">
        <f t="shared" si="0"/>
        <v>Win</v>
      </c>
      <c r="E42" s="5">
        <v>26</v>
      </c>
      <c r="F42" s="5">
        <v>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>
        <v>4.5999999999999996</v>
      </c>
      <c r="U42" s="5"/>
    </row>
    <row r="43" spans="1:21" ht="16" thickBot="1" x14ac:dyDescent="0.25">
      <c r="A43" s="13" t="s">
        <v>67</v>
      </c>
      <c r="B43" s="34" t="str" cm="1">
        <f t="array" ref="B43:C43">_xlfn.XLOOKUP(A43,'Player List'!$A$2:$A$177,'Player List'!$B$2:$C$177)</f>
        <v>Wales</v>
      </c>
      <c r="C43" s="34" t="str">
        <v>Back Row</v>
      </c>
      <c r="D43" s="34" t="str">
        <f t="shared" si="0"/>
        <v>Win</v>
      </c>
      <c r="E43" s="2">
        <v>80</v>
      </c>
      <c r="F43" s="2">
        <v>12</v>
      </c>
      <c r="G43" s="2"/>
      <c r="H43" s="2"/>
      <c r="I43" s="2">
        <v>54</v>
      </c>
      <c r="J43" s="2"/>
      <c r="K43" s="2"/>
      <c r="L43" s="2"/>
      <c r="M43" s="2">
        <v>1</v>
      </c>
      <c r="N43" s="2"/>
      <c r="O43" s="2"/>
      <c r="P43" s="2"/>
      <c r="Q43" s="2"/>
      <c r="R43" s="2"/>
      <c r="S43" s="2"/>
      <c r="T43" s="3">
        <v>45.8</v>
      </c>
      <c r="U43" s="2"/>
    </row>
    <row r="44" spans="1:21" ht="16" thickBot="1" x14ac:dyDescent="0.25">
      <c r="A44" s="14" t="s">
        <v>68</v>
      </c>
      <c r="B44" s="34" t="str" cm="1">
        <f t="array" ref="B44:C44">_xlfn.XLOOKUP(A44,'Player List'!$A$2:$A$177,'Player List'!$B$2:$C$177)</f>
        <v>Wales</v>
      </c>
      <c r="C44" s="34" t="str">
        <v>Back Row</v>
      </c>
      <c r="D44" s="34" t="str">
        <f t="shared" si="0"/>
        <v>Win</v>
      </c>
      <c r="E44" s="5">
        <v>60</v>
      </c>
      <c r="F44" s="5">
        <v>14</v>
      </c>
      <c r="G44" s="5"/>
      <c r="H44" s="5"/>
      <c r="I44" s="5">
        <v>19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6">
        <v>23.8</v>
      </c>
      <c r="U44" s="5"/>
    </row>
    <row r="45" spans="1:21" ht="16" thickBot="1" x14ac:dyDescent="0.25">
      <c r="A45" s="13" t="s">
        <v>69</v>
      </c>
      <c r="B45" s="34" t="str" cm="1">
        <f t="array" ref="B45:C45">_xlfn.XLOOKUP(A45,'Player List'!$A$2:$A$177,'Player List'!$B$2:$C$177)</f>
        <v>Wales</v>
      </c>
      <c r="C45" s="34" t="str">
        <v>Back Row</v>
      </c>
      <c r="D45" s="34" t="str">
        <f t="shared" si="0"/>
        <v>Win</v>
      </c>
      <c r="E45" s="2">
        <v>20</v>
      </c>
      <c r="F45" s="2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>
        <v>3</v>
      </c>
      <c r="U45" s="2"/>
    </row>
    <row r="46" spans="1:21" ht="16" thickBot="1" x14ac:dyDescent="0.25">
      <c r="A46" s="14" t="s">
        <v>161</v>
      </c>
      <c r="B46" s="34" t="str" cm="1">
        <f t="array" ref="B46:C46">_xlfn.XLOOKUP(A46,'Player List'!$A$2:$A$177,'Player List'!$B$2:$C$177)</f>
        <v>Wales</v>
      </c>
      <c r="C46" s="34" t="str">
        <v>Back Row</v>
      </c>
      <c r="D46" s="34" t="str">
        <f t="shared" si="0"/>
        <v>Win</v>
      </c>
      <c r="E46" s="5">
        <v>80</v>
      </c>
      <c r="F46" s="5">
        <v>8</v>
      </c>
      <c r="G46" s="5">
        <v>1</v>
      </c>
      <c r="H46" s="5"/>
      <c r="I46" s="5">
        <v>2</v>
      </c>
      <c r="J46" s="5"/>
      <c r="K46" s="5">
        <v>2</v>
      </c>
      <c r="L46" s="5"/>
      <c r="M46" s="5"/>
      <c r="N46" s="5"/>
      <c r="O46" s="5"/>
      <c r="P46" s="5"/>
      <c r="Q46" s="5"/>
      <c r="R46" s="5"/>
      <c r="S46" s="5"/>
      <c r="T46" s="6">
        <v>37.4</v>
      </c>
      <c r="U46" s="5"/>
    </row>
    <row r="47" spans="1:21" ht="16" thickBot="1" x14ac:dyDescent="0.25">
      <c r="A47" s="15" t="s">
        <v>70</v>
      </c>
      <c r="B47" s="34" t="str" cm="1">
        <f t="array" ref="B47:C47">_xlfn.XLOOKUP(A47,'Player List'!$A$2:$A$177,'Player List'!$B$2:$C$177)</f>
        <v>Wales</v>
      </c>
      <c r="C47" s="34" t="str">
        <v>Second Row</v>
      </c>
      <c r="D47" s="34" t="str">
        <f t="shared" si="0"/>
        <v>Win</v>
      </c>
      <c r="E47" s="2">
        <v>80</v>
      </c>
      <c r="F47" s="2">
        <v>5</v>
      </c>
      <c r="G47" s="2"/>
      <c r="H47" s="2"/>
      <c r="I47" s="2">
        <v>2</v>
      </c>
      <c r="J47" s="2"/>
      <c r="K47" s="2">
        <v>1</v>
      </c>
      <c r="L47" s="2">
        <v>1</v>
      </c>
      <c r="M47" s="2"/>
      <c r="N47" s="2"/>
      <c r="O47" s="2"/>
      <c r="P47" s="2"/>
      <c r="Q47" s="2"/>
      <c r="R47" s="2"/>
      <c r="S47" s="2"/>
      <c r="T47" s="3">
        <v>27.4</v>
      </c>
      <c r="U47" s="2"/>
    </row>
    <row r="48" spans="1:21" ht="16" thickBot="1" x14ac:dyDescent="0.25">
      <c r="A48" s="16" t="s">
        <v>71</v>
      </c>
      <c r="B48" s="34" t="str" cm="1">
        <f t="array" ref="B48:C48">_xlfn.XLOOKUP(A48,'Player List'!$A$2:$A$177,'Player List'!$B$2:$C$177)</f>
        <v>Wales</v>
      </c>
      <c r="C48" s="34" t="str">
        <v>Second Row</v>
      </c>
      <c r="D48" s="34" t="str">
        <f t="shared" si="0"/>
        <v>Win</v>
      </c>
      <c r="E48" s="5">
        <v>11</v>
      </c>
      <c r="F48" s="5">
        <v>2</v>
      </c>
      <c r="G48" s="5"/>
      <c r="H48" s="5"/>
      <c r="I48" s="5">
        <v>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6">
        <v>3.5</v>
      </c>
      <c r="U48" s="5"/>
    </row>
    <row r="49" spans="1:21" ht="16" thickBot="1" x14ac:dyDescent="0.25">
      <c r="A49" s="15" t="s">
        <v>72</v>
      </c>
      <c r="B49" s="34" t="str" cm="1">
        <f t="array" ref="B49:C49">_xlfn.XLOOKUP(A49,'Player List'!$A$2:$A$177,'Player List'!$B$2:$C$177)</f>
        <v>Wales</v>
      </c>
      <c r="C49" s="34" t="str">
        <v>Second Row</v>
      </c>
      <c r="D49" s="34" t="str">
        <f t="shared" si="0"/>
        <v>Win</v>
      </c>
      <c r="E49" s="2">
        <v>69</v>
      </c>
      <c r="F49" s="2">
        <v>13</v>
      </c>
      <c r="G49" s="2">
        <v>1</v>
      </c>
      <c r="H49" s="2"/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3">
        <v>27.1</v>
      </c>
      <c r="U49" s="2"/>
    </row>
    <row r="50" spans="1:21" ht="16" thickBot="1" x14ac:dyDescent="0.25">
      <c r="A50" s="17" t="s">
        <v>163</v>
      </c>
      <c r="B50" s="34" t="str" cm="1">
        <f t="array" ref="B50:C50">_xlfn.XLOOKUP(A50,'Player List'!$A$2:$A$177,'Player List'!$B$2:$C$177)</f>
        <v>Wales</v>
      </c>
      <c r="C50" s="34" t="str">
        <v>Prop</v>
      </c>
      <c r="D50" s="34" t="str">
        <f t="shared" si="0"/>
        <v>Win</v>
      </c>
      <c r="E50" s="5">
        <v>53</v>
      </c>
      <c r="F50" s="5">
        <v>7</v>
      </c>
      <c r="G50" s="5"/>
      <c r="H50" s="5"/>
      <c r="I50" s="5">
        <v>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6">
        <v>13.3</v>
      </c>
      <c r="U50" s="5"/>
    </row>
    <row r="51" spans="1:21" ht="16" thickBot="1" x14ac:dyDescent="0.25">
      <c r="A51" s="18" t="s">
        <v>76</v>
      </c>
      <c r="B51" s="34" t="str" cm="1">
        <f t="array" ref="B51:C51">_xlfn.XLOOKUP(A51,'Player List'!$A$2:$A$177,'Player List'!$B$2:$C$177)</f>
        <v>Wales</v>
      </c>
      <c r="C51" s="34" t="str">
        <v>Prop</v>
      </c>
      <c r="D51" s="34" t="str">
        <f t="shared" si="0"/>
        <v>Win</v>
      </c>
      <c r="E51" s="2">
        <v>45</v>
      </c>
      <c r="F51" s="2">
        <v>4</v>
      </c>
      <c r="G51" s="2"/>
      <c r="H51" s="2"/>
      <c r="I51" s="2">
        <v>15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3">
        <v>11.5</v>
      </c>
      <c r="U51" s="2"/>
    </row>
    <row r="52" spans="1:21" ht="16" thickBot="1" x14ac:dyDescent="0.25">
      <c r="A52" s="17" t="s">
        <v>77</v>
      </c>
      <c r="B52" s="34" t="str" cm="1">
        <f t="array" ref="B52:C52">_xlfn.XLOOKUP(A52,'Player List'!$A$2:$A$177,'Player List'!$B$2:$C$177)</f>
        <v>Wales</v>
      </c>
      <c r="C52" s="34" t="str">
        <v>Prop</v>
      </c>
      <c r="D52" s="34" t="str">
        <f t="shared" si="0"/>
        <v>Win</v>
      </c>
      <c r="E52" s="5">
        <v>27</v>
      </c>
      <c r="F52" s="5">
        <v>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>
        <v>6.7</v>
      </c>
      <c r="U52" s="5"/>
    </row>
    <row r="53" spans="1:21" ht="16" thickBot="1" x14ac:dyDescent="0.25">
      <c r="A53" s="18" t="s">
        <v>164</v>
      </c>
      <c r="B53" s="34" t="str" cm="1">
        <f t="array" ref="B53:C53">_xlfn.XLOOKUP(A53,'Player List'!$A$2:$A$177,'Player List'!$B$2:$C$177)</f>
        <v>Wales</v>
      </c>
      <c r="C53" s="34" t="str">
        <v>Prop</v>
      </c>
      <c r="D53" s="34" t="str">
        <f t="shared" si="0"/>
        <v>Win</v>
      </c>
      <c r="E53" s="2">
        <v>35</v>
      </c>
      <c r="F53" s="2">
        <v>3</v>
      </c>
      <c r="G53" s="2"/>
      <c r="H53" s="2"/>
      <c r="I53" s="2">
        <v>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3">
        <v>7.5</v>
      </c>
      <c r="U53" s="2"/>
    </row>
    <row r="54" spans="1:21" ht="16" thickBot="1" x14ac:dyDescent="0.25">
      <c r="A54" s="19" t="s">
        <v>78</v>
      </c>
      <c r="B54" s="34" t="str" cm="1">
        <f t="array" ref="B54:C54">_xlfn.XLOOKUP(A54,'Player List'!$A$2:$A$177,'Player List'!$B$2:$C$177)</f>
        <v>Wales</v>
      </c>
      <c r="C54" s="34" t="str">
        <v>Hooker</v>
      </c>
      <c r="D54" s="34" t="str">
        <f t="shared" si="0"/>
        <v>Win</v>
      </c>
      <c r="E54" s="5">
        <v>6</v>
      </c>
      <c r="F54" s="5">
        <v>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>
        <v>2.6</v>
      </c>
      <c r="U54" s="5"/>
    </row>
    <row r="55" spans="1:21" ht="16" thickBot="1" x14ac:dyDescent="0.25">
      <c r="A55" s="20" t="s">
        <v>79</v>
      </c>
      <c r="B55" s="34" t="str" cm="1">
        <f t="array" ref="B55:C55">_xlfn.XLOOKUP(A55,'Player List'!$A$2:$A$177,'Player List'!$B$2:$C$177)</f>
        <v>Wales</v>
      </c>
      <c r="C55" s="34" t="str">
        <v>Hooker</v>
      </c>
      <c r="D55" s="34" t="str">
        <f t="shared" si="0"/>
        <v>Win</v>
      </c>
      <c r="E55" s="2">
        <v>74</v>
      </c>
      <c r="F55" s="2">
        <v>12</v>
      </c>
      <c r="G55" s="2"/>
      <c r="H55" s="2"/>
      <c r="I55" s="2">
        <v>12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3">
        <v>21.8</v>
      </c>
      <c r="U55" s="2"/>
    </row>
    <row r="56" spans="1:21" ht="16" thickBot="1" x14ac:dyDescent="0.25">
      <c r="A56" s="1" t="s">
        <v>80</v>
      </c>
      <c r="B56" s="34" t="str" cm="1">
        <f t="array" ref="B56:C56">_xlfn.XLOOKUP(A56,'Player List'!$A$2:$A$177,'Player List'!$B$2:$C$177)</f>
        <v>England</v>
      </c>
      <c r="C56" s="34" t="str">
        <v>Back Three</v>
      </c>
      <c r="D56" s="34" t="str">
        <f t="shared" si="0"/>
        <v>Loss</v>
      </c>
      <c r="E56" s="2">
        <v>22</v>
      </c>
      <c r="F56" s="2">
        <v>1</v>
      </c>
      <c r="G56" s="2"/>
      <c r="H56" s="2"/>
      <c r="I56" s="2">
        <v>14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3">
        <v>3.8</v>
      </c>
      <c r="U56" s="2"/>
    </row>
    <row r="57" spans="1:21" ht="16" thickBot="1" x14ac:dyDescent="0.25">
      <c r="A57" s="4" t="s">
        <v>82</v>
      </c>
      <c r="B57" s="34" t="str" cm="1">
        <f t="array" ref="B57:C57">_xlfn.XLOOKUP(A57,'Player List'!$A$2:$A$177,'Player List'!$B$2:$C$177)</f>
        <v>England</v>
      </c>
      <c r="C57" s="34" t="str">
        <v>Back Three</v>
      </c>
      <c r="D57" s="34" t="str">
        <f t="shared" si="0"/>
        <v>Loss</v>
      </c>
      <c r="E57" s="5">
        <v>58</v>
      </c>
      <c r="F57" s="5">
        <v>7</v>
      </c>
      <c r="G57" s="5"/>
      <c r="H57" s="5"/>
      <c r="I57" s="5">
        <v>40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6">
        <v>15</v>
      </c>
      <c r="U57" s="5"/>
    </row>
    <row r="58" spans="1:21" ht="16" thickBot="1" x14ac:dyDescent="0.25">
      <c r="A58" s="1" t="s">
        <v>83</v>
      </c>
      <c r="B58" s="34" t="str" cm="1">
        <f t="array" ref="B58:C58">_xlfn.XLOOKUP(A58,'Player List'!$A$2:$A$177,'Player List'!$B$2:$C$177)</f>
        <v>England</v>
      </c>
      <c r="C58" s="34" t="str">
        <v>Back Three</v>
      </c>
      <c r="D58" s="34" t="str">
        <f t="shared" si="0"/>
        <v>Loss</v>
      </c>
      <c r="E58" s="2">
        <v>80</v>
      </c>
      <c r="F58" s="2">
        <v>2</v>
      </c>
      <c r="G58" s="2">
        <v>1</v>
      </c>
      <c r="H58" s="2"/>
      <c r="I58" s="2">
        <v>163</v>
      </c>
      <c r="J58" s="2"/>
      <c r="K58" s="2"/>
      <c r="L58" s="2"/>
      <c r="M58" s="2">
        <v>1</v>
      </c>
      <c r="N58" s="2"/>
      <c r="O58" s="2"/>
      <c r="P58" s="2"/>
      <c r="Q58" s="2"/>
      <c r="R58" s="2"/>
      <c r="S58" s="2"/>
      <c r="T58" s="3">
        <v>56.6</v>
      </c>
      <c r="U58" s="2"/>
    </row>
    <row r="59" spans="1:21" ht="16" thickBot="1" x14ac:dyDescent="0.25">
      <c r="A59" s="4" t="s">
        <v>166</v>
      </c>
      <c r="B59" s="34" t="str" cm="1">
        <f t="array" ref="B59:C59">_xlfn.XLOOKUP(A59,'Player List'!$A$2:$A$177,'Player List'!$B$2:$C$177)</f>
        <v>England</v>
      </c>
      <c r="C59" s="34" t="str">
        <v>Back Three</v>
      </c>
      <c r="D59" s="34" t="str">
        <f t="shared" si="0"/>
        <v>Loss</v>
      </c>
      <c r="E59" s="5">
        <v>80</v>
      </c>
      <c r="F59" s="5">
        <v>3</v>
      </c>
      <c r="G59" s="5">
        <v>2</v>
      </c>
      <c r="H59" s="5"/>
      <c r="I59" s="5">
        <v>48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6">
        <v>26.6</v>
      </c>
      <c r="U59" s="5"/>
    </row>
    <row r="60" spans="1:21" ht="16" thickBot="1" x14ac:dyDescent="0.25">
      <c r="A60" s="7" t="s">
        <v>84</v>
      </c>
      <c r="B60" s="34" t="str" cm="1">
        <f t="array" ref="B60:C60">_xlfn.XLOOKUP(A60,'Player List'!$A$2:$A$177,'Player List'!$B$2:$C$177)</f>
        <v>England</v>
      </c>
      <c r="C60" s="34" t="str">
        <v>Centre</v>
      </c>
      <c r="D60" s="34" t="str">
        <f t="shared" si="0"/>
        <v>Loss</v>
      </c>
      <c r="E60" s="2">
        <v>34</v>
      </c>
      <c r="F60" s="2">
        <v>4</v>
      </c>
      <c r="G60" s="2"/>
      <c r="H60" s="2"/>
      <c r="I60" s="2">
        <v>44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3">
        <v>12.8</v>
      </c>
      <c r="U60" s="2"/>
    </row>
    <row r="61" spans="1:21" ht="16" thickBot="1" x14ac:dyDescent="0.25">
      <c r="A61" s="8" t="s">
        <v>85</v>
      </c>
      <c r="B61" s="34" t="str" cm="1">
        <f t="array" ref="B61:C61">_xlfn.XLOOKUP(A61,'Player List'!$A$2:$A$177,'Player List'!$B$2:$C$177)</f>
        <v>England</v>
      </c>
      <c r="C61" s="34" t="str">
        <v>Centre</v>
      </c>
      <c r="D61" s="34" t="str">
        <f t="shared" si="0"/>
        <v>Loss</v>
      </c>
      <c r="E61" s="5">
        <v>61</v>
      </c>
      <c r="F61" s="5">
        <v>3</v>
      </c>
      <c r="G61" s="5"/>
      <c r="H61" s="5"/>
      <c r="I61" s="5">
        <v>24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6">
        <v>7.8</v>
      </c>
      <c r="U61" s="5"/>
    </row>
    <row r="62" spans="1:21" ht="16" thickBot="1" x14ac:dyDescent="0.25">
      <c r="A62" s="7" t="s">
        <v>86</v>
      </c>
      <c r="B62" s="34" t="str" cm="1">
        <f t="array" ref="B62:C62">_xlfn.XLOOKUP(A62,'Player List'!$A$2:$A$177,'Player List'!$B$2:$C$177)</f>
        <v>England</v>
      </c>
      <c r="C62" s="34" t="str">
        <v>Centre</v>
      </c>
      <c r="D62" s="34" t="str">
        <f t="shared" si="0"/>
        <v>Loss</v>
      </c>
      <c r="E62" s="2">
        <v>46</v>
      </c>
      <c r="F62" s="2">
        <v>1</v>
      </c>
      <c r="G62" s="2"/>
      <c r="H62" s="2"/>
      <c r="I62" s="2">
        <v>15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3">
        <v>4</v>
      </c>
      <c r="U62" s="2"/>
    </row>
    <row r="63" spans="1:21" ht="16" thickBot="1" x14ac:dyDescent="0.25">
      <c r="A63" s="10" t="s">
        <v>87</v>
      </c>
      <c r="B63" s="34" t="str" cm="1">
        <f t="array" ref="B63:C63">_xlfn.XLOOKUP(A63,'Player List'!$A$2:$A$177,'Player List'!$B$2:$C$177)</f>
        <v>England</v>
      </c>
      <c r="C63" s="34" t="str">
        <v>Fly Half</v>
      </c>
      <c r="D63" s="34" t="str">
        <f t="shared" si="0"/>
        <v>Loss</v>
      </c>
      <c r="E63" s="5">
        <v>80</v>
      </c>
      <c r="F63" s="5">
        <v>10</v>
      </c>
      <c r="G63" s="5"/>
      <c r="H63" s="5">
        <v>1</v>
      </c>
      <c r="I63" s="5">
        <v>115</v>
      </c>
      <c r="J63" s="5"/>
      <c r="K63" s="5"/>
      <c r="L63" s="5"/>
      <c r="M63" s="5"/>
      <c r="N63" s="5"/>
      <c r="O63" s="5">
        <v>1</v>
      </c>
      <c r="P63" s="5">
        <v>1</v>
      </c>
      <c r="Q63" s="5"/>
      <c r="R63" s="5"/>
      <c r="S63" s="5"/>
      <c r="T63" s="6">
        <v>47</v>
      </c>
      <c r="U63" s="5"/>
    </row>
    <row r="64" spans="1:21" ht="16" thickBot="1" x14ac:dyDescent="0.25">
      <c r="A64" s="11" t="s">
        <v>88</v>
      </c>
      <c r="B64" s="34" t="str" cm="1">
        <f t="array" ref="B64:C64">_xlfn.XLOOKUP(A64,'Player List'!$A$2:$A$177,'Player List'!$B$2:$C$177)</f>
        <v>England</v>
      </c>
      <c r="C64" s="34" t="str">
        <v>Scrum Half</v>
      </c>
      <c r="D64" s="34" t="str">
        <f t="shared" si="0"/>
        <v>Loss</v>
      </c>
      <c r="E64" s="2">
        <v>34</v>
      </c>
      <c r="F64" s="2"/>
      <c r="G64" s="2"/>
      <c r="H64" s="2"/>
      <c r="I64" s="2">
        <v>8</v>
      </c>
      <c r="J64" s="2"/>
      <c r="K64" s="2"/>
      <c r="L64" s="2"/>
      <c r="M64" s="2"/>
      <c r="N64" s="2">
        <v>1</v>
      </c>
      <c r="O64" s="2"/>
      <c r="P64" s="2"/>
      <c r="Q64" s="2"/>
      <c r="R64" s="2"/>
      <c r="S64" s="2"/>
      <c r="T64" s="3">
        <v>8.6</v>
      </c>
      <c r="U64" s="2"/>
    </row>
    <row r="65" spans="1:21" ht="16" thickBot="1" x14ac:dyDescent="0.25">
      <c r="A65" s="12" t="s">
        <v>89</v>
      </c>
      <c r="B65" s="34" t="str" cm="1">
        <f t="array" ref="B65:C65">_xlfn.XLOOKUP(A65,'Player List'!$A$2:$A$177,'Player List'!$B$2:$C$177)</f>
        <v>England</v>
      </c>
      <c r="C65" s="34" t="str">
        <v>Scrum Half</v>
      </c>
      <c r="D65" s="34" t="str">
        <f t="shared" si="0"/>
        <v>Loss</v>
      </c>
      <c r="E65" s="5">
        <v>46</v>
      </c>
      <c r="F65" s="5">
        <v>3</v>
      </c>
      <c r="G65" s="5"/>
      <c r="H65" s="5"/>
      <c r="I65" s="5">
        <v>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6">
        <v>3.8</v>
      </c>
      <c r="U65" s="5"/>
    </row>
    <row r="66" spans="1:21" ht="16" thickBot="1" x14ac:dyDescent="0.25">
      <c r="A66" s="13" t="s">
        <v>167</v>
      </c>
      <c r="B66" s="34" t="str" cm="1">
        <f t="array" ref="B66:C66">_xlfn.XLOOKUP(A66,'Player List'!$A$2:$A$177,'Player List'!$B$2:$C$177)</f>
        <v>England</v>
      </c>
      <c r="C66" s="34" t="str">
        <v>Back Row</v>
      </c>
      <c r="D66" s="34" t="str">
        <f t="shared" si="0"/>
        <v>Loss</v>
      </c>
      <c r="E66" s="2">
        <v>27</v>
      </c>
      <c r="F66" s="2">
        <v>5</v>
      </c>
      <c r="G66" s="2"/>
      <c r="H66" s="2"/>
      <c r="I66" s="2">
        <v>11</v>
      </c>
      <c r="J66" s="2"/>
      <c r="K66" s="2"/>
      <c r="L66" s="2">
        <v>1</v>
      </c>
      <c r="M66" s="2"/>
      <c r="N66" s="2"/>
      <c r="O66" s="2"/>
      <c r="P66" s="2"/>
      <c r="Q66" s="2"/>
      <c r="R66" s="2"/>
      <c r="S66" s="2"/>
      <c r="T66" s="3">
        <v>14.2</v>
      </c>
      <c r="U66" s="2"/>
    </row>
    <row r="67" spans="1:21" ht="16" thickBot="1" x14ac:dyDescent="0.25">
      <c r="A67" s="14" t="s">
        <v>90</v>
      </c>
      <c r="B67" s="34" t="str" cm="1">
        <f t="array" ref="B67:C67">_xlfn.XLOOKUP(A67,'Player List'!$A$2:$A$177,'Player List'!$B$2:$C$177)</f>
        <v>England</v>
      </c>
      <c r="C67" s="34" t="str">
        <v>Back Row</v>
      </c>
      <c r="D67" s="34" t="str">
        <f t="shared" si="0"/>
        <v>Loss</v>
      </c>
      <c r="E67" s="5">
        <v>75</v>
      </c>
      <c r="F67" s="5">
        <v>12</v>
      </c>
      <c r="G67" s="5">
        <v>1</v>
      </c>
      <c r="H67" s="5"/>
      <c r="I67" s="5">
        <v>44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6">
        <v>27.8</v>
      </c>
      <c r="U67" s="5"/>
    </row>
    <row r="68" spans="1:21" ht="16" thickBot="1" x14ac:dyDescent="0.25">
      <c r="A68" s="13" t="s">
        <v>92</v>
      </c>
      <c r="B68" s="34" t="str" cm="1">
        <f t="array" ref="B68:C68">_xlfn.XLOOKUP(A68,'Player List'!$A$2:$A$177,'Player List'!$B$2:$C$177)</f>
        <v>England</v>
      </c>
      <c r="C68" s="34" t="str">
        <v>Back Row</v>
      </c>
      <c r="D68" s="34" t="str">
        <f t="shared" si="0"/>
        <v>Loss</v>
      </c>
      <c r="E68" s="2">
        <v>80</v>
      </c>
      <c r="F68" s="2">
        <v>11</v>
      </c>
      <c r="G68" s="2">
        <v>1</v>
      </c>
      <c r="H68" s="2"/>
      <c r="I68" s="2">
        <v>27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3">
        <v>23.4</v>
      </c>
      <c r="U68" s="2"/>
    </row>
    <row r="69" spans="1:21" ht="16" thickBot="1" x14ac:dyDescent="0.25">
      <c r="A69" s="14" t="s">
        <v>93</v>
      </c>
      <c r="B69" s="34" t="str" cm="1">
        <f t="array" ref="B69:C69">_xlfn.XLOOKUP(A69,'Player List'!$A$2:$A$177,'Player List'!$B$2:$C$177)</f>
        <v>England</v>
      </c>
      <c r="C69" s="34" t="str">
        <v>Back Row</v>
      </c>
      <c r="D69" s="34" t="str">
        <f t="shared" si="0"/>
        <v>Loss</v>
      </c>
      <c r="E69" s="5">
        <v>53</v>
      </c>
      <c r="F69" s="5">
        <v>7</v>
      </c>
      <c r="G69" s="5"/>
      <c r="H69" s="5"/>
      <c r="I69" s="5">
        <v>17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6">
        <v>10.4</v>
      </c>
      <c r="U69" s="5"/>
    </row>
    <row r="70" spans="1:21" ht="16" thickBot="1" x14ac:dyDescent="0.25">
      <c r="A70" s="15" t="s">
        <v>94</v>
      </c>
      <c r="B70" s="34" t="str" cm="1">
        <f t="array" ref="B70:C70">_xlfn.XLOOKUP(A70,'Player List'!$A$2:$A$177,'Player List'!$B$2:$C$177)</f>
        <v>England</v>
      </c>
      <c r="C70" s="34" t="str">
        <v>Second Row</v>
      </c>
      <c r="D70" s="34" t="str">
        <f t="shared" si="0"/>
        <v>Loss</v>
      </c>
      <c r="E70" s="2">
        <v>80</v>
      </c>
      <c r="F70" s="2">
        <v>4</v>
      </c>
      <c r="G70" s="2"/>
      <c r="H70" s="2"/>
      <c r="I70" s="2">
        <v>25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3">
        <v>9</v>
      </c>
      <c r="U70" s="2"/>
    </row>
    <row r="71" spans="1:21" ht="16" thickBot="1" x14ac:dyDescent="0.25">
      <c r="A71" s="16" t="s">
        <v>96</v>
      </c>
      <c r="B71" s="34" t="str" cm="1">
        <f t="array" ref="B71:C71">_xlfn.XLOOKUP(A71,'Player List'!$A$2:$A$177,'Player List'!$B$2:$C$177)</f>
        <v>England</v>
      </c>
      <c r="C71" s="34" t="str">
        <v>Second Row</v>
      </c>
      <c r="D71" s="34" t="str">
        <f t="shared" si="0"/>
        <v>Loss</v>
      </c>
      <c r="E71" s="5">
        <v>80</v>
      </c>
      <c r="F71" s="5">
        <v>8</v>
      </c>
      <c r="G71" s="5">
        <v>1</v>
      </c>
      <c r="H71" s="5"/>
      <c r="I71" s="5">
        <v>23</v>
      </c>
      <c r="J71" s="5"/>
      <c r="K71" s="5"/>
      <c r="L71" s="5">
        <v>2</v>
      </c>
      <c r="M71" s="5"/>
      <c r="N71" s="5"/>
      <c r="O71" s="5"/>
      <c r="P71" s="5"/>
      <c r="Q71" s="5"/>
      <c r="R71" s="5"/>
      <c r="S71" s="5"/>
      <c r="T71" s="6">
        <v>33.6</v>
      </c>
      <c r="U71" s="5"/>
    </row>
    <row r="72" spans="1:21" ht="16" thickBot="1" x14ac:dyDescent="0.25">
      <c r="A72" s="15" t="s">
        <v>173</v>
      </c>
      <c r="B72" s="34" t="str" cm="1">
        <f t="array" ref="B72:C72">_xlfn.XLOOKUP(A72,'Player List'!$A$2:$A$177,'Player List'!$B$2:$C$177)</f>
        <v>England</v>
      </c>
      <c r="C72" s="34" t="str">
        <v>Second Row</v>
      </c>
      <c r="D72" s="34" t="str">
        <f t="shared" si="0"/>
        <v>Loss</v>
      </c>
      <c r="E72" s="2">
        <v>5</v>
      </c>
      <c r="F72" s="2"/>
      <c r="G72" s="2"/>
      <c r="H72" s="2"/>
      <c r="I72" s="2">
        <v>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3">
        <v>0.6</v>
      </c>
      <c r="U72" s="2"/>
    </row>
    <row r="73" spans="1:21" ht="16" thickBot="1" x14ac:dyDescent="0.25">
      <c r="A73" s="17" t="s">
        <v>97</v>
      </c>
      <c r="B73" s="34" t="str" cm="1">
        <f t="array" ref="B73:C73">_xlfn.XLOOKUP(A73,'Player List'!$A$2:$A$177,'Player List'!$B$2:$C$177)</f>
        <v>England</v>
      </c>
      <c r="C73" s="34" t="str">
        <v>Prop</v>
      </c>
      <c r="D73" s="34" t="str">
        <f t="shared" si="0"/>
        <v>Loss</v>
      </c>
      <c r="E73" s="5">
        <v>15</v>
      </c>
      <c r="F73" s="5">
        <v>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>
        <v>1</v>
      </c>
      <c r="U73" s="5"/>
    </row>
    <row r="74" spans="1:21" ht="16" thickBot="1" x14ac:dyDescent="0.25">
      <c r="A74" s="18" t="s">
        <v>98</v>
      </c>
      <c r="B74" s="34" t="str" cm="1">
        <f t="array" ref="B74:C74">_xlfn.XLOOKUP(A74,'Player List'!$A$2:$A$177,'Player List'!$B$2:$C$177)</f>
        <v>England</v>
      </c>
      <c r="C74" s="34" t="str">
        <v>Prop</v>
      </c>
      <c r="D74" s="34" t="str">
        <f t="shared" si="0"/>
        <v>Loss</v>
      </c>
      <c r="E74" s="2">
        <v>65</v>
      </c>
      <c r="F74" s="2">
        <v>4</v>
      </c>
      <c r="G74" s="2">
        <v>1</v>
      </c>
      <c r="H74" s="2"/>
      <c r="I74" s="2">
        <v>17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3">
        <v>14.4</v>
      </c>
      <c r="U74" s="2"/>
    </row>
    <row r="75" spans="1:21" ht="16" thickBot="1" x14ac:dyDescent="0.25">
      <c r="A75" s="17" t="s">
        <v>99</v>
      </c>
      <c r="B75" s="34" t="str" cm="1">
        <f t="array" ref="B75:C75">_xlfn.XLOOKUP(A75,'Player List'!$A$2:$A$177,'Player List'!$B$2:$C$177)</f>
        <v>England</v>
      </c>
      <c r="C75" s="34" t="str">
        <v>Prop</v>
      </c>
      <c r="D75" s="34" t="str">
        <f t="shared" ref="D75:D138" si="1">_xlfn.XLOOKUP(B75,$B$2:$B$7,$C$2:$C$7)</f>
        <v>Loss</v>
      </c>
      <c r="E75" s="5">
        <v>65</v>
      </c>
      <c r="F75" s="5">
        <v>8</v>
      </c>
      <c r="G75" s="5">
        <v>1</v>
      </c>
      <c r="H75" s="5"/>
      <c r="I75" s="5">
        <v>24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6">
        <v>19.8</v>
      </c>
      <c r="U75" s="5"/>
    </row>
    <row r="76" spans="1:21" ht="16" thickBot="1" x14ac:dyDescent="0.25">
      <c r="A76" s="18" t="s">
        <v>100</v>
      </c>
      <c r="B76" s="34" t="str" cm="1">
        <f t="array" ref="B76:C76">_xlfn.XLOOKUP(A76,'Player List'!$A$2:$A$177,'Player List'!$B$2:$C$177)</f>
        <v>England</v>
      </c>
      <c r="C76" s="34" t="str">
        <v>Prop</v>
      </c>
      <c r="D76" s="34" t="str">
        <f t="shared" si="1"/>
        <v>Loss</v>
      </c>
      <c r="E76" s="2">
        <v>15</v>
      </c>
      <c r="F76" s="2"/>
      <c r="G76" s="2"/>
      <c r="H76" s="2"/>
      <c r="I76" s="2">
        <v>14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3">
        <v>2.8</v>
      </c>
      <c r="U76" s="2"/>
    </row>
    <row r="77" spans="1:21" ht="16" thickBot="1" x14ac:dyDescent="0.25">
      <c r="A77" s="19" t="s">
        <v>101</v>
      </c>
      <c r="B77" s="34" t="str" cm="1">
        <f t="array" ref="B77:C77">_xlfn.XLOOKUP(A77,'Player List'!$A$2:$A$177,'Player List'!$B$2:$C$177)</f>
        <v>England</v>
      </c>
      <c r="C77" s="34" t="str">
        <v>Hooker</v>
      </c>
      <c r="D77" s="34" t="str">
        <f t="shared" si="1"/>
        <v>Loss</v>
      </c>
      <c r="E77" s="5">
        <v>80</v>
      </c>
      <c r="F77" s="5">
        <v>6</v>
      </c>
      <c r="G77" s="5"/>
      <c r="H77" s="5"/>
      <c r="I77" s="5">
        <v>14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6">
        <v>8.8000000000000007</v>
      </c>
      <c r="U77" s="5"/>
    </row>
    <row r="78" spans="1:21" ht="16" thickBot="1" x14ac:dyDescent="0.25">
      <c r="A78" s="20" t="s">
        <v>102</v>
      </c>
      <c r="B78" s="34" t="str" cm="1">
        <f t="array" ref="B78:C78">_xlfn.XLOOKUP(A78,'Player List'!$A$2:$A$177,'Player List'!$B$2:$C$177)</f>
        <v>England</v>
      </c>
      <c r="C78" s="34" t="str">
        <v>Hooker</v>
      </c>
      <c r="D78" s="34" t="str">
        <f t="shared" si="1"/>
        <v>Loss</v>
      </c>
      <c r="E78" s="2">
        <v>19</v>
      </c>
      <c r="F78" s="2">
        <v>3</v>
      </c>
      <c r="G78" s="2"/>
      <c r="H78" s="2"/>
      <c r="I78" s="2">
        <v>21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3">
        <v>7.2</v>
      </c>
      <c r="U78" s="2"/>
    </row>
    <row r="79" spans="1:21" ht="16" thickBot="1" x14ac:dyDescent="0.25">
      <c r="A79" s="1" t="s">
        <v>174</v>
      </c>
      <c r="B79" s="34" t="str" cm="1">
        <f t="array" ref="B79:C79">_xlfn.XLOOKUP(A79,'Player List'!$A$2:$A$177,'Player List'!$B$2:$C$177)</f>
        <v>France</v>
      </c>
      <c r="C79" s="34" t="str">
        <v>Back Three</v>
      </c>
      <c r="D79" s="34" t="str">
        <f t="shared" si="1"/>
        <v>Win</v>
      </c>
      <c r="E79" s="2">
        <v>7</v>
      </c>
      <c r="F79" s="2">
        <v>2</v>
      </c>
      <c r="G79" s="2"/>
      <c r="H79" s="2"/>
      <c r="I79" s="2">
        <v>11</v>
      </c>
      <c r="J79" s="2"/>
      <c r="K79" s="2"/>
      <c r="L79" s="2"/>
      <c r="M79" s="2"/>
      <c r="N79" s="2">
        <v>1</v>
      </c>
      <c r="O79" s="2"/>
      <c r="P79" s="2"/>
      <c r="Q79" s="2"/>
      <c r="R79" s="2"/>
      <c r="S79" s="2"/>
      <c r="T79" s="3">
        <v>11.9</v>
      </c>
      <c r="U79" s="2"/>
    </row>
    <row r="80" spans="1:21" ht="16" thickBot="1" x14ac:dyDescent="0.25">
      <c r="A80" s="4" t="s">
        <v>12</v>
      </c>
      <c r="B80" s="34" t="str" cm="1">
        <f t="array" ref="B80:C80">_xlfn.XLOOKUP(A80,'Player List'!$A$2:$A$177,'Player List'!$B$2:$C$177)</f>
        <v>France</v>
      </c>
      <c r="C80" s="34" t="str">
        <v>Back Three</v>
      </c>
      <c r="D80" s="34" t="str">
        <f t="shared" si="1"/>
        <v>Win</v>
      </c>
      <c r="E80" s="5">
        <v>80</v>
      </c>
      <c r="F80" s="5">
        <v>4</v>
      </c>
      <c r="G80" s="5"/>
      <c r="H80" s="5">
        <v>2</v>
      </c>
      <c r="I80" s="5">
        <v>86</v>
      </c>
      <c r="J80" s="5"/>
      <c r="K80" s="5"/>
      <c r="L80" s="5"/>
      <c r="M80" s="5">
        <v>2</v>
      </c>
      <c r="N80" s="5"/>
      <c r="O80" s="5"/>
      <c r="P80" s="5"/>
      <c r="Q80" s="5"/>
      <c r="R80" s="5"/>
      <c r="S80" s="5"/>
      <c r="T80" s="6">
        <v>73.2</v>
      </c>
      <c r="U80" s="5"/>
    </row>
    <row r="81" spans="1:21" ht="16" thickBot="1" x14ac:dyDescent="0.25">
      <c r="A81" s="1" t="s">
        <v>13</v>
      </c>
      <c r="B81" s="34" t="str" cm="1">
        <f t="array" ref="B81:C81">_xlfn.XLOOKUP(A81,'Player List'!$A$2:$A$177,'Player List'!$B$2:$C$177)</f>
        <v>France</v>
      </c>
      <c r="C81" s="34" t="str">
        <v>Back Three</v>
      </c>
      <c r="D81" s="34" t="str">
        <f t="shared" si="1"/>
        <v>Win</v>
      </c>
      <c r="E81" s="2">
        <v>80</v>
      </c>
      <c r="F81" s="2"/>
      <c r="G81" s="2">
        <v>1</v>
      </c>
      <c r="H81" s="2">
        <v>1</v>
      </c>
      <c r="I81" s="2">
        <v>96</v>
      </c>
      <c r="J81" s="2"/>
      <c r="K81" s="2"/>
      <c r="L81" s="2"/>
      <c r="M81" s="2">
        <v>1</v>
      </c>
      <c r="N81" s="2"/>
      <c r="O81" s="2">
        <v>6</v>
      </c>
      <c r="P81" s="2">
        <v>2</v>
      </c>
      <c r="Q81" s="2"/>
      <c r="R81" s="2"/>
      <c r="S81" s="2"/>
      <c r="T81" s="3">
        <v>93.2</v>
      </c>
      <c r="U81" s="2">
        <v>1</v>
      </c>
    </row>
    <row r="82" spans="1:21" ht="16" thickBot="1" x14ac:dyDescent="0.25">
      <c r="A82" s="8" t="s">
        <v>175</v>
      </c>
      <c r="B82" s="34" t="str" cm="1">
        <f t="array" ref="B82:C82">_xlfn.XLOOKUP(A82,'Player List'!$A$2:$A$177,'Player List'!$B$2:$C$177)</f>
        <v>France</v>
      </c>
      <c r="C82" s="34" t="str">
        <v>Centre</v>
      </c>
      <c r="D82" s="34" t="str">
        <f t="shared" si="1"/>
        <v>Win</v>
      </c>
      <c r="E82" s="5">
        <v>65</v>
      </c>
      <c r="F82" s="5">
        <v>8</v>
      </c>
      <c r="G82" s="5">
        <v>1</v>
      </c>
      <c r="H82" s="5"/>
      <c r="I82" s="5">
        <v>26</v>
      </c>
      <c r="J82" s="5"/>
      <c r="K82" s="5"/>
      <c r="L82" s="5">
        <v>1</v>
      </c>
      <c r="M82" s="5"/>
      <c r="N82" s="5"/>
      <c r="O82" s="5"/>
      <c r="P82" s="5"/>
      <c r="Q82" s="5"/>
      <c r="R82" s="5"/>
      <c r="S82" s="5"/>
      <c r="T82" s="6">
        <v>33.700000000000003</v>
      </c>
      <c r="U82" s="5"/>
    </row>
    <row r="83" spans="1:21" ht="16" thickBot="1" x14ac:dyDescent="0.25">
      <c r="A83" s="7" t="s">
        <v>14</v>
      </c>
      <c r="B83" s="34" t="str" cm="1">
        <f t="array" ref="B83:C83">_xlfn.XLOOKUP(A83,'Player List'!$A$2:$A$177,'Player List'!$B$2:$C$177)</f>
        <v>France</v>
      </c>
      <c r="C83" s="34" t="str">
        <v>Centre</v>
      </c>
      <c r="D83" s="34" t="str">
        <f t="shared" si="1"/>
        <v>Win</v>
      </c>
      <c r="E83" s="2">
        <v>80</v>
      </c>
      <c r="F83" s="2"/>
      <c r="G83" s="2"/>
      <c r="H83" s="2">
        <v>1</v>
      </c>
      <c r="I83" s="2">
        <v>50</v>
      </c>
      <c r="J83" s="2"/>
      <c r="K83" s="2"/>
      <c r="L83" s="2"/>
      <c r="M83" s="2"/>
      <c r="N83" s="2">
        <v>1</v>
      </c>
      <c r="O83" s="2"/>
      <c r="P83" s="2"/>
      <c r="Q83" s="2"/>
      <c r="R83" s="2"/>
      <c r="S83" s="2"/>
      <c r="T83" s="3">
        <v>32</v>
      </c>
      <c r="U83" s="2"/>
    </row>
    <row r="84" spans="1:21" ht="16" thickBot="1" x14ac:dyDescent="0.25">
      <c r="A84" s="8" t="s">
        <v>15</v>
      </c>
      <c r="B84" s="34" t="str" cm="1">
        <f t="array" ref="B84:C84">_xlfn.XLOOKUP(A84,'Player List'!$A$2:$A$177,'Player List'!$B$2:$C$177)</f>
        <v>France</v>
      </c>
      <c r="C84" s="34" t="str">
        <v>Centre</v>
      </c>
      <c r="D84" s="34" t="str">
        <f t="shared" si="1"/>
        <v>Win</v>
      </c>
      <c r="E84" s="5">
        <v>80</v>
      </c>
      <c r="F84" s="5">
        <v>12</v>
      </c>
      <c r="G84" s="5">
        <v>1</v>
      </c>
      <c r="H84" s="5"/>
      <c r="I84" s="5">
        <v>54</v>
      </c>
      <c r="J84" s="5"/>
      <c r="K84" s="5"/>
      <c r="L84" s="5"/>
      <c r="M84" s="5"/>
      <c r="N84" s="5">
        <v>1</v>
      </c>
      <c r="O84" s="5"/>
      <c r="P84" s="5"/>
      <c r="Q84" s="5"/>
      <c r="R84" s="5"/>
      <c r="S84" s="5"/>
      <c r="T84" s="6">
        <v>44.8</v>
      </c>
      <c r="U84" s="5"/>
    </row>
    <row r="85" spans="1:21" ht="16" thickBot="1" x14ac:dyDescent="0.25">
      <c r="A85" s="7" t="s">
        <v>16</v>
      </c>
      <c r="B85" s="34" t="str" cm="1">
        <f t="array" ref="B85:C85">_xlfn.XLOOKUP(A85,'Player List'!$A$2:$A$177,'Player List'!$B$2:$C$177)</f>
        <v>France</v>
      </c>
      <c r="C85" s="34" t="str">
        <v>Centre</v>
      </c>
      <c r="D85" s="34" t="str">
        <f t="shared" si="1"/>
        <v>Win</v>
      </c>
      <c r="E85" s="2">
        <v>15</v>
      </c>
      <c r="F85" s="2">
        <v>2</v>
      </c>
      <c r="G85" s="2"/>
      <c r="H85" s="2"/>
      <c r="I85" s="2">
        <v>11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3">
        <v>5.7</v>
      </c>
      <c r="U85" s="2"/>
    </row>
    <row r="86" spans="1:21" ht="16" thickBot="1" x14ac:dyDescent="0.25">
      <c r="A86" s="10" t="s">
        <v>18</v>
      </c>
      <c r="B86" s="34" t="str" cm="1">
        <f t="array" ref="B86:C86">_xlfn.XLOOKUP(A86,'Player List'!$A$2:$A$177,'Player List'!$B$2:$C$177)</f>
        <v>France</v>
      </c>
      <c r="C86" s="34" t="str">
        <v>Fly Half</v>
      </c>
      <c r="D86" s="34" t="str">
        <f t="shared" si="1"/>
        <v>Win</v>
      </c>
      <c r="E86" s="5">
        <v>73</v>
      </c>
      <c r="F86" s="5">
        <v>6</v>
      </c>
      <c r="G86" s="5"/>
      <c r="H86" s="5"/>
      <c r="I86" s="5">
        <v>16</v>
      </c>
      <c r="J86" s="5"/>
      <c r="K86" s="5"/>
      <c r="L86" s="5"/>
      <c r="M86" s="5"/>
      <c r="N86" s="5">
        <v>1</v>
      </c>
      <c r="O86" s="5"/>
      <c r="P86" s="5"/>
      <c r="Q86" s="5"/>
      <c r="R86" s="5"/>
      <c r="S86" s="5"/>
      <c r="T86" s="6">
        <v>23.5</v>
      </c>
      <c r="U86" s="5"/>
    </row>
    <row r="87" spans="1:21" ht="16" thickBot="1" x14ac:dyDescent="0.25">
      <c r="A87" s="11" t="s">
        <v>19</v>
      </c>
      <c r="B87" s="34" t="str" cm="1">
        <f t="array" ref="B87:C87">_xlfn.XLOOKUP(A87,'Player List'!$A$2:$A$177,'Player List'!$B$2:$C$177)</f>
        <v>France</v>
      </c>
      <c r="C87" s="34" t="str">
        <v>Scrum Half</v>
      </c>
      <c r="D87" s="34" t="str">
        <f t="shared" si="1"/>
        <v>Win</v>
      </c>
      <c r="E87" s="2">
        <v>69</v>
      </c>
      <c r="F87" s="2">
        <v>9</v>
      </c>
      <c r="G87" s="2">
        <v>1</v>
      </c>
      <c r="H87" s="2">
        <v>1</v>
      </c>
      <c r="I87" s="2">
        <v>45</v>
      </c>
      <c r="J87" s="2">
        <v>1</v>
      </c>
      <c r="K87" s="2"/>
      <c r="L87" s="2"/>
      <c r="M87" s="2"/>
      <c r="N87" s="2">
        <v>1</v>
      </c>
      <c r="O87" s="2"/>
      <c r="P87" s="2"/>
      <c r="Q87" s="2"/>
      <c r="R87" s="2"/>
      <c r="S87" s="2"/>
      <c r="T87" s="3">
        <v>55.9</v>
      </c>
      <c r="U87" s="2"/>
    </row>
    <row r="88" spans="1:21" ht="16" thickBot="1" x14ac:dyDescent="0.25">
      <c r="A88" s="12" t="s">
        <v>176</v>
      </c>
      <c r="B88" s="34" t="str" cm="1">
        <f t="array" ref="B88:C88">_xlfn.XLOOKUP(A88,'Player List'!$A$2:$A$177,'Player List'!$B$2:$C$177)</f>
        <v>France</v>
      </c>
      <c r="C88" s="34" t="str">
        <v>Scrum Half</v>
      </c>
      <c r="D88" s="34" t="str">
        <f t="shared" si="1"/>
        <v>Win</v>
      </c>
      <c r="E88" s="5">
        <v>11</v>
      </c>
      <c r="F88" s="5"/>
      <c r="G88" s="5"/>
      <c r="H88" s="5"/>
      <c r="I88" s="5">
        <v>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6">
        <v>1.5</v>
      </c>
      <c r="U88" s="5"/>
    </row>
    <row r="89" spans="1:21" ht="16" thickBot="1" x14ac:dyDescent="0.25">
      <c r="A89" s="13" t="s">
        <v>20</v>
      </c>
      <c r="B89" s="34" t="str" cm="1">
        <f t="array" ref="B89:C89">_xlfn.XLOOKUP(A89,'Player List'!$A$2:$A$177,'Player List'!$B$2:$C$177)</f>
        <v>France</v>
      </c>
      <c r="C89" s="34" t="str">
        <v>Back Row</v>
      </c>
      <c r="D89" s="34" t="str">
        <f t="shared" si="1"/>
        <v>Win</v>
      </c>
      <c r="E89" s="2">
        <v>80</v>
      </c>
      <c r="F89" s="2">
        <v>7</v>
      </c>
      <c r="G89" s="2">
        <v>1</v>
      </c>
      <c r="H89" s="2">
        <v>1</v>
      </c>
      <c r="I89" s="2">
        <v>93</v>
      </c>
      <c r="J89" s="2"/>
      <c r="K89" s="2"/>
      <c r="L89" s="2">
        <v>2</v>
      </c>
      <c r="M89" s="2"/>
      <c r="N89" s="2">
        <v>1</v>
      </c>
      <c r="O89" s="2"/>
      <c r="P89" s="2"/>
      <c r="Q89" s="2"/>
      <c r="R89" s="2"/>
      <c r="S89" s="2"/>
      <c r="T89" s="3">
        <v>68.599999999999994</v>
      </c>
      <c r="U89" s="2"/>
    </row>
    <row r="90" spans="1:21" ht="16" thickBot="1" x14ac:dyDescent="0.25">
      <c r="A90" s="14" t="s">
        <v>21</v>
      </c>
      <c r="B90" s="34" t="str" cm="1">
        <f t="array" ref="B90:C90">_xlfn.XLOOKUP(A90,'Player List'!$A$2:$A$177,'Player List'!$B$2:$C$177)</f>
        <v>France</v>
      </c>
      <c r="C90" s="34" t="str">
        <v>Back Row</v>
      </c>
      <c r="D90" s="34" t="str">
        <f t="shared" si="1"/>
        <v>Win</v>
      </c>
      <c r="E90" s="5">
        <v>80</v>
      </c>
      <c r="F90" s="5">
        <v>12</v>
      </c>
      <c r="G90" s="5">
        <v>1</v>
      </c>
      <c r="H90" s="5"/>
      <c r="I90" s="5">
        <v>33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6">
        <v>33.6</v>
      </c>
      <c r="U90" s="5"/>
    </row>
    <row r="91" spans="1:21" ht="16" thickBot="1" x14ac:dyDescent="0.25">
      <c r="A91" s="13" t="s">
        <v>23</v>
      </c>
      <c r="B91" s="34" t="str" cm="1">
        <f t="array" ref="B91:C91">_xlfn.XLOOKUP(A91,'Player List'!$A$2:$A$177,'Player List'!$B$2:$C$177)</f>
        <v>France</v>
      </c>
      <c r="C91" s="34" t="str">
        <v>Back Row</v>
      </c>
      <c r="D91" s="34" t="str">
        <f t="shared" si="1"/>
        <v>Win</v>
      </c>
      <c r="E91" s="2">
        <v>18</v>
      </c>
      <c r="F91" s="2">
        <v>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>
        <v>3.8</v>
      </c>
      <c r="U91" s="2"/>
    </row>
    <row r="92" spans="1:21" ht="16" thickBot="1" x14ac:dyDescent="0.25">
      <c r="A92" s="14" t="s">
        <v>24</v>
      </c>
      <c r="B92" s="34" t="str" cm="1">
        <f t="array" ref="B92:C92">_xlfn.XLOOKUP(A92,'Player List'!$A$2:$A$177,'Player List'!$B$2:$C$177)</f>
        <v>France</v>
      </c>
      <c r="C92" s="34" t="str">
        <v>Back Row</v>
      </c>
      <c r="D92" s="34" t="str">
        <f t="shared" si="1"/>
        <v>Win</v>
      </c>
      <c r="E92" s="5">
        <v>62</v>
      </c>
      <c r="F92" s="5">
        <v>5</v>
      </c>
      <c r="G92" s="5">
        <v>1</v>
      </c>
      <c r="H92" s="5">
        <v>1</v>
      </c>
      <c r="I92" s="5">
        <v>59</v>
      </c>
      <c r="J92" s="5"/>
      <c r="K92" s="5"/>
      <c r="L92" s="5"/>
      <c r="M92" s="5">
        <v>2</v>
      </c>
      <c r="N92" s="5"/>
      <c r="O92" s="5"/>
      <c r="P92" s="5"/>
      <c r="Q92" s="5"/>
      <c r="R92" s="5"/>
      <c r="S92" s="5"/>
      <c r="T92" s="6">
        <v>67</v>
      </c>
      <c r="U92" s="5"/>
    </row>
    <row r="93" spans="1:21" ht="16" thickBot="1" x14ac:dyDescent="0.25">
      <c r="A93" s="15" t="s">
        <v>25</v>
      </c>
      <c r="B93" s="34" t="str" cm="1">
        <f t="array" ref="B93:C93">_xlfn.XLOOKUP(A93,'Player List'!$A$2:$A$177,'Player List'!$B$2:$C$177)</f>
        <v>France</v>
      </c>
      <c r="C93" s="34" t="str">
        <v>Second Row</v>
      </c>
      <c r="D93" s="34" t="str">
        <f t="shared" si="1"/>
        <v>Win</v>
      </c>
      <c r="E93" s="2">
        <v>80</v>
      </c>
      <c r="F93" s="2">
        <v>9</v>
      </c>
      <c r="G93" s="2"/>
      <c r="H93" s="2">
        <v>2</v>
      </c>
      <c r="I93" s="2">
        <v>48</v>
      </c>
      <c r="J93" s="2"/>
      <c r="K93" s="2"/>
      <c r="L93" s="2"/>
      <c r="M93" s="2">
        <v>2</v>
      </c>
      <c r="N93" s="2"/>
      <c r="O93" s="2"/>
      <c r="P93" s="2"/>
      <c r="Q93" s="2"/>
      <c r="R93" s="2"/>
      <c r="S93" s="2"/>
      <c r="T93" s="3">
        <v>70.599999999999994</v>
      </c>
      <c r="U93" s="2"/>
    </row>
    <row r="94" spans="1:21" ht="16" thickBot="1" x14ac:dyDescent="0.25">
      <c r="A94" s="16" t="s">
        <v>26</v>
      </c>
      <c r="B94" s="34" t="str" cm="1">
        <f t="array" ref="B94:C94">_xlfn.XLOOKUP(A94,'Player List'!$A$2:$A$177,'Player List'!$B$2:$C$177)</f>
        <v>France</v>
      </c>
      <c r="C94" s="34" t="str">
        <v>Second Row</v>
      </c>
      <c r="D94" s="34" t="str">
        <f t="shared" si="1"/>
        <v>Win</v>
      </c>
      <c r="E94" s="5">
        <v>30</v>
      </c>
      <c r="F94" s="5">
        <v>7</v>
      </c>
      <c r="G94" s="5"/>
      <c r="H94" s="5"/>
      <c r="I94" s="5">
        <v>13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6">
        <v>12.6</v>
      </c>
      <c r="U94" s="5"/>
    </row>
    <row r="95" spans="1:21" ht="16" thickBot="1" x14ac:dyDescent="0.25">
      <c r="A95" s="15" t="s">
        <v>27</v>
      </c>
      <c r="B95" s="34" t="str" cm="1">
        <f t="array" ref="B95:C95">_xlfn.XLOOKUP(A95,'Player List'!$A$2:$A$177,'Player List'!$B$2:$C$177)</f>
        <v>France</v>
      </c>
      <c r="C95" s="34" t="str">
        <v>Second Row</v>
      </c>
      <c r="D95" s="34" t="str">
        <f t="shared" si="1"/>
        <v>Win</v>
      </c>
      <c r="E95" s="2">
        <v>50</v>
      </c>
      <c r="F95" s="2">
        <v>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>
        <v>13</v>
      </c>
      <c r="U95" s="2"/>
    </row>
    <row r="96" spans="1:21" ht="16" thickBot="1" x14ac:dyDescent="0.25">
      <c r="A96" s="17" t="s">
        <v>177</v>
      </c>
      <c r="B96" s="34" t="str" cm="1">
        <f t="array" ref="B96:C96">_xlfn.XLOOKUP(A96,'Player List'!$A$2:$A$177,'Player List'!$B$2:$C$177)</f>
        <v>France</v>
      </c>
      <c r="C96" s="34" t="str">
        <v>Prop</v>
      </c>
      <c r="D96" s="34" t="str">
        <f t="shared" si="1"/>
        <v>Win</v>
      </c>
      <c r="E96" s="5">
        <v>50</v>
      </c>
      <c r="F96" s="5">
        <v>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>
        <v>11</v>
      </c>
      <c r="U96" s="5"/>
    </row>
    <row r="97" spans="1:21" ht="16" thickBot="1" x14ac:dyDescent="0.25">
      <c r="A97" s="18" t="s">
        <v>29</v>
      </c>
      <c r="B97" s="34" t="str" cm="1">
        <f t="array" ref="B97:C97">_xlfn.XLOOKUP(A97,'Player List'!$A$2:$A$177,'Player List'!$B$2:$C$177)</f>
        <v>France</v>
      </c>
      <c r="C97" s="34" t="str">
        <v>Prop</v>
      </c>
      <c r="D97" s="34" t="str">
        <f t="shared" si="1"/>
        <v>Win</v>
      </c>
      <c r="E97" s="2">
        <v>61</v>
      </c>
      <c r="F97" s="2">
        <v>5</v>
      </c>
      <c r="G97" s="2"/>
      <c r="H97" s="2"/>
      <c r="I97" s="2">
        <v>38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3">
        <v>18.7</v>
      </c>
      <c r="U97" s="2"/>
    </row>
    <row r="98" spans="1:21" ht="16" thickBot="1" x14ac:dyDescent="0.25">
      <c r="A98" s="17" t="s">
        <v>30</v>
      </c>
      <c r="B98" s="34" t="str" cm="1">
        <f t="array" ref="B98:C98">_xlfn.XLOOKUP(A98,'Player List'!$A$2:$A$177,'Player List'!$B$2:$C$177)</f>
        <v>France</v>
      </c>
      <c r="C98" s="34" t="str">
        <v>Prop</v>
      </c>
      <c r="D98" s="34" t="str">
        <f t="shared" si="1"/>
        <v>Win</v>
      </c>
      <c r="E98" s="5">
        <v>30</v>
      </c>
      <c r="F98" s="5">
        <v>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>
        <v>5</v>
      </c>
      <c r="U98" s="5"/>
    </row>
    <row r="99" spans="1:21" ht="16" thickBot="1" x14ac:dyDescent="0.25">
      <c r="A99" s="18" t="s">
        <v>31</v>
      </c>
      <c r="B99" s="34" t="str" cm="1">
        <f t="array" ref="B99:C99">_xlfn.XLOOKUP(A99,'Player List'!$A$2:$A$177,'Player List'!$B$2:$C$177)</f>
        <v>France</v>
      </c>
      <c r="C99" s="34" t="str">
        <v>Prop</v>
      </c>
      <c r="D99" s="34" t="str">
        <f t="shared" si="1"/>
        <v>Win</v>
      </c>
      <c r="E99" s="2">
        <v>19</v>
      </c>
      <c r="F99" s="2">
        <v>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>
        <v>6.9</v>
      </c>
      <c r="U99" s="2"/>
    </row>
    <row r="100" spans="1:21" ht="16" thickBot="1" x14ac:dyDescent="0.25">
      <c r="A100" s="19" t="s">
        <v>33</v>
      </c>
      <c r="B100" s="34" t="str" cm="1">
        <f t="array" ref="B100:C100">_xlfn.XLOOKUP(A100,'Player List'!$A$2:$A$177,'Player List'!$B$2:$C$177)</f>
        <v>France</v>
      </c>
      <c r="C100" s="34" t="str">
        <v>Hooker</v>
      </c>
      <c r="D100" s="34" t="str">
        <f t="shared" si="1"/>
        <v>Win</v>
      </c>
      <c r="E100" s="5">
        <v>61</v>
      </c>
      <c r="F100" s="5">
        <v>2</v>
      </c>
      <c r="G100" s="5"/>
      <c r="H100" s="5"/>
      <c r="I100" s="5">
        <v>16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>
        <v>11.3</v>
      </c>
      <c r="U100" s="5"/>
    </row>
    <row r="101" spans="1:21" ht="16" thickBot="1" x14ac:dyDescent="0.25">
      <c r="A101" s="20" t="s">
        <v>178</v>
      </c>
      <c r="B101" s="34" t="str" cm="1">
        <f t="array" ref="B101:C101">_xlfn.XLOOKUP(A101,'Player List'!$A$2:$A$177,'Player List'!$B$2:$C$177)</f>
        <v>France</v>
      </c>
      <c r="C101" s="34" t="str">
        <v>Hooker</v>
      </c>
      <c r="D101" s="34" t="str">
        <f t="shared" si="1"/>
        <v>Win</v>
      </c>
      <c r="E101" s="2">
        <v>19</v>
      </c>
      <c r="F101" s="2">
        <v>4</v>
      </c>
      <c r="G101" s="2"/>
      <c r="H101" s="2"/>
      <c r="I101" s="2">
        <v>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>
        <v>6.1</v>
      </c>
      <c r="U101" s="2"/>
    </row>
    <row r="102" spans="1:21" ht="16" thickBot="1" x14ac:dyDescent="0.25">
      <c r="A102" s="1" t="s">
        <v>34</v>
      </c>
      <c r="B102" s="34" t="str" cm="1">
        <f t="array" ref="B102:C102">_xlfn.XLOOKUP(A102,'Player List'!$A$2:$A$177,'Player List'!$B$2:$C$177)</f>
        <v>Scotland</v>
      </c>
      <c r="C102" s="34" t="str">
        <v>Back Three</v>
      </c>
      <c r="D102" s="34" t="str">
        <f t="shared" si="1"/>
        <v>Loss</v>
      </c>
      <c r="E102" s="2">
        <v>65</v>
      </c>
      <c r="F102" s="2">
        <v>4</v>
      </c>
      <c r="G102" s="2"/>
      <c r="H102" s="2"/>
      <c r="I102" s="2">
        <v>65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>
        <v>17</v>
      </c>
      <c r="U102" s="2"/>
    </row>
    <row r="103" spans="1:21" ht="16" thickBot="1" x14ac:dyDescent="0.25">
      <c r="A103" s="4" t="s">
        <v>35</v>
      </c>
      <c r="B103" s="34" t="str" cm="1">
        <f t="array" ref="B103:C103">_xlfn.XLOOKUP(A103,'Player List'!$A$2:$A$177,'Player List'!$B$2:$C$177)</f>
        <v>Scotland</v>
      </c>
      <c r="C103" s="34" t="str">
        <v>Back Three</v>
      </c>
      <c r="D103" s="34" t="str">
        <f t="shared" si="1"/>
        <v>Loss</v>
      </c>
      <c r="E103" s="5">
        <v>15</v>
      </c>
      <c r="F103" s="5">
        <v>1</v>
      </c>
      <c r="G103" s="5"/>
      <c r="H103" s="5"/>
      <c r="I103" s="5">
        <v>59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>
        <v>12.8</v>
      </c>
      <c r="U103" s="5"/>
    </row>
    <row r="104" spans="1:21" ht="16" thickBot="1" x14ac:dyDescent="0.25">
      <c r="A104" s="1" t="s">
        <v>36</v>
      </c>
      <c r="B104" s="34" t="str" cm="1">
        <f t="array" ref="B104:C104">_xlfn.XLOOKUP(A104,'Player List'!$A$2:$A$177,'Player List'!$B$2:$C$177)</f>
        <v>Scotland</v>
      </c>
      <c r="C104" s="34" t="str">
        <v>Back Three</v>
      </c>
      <c r="D104" s="34" t="str">
        <f t="shared" si="1"/>
        <v>Loss</v>
      </c>
      <c r="E104" s="2">
        <v>80</v>
      </c>
      <c r="F104" s="2">
        <v>2</v>
      </c>
      <c r="G104" s="2"/>
      <c r="H104" s="2"/>
      <c r="I104" s="2">
        <v>32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>
        <v>8.4</v>
      </c>
      <c r="U104" s="2"/>
    </row>
    <row r="105" spans="1:21" ht="16" thickBot="1" x14ac:dyDescent="0.25">
      <c r="A105" s="4" t="s">
        <v>37</v>
      </c>
      <c r="B105" s="34" t="str" cm="1">
        <f t="array" ref="B105:C105">_xlfn.XLOOKUP(A105,'Player List'!$A$2:$A$177,'Player List'!$B$2:$C$177)</f>
        <v>Scotland</v>
      </c>
      <c r="C105" s="34" t="str">
        <v>Back Three</v>
      </c>
      <c r="D105" s="34" t="str">
        <f t="shared" si="1"/>
        <v>Loss</v>
      </c>
      <c r="E105" s="5">
        <v>80</v>
      </c>
      <c r="F105" s="5">
        <v>2</v>
      </c>
      <c r="G105" s="5"/>
      <c r="H105" s="5">
        <v>1</v>
      </c>
      <c r="I105" s="5">
        <v>98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>
        <v>28.6</v>
      </c>
      <c r="U105" s="5"/>
    </row>
    <row r="106" spans="1:21" ht="16" thickBot="1" x14ac:dyDescent="0.25">
      <c r="A106" s="7" t="s">
        <v>38</v>
      </c>
      <c r="B106" s="34" t="str" cm="1">
        <f t="array" ref="B106:C106">_xlfn.XLOOKUP(A106,'Player List'!$A$2:$A$177,'Player List'!$B$2:$C$177)</f>
        <v>Scotland</v>
      </c>
      <c r="C106" s="34" t="str">
        <v>Centre</v>
      </c>
      <c r="D106" s="34" t="str">
        <f t="shared" si="1"/>
        <v>Loss</v>
      </c>
      <c r="E106" s="2">
        <v>1</v>
      </c>
      <c r="F106" s="2">
        <v>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>
        <v>1</v>
      </c>
      <c r="U106" s="2"/>
    </row>
    <row r="107" spans="1:21" ht="16" thickBot="1" x14ac:dyDescent="0.25">
      <c r="A107" s="8" t="s">
        <v>39</v>
      </c>
      <c r="B107" s="34" t="str" cm="1">
        <f t="array" ref="B107:C107">_xlfn.XLOOKUP(A107,'Player List'!$A$2:$A$177,'Player List'!$B$2:$C$177)</f>
        <v>Scotland</v>
      </c>
      <c r="C107" s="34" t="str">
        <v>Centre</v>
      </c>
      <c r="D107" s="34" t="str">
        <f t="shared" si="1"/>
        <v>Loss</v>
      </c>
      <c r="E107" s="5">
        <v>80</v>
      </c>
      <c r="F107" s="5">
        <v>6</v>
      </c>
      <c r="G107" s="5"/>
      <c r="H107" s="5">
        <v>1</v>
      </c>
      <c r="I107" s="5">
        <v>117</v>
      </c>
      <c r="J107" s="5"/>
      <c r="K107" s="5"/>
      <c r="L107" s="5"/>
      <c r="M107" s="5">
        <v>1</v>
      </c>
      <c r="N107" s="5"/>
      <c r="O107" s="5"/>
      <c r="P107" s="5"/>
      <c r="Q107" s="5"/>
      <c r="R107" s="5"/>
      <c r="S107" s="5"/>
      <c r="T107" s="6">
        <v>51.4</v>
      </c>
      <c r="U107" s="5"/>
    </row>
    <row r="108" spans="1:21" ht="16" thickBot="1" x14ac:dyDescent="0.25">
      <c r="A108" s="7" t="s">
        <v>40</v>
      </c>
      <c r="B108" s="34" t="str" cm="1">
        <f t="array" ref="B108:C108">_xlfn.XLOOKUP(A108,'Player List'!$A$2:$A$177,'Player List'!$B$2:$C$177)</f>
        <v>Scotland</v>
      </c>
      <c r="C108" s="34" t="str">
        <v>Centre</v>
      </c>
      <c r="D108" s="34" t="str">
        <f t="shared" si="1"/>
        <v>Loss</v>
      </c>
      <c r="E108" s="2">
        <v>80</v>
      </c>
      <c r="F108" s="2">
        <v>11</v>
      </c>
      <c r="G108" s="2"/>
      <c r="H108" s="2"/>
      <c r="I108" s="2">
        <v>90</v>
      </c>
      <c r="J108" s="2"/>
      <c r="K108" s="2"/>
      <c r="L108" s="2">
        <v>1</v>
      </c>
      <c r="M108" s="2"/>
      <c r="N108" s="2">
        <v>1</v>
      </c>
      <c r="O108" s="2"/>
      <c r="P108" s="2"/>
      <c r="Q108" s="2"/>
      <c r="R108" s="2"/>
      <c r="S108" s="2"/>
      <c r="T108" s="3">
        <v>43</v>
      </c>
      <c r="U108" s="2"/>
    </row>
    <row r="109" spans="1:21" ht="16" thickBot="1" x14ac:dyDescent="0.25">
      <c r="A109" s="10" t="s">
        <v>41</v>
      </c>
      <c r="B109" s="34" t="str" cm="1">
        <f t="array" ref="B109:C109">_xlfn.XLOOKUP(A109,'Player List'!$A$2:$A$177,'Player List'!$B$2:$C$177)</f>
        <v>Scotland</v>
      </c>
      <c r="C109" s="34" t="str">
        <v>Fly Half</v>
      </c>
      <c r="D109" s="34" t="str">
        <f t="shared" si="1"/>
        <v>Loss</v>
      </c>
      <c r="E109" s="5">
        <v>80</v>
      </c>
      <c r="F109" s="5">
        <v>5</v>
      </c>
      <c r="G109" s="5"/>
      <c r="H109" s="5"/>
      <c r="I109" s="5">
        <v>63</v>
      </c>
      <c r="J109" s="5"/>
      <c r="K109" s="5"/>
      <c r="L109" s="5"/>
      <c r="M109" s="5"/>
      <c r="N109" s="5"/>
      <c r="O109" s="5">
        <v>1</v>
      </c>
      <c r="P109" s="5"/>
      <c r="Q109" s="5"/>
      <c r="R109" s="5"/>
      <c r="S109" s="5"/>
      <c r="T109" s="6">
        <v>19.600000000000001</v>
      </c>
      <c r="U109" s="5"/>
    </row>
    <row r="110" spans="1:21" ht="16" thickBot="1" x14ac:dyDescent="0.25">
      <c r="A110" s="11" t="s">
        <v>170</v>
      </c>
      <c r="B110" s="34" t="str" cm="1">
        <f t="array" ref="B110:C110">_xlfn.XLOOKUP(A110,'Player List'!$A$2:$A$177,'Player List'!$B$2:$C$177)</f>
        <v>Scotland</v>
      </c>
      <c r="C110" s="34" t="str">
        <v>Scrum Half</v>
      </c>
      <c r="D110" s="34" t="str">
        <f t="shared" si="1"/>
        <v>Loss</v>
      </c>
      <c r="E110" s="2">
        <v>22</v>
      </c>
      <c r="F110" s="2">
        <v>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>
        <v>2</v>
      </c>
      <c r="U110" s="2"/>
    </row>
    <row r="111" spans="1:21" ht="16" thickBot="1" x14ac:dyDescent="0.25">
      <c r="A111" s="12" t="s">
        <v>43</v>
      </c>
      <c r="B111" s="34" t="str" cm="1">
        <f t="array" ref="B111:C111">_xlfn.XLOOKUP(A111,'Player List'!$A$2:$A$177,'Player List'!$B$2:$C$177)</f>
        <v>Scotland</v>
      </c>
      <c r="C111" s="34" t="str">
        <v>Scrum Half</v>
      </c>
      <c r="D111" s="34" t="str">
        <f t="shared" si="1"/>
        <v>Loss</v>
      </c>
      <c r="E111" s="5">
        <v>58</v>
      </c>
      <c r="F111" s="5">
        <v>5</v>
      </c>
      <c r="G111" s="5"/>
      <c r="H111" s="5"/>
      <c r="I111" s="5">
        <v>10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>
        <v>7</v>
      </c>
      <c r="U111" s="5"/>
    </row>
    <row r="112" spans="1:21" ht="16" thickBot="1" x14ac:dyDescent="0.25">
      <c r="A112" s="13" t="s">
        <v>45</v>
      </c>
      <c r="B112" s="34" t="str" cm="1">
        <f t="array" ref="B112:C112">_xlfn.XLOOKUP(A112,'Player List'!$A$2:$A$177,'Player List'!$B$2:$C$177)</f>
        <v>Scotland</v>
      </c>
      <c r="C112" s="34" t="str">
        <v>Back Row</v>
      </c>
      <c r="D112" s="34" t="str">
        <f t="shared" si="1"/>
        <v>Loss</v>
      </c>
      <c r="E112" s="2">
        <v>80</v>
      </c>
      <c r="F112" s="2">
        <v>20</v>
      </c>
      <c r="G112" s="2">
        <v>1</v>
      </c>
      <c r="H112" s="2"/>
      <c r="I112" s="2">
        <v>70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>
        <v>41</v>
      </c>
      <c r="U112" s="2"/>
    </row>
    <row r="113" spans="1:21" ht="16" thickBot="1" x14ac:dyDescent="0.25">
      <c r="A113" s="14" t="s">
        <v>46</v>
      </c>
      <c r="B113" s="34" t="str" cm="1">
        <f t="array" ref="B113:C113">_xlfn.XLOOKUP(A113,'Player List'!$A$2:$A$177,'Player List'!$B$2:$C$177)</f>
        <v>Scotland</v>
      </c>
      <c r="C113" s="34" t="str">
        <v>Back Row</v>
      </c>
      <c r="D113" s="34" t="str">
        <f t="shared" si="1"/>
        <v>Loss</v>
      </c>
      <c r="E113" s="5">
        <v>66</v>
      </c>
      <c r="F113" s="5">
        <v>14</v>
      </c>
      <c r="G113" s="5"/>
      <c r="H113" s="5"/>
      <c r="I113" s="5">
        <v>33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>
        <v>20.6</v>
      </c>
      <c r="U113" s="5"/>
    </row>
    <row r="114" spans="1:21" ht="16" thickBot="1" x14ac:dyDescent="0.25">
      <c r="A114" s="13" t="s">
        <v>47</v>
      </c>
      <c r="B114" s="34" t="str" cm="1">
        <f t="array" ref="B114:C114">_xlfn.XLOOKUP(A114,'Player List'!$A$2:$A$177,'Player List'!$B$2:$C$177)</f>
        <v>Scotland</v>
      </c>
      <c r="C114" s="34" t="str">
        <v>Back Row</v>
      </c>
      <c r="D114" s="34" t="str">
        <f t="shared" si="1"/>
        <v>Loss</v>
      </c>
      <c r="E114" s="2">
        <v>80</v>
      </c>
      <c r="F114" s="2">
        <v>15</v>
      </c>
      <c r="G114" s="2">
        <v>2</v>
      </c>
      <c r="H114" s="2"/>
      <c r="I114" s="2">
        <v>25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>
        <v>34</v>
      </c>
      <c r="U114" s="2"/>
    </row>
    <row r="115" spans="1:21" ht="16" thickBot="1" x14ac:dyDescent="0.25">
      <c r="A115" s="14" t="s">
        <v>172</v>
      </c>
      <c r="B115" s="34" t="str" cm="1">
        <f t="array" ref="B115:C115">_xlfn.XLOOKUP(A115,'Player List'!$A$2:$A$177,'Player List'!$B$2:$C$177)</f>
        <v>Scotland</v>
      </c>
      <c r="C115" s="34" t="str">
        <v>Back Row</v>
      </c>
      <c r="D115" s="34" t="str">
        <f t="shared" si="1"/>
        <v>Loss</v>
      </c>
      <c r="E115" s="5">
        <v>14</v>
      </c>
      <c r="F115" s="5">
        <v>1</v>
      </c>
      <c r="G115" s="5"/>
      <c r="H115" s="5"/>
      <c r="I115" s="5">
        <v>8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>
        <v>2.6</v>
      </c>
      <c r="U115" s="5"/>
    </row>
    <row r="116" spans="1:21" ht="16" thickBot="1" x14ac:dyDescent="0.25">
      <c r="A116" s="15" t="s">
        <v>179</v>
      </c>
      <c r="B116" s="34" t="str" cm="1">
        <f t="array" ref="B116:C116">_xlfn.XLOOKUP(A116,'Player List'!$A$2:$A$177,'Player List'!$B$2:$C$177)</f>
        <v>Scotland</v>
      </c>
      <c r="C116" s="34" t="str">
        <v>Second Row</v>
      </c>
      <c r="D116" s="34" t="str">
        <f t="shared" si="1"/>
        <v>Loss</v>
      </c>
      <c r="E116" s="2">
        <v>75</v>
      </c>
      <c r="F116" s="2">
        <v>9</v>
      </c>
      <c r="G116" s="2"/>
      <c r="H116" s="2"/>
      <c r="I116" s="2">
        <v>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>
        <v>10.8</v>
      </c>
      <c r="U116" s="2"/>
    </row>
    <row r="117" spans="1:21" ht="16" thickBot="1" x14ac:dyDescent="0.25">
      <c r="A117" s="16" t="s">
        <v>49</v>
      </c>
      <c r="B117" s="34" t="str" cm="1">
        <f t="array" ref="B117:C117">_xlfn.XLOOKUP(A117,'Player List'!$A$2:$A$177,'Player List'!$B$2:$C$177)</f>
        <v>Scotland</v>
      </c>
      <c r="C117" s="34" t="str">
        <v>Second Row</v>
      </c>
      <c r="D117" s="34" t="str">
        <f t="shared" si="1"/>
        <v>Loss</v>
      </c>
      <c r="E117" s="5">
        <v>80</v>
      </c>
      <c r="F117" s="5">
        <v>18</v>
      </c>
      <c r="G117" s="5">
        <v>2</v>
      </c>
      <c r="H117" s="5"/>
      <c r="I117" s="5">
        <v>19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>
        <v>35.799999999999997</v>
      </c>
      <c r="U117" s="5"/>
    </row>
    <row r="118" spans="1:21" ht="16" thickBot="1" x14ac:dyDescent="0.25">
      <c r="A118" s="15" t="s">
        <v>50</v>
      </c>
      <c r="B118" s="34" t="str" cm="1">
        <f t="array" ref="B118:C118">_xlfn.XLOOKUP(A118,'Player List'!$A$2:$A$177,'Player List'!$B$2:$C$177)</f>
        <v>Scotland</v>
      </c>
      <c r="C118" s="34" t="str">
        <v>Second Row</v>
      </c>
      <c r="D118" s="34" t="str">
        <f t="shared" si="1"/>
        <v>Loss</v>
      </c>
      <c r="E118" s="2">
        <v>5</v>
      </c>
      <c r="F118" s="2">
        <v>2</v>
      </c>
      <c r="G118" s="2"/>
      <c r="H118" s="2"/>
      <c r="I118" s="2">
        <v>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>
        <v>2.6</v>
      </c>
      <c r="U118" s="2"/>
    </row>
    <row r="119" spans="1:21" ht="16" thickBot="1" x14ac:dyDescent="0.25">
      <c r="A119" s="17" t="s">
        <v>180</v>
      </c>
      <c r="B119" s="34" t="str" cm="1">
        <f t="array" ref="B119:C119">_xlfn.XLOOKUP(A119,'Player List'!$A$2:$A$177,'Player List'!$B$2:$C$177)</f>
        <v>Scotland</v>
      </c>
      <c r="C119" s="34" t="str">
        <v>Prop</v>
      </c>
      <c r="D119" s="34" t="str">
        <f t="shared" si="1"/>
        <v>Loss</v>
      </c>
      <c r="E119" s="5">
        <v>27</v>
      </c>
      <c r="F119" s="5">
        <v>5</v>
      </c>
      <c r="G119" s="5"/>
      <c r="H119" s="5"/>
      <c r="I119" s="5">
        <v>14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>
        <v>7.8</v>
      </c>
      <c r="U119" s="5"/>
    </row>
    <row r="120" spans="1:21" ht="16" thickBot="1" x14ac:dyDescent="0.25">
      <c r="A120" s="18" t="s">
        <v>51</v>
      </c>
      <c r="B120" s="34" t="str" cm="1">
        <f t="array" ref="B120:C120">_xlfn.XLOOKUP(A120,'Player List'!$A$2:$A$177,'Player List'!$B$2:$C$177)</f>
        <v>Scotland</v>
      </c>
      <c r="C120" s="34" t="str">
        <v>Prop</v>
      </c>
      <c r="D120" s="34" t="str">
        <f t="shared" si="1"/>
        <v>Loss</v>
      </c>
      <c r="E120" s="2">
        <v>27</v>
      </c>
      <c r="F120" s="2">
        <v>6</v>
      </c>
      <c r="G120" s="2"/>
      <c r="H120" s="2"/>
      <c r="I120" s="2">
        <v>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>
        <v>7</v>
      </c>
      <c r="U120" s="2"/>
    </row>
    <row r="121" spans="1:21" ht="16" thickBot="1" x14ac:dyDescent="0.25">
      <c r="A121" s="17" t="s">
        <v>52</v>
      </c>
      <c r="B121" s="34" t="str" cm="1">
        <f t="array" ref="B121:C121">_xlfn.XLOOKUP(A121,'Player List'!$A$2:$A$177,'Player List'!$B$2:$C$177)</f>
        <v>Scotland</v>
      </c>
      <c r="C121" s="34" t="str">
        <v>Prop</v>
      </c>
      <c r="D121" s="34" t="str">
        <f t="shared" si="1"/>
        <v>Loss</v>
      </c>
      <c r="E121" s="5">
        <v>53</v>
      </c>
      <c r="F121" s="5">
        <v>7</v>
      </c>
      <c r="G121" s="5"/>
      <c r="H121" s="5"/>
      <c r="I121" s="5">
        <v>23</v>
      </c>
      <c r="J121" s="5"/>
      <c r="K121" s="5"/>
      <c r="L121" s="5">
        <v>1</v>
      </c>
      <c r="M121" s="5"/>
      <c r="N121" s="5"/>
      <c r="O121" s="5"/>
      <c r="P121" s="5"/>
      <c r="Q121" s="5"/>
      <c r="R121" s="5"/>
      <c r="S121" s="5"/>
      <c r="T121" s="6">
        <v>18.600000000000001</v>
      </c>
      <c r="U121" s="5"/>
    </row>
    <row r="122" spans="1:21" ht="16" thickBot="1" x14ac:dyDescent="0.25">
      <c r="A122" s="18" t="s">
        <v>54</v>
      </c>
      <c r="B122" s="34" t="str" cm="1">
        <f t="array" ref="B122:C122">_xlfn.XLOOKUP(A122,'Player List'!$A$2:$A$177,'Player List'!$B$2:$C$177)</f>
        <v>Scotland</v>
      </c>
      <c r="C122" s="34" t="str">
        <v>Prop</v>
      </c>
      <c r="D122" s="34" t="str">
        <f t="shared" si="1"/>
        <v>Loss</v>
      </c>
      <c r="E122" s="2">
        <v>53</v>
      </c>
      <c r="F122" s="2">
        <v>5</v>
      </c>
      <c r="G122" s="2"/>
      <c r="H122" s="2"/>
      <c r="I122" s="2">
        <v>65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>
        <v>18</v>
      </c>
      <c r="U122" s="2"/>
    </row>
    <row r="123" spans="1:21" ht="16" thickBot="1" x14ac:dyDescent="0.25">
      <c r="A123" s="19" t="s">
        <v>55</v>
      </c>
      <c r="B123" s="34" t="str" cm="1">
        <f t="array" ref="B123:C123">_xlfn.XLOOKUP(A123,'Player List'!$A$2:$A$177,'Player List'!$B$2:$C$177)</f>
        <v>Scotland</v>
      </c>
      <c r="C123" s="34" t="str">
        <v>Hooker</v>
      </c>
      <c r="D123" s="34" t="str">
        <f t="shared" si="1"/>
        <v>Loss</v>
      </c>
      <c r="E123" s="5">
        <v>22</v>
      </c>
      <c r="F123" s="5">
        <v>3</v>
      </c>
      <c r="G123" s="5"/>
      <c r="H123" s="5"/>
      <c r="I123" s="5"/>
      <c r="J123" s="5"/>
      <c r="K123" s="5">
        <v>1</v>
      </c>
      <c r="L123" s="5"/>
      <c r="M123" s="5"/>
      <c r="N123" s="5"/>
      <c r="O123" s="5"/>
      <c r="P123" s="5"/>
      <c r="Q123" s="5"/>
      <c r="R123" s="5"/>
      <c r="S123" s="5"/>
      <c r="T123" s="6">
        <v>10</v>
      </c>
      <c r="U123" s="5"/>
    </row>
    <row r="124" spans="1:21" ht="16" thickBot="1" x14ac:dyDescent="0.25">
      <c r="A124" s="20" t="s">
        <v>56</v>
      </c>
      <c r="B124" s="34" t="str" cm="1">
        <f t="array" ref="B124:C124">_xlfn.XLOOKUP(A124,'Player List'!$A$2:$A$177,'Player List'!$B$2:$C$177)</f>
        <v>Scotland</v>
      </c>
      <c r="C124" s="34" t="str">
        <v>Hooker</v>
      </c>
      <c r="D124" s="34" t="str">
        <f t="shared" si="1"/>
        <v>Loss</v>
      </c>
      <c r="E124" s="2">
        <v>58</v>
      </c>
      <c r="F124" s="2">
        <v>10</v>
      </c>
      <c r="G124" s="2">
        <v>1</v>
      </c>
      <c r="H124" s="2"/>
      <c r="I124" s="2">
        <v>34</v>
      </c>
      <c r="J124" s="2"/>
      <c r="K124" s="2">
        <v>1</v>
      </c>
      <c r="L124" s="2"/>
      <c r="M124" s="2"/>
      <c r="N124" s="2"/>
      <c r="O124" s="2"/>
      <c r="P124" s="2"/>
      <c r="Q124" s="2"/>
      <c r="R124" s="2"/>
      <c r="S124" s="2"/>
      <c r="T124" s="3">
        <v>30.8</v>
      </c>
      <c r="U124" s="2"/>
    </row>
    <row r="125" spans="1:21" ht="16" thickBot="1" x14ac:dyDescent="0.25">
      <c r="A125" s="1" t="s">
        <v>126</v>
      </c>
      <c r="B125" s="34" t="str" cm="1">
        <f t="array" ref="B125:C125">_xlfn.XLOOKUP(A125,'Player List'!$A$2:$A$177,'Player List'!$B$2:$C$177)</f>
        <v>Ireland</v>
      </c>
      <c r="C125" s="34" t="str">
        <v>Back Three</v>
      </c>
      <c r="D125" s="34" t="str">
        <f t="shared" si="1"/>
        <v>Win</v>
      </c>
      <c r="E125" s="2">
        <v>80</v>
      </c>
      <c r="F125" s="2">
        <v>4</v>
      </c>
      <c r="G125" s="2"/>
      <c r="H125" s="2">
        <v>2</v>
      </c>
      <c r="I125" s="2">
        <v>94</v>
      </c>
      <c r="J125" s="2"/>
      <c r="K125" s="2"/>
      <c r="L125" s="2">
        <v>2</v>
      </c>
      <c r="M125" s="2">
        <v>1</v>
      </c>
      <c r="N125" s="2">
        <v>1</v>
      </c>
      <c r="O125" s="2"/>
      <c r="P125" s="2"/>
      <c r="Q125" s="2"/>
      <c r="R125" s="2"/>
      <c r="S125" s="2"/>
      <c r="T125" s="3">
        <v>95.8</v>
      </c>
      <c r="U125" s="2">
        <v>1</v>
      </c>
    </row>
    <row r="126" spans="1:21" ht="16" thickBot="1" x14ac:dyDescent="0.25">
      <c r="A126" s="4" t="s">
        <v>127</v>
      </c>
      <c r="B126" s="34" t="str" cm="1">
        <f t="array" ref="B126:C126">_xlfn.XLOOKUP(A126,'Player List'!$A$2:$A$177,'Player List'!$B$2:$C$177)</f>
        <v>Ireland</v>
      </c>
      <c r="C126" s="34" t="str">
        <v>Back Three</v>
      </c>
      <c r="D126" s="34" t="str">
        <f t="shared" si="1"/>
        <v>Win</v>
      </c>
      <c r="E126" s="5">
        <v>80</v>
      </c>
      <c r="F126" s="5">
        <v>6</v>
      </c>
      <c r="G126" s="5"/>
      <c r="H126" s="5">
        <v>1</v>
      </c>
      <c r="I126" s="5">
        <v>82</v>
      </c>
      <c r="J126" s="5"/>
      <c r="K126" s="5"/>
      <c r="L126" s="5"/>
      <c r="M126" s="5"/>
      <c r="N126" s="5">
        <v>1</v>
      </c>
      <c r="O126" s="5"/>
      <c r="P126" s="5"/>
      <c r="Q126" s="5"/>
      <c r="R126" s="5"/>
      <c r="S126" s="5"/>
      <c r="T126" s="6">
        <v>44.4</v>
      </c>
      <c r="U126" s="5"/>
    </row>
    <row r="127" spans="1:21" ht="16" thickBot="1" x14ac:dyDescent="0.25">
      <c r="A127" s="1" t="s">
        <v>128</v>
      </c>
      <c r="B127" s="34" t="str" cm="1">
        <f t="array" ref="B127:C127">_xlfn.XLOOKUP(A127,'Player List'!$A$2:$A$177,'Player List'!$B$2:$C$177)</f>
        <v>Ireland</v>
      </c>
      <c r="C127" s="34" t="str">
        <v>Back Three</v>
      </c>
      <c r="D127" s="34" t="str">
        <f t="shared" si="1"/>
        <v>Win</v>
      </c>
      <c r="E127" s="2">
        <v>80</v>
      </c>
      <c r="F127" s="2">
        <v>4</v>
      </c>
      <c r="G127" s="2"/>
      <c r="H127" s="2">
        <v>2</v>
      </c>
      <c r="I127" s="2">
        <v>150</v>
      </c>
      <c r="J127" s="2"/>
      <c r="K127" s="2"/>
      <c r="L127" s="2"/>
      <c r="M127" s="2">
        <v>1</v>
      </c>
      <c r="N127" s="2"/>
      <c r="O127" s="2"/>
      <c r="P127" s="2"/>
      <c r="Q127" s="2"/>
      <c r="R127" s="2"/>
      <c r="S127" s="2"/>
      <c r="T127" s="3">
        <v>71</v>
      </c>
      <c r="U127" s="2"/>
    </row>
    <row r="128" spans="1:21" ht="16" thickBot="1" x14ac:dyDescent="0.25">
      <c r="A128" s="8" t="s">
        <v>129</v>
      </c>
      <c r="B128" s="34" t="str" cm="1">
        <f t="array" ref="B128:C128">_xlfn.XLOOKUP(A128,'Player List'!$A$2:$A$177,'Player List'!$B$2:$C$177)</f>
        <v>Ireland</v>
      </c>
      <c r="C128" s="34" t="str">
        <v>Centre</v>
      </c>
      <c r="D128" s="34" t="str">
        <f t="shared" si="1"/>
        <v>Win</v>
      </c>
      <c r="E128" s="5">
        <v>74</v>
      </c>
      <c r="F128" s="5">
        <v>9</v>
      </c>
      <c r="G128" s="5">
        <v>1</v>
      </c>
      <c r="H128" s="5"/>
      <c r="I128" s="5">
        <v>49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>
        <v>33.200000000000003</v>
      </c>
      <c r="U128" s="5"/>
    </row>
    <row r="129" spans="1:21" ht="16" thickBot="1" x14ac:dyDescent="0.25">
      <c r="A129" s="7" t="s">
        <v>181</v>
      </c>
      <c r="B129" s="34" t="str" cm="1">
        <f t="array" ref="B129:C129">_xlfn.XLOOKUP(A129,'Player List'!$A$2:$A$177,'Player List'!$B$2:$C$177)</f>
        <v>Ireland</v>
      </c>
      <c r="C129" s="34" t="str">
        <v>Centre</v>
      </c>
      <c r="D129" s="34" t="str">
        <f t="shared" si="1"/>
        <v>Win</v>
      </c>
      <c r="E129" s="2">
        <v>14</v>
      </c>
      <c r="F129" s="2">
        <v>6</v>
      </c>
      <c r="G129" s="2"/>
      <c r="H129" s="2"/>
      <c r="I129" s="2">
        <v>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>
        <v>8.1999999999999993</v>
      </c>
      <c r="U129" s="2"/>
    </row>
    <row r="130" spans="1:21" ht="16" thickBot="1" x14ac:dyDescent="0.25">
      <c r="A130" s="8" t="s">
        <v>131</v>
      </c>
      <c r="B130" s="34" t="str" cm="1">
        <f t="array" ref="B130:C130">_xlfn.XLOOKUP(A130,'Player List'!$A$2:$A$177,'Player List'!$B$2:$C$177)</f>
        <v>Ireland</v>
      </c>
      <c r="C130" s="34" t="str">
        <v>Centre</v>
      </c>
      <c r="D130" s="34" t="str">
        <f t="shared" si="1"/>
        <v>Win</v>
      </c>
      <c r="E130" s="5">
        <v>72</v>
      </c>
      <c r="F130" s="5">
        <v>2</v>
      </c>
      <c r="G130" s="5"/>
      <c r="H130" s="5">
        <v>1</v>
      </c>
      <c r="I130" s="5">
        <v>54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>
        <v>27</v>
      </c>
      <c r="U130" s="5"/>
    </row>
    <row r="131" spans="1:21" ht="16" thickBot="1" x14ac:dyDescent="0.25">
      <c r="A131" s="9" t="s">
        <v>132</v>
      </c>
      <c r="B131" s="34" t="str" cm="1">
        <f t="array" ref="B131:C131">_xlfn.XLOOKUP(A131,'Player List'!$A$2:$A$177,'Player List'!$B$2:$C$177)</f>
        <v>Ireland</v>
      </c>
      <c r="C131" s="34" t="str">
        <v>Fly Half</v>
      </c>
      <c r="D131" s="34" t="str">
        <f t="shared" si="1"/>
        <v>Win</v>
      </c>
      <c r="E131" s="2">
        <v>10</v>
      </c>
      <c r="F131" s="2">
        <v>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>
        <v>3</v>
      </c>
      <c r="U131" s="2"/>
    </row>
    <row r="132" spans="1:21" ht="16" thickBot="1" x14ac:dyDescent="0.25">
      <c r="A132" s="10" t="s">
        <v>133</v>
      </c>
      <c r="B132" s="34" t="str" cm="1">
        <f t="array" ref="B132:C132">_xlfn.XLOOKUP(A132,'Player List'!$A$2:$A$177,'Player List'!$B$2:$C$177)</f>
        <v>Ireland</v>
      </c>
      <c r="C132" s="34" t="str">
        <v>Fly Half</v>
      </c>
      <c r="D132" s="34" t="str">
        <f t="shared" si="1"/>
        <v>Win</v>
      </c>
      <c r="E132" s="5">
        <v>70</v>
      </c>
      <c r="F132" s="5">
        <v>9</v>
      </c>
      <c r="G132" s="5"/>
      <c r="H132" s="5"/>
      <c r="I132" s="5">
        <v>32</v>
      </c>
      <c r="J132" s="5"/>
      <c r="K132" s="5"/>
      <c r="L132" s="5"/>
      <c r="M132" s="5"/>
      <c r="N132" s="5"/>
      <c r="O132" s="5">
        <v>2</v>
      </c>
      <c r="P132" s="5">
        <v>1</v>
      </c>
      <c r="Q132" s="5"/>
      <c r="R132" s="5"/>
      <c r="S132" s="5"/>
      <c r="T132" s="6">
        <v>31.4</v>
      </c>
      <c r="U132" s="5"/>
    </row>
    <row r="133" spans="1:21" ht="16" thickBot="1" x14ac:dyDescent="0.25">
      <c r="A133" s="11" t="s">
        <v>182</v>
      </c>
      <c r="B133" s="34" t="str" cm="1">
        <f t="array" ref="B133:C133">_xlfn.XLOOKUP(A133,'Player List'!$A$2:$A$177,'Player List'!$B$2:$C$177)</f>
        <v>Ireland</v>
      </c>
      <c r="C133" s="34" t="str">
        <v>Scrum Half</v>
      </c>
      <c r="D133" s="34" t="str">
        <f t="shared" si="1"/>
        <v>Win</v>
      </c>
      <c r="E133" s="2">
        <v>27</v>
      </c>
      <c r="F133" s="2">
        <v>2</v>
      </c>
      <c r="G133" s="2"/>
      <c r="H133" s="2">
        <v>1</v>
      </c>
      <c r="I133" s="2">
        <v>34</v>
      </c>
      <c r="J133" s="2"/>
      <c r="K133" s="2"/>
      <c r="L133" s="2"/>
      <c r="M133" s="2"/>
      <c r="N133" s="2">
        <v>1</v>
      </c>
      <c r="O133" s="2"/>
      <c r="P133" s="2"/>
      <c r="Q133" s="2"/>
      <c r="R133" s="2"/>
      <c r="S133" s="2"/>
      <c r="T133" s="3">
        <v>25.5</v>
      </c>
      <c r="U133" s="2"/>
    </row>
    <row r="134" spans="1:21" ht="16" thickBot="1" x14ac:dyDescent="0.25">
      <c r="A134" s="12" t="s">
        <v>135</v>
      </c>
      <c r="B134" s="34" t="str" cm="1">
        <f t="array" ref="B134:C134">_xlfn.XLOOKUP(A134,'Player List'!$A$2:$A$177,'Player List'!$B$2:$C$177)</f>
        <v>Ireland</v>
      </c>
      <c r="C134" s="34" t="str">
        <v>Scrum Half</v>
      </c>
      <c r="D134" s="34" t="str">
        <f t="shared" si="1"/>
        <v>Win</v>
      </c>
      <c r="E134" s="5">
        <v>53</v>
      </c>
      <c r="F134" s="5">
        <v>9</v>
      </c>
      <c r="G134" s="5"/>
      <c r="H134" s="5"/>
      <c r="I134" s="5">
        <v>5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>
        <v>15.3</v>
      </c>
      <c r="U134" s="5"/>
    </row>
    <row r="135" spans="1:21" ht="16" thickBot="1" x14ac:dyDescent="0.25">
      <c r="A135" s="13" t="s">
        <v>136</v>
      </c>
      <c r="B135" s="34" t="str" cm="1">
        <f t="array" ref="B135:C135">_xlfn.XLOOKUP(A135,'Player List'!$A$2:$A$177,'Player List'!$B$2:$C$177)</f>
        <v>Ireland</v>
      </c>
      <c r="C135" s="34" t="str">
        <v>Back Row</v>
      </c>
      <c r="D135" s="34" t="str">
        <f t="shared" si="1"/>
        <v>Win</v>
      </c>
      <c r="E135" s="2">
        <v>68</v>
      </c>
      <c r="F135" s="2">
        <v>10</v>
      </c>
      <c r="G135" s="2"/>
      <c r="H135" s="2"/>
      <c r="I135" s="2">
        <v>106</v>
      </c>
      <c r="J135" s="2"/>
      <c r="K135" s="2"/>
      <c r="L135" s="2"/>
      <c r="M135" s="2">
        <v>1</v>
      </c>
      <c r="N135" s="2"/>
      <c r="O135" s="2"/>
      <c r="P135" s="2"/>
      <c r="Q135" s="2"/>
      <c r="R135" s="2"/>
      <c r="S135" s="2"/>
      <c r="T135" s="3">
        <v>53</v>
      </c>
      <c r="U135" s="2"/>
    </row>
    <row r="136" spans="1:21" ht="16" thickBot="1" x14ac:dyDescent="0.25">
      <c r="A136" s="14" t="s">
        <v>137</v>
      </c>
      <c r="B136" s="34" t="str" cm="1">
        <f t="array" ref="B136:C136">_xlfn.XLOOKUP(A136,'Player List'!$A$2:$A$177,'Player List'!$B$2:$C$177)</f>
        <v>Ireland</v>
      </c>
      <c r="C136" s="34" t="str">
        <v>Back Row</v>
      </c>
      <c r="D136" s="34" t="str">
        <f t="shared" si="1"/>
        <v>Win</v>
      </c>
      <c r="E136" s="5">
        <v>12</v>
      </c>
      <c r="F136" s="5">
        <v>4</v>
      </c>
      <c r="G136" s="5"/>
      <c r="H136" s="5"/>
      <c r="I136" s="5">
        <v>23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>
        <v>9.8000000000000007</v>
      </c>
      <c r="U136" s="5"/>
    </row>
    <row r="137" spans="1:21" ht="16" thickBot="1" x14ac:dyDescent="0.25">
      <c r="A137" s="13" t="s">
        <v>138</v>
      </c>
      <c r="B137" s="34" t="str" cm="1">
        <f t="array" ref="B137:C137">_xlfn.XLOOKUP(A137,'Player List'!$A$2:$A$177,'Player List'!$B$2:$C$177)</f>
        <v>Ireland</v>
      </c>
      <c r="C137" s="34" t="str">
        <v>Back Row</v>
      </c>
      <c r="D137" s="34" t="str">
        <f t="shared" si="1"/>
        <v>Win</v>
      </c>
      <c r="E137" s="2">
        <v>80</v>
      </c>
      <c r="F137" s="2">
        <v>12</v>
      </c>
      <c r="G137" s="2"/>
      <c r="H137" s="2"/>
      <c r="I137" s="2">
        <v>31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>
        <v>26.2</v>
      </c>
      <c r="U137" s="2"/>
    </row>
    <row r="138" spans="1:21" ht="16" thickBot="1" x14ac:dyDescent="0.25">
      <c r="A138" s="14" t="s">
        <v>139</v>
      </c>
      <c r="B138" s="34" t="str" cm="1">
        <f t="array" ref="B138:C138">_xlfn.XLOOKUP(A138,'Player List'!$A$2:$A$177,'Player List'!$B$2:$C$177)</f>
        <v>Ireland</v>
      </c>
      <c r="C138" s="34" t="str">
        <v>Back Row</v>
      </c>
      <c r="D138" s="34" t="str">
        <f t="shared" si="1"/>
        <v>Win</v>
      </c>
      <c r="E138" s="5">
        <v>80</v>
      </c>
      <c r="F138" s="5">
        <v>15</v>
      </c>
      <c r="G138" s="5">
        <v>2</v>
      </c>
      <c r="H138" s="5"/>
      <c r="I138" s="5">
        <v>26</v>
      </c>
      <c r="J138" s="5"/>
      <c r="K138" s="5"/>
      <c r="L138" s="5">
        <v>1</v>
      </c>
      <c r="M138" s="5"/>
      <c r="N138" s="5"/>
      <c r="O138" s="5"/>
      <c r="P138" s="5"/>
      <c r="Q138" s="5"/>
      <c r="R138" s="5"/>
      <c r="S138" s="5"/>
      <c r="T138" s="6">
        <v>49.2</v>
      </c>
      <c r="U138" s="5"/>
    </row>
    <row r="139" spans="1:21" ht="16" thickBot="1" x14ac:dyDescent="0.25">
      <c r="A139" s="15" t="s">
        <v>151</v>
      </c>
      <c r="B139" s="34" t="str" cm="1">
        <f t="array" ref="B139:C139">_xlfn.XLOOKUP(A139,'Player List'!$A$2:$A$177,'Player List'!$B$2:$C$177)</f>
        <v>Ireland</v>
      </c>
      <c r="C139" s="34" t="str">
        <v>Second Row</v>
      </c>
      <c r="D139" s="34" t="str">
        <f t="shared" ref="D139:D147" si="2">_xlfn.XLOOKUP(B139,$B$2:$B$7,$C$2:$C$7)</f>
        <v>Win</v>
      </c>
      <c r="E139" s="2">
        <v>56</v>
      </c>
      <c r="F139" s="2">
        <v>4</v>
      </c>
      <c r="G139" s="2"/>
      <c r="H139" s="2"/>
      <c r="I139" s="2">
        <v>21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>
        <v>13.8</v>
      </c>
      <c r="U139" s="2"/>
    </row>
    <row r="140" spans="1:21" ht="16" thickBot="1" x14ac:dyDescent="0.25">
      <c r="A140" s="16" t="s">
        <v>141</v>
      </c>
      <c r="B140" s="34" t="str" cm="1">
        <f t="array" ref="B140:C140">_xlfn.XLOOKUP(A140,'Player List'!$A$2:$A$177,'Player List'!$B$2:$C$177)</f>
        <v>Ireland</v>
      </c>
      <c r="C140" s="34" t="str">
        <v>Second Row</v>
      </c>
      <c r="D140" s="34" t="str">
        <f t="shared" si="2"/>
        <v>Win</v>
      </c>
      <c r="E140" s="5">
        <v>24</v>
      </c>
      <c r="F140" s="5">
        <v>7</v>
      </c>
      <c r="G140" s="5"/>
      <c r="H140" s="5"/>
      <c r="I140" s="5">
        <v>9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>
        <v>11.2</v>
      </c>
      <c r="U140" s="5"/>
    </row>
    <row r="141" spans="1:21" ht="16" thickBot="1" x14ac:dyDescent="0.25">
      <c r="A141" s="15" t="s">
        <v>142</v>
      </c>
      <c r="B141" s="34" t="str" cm="1">
        <f t="array" ref="B141:C141">_xlfn.XLOOKUP(A141,'Player List'!$A$2:$A$177,'Player List'!$B$2:$C$177)</f>
        <v>Ireland</v>
      </c>
      <c r="C141" s="34" t="str">
        <v>Second Row</v>
      </c>
      <c r="D141" s="34" t="str">
        <f t="shared" si="2"/>
        <v>Win</v>
      </c>
      <c r="E141" s="2">
        <v>80</v>
      </c>
      <c r="F141" s="2">
        <v>9</v>
      </c>
      <c r="G141" s="2">
        <v>2</v>
      </c>
      <c r="H141" s="2"/>
      <c r="I141" s="2">
        <v>90</v>
      </c>
      <c r="J141" s="2"/>
      <c r="K141" s="2">
        <v>3</v>
      </c>
      <c r="L141" s="2"/>
      <c r="M141" s="2"/>
      <c r="N141" s="2"/>
      <c r="O141" s="2"/>
      <c r="P141" s="2"/>
      <c r="Q141" s="2"/>
      <c r="R141" s="2"/>
      <c r="S141" s="2"/>
      <c r="T141" s="3">
        <v>70</v>
      </c>
      <c r="U141" s="2"/>
    </row>
    <row r="142" spans="1:21" ht="16" thickBot="1" x14ac:dyDescent="0.25">
      <c r="A142" s="17" t="s">
        <v>183</v>
      </c>
      <c r="B142" s="34" t="str" cm="1">
        <f t="array" ref="B142:C142">_xlfn.XLOOKUP(A142,'Player List'!$A$2:$A$177,'Player List'!$B$2:$C$177)</f>
        <v>Ireland</v>
      </c>
      <c r="C142" s="34" t="str">
        <v>Prop</v>
      </c>
      <c r="D142" s="34" t="str">
        <f t="shared" si="2"/>
        <v>Win</v>
      </c>
      <c r="E142" s="5">
        <v>65</v>
      </c>
      <c r="F142" s="5">
        <v>11</v>
      </c>
      <c r="G142" s="5"/>
      <c r="H142" s="5"/>
      <c r="I142" s="5">
        <v>41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>
        <v>25.7</v>
      </c>
      <c r="U142" s="5"/>
    </row>
    <row r="143" spans="1:21" ht="16" thickBot="1" x14ac:dyDescent="0.25">
      <c r="A143" s="18" t="s">
        <v>184</v>
      </c>
      <c r="B143" s="34" t="str" cm="1">
        <f t="array" ref="B143:C143">_xlfn.XLOOKUP(A143,'Player List'!$A$2:$A$177,'Player List'!$B$2:$C$177)</f>
        <v>Ireland</v>
      </c>
      <c r="C143" s="34" t="str">
        <v>Prop</v>
      </c>
      <c r="D143" s="34" t="str">
        <f t="shared" si="2"/>
        <v>Win</v>
      </c>
      <c r="E143" s="2">
        <v>32</v>
      </c>
      <c r="F143" s="2">
        <v>1</v>
      </c>
      <c r="G143" s="2"/>
      <c r="H143" s="2"/>
      <c r="I143" s="2">
        <v>15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>
        <v>7.2</v>
      </c>
      <c r="U143" s="2"/>
    </row>
    <row r="144" spans="1:21" ht="16" thickBot="1" x14ac:dyDescent="0.25">
      <c r="A144" s="17" t="s">
        <v>145</v>
      </c>
      <c r="B144" s="34" t="str" cm="1">
        <f t="array" ref="B144:C144">_xlfn.XLOOKUP(A144,'Player List'!$A$2:$A$177,'Player List'!$B$2:$C$177)</f>
        <v>Ireland</v>
      </c>
      <c r="C144" s="34" t="str">
        <v>Prop</v>
      </c>
      <c r="D144" s="34" t="str">
        <f t="shared" si="2"/>
        <v>Win</v>
      </c>
      <c r="E144" s="5">
        <v>15</v>
      </c>
      <c r="F144" s="5">
        <v>1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>
        <v>2.5</v>
      </c>
      <c r="U144" s="5"/>
    </row>
    <row r="145" spans="1:21" ht="16" thickBot="1" x14ac:dyDescent="0.25">
      <c r="A145" s="18" t="s">
        <v>146</v>
      </c>
      <c r="B145" s="34" t="str" cm="1">
        <f t="array" ref="B145:C145">_xlfn.XLOOKUP(A145,'Player List'!$A$2:$A$177,'Player List'!$B$2:$C$177)</f>
        <v>Ireland</v>
      </c>
      <c r="C145" s="34" t="str">
        <v>Prop</v>
      </c>
      <c r="D145" s="34" t="str">
        <f t="shared" si="2"/>
        <v>Win</v>
      </c>
      <c r="E145" s="2">
        <v>80</v>
      </c>
      <c r="F145" s="2">
        <v>10</v>
      </c>
      <c r="G145" s="2"/>
      <c r="H145" s="2"/>
      <c r="I145" s="2">
        <v>24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>
        <v>22.8</v>
      </c>
      <c r="U145" s="2"/>
    </row>
    <row r="146" spans="1:21" ht="16" thickBot="1" x14ac:dyDescent="0.25">
      <c r="A146" s="19" t="s">
        <v>148</v>
      </c>
      <c r="B146" s="34" t="str" cm="1">
        <f t="array" ref="B146:C146">_xlfn.XLOOKUP(A146,'Player List'!$A$2:$A$177,'Player List'!$B$2:$C$177)</f>
        <v>Ireland</v>
      </c>
      <c r="C146" s="34" t="str">
        <v>Hooker</v>
      </c>
      <c r="D146" s="34" t="str">
        <f t="shared" si="2"/>
        <v>Win</v>
      </c>
      <c r="E146" s="5">
        <v>30</v>
      </c>
      <c r="F146" s="5">
        <v>2</v>
      </c>
      <c r="G146" s="5"/>
      <c r="H146" s="5"/>
      <c r="I146" s="5">
        <v>23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>
        <v>9.6</v>
      </c>
      <c r="U146" s="5"/>
    </row>
    <row r="147" spans="1:21" ht="16" thickBot="1" x14ac:dyDescent="0.25">
      <c r="A147" s="20" t="s">
        <v>152</v>
      </c>
      <c r="B147" s="34" t="str" cm="1">
        <f t="array" ref="B147:C147">_xlfn.XLOOKUP(A147,'Player List'!$A$2:$A$177,'Player List'!$B$2:$C$177)</f>
        <v>Ireland</v>
      </c>
      <c r="C147" s="34" t="str">
        <v>Hooker</v>
      </c>
      <c r="D147" s="34" t="str">
        <f t="shared" si="2"/>
        <v>Win</v>
      </c>
      <c r="E147" s="2">
        <v>18</v>
      </c>
      <c r="F147" s="2">
        <v>4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>
        <v>5.8</v>
      </c>
      <c r="U147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0794-E015-4227-9828-2EF72CE06B45}">
  <sheetPr>
    <tabColor theme="5" tint="0.79998168889431442"/>
  </sheetPr>
  <dimension ref="A1:U179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2.83203125" customWidth="1"/>
    <col min="3" max="3" width="11.1640625" customWidth="1"/>
    <col min="4" max="4" width="13.1640625" customWidth="1"/>
    <col min="5" max="6" width="14.1640625" customWidth="1"/>
  </cols>
  <sheetData>
    <row r="1" spans="1:21" ht="16" thickBot="1" x14ac:dyDescent="0.25"/>
    <row r="2" spans="1:21" ht="16" thickBot="1" x14ac:dyDescent="0.25">
      <c r="E2" s="95" t="s">
        <v>219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1:21" ht="31" thickBot="1" x14ac:dyDescent="0.25">
      <c r="A3" s="39" t="s">
        <v>0</v>
      </c>
      <c r="B3" s="40" t="s">
        <v>203</v>
      </c>
      <c r="C3" s="40" t="s">
        <v>202</v>
      </c>
      <c r="D3" s="59" t="s">
        <v>217</v>
      </c>
      <c r="E3" s="58" t="s">
        <v>205</v>
      </c>
      <c r="F3" s="41" t="s">
        <v>207</v>
      </c>
      <c r="G3" s="41" t="s">
        <v>1</v>
      </c>
      <c r="H3" s="41" t="s">
        <v>2</v>
      </c>
      <c r="I3" s="41" t="s">
        <v>208</v>
      </c>
      <c r="J3" s="41" t="s">
        <v>3</v>
      </c>
      <c r="K3" s="41" t="s">
        <v>4</v>
      </c>
      <c r="L3" s="41" t="s">
        <v>5</v>
      </c>
      <c r="M3" s="41" t="s">
        <v>6</v>
      </c>
      <c r="N3" s="41" t="s">
        <v>209</v>
      </c>
      <c r="O3" s="41" t="s">
        <v>7</v>
      </c>
      <c r="P3" s="41" t="s">
        <v>8</v>
      </c>
      <c r="Q3" s="41" t="s">
        <v>9</v>
      </c>
      <c r="R3" s="41" t="s">
        <v>10</v>
      </c>
      <c r="S3" s="41" t="s">
        <v>11</v>
      </c>
      <c r="T3" s="60" t="s">
        <v>218</v>
      </c>
      <c r="U3" s="35"/>
    </row>
    <row r="4" spans="1:21" ht="16" thickBot="1" x14ac:dyDescent="0.25">
      <c r="A4" s="69" t="s">
        <v>57</v>
      </c>
      <c r="B4" t="s">
        <v>188</v>
      </c>
      <c r="C4" t="s">
        <v>194</v>
      </c>
      <c r="D4" t="e">
        <f>IF(_xlfn.XLOOKUP('Summary Data'!A4,'Round 1 Data'!$A$10:$A$143,'Round 1 Data'!$E$10:$E$144,0)=0,0,1)+IF(_xlfn.XLOOKUP('Summary Data'!A4,'Round 2 Data'!$A$10:$A$146,'Round 2 Data'!$E$10:$E$146,0)=0,0,1)+IF(_xlfn.XLOOKUP('Summary Data'!A4,'Round 3 Data'!$A$10:$A$145,'Round 3 Data'!$E$10:$E$145,0)=0,0,1)+IF(_xlfn.XLOOKUP('Summary Data'!A4,'Round 4 Data'!$A$10:$A$147,'Round 4 Data'!$E$10:$E$147,0)=0,0,1)</f>
        <v>#VALUE!</v>
      </c>
      <c r="E4" s="57" t="e">
        <f>(_xlfn.XLOOKUP('Summary Data'!$A4,'Round 1 Data'!$A$10:$A$143,'Round 1 Data'!E$10:E$144,0)+_xlfn.XLOOKUP('Summary Data'!$A4,'Round 2 Data'!$A$10:$A$146,'Round 2 Data'!E$10:E$146,0)+_xlfn.XLOOKUP('Summary Data'!$A4,'Round 3 Data'!$A$10:$A$145,'Round 3 Data'!E$10:E$145,0)+_xlfn.XLOOKUP('Summary Data'!$A4,'Round 4 Data'!$A$10:$A$147,'Round 4 Data'!E$10:E$147,0))/$D4</f>
        <v>#VALUE!</v>
      </c>
      <c r="F4" s="57" t="e">
        <f>(_xlfn.XLOOKUP('Summary Data'!$A4,'Round 1 Data'!$A$10:$A$143,'Round 1 Data'!F$10:F$144,0)+_xlfn.XLOOKUP('Summary Data'!$A4,'Round 2 Data'!$A$10:$A$146,'Round 2 Data'!F$10:F$146,0)+_xlfn.XLOOKUP('Summary Data'!$A4,'Round 3 Data'!$A$10:$A$145,'Round 3 Data'!F$10:F$145,0)+_xlfn.XLOOKUP('Summary Data'!$A4,'Round 4 Data'!$A$10:$A$147,'Round 4 Data'!F$10:F$147,0))/$D4</f>
        <v>#VALUE!</v>
      </c>
      <c r="G4" s="57" t="e">
        <f>(_xlfn.XLOOKUP('Summary Data'!$A4,'Round 1 Data'!$A$10:$A$143,'Round 1 Data'!G$10:G$144,0)+_xlfn.XLOOKUP('Summary Data'!$A4,'Round 2 Data'!$A$10:$A$146,'Round 2 Data'!G$10:G$146,0)+_xlfn.XLOOKUP('Summary Data'!$A4,'Round 3 Data'!$A$10:$A$145,'Round 3 Data'!G$10:G$145,0)+_xlfn.XLOOKUP('Summary Data'!$A4,'Round 4 Data'!$A$10:$A$147,'Round 4 Data'!G$10:G$147,0))/$D4</f>
        <v>#VALUE!</v>
      </c>
      <c r="H4" s="57" t="e">
        <f>(_xlfn.XLOOKUP('Summary Data'!$A4,'Round 1 Data'!$A$10:$A$143,'Round 1 Data'!H$10:H$144,0)+_xlfn.XLOOKUP('Summary Data'!$A4,'Round 2 Data'!$A$10:$A$146,'Round 2 Data'!H$10:H$146,0)+_xlfn.XLOOKUP('Summary Data'!$A4,'Round 3 Data'!$A$10:$A$145,'Round 3 Data'!H$10:H$145,0)+_xlfn.XLOOKUP('Summary Data'!$A4,'Round 4 Data'!$A$10:$A$147,'Round 4 Data'!H$10:H$147,0))/$D4</f>
        <v>#VALUE!</v>
      </c>
      <c r="I4" s="57" t="e">
        <f>(_xlfn.XLOOKUP('Summary Data'!$A4,'Round 1 Data'!$A$10:$A$143,'Round 1 Data'!I$10:I$144,0)+_xlfn.XLOOKUP('Summary Data'!$A4,'Round 2 Data'!$A$10:$A$146,'Round 2 Data'!I$10:I$146,0)+_xlfn.XLOOKUP('Summary Data'!$A4,'Round 3 Data'!$A$10:$A$145,'Round 3 Data'!I$10:I$145,0)+_xlfn.XLOOKUP('Summary Data'!$A4,'Round 4 Data'!$A$10:$A$147,'Round 4 Data'!I$10:I$147,0))/$D4</f>
        <v>#VALUE!</v>
      </c>
      <c r="J4" s="57" t="e">
        <f>(_xlfn.XLOOKUP('Summary Data'!$A4,'Round 1 Data'!$A$10:$A$143,'Round 1 Data'!J$10:J$144,0)+_xlfn.XLOOKUP('Summary Data'!$A4,'Round 2 Data'!$A$10:$A$146,'Round 2 Data'!J$10:J$146,0)+_xlfn.XLOOKUP('Summary Data'!$A4,'Round 3 Data'!$A$10:$A$145,'Round 3 Data'!J$10:J$145,0)+_xlfn.XLOOKUP('Summary Data'!$A4,'Round 4 Data'!$A$10:$A$147,'Round 4 Data'!J$10:J$147,0))/$D4</f>
        <v>#VALUE!</v>
      </c>
      <c r="K4" s="57" t="e">
        <f>(_xlfn.XLOOKUP('Summary Data'!$A4,'Round 1 Data'!$A$10:$A$143,'Round 1 Data'!K$10:K$144,0)+_xlfn.XLOOKUP('Summary Data'!$A4,'Round 2 Data'!$A$10:$A$146,'Round 2 Data'!K$10:K$146,0)+_xlfn.XLOOKUP('Summary Data'!$A4,'Round 3 Data'!$A$10:$A$145,'Round 3 Data'!K$10:K$145,0)+_xlfn.XLOOKUP('Summary Data'!$A4,'Round 4 Data'!$A$10:$A$147,'Round 4 Data'!K$10:K$147,0))/$D4</f>
        <v>#VALUE!</v>
      </c>
      <c r="L4" s="57" t="e">
        <f>(_xlfn.XLOOKUP('Summary Data'!$A4,'Round 1 Data'!$A$10:$A$143,'Round 1 Data'!L$10:L$144,0)+_xlfn.XLOOKUP('Summary Data'!$A4,'Round 2 Data'!$A$10:$A$146,'Round 2 Data'!L$10:L$146,0)+_xlfn.XLOOKUP('Summary Data'!$A4,'Round 3 Data'!$A$10:$A$145,'Round 3 Data'!L$10:L$145,0)+_xlfn.XLOOKUP('Summary Data'!$A4,'Round 4 Data'!$A$10:$A$147,'Round 4 Data'!L$10:L$147,0))/$D4</f>
        <v>#VALUE!</v>
      </c>
      <c r="M4" s="57" t="e">
        <f>(_xlfn.XLOOKUP('Summary Data'!$A4,'Round 1 Data'!$A$10:$A$143,'Round 1 Data'!M$10:M$144,0)+_xlfn.XLOOKUP('Summary Data'!$A4,'Round 2 Data'!$A$10:$A$146,'Round 2 Data'!M$10:M$146,0)+_xlfn.XLOOKUP('Summary Data'!$A4,'Round 3 Data'!$A$10:$A$145,'Round 3 Data'!M$10:M$145,0)+_xlfn.XLOOKUP('Summary Data'!$A4,'Round 4 Data'!$A$10:$A$147,'Round 4 Data'!M$10:M$147,0))/$D4</f>
        <v>#VALUE!</v>
      </c>
      <c r="N4" s="57" t="e">
        <f>(_xlfn.XLOOKUP('Summary Data'!$A4,'Round 1 Data'!$A$10:$A$143,'Round 1 Data'!N$10:N$144,0)+_xlfn.XLOOKUP('Summary Data'!$A4,'Round 2 Data'!$A$10:$A$146,'Round 2 Data'!N$10:N$146,0)+_xlfn.XLOOKUP('Summary Data'!$A4,'Round 3 Data'!$A$10:$A$145,'Round 3 Data'!N$10:N$145,0)+_xlfn.XLOOKUP('Summary Data'!$A4,'Round 4 Data'!$A$10:$A$147,'Round 4 Data'!N$10:N$147,0))/$D4</f>
        <v>#VALUE!</v>
      </c>
      <c r="O4" s="57" t="e">
        <f>(_xlfn.XLOOKUP('Summary Data'!$A4,'Round 1 Data'!$A$10:$A$143,'Round 1 Data'!O$10:O$144,0)+_xlfn.XLOOKUP('Summary Data'!$A4,'Round 2 Data'!$A$10:$A$146,'Round 2 Data'!O$10:O$146,0)+_xlfn.XLOOKUP('Summary Data'!$A4,'Round 3 Data'!$A$10:$A$145,'Round 3 Data'!O$10:O$145,0)+_xlfn.XLOOKUP('Summary Data'!$A4,'Round 4 Data'!$A$10:$A$147,'Round 4 Data'!O$10:O$147,0))/$D4</f>
        <v>#VALUE!</v>
      </c>
      <c r="P4" s="57" t="e">
        <f>(_xlfn.XLOOKUP('Summary Data'!$A4,'Round 1 Data'!$A$10:$A$143,'Round 1 Data'!P$10:P$144,0)+_xlfn.XLOOKUP('Summary Data'!$A4,'Round 2 Data'!$A$10:$A$146,'Round 2 Data'!P$10:P$146,0)+_xlfn.XLOOKUP('Summary Data'!$A4,'Round 3 Data'!$A$10:$A$145,'Round 3 Data'!P$10:P$145,0)+_xlfn.XLOOKUP('Summary Data'!$A4,'Round 4 Data'!$A$10:$A$147,'Round 4 Data'!P$10:P$147,0))/$D4</f>
        <v>#VALUE!</v>
      </c>
      <c r="Q4" s="57" t="e">
        <f>(_xlfn.XLOOKUP('Summary Data'!$A4,'Round 1 Data'!$A$10:$A$143,'Round 1 Data'!Q$10:Q$144,0)+_xlfn.XLOOKUP('Summary Data'!$A4,'Round 2 Data'!$A$10:$A$146,'Round 2 Data'!Q$10:Q$146,0)+_xlfn.XLOOKUP('Summary Data'!$A4,'Round 3 Data'!$A$10:$A$145,'Round 3 Data'!Q$10:Q$145,0)+_xlfn.XLOOKUP('Summary Data'!$A4,'Round 4 Data'!$A$10:$A$147,'Round 4 Data'!Q$10:Q$147,0))/$D4</f>
        <v>#VALUE!</v>
      </c>
      <c r="R4" s="57" t="e">
        <f>(_xlfn.XLOOKUP('Summary Data'!$A4,'Round 1 Data'!$A$10:$A$143,'Round 1 Data'!R$10:R$144,0)+_xlfn.XLOOKUP('Summary Data'!$A4,'Round 2 Data'!$A$10:$A$146,'Round 2 Data'!R$10:R$146,0)+_xlfn.XLOOKUP('Summary Data'!$A4,'Round 3 Data'!$A$10:$A$145,'Round 3 Data'!R$10:R$145,0)+_xlfn.XLOOKUP('Summary Data'!$A4,'Round 4 Data'!$A$10:$A$147,'Round 4 Data'!R$10:R$147,0))/$D4</f>
        <v>#VALUE!</v>
      </c>
      <c r="S4" s="57" t="e">
        <f>(_xlfn.XLOOKUP('Summary Data'!$A4,'Round 1 Data'!$A$10:$A$143,'Round 1 Data'!S$10:S$144,0)+_xlfn.XLOOKUP('Summary Data'!$A4,'Round 2 Data'!$A$10:$A$146,'Round 2 Data'!S$10:S$146,0)+_xlfn.XLOOKUP('Summary Data'!$A4,'Round 3 Data'!$A$10:$A$145,'Round 3 Data'!S$10:S$145,0)+_xlfn.XLOOKUP('Summary Data'!$A4,'Round 4 Data'!$A$10:$A$147,'Round 4 Data'!S$10:S$147,0))/$D4</f>
        <v>#VALUE!</v>
      </c>
      <c r="T4" s="62" t="e">
        <f>(_xlfn.XLOOKUP('Summary Data'!$A4,'Round 1 Data'!$A$10:$A$143,'Round 1 Data'!U$10:U$144,0)+_xlfn.XLOOKUP('Summary Data'!$A4,'Round 2 Data'!$A$10:$A$146,'Round 2 Data'!U$10:U$146,0)+_xlfn.XLOOKUP('Summary Data'!$A4,'Round 3 Data'!$A$10:$A$145,'Round 3 Data'!U$10:U$145,0)+_xlfn.XLOOKUP('Summary Data'!$A4,'Round 4 Data'!$A$10:$A$147,'Round 4 Data'!U$10:U$147,0))</f>
        <v>#VALUE!</v>
      </c>
    </row>
    <row r="5" spans="1:21" ht="16" thickBot="1" x14ac:dyDescent="0.25">
      <c r="A5" s="63" t="s">
        <v>58</v>
      </c>
      <c r="B5" t="s">
        <v>188</v>
      </c>
      <c r="C5" t="s">
        <v>194</v>
      </c>
      <c r="D5" t="e">
        <f>IF(_xlfn.XLOOKUP('Summary Data'!A5,'Round 1 Data'!$A$10:$A$143,'Round 1 Data'!$E$10:$E$144,0)=0,0,1)+IF(_xlfn.XLOOKUP('Summary Data'!A5,'Round 2 Data'!$A$10:$A$146,'Round 2 Data'!$E$10:$E$146,0)=0,0,1)+IF(_xlfn.XLOOKUP('Summary Data'!A5,'Round 3 Data'!$A$10:$A$145,'Round 3 Data'!$E$10:$E$145,0)=0,0,1)+IF(_xlfn.XLOOKUP('Summary Data'!A5,'Round 4 Data'!$A$10:$A$147,'Round 4 Data'!$E$10:$E$147,0)=0,0,1)</f>
        <v>#VALUE!</v>
      </c>
      <c r="E5" s="57" t="e">
        <f>(_xlfn.XLOOKUP('Summary Data'!$A5,'Round 1 Data'!$A$10:$A$143,'Round 1 Data'!E$10:E$144,0)+_xlfn.XLOOKUP('Summary Data'!$A5,'Round 2 Data'!$A$10:$A$146,'Round 2 Data'!E$10:E$146,0)+_xlfn.XLOOKUP('Summary Data'!$A5,'Round 3 Data'!$A$10:$A$145,'Round 3 Data'!E$10:E$145,0)+_xlfn.XLOOKUP('Summary Data'!$A5,'Round 4 Data'!$A$10:$A$147,'Round 4 Data'!E$10:E$147,0))/$D5</f>
        <v>#VALUE!</v>
      </c>
      <c r="F5" s="57" t="e">
        <f>(_xlfn.XLOOKUP('Summary Data'!$A5,'Round 1 Data'!$A$10:$A$143,'Round 1 Data'!F$10:F$144,0)+_xlfn.XLOOKUP('Summary Data'!$A5,'Round 2 Data'!$A$10:$A$146,'Round 2 Data'!F$10:F$146,0)+_xlfn.XLOOKUP('Summary Data'!$A5,'Round 3 Data'!$A$10:$A$145,'Round 3 Data'!F$10:F$145,0)+_xlfn.XLOOKUP('Summary Data'!$A5,'Round 4 Data'!$A$10:$A$147,'Round 4 Data'!F$10:F$147,0))/$D5</f>
        <v>#VALUE!</v>
      </c>
      <c r="G5" s="57" t="e">
        <f>(_xlfn.XLOOKUP('Summary Data'!$A5,'Round 1 Data'!$A$10:$A$143,'Round 1 Data'!G$10:G$144,0)+_xlfn.XLOOKUP('Summary Data'!$A5,'Round 2 Data'!$A$10:$A$146,'Round 2 Data'!G$10:G$146,0)+_xlfn.XLOOKUP('Summary Data'!$A5,'Round 3 Data'!$A$10:$A$145,'Round 3 Data'!G$10:G$145,0)+_xlfn.XLOOKUP('Summary Data'!$A5,'Round 4 Data'!$A$10:$A$147,'Round 4 Data'!G$10:G$147,0))/$D5</f>
        <v>#VALUE!</v>
      </c>
      <c r="H5" s="57" t="e">
        <f>(_xlfn.XLOOKUP('Summary Data'!$A5,'Round 1 Data'!$A$10:$A$143,'Round 1 Data'!H$10:H$144,0)+_xlfn.XLOOKUP('Summary Data'!$A5,'Round 2 Data'!$A$10:$A$146,'Round 2 Data'!H$10:H$146,0)+_xlfn.XLOOKUP('Summary Data'!$A5,'Round 3 Data'!$A$10:$A$145,'Round 3 Data'!H$10:H$145,0)+_xlfn.XLOOKUP('Summary Data'!$A5,'Round 4 Data'!$A$10:$A$147,'Round 4 Data'!H$10:H$147,0))/$D5</f>
        <v>#VALUE!</v>
      </c>
      <c r="I5" s="57" t="e">
        <f>(_xlfn.XLOOKUP('Summary Data'!$A5,'Round 1 Data'!$A$10:$A$143,'Round 1 Data'!I$10:I$144,0)+_xlfn.XLOOKUP('Summary Data'!$A5,'Round 2 Data'!$A$10:$A$146,'Round 2 Data'!I$10:I$146,0)+_xlfn.XLOOKUP('Summary Data'!$A5,'Round 3 Data'!$A$10:$A$145,'Round 3 Data'!I$10:I$145,0)+_xlfn.XLOOKUP('Summary Data'!$A5,'Round 4 Data'!$A$10:$A$147,'Round 4 Data'!I$10:I$147,0))/$D5</f>
        <v>#VALUE!</v>
      </c>
      <c r="J5" s="57" t="e">
        <f>(_xlfn.XLOOKUP('Summary Data'!$A5,'Round 1 Data'!$A$10:$A$143,'Round 1 Data'!J$10:J$144,0)+_xlfn.XLOOKUP('Summary Data'!$A5,'Round 2 Data'!$A$10:$A$146,'Round 2 Data'!J$10:J$146,0)+_xlfn.XLOOKUP('Summary Data'!$A5,'Round 3 Data'!$A$10:$A$145,'Round 3 Data'!J$10:J$145,0)+_xlfn.XLOOKUP('Summary Data'!$A5,'Round 4 Data'!$A$10:$A$147,'Round 4 Data'!J$10:J$147,0))/$D5</f>
        <v>#VALUE!</v>
      </c>
      <c r="K5" s="57" t="e">
        <f>(_xlfn.XLOOKUP('Summary Data'!$A5,'Round 1 Data'!$A$10:$A$143,'Round 1 Data'!K$10:K$144,0)+_xlfn.XLOOKUP('Summary Data'!$A5,'Round 2 Data'!$A$10:$A$146,'Round 2 Data'!K$10:K$146,0)+_xlfn.XLOOKUP('Summary Data'!$A5,'Round 3 Data'!$A$10:$A$145,'Round 3 Data'!K$10:K$145,0)+_xlfn.XLOOKUP('Summary Data'!$A5,'Round 4 Data'!$A$10:$A$147,'Round 4 Data'!K$10:K$147,0))/$D5</f>
        <v>#VALUE!</v>
      </c>
      <c r="L5" s="57" t="e">
        <f>(_xlfn.XLOOKUP('Summary Data'!$A5,'Round 1 Data'!$A$10:$A$143,'Round 1 Data'!L$10:L$144,0)+_xlfn.XLOOKUP('Summary Data'!$A5,'Round 2 Data'!$A$10:$A$146,'Round 2 Data'!L$10:L$146,0)+_xlfn.XLOOKUP('Summary Data'!$A5,'Round 3 Data'!$A$10:$A$145,'Round 3 Data'!L$10:L$145,0)+_xlfn.XLOOKUP('Summary Data'!$A5,'Round 4 Data'!$A$10:$A$147,'Round 4 Data'!L$10:L$147,0))/$D5</f>
        <v>#VALUE!</v>
      </c>
      <c r="M5" s="57" t="e">
        <f>(_xlfn.XLOOKUP('Summary Data'!$A5,'Round 1 Data'!$A$10:$A$143,'Round 1 Data'!M$10:M$144,0)+_xlfn.XLOOKUP('Summary Data'!$A5,'Round 2 Data'!$A$10:$A$146,'Round 2 Data'!M$10:M$146,0)+_xlfn.XLOOKUP('Summary Data'!$A5,'Round 3 Data'!$A$10:$A$145,'Round 3 Data'!M$10:M$145,0)+_xlfn.XLOOKUP('Summary Data'!$A5,'Round 4 Data'!$A$10:$A$147,'Round 4 Data'!M$10:M$147,0))/$D5</f>
        <v>#VALUE!</v>
      </c>
      <c r="N5" s="57" t="e">
        <f>(_xlfn.XLOOKUP('Summary Data'!$A5,'Round 1 Data'!$A$10:$A$143,'Round 1 Data'!N$10:N$144,0)+_xlfn.XLOOKUP('Summary Data'!$A5,'Round 2 Data'!$A$10:$A$146,'Round 2 Data'!N$10:N$146,0)+_xlfn.XLOOKUP('Summary Data'!$A5,'Round 3 Data'!$A$10:$A$145,'Round 3 Data'!N$10:N$145,0)+_xlfn.XLOOKUP('Summary Data'!$A5,'Round 4 Data'!$A$10:$A$147,'Round 4 Data'!N$10:N$147,0))/$D5</f>
        <v>#VALUE!</v>
      </c>
      <c r="O5" s="57" t="e">
        <f>(_xlfn.XLOOKUP('Summary Data'!$A5,'Round 1 Data'!$A$10:$A$143,'Round 1 Data'!O$10:O$144,0)+_xlfn.XLOOKUP('Summary Data'!$A5,'Round 2 Data'!$A$10:$A$146,'Round 2 Data'!O$10:O$146,0)+_xlfn.XLOOKUP('Summary Data'!$A5,'Round 3 Data'!$A$10:$A$145,'Round 3 Data'!O$10:O$145,0)+_xlfn.XLOOKUP('Summary Data'!$A5,'Round 4 Data'!$A$10:$A$147,'Round 4 Data'!O$10:O$147,0))/$D5</f>
        <v>#VALUE!</v>
      </c>
      <c r="P5" s="57" t="e">
        <f>(_xlfn.XLOOKUP('Summary Data'!$A5,'Round 1 Data'!$A$10:$A$143,'Round 1 Data'!P$10:P$144,0)+_xlfn.XLOOKUP('Summary Data'!$A5,'Round 2 Data'!$A$10:$A$146,'Round 2 Data'!P$10:P$146,0)+_xlfn.XLOOKUP('Summary Data'!$A5,'Round 3 Data'!$A$10:$A$145,'Round 3 Data'!P$10:P$145,0)+_xlfn.XLOOKUP('Summary Data'!$A5,'Round 4 Data'!$A$10:$A$147,'Round 4 Data'!P$10:P$147,0))/$D5</f>
        <v>#VALUE!</v>
      </c>
      <c r="Q5" s="57" t="e">
        <f>(_xlfn.XLOOKUP('Summary Data'!$A5,'Round 1 Data'!$A$10:$A$143,'Round 1 Data'!Q$10:Q$144,0)+_xlfn.XLOOKUP('Summary Data'!$A5,'Round 2 Data'!$A$10:$A$146,'Round 2 Data'!Q$10:Q$146,0)+_xlfn.XLOOKUP('Summary Data'!$A5,'Round 3 Data'!$A$10:$A$145,'Round 3 Data'!Q$10:Q$145,0)+_xlfn.XLOOKUP('Summary Data'!$A5,'Round 4 Data'!$A$10:$A$147,'Round 4 Data'!Q$10:Q$147,0))/$D5</f>
        <v>#VALUE!</v>
      </c>
      <c r="R5" s="57" t="e">
        <f>(_xlfn.XLOOKUP('Summary Data'!$A5,'Round 1 Data'!$A$10:$A$143,'Round 1 Data'!R$10:R$144,0)+_xlfn.XLOOKUP('Summary Data'!$A5,'Round 2 Data'!$A$10:$A$146,'Round 2 Data'!R$10:R$146,0)+_xlfn.XLOOKUP('Summary Data'!$A5,'Round 3 Data'!$A$10:$A$145,'Round 3 Data'!R$10:R$145,0)+_xlfn.XLOOKUP('Summary Data'!$A5,'Round 4 Data'!$A$10:$A$147,'Round 4 Data'!R$10:R$147,0))/$D5</f>
        <v>#VALUE!</v>
      </c>
      <c r="S5" s="57" t="e">
        <f>(_xlfn.XLOOKUP('Summary Data'!$A5,'Round 1 Data'!$A$10:$A$143,'Round 1 Data'!S$10:S$144,0)+_xlfn.XLOOKUP('Summary Data'!$A5,'Round 2 Data'!$A$10:$A$146,'Round 2 Data'!S$10:S$146,0)+_xlfn.XLOOKUP('Summary Data'!$A5,'Round 3 Data'!$A$10:$A$145,'Round 3 Data'!S$10:S$145,0)+_xlfn.XLOOKUP('Summary Data'!$A5,'Round 4 Data'!$A$10:$A$147,'Round 4 Data'!S$10:S$147,0))/$D5</f>
        <v>#VALUE!</v>
      </c>
      <c r="T5" s="62" t="e">
        <f>(_xlfn.XLOOKUP('Summary Data'!$A5,'Round 1 Data'!$A$10:$A$143,'Round 1 Data'!U$10:U$144,0)+_xlfn.XLOOKUP('Summary Data'!$A5,'Round 2 Data'!$A$10:$A$146,'Round 2 Data'!U$10:U$146,0)+_xlfn.XLOOKUP('Summary Data'!$A5,'Round 3 Data'!$A$10:$A$145,'Round 3 Data'!U$10:U$145,0)+_xlfn.XLOOKUP('Summary Data'!$A5,'Round 4 Data'!$A$10:$A$147,'Round 4 Data'!U$10:U$147,0))</f>
        <v>#VALUE!</v>
      </c>
    </row>
    <row r="6" spans="1:21" ht="16" thickBot="1" x14ac:dyDescent="0.25">
      <c r="A6" s="61" t="s">
        <v>59</v>
      </c>
      <c r="B6" t="s">
        <v>188</v>
      </c>
      <c r="C6" t="s">
        <v>194</v>
      </c>
      <c r="D6" t="e">
        <f>IF(_xlfn.XLOOKUP('Summary Data'!A6,'Round 1 Data'!$A$10:$A$143,'Round 1 Data'!$E$10:$E$144,0)=0,0,1)+IF(_xlfn.XLOOKUP('Summary Data'!A6,'Round 2 Data'!$A$10:$A$146,'Round 2 Data'!$E$10:$E$146,0)=0,0,1)+IF(_xlfn.XLOOKUP('Summary Data'!A6,'Round 3 Data'!$A$10:$A$145,'Round 3 Data'!$E$10:$E$145,0)=0,0,1)+IF(_xlfn.XLOOKUP('Summary Data'!A6,'Round 4 Data'!$A$10:$A$147,'Round 4 Data'!$E$10:$E$147,0)=0,0,1)</f>
        <v>#VALUE!</v>
      </c>
      <c r="E6" s="57" t="e">
        <f>(_xlfn.XLOOKUP('Summary Data'!$A6,'Round 1 Data'!$A$10:$A$143,'Round 1 Data'!E$10:E$144,0)+_xlfn.XLOOKUP('Summary Data'!$A6,'Round 2 Data'!$A$10:$A$146,'Round 2 Data'!E$10:E$146,0)+_xlfn.XLOOKUP('Summary Data'!$A6,'Round 3 Data'!$A$10:$A$145,'Round 3 Data'!E$10:E$145,0)+_xlfn.XLOOKUP('Summary Data'!$A6,'Round 4 Data'!$A$10:$A$147,'Round 4 Data'!E$10:E$147,0))/$D6</f>
        <v>#VALUE!</v>
      </c>
      <c r="F6" s="57" t="e">
        <f>(_xlfn.XLOOKUP('Summary Data'!$A6,'Round 1 Data'!$A$10:$A$143,'Round 1 Data'!F$10:F$144,0)+_xlfn.XLOOKUP('Summary Data'!$A6,'Round 2 Data'!$A$10:$A$146,'Round 2 Data'!F$10:F$146,0)+_xlfn.XLOOKUP('Summary Data'!$A6,'Round 3 Data'!$A$10:$A$145,'Round 3 Data'!F$10:F$145,0)+_xlfn.XLOOKUP('Summary Data'!$A6,'Round 4 Data'!$A$10:$A$147,'Round 4 Data'!F$10:F$147,0))/$D6</f>
        <v>#VALUE!</v>
      </c>
      <c r="G6" s="57" t="e">
        <f>(_xlfn.XLOOKUP('Summary Data'!$A6,'Round 1 Data'!$A$10:$A$143,'Round 1 Data'!G$10:G$144,0)+_xlfn.XLOOKUP('Summary Data'!$A6,'Round 2 Data'!$A$10:$A$146,'Round 2 Data'!G$10:G$146,0)+_xlfn.XLOOKUP('Summary Data'!$A6,'Round 3 Data'!$A$10:$A$145,'Round 3 Data'!G$10:G$145,0)+_xlfn.XLOOKUP('Summary Data'!$A6,'Round 4 Data'!$A$10:$A$147,'Round 4 Data'!G$10:G$147,0))/$D6</f>
        <v>#VALUE!</v>
      </c>
      <c r="H6" s="57" t="e">
        <f>(_xlfn.XLOOKUP('Summary Data'!$A6,'Round 1 Data'!$A$10:$A$143,'Round 1 Data'!H$10:H$144,0)+_xlfn.XLOOKUP('Summary Data'!$A6,'Round 2 Data'!$A$10:$A$146,'Round 2 Data'!H$10:H$146,0)+_xlfn.XLOOKUP('Summary Data'!$A6,'Round 3 Data'!$A$10:$A$145,'Round 3 Data'!H$10:H$145,0)+_xlfn.XLOOKUP('Summary Data'!$A6,'Round 4 Data'!$A$10:$A$147,'Round 4 Data'!H$10:H$147,0))/$D6</f>
        <v>#VALUE!</v>
      </c>
      <c r="I6" s="57" t="e">
        <f>(_xlfn.XLOOKUP('Summary Data'!$A6,'Round 1 Data'!$A$10:$A$143,'Round 1 Data'!I$10:I$144,0)+_xlfn.XLOOKUP('Summary Data'!$A6,'Round 2 Data'!$A$10:$A$146,'Round 2 Data'!I$10:I$146,0)+_xlfn.XLOOKUP('Summary Data'!$A6,'Round 3 Data'!$A$10:$A$145,'Round 3 Data'!I$10:I$145,0)+_xlfn.XLOOKUP('Summary Data'!$A6,'Round 4 Data'!$A$10:$A$147,'Round 4 Data'!I$10:I$147,0))/$D6</f>
        <v>#VALUE!</v>
      </c>
      <c r="J6" s="57" t="e">
        <f>(_xlfn.XLOOKUP('Summary Data'!$A6,'Round 1 Data'!$A$10:$A$143,'Round 1 Data'!J$10:J$144,0)+_xlfn.XLOOKUP('Summary Data'!$A6,'Round 2 Data'!$A$10:$A$146,'Round 2 Data'!J$10:J$146,0)+_xlfn.XLOOKUP('Summary Data'!$A6,'Round 3 Data'!$A$10:$A$145,'Round 3 Data'!J$10:J$145,0)+_xlfn.XLOOKUP('Summary Data'!$A6,'Round 4 Data'!$A$10:$A$147,'Round 4 Data'!J$10:J$147,0))/$D6</f>
        <v>#VALUE!</v>
      </c>
      <c r="K6" s="57" t="e">
        <f>(_xlfn.XLOOKUP('Summary Data'!$A6,'Round 1 Data'!$A$10:$A$143,'Round 1 Data'!K$10:K$144,0)+_xlfn.XLOOKUP('Summary Data'!$A6,'Round 2 Data'!$A$10:$A$146,'Round 2 Data'!K$10:K$146,0)+_xlfn.XLOOKUP('Summary Data'!$A6,'Round 3 Data'!$A$10:$A$145,'Round 3 Data'!K$10:K$145,0)+_xlfn.XLOOKUP('Summary Data'!$A6,'Round 4 Data'!$A$10:$A$147,'Round 4 Data'!K$10:K$147,0))/$D6</f>
        <v>#VALUE!</v>
      </c>
      <c r="L6" s="57" t="e">
        <f>(_xlfn.XLOOKUP('Summary Data'!$A6,'Round 1 Data'!$A$10:$A$143,'Round 1 Data'!L$10:L$144,0)+_xlfn.XLOOKUP('Summary Data'!$A6,'Round 2 Data'!$A$10:$A$146,'Round 2 Data'!L$10:L$146,0)+_xlfn.XLOOKUP('Summary Data'!$A6,'Round 3 Data'!$A$10:$A$145,'Round 3 Data'!L$10:L$145,0)+_xlfn.XLOOKUP('Summary Data'!$A6,'Round 4 Data'!$A$10:$A$147,'Round 4 Data'!L$10:L$147,0))/$D6</f>
        <v>#VALUE!</v>
      </c>
      <c r="M6" s="57" t="e">
        <f>(_xlfn.XLOOKUP('Summary Data'!$A6,'Round 1 Data'!$A$10:$A$143,'Round 1 Data'!M$10:M$144,0)+_xlfn.XLOOKUP('Summary Data'!$A6,'Round 2 Data'!$A$10:$A$146,'Round 2 Data'!M$10:M$146,0)+_xlfn.XLOOKUP('Summary Data'!$A6,'Round 3 Data'!$A$10:$A$145,'Round 3 Data'!M$10:M$145,0)+_xlfn.XLOOKUP('Summary Data'!$A6,'Round 4 Data'!$A$10:$A$147,'Round 4 Data'!M$10:M$147,0))/$D6</f>
        <v>#VALUE!</v>
      </c>
      <c r="N6" s="57" t="e">
        <f>(_xlfn.XLOOKUP('Summary Data'!$A6,'Round 1 Data'!$A$10:$A$143,'Round 1 Data'!N$10:N$144,0)+_xlfn.XLOOKUP('Summary Data'!$A6,'Round 2 Data'!$A$10:$A$146,'Round 2 Data'!N$10:N$146,0)+_xlfn.XLOOKUP('Summary Data'!$A6,'Round 3 Data'!$A$10:$A$145,'Round 3 Data'!N$10:N$145,0)+_xlfn.XLOOKUP('Summary Data'!$A6,'Round 4 Data'!$A$10:$A$147,'Round 4 Data'!N$10:N$147,0))/$D6</f>
        <v>#VALUE!</v>
      </c>
      <c r="O6" s="57" t="e">
        <f>(_xlfn.XLOOKUP('Summary Data'!$A6,'Round 1 Data'!$A$10:$A$143,'Round 1 Data'!O$10:O$144,0)+_xlfn.XLOOKUP('Summary Data'!$A6,'Round 2 Data'!$A$10:$A$146,'Round 2 Data'!O$10:O$146,0)+_xlfn.XLOOKUP('Summary Data'!$A6,'Round 3 Data'!$A$10:$A$145,'Round 3 Data'!O$10:O$145,0)+_xlfn.XLOOKUP('Summary Data'!$A6,'Round 4 Data'!$A$10:$A$147,'Round 4 Data'!O$10:O$147,0))/$D6</f>
        <v>#VALUE!</v>
      </c>
      <c r="P6" s="57" t="e">
        <f>(_xlfn.XLOOKUP('Summary Data'!$A6,'Round 1 Data'!$A$10:$A$143,'Round 1 Data'!P$10:P$144,0)+_xlfn.XLOOKUP('Summary Data'!$A6,'Round 2 Data'!$A$10:$A$146,'Round 2 Data'!P$10:P$146,0)+_xlfn.XLOOKUP('Summary Data'!$A6,'Round 3 Data'!$A$10:$A$145,'Round 3 Data'!P$10:P$145,0)+_xlfn.XLOOKUP('Summary Data'!$A6,'Round 4 Data'!$A$10:$A$147,'Round 4 Data'!P$10:P$147,0))/$D6</f>
        <v>#VALUE!</v>
      </c>
      <c r="Q6" s="57" t="e">
        <f>(_xlfn.XLOOKUP('Summary Data'!$A6,'Round 1 Data'!$A$10:$A$143,'Round 1 Data'!Q$10:Q$144,0)+_xlfn.XLOOKUP('Summary Data'!$A6,'Round 2 Data'!$A$10:$A$146,'Round 2 Data'!Q$10:Q$146,0)+_xlfn.XLOOKUP('Summary Data'!$A6,'Round 3 Data'!$A$10:$A$145,'Round 3 Data'!Q$10:Q$145,0)+_xlfn.XLOOKUP('Summary Data'!$A6,'Round 4 Data'!$A$10:$A$147,'Round 4 Data'!Q$10:Q$147,0))/$D6</f>
        <v>#VALUE!</v>
      </c>
      <c r="R6" s="57" t="e">
        <f>(_xlfn.XLOOKUP('Summary Data'!$A6,'Round 1 Data'!$A$10:$A$143,'Round 1 Data'!R$10:R$144,0)+_xlfn.XLOOKUP('Summary Data'!$A6,'Round 2 Data'!$A$10:$A$146,'Round 2 Data'!R$10:R$146,0)+_xlfn.XLOOKUP('Summary Data'!$A6,'Round 3 Data'!$A$10:$A$145,'Round 3 Data'!R$10:R$145,0)+_xlfn.XLOOKUP('Summary Data'!$A6,'Round 4 Data'!$A$10:$A$147,'Round 4 Data'!R$10:R$147,0))/$D6</f>
        <v>#VALUE!</v>
      </c>
      <c r="S6" s="57" t="e">
        <f>(_xlfn.XLOOKUP('Summary Data'!$A6,'Round 1 Data'!$A$10:$A$143,'Round 1 Data'!S$10:S$144,0)+_xlfn.XLOOKUP('Summary Data'!$A6,'Round 2 Data'!$A$10:$A$146,'Round 2 Data'!S$10:S$146,0)+_xlfn.XLOOKUP('Summary Data'!$A6,'Round 3 Data'!$A$10:$A$145,'Round 3 Data'!S$10:S$145,0)+_xlfn.XLOOKUP('Summary Data'!$A6,'Round 4 Data'!$A$10:$A$147,'Round 4 Data'!S$10:S$147,0))/$D6</f>
        <v>#VALUE!</v>
      </c>
      <c r="T6" s="62" t="e">
        <f>(_xlfn.XLOOKUP('Summary Data'!$A6,'Round 1 Data'!$A$10:$A$143,'Round 1 Data'!U$10:U$144,0)+_xlfn.XLOOKUP('Summary Data'!$A6,'Round 2 Data'!$A$10:$A$146,'Round 2 Data'!U$10:U$146,0)+_xlfn.XLOOKUP('Summary Data'!$A6,'Round 3 Data'!$A$10:$A$145,'Round 3 Data'!U$10:U$145,0)+_xlfn.XLOOKUP('Summary Data'!$A6,'Round 4 Data'!$A$10:$A$147,'Round 4 Data'!U$10:U$147,0))</f>
        <v>#VALUE!</v>
      </c>
    </row>
    <row r="7" spans="1:21" ht="16" thickBot="1" x14ac:dyDescent="0.25">
      <c r="A7" s="63" t="s">
        <v>60</v>
      </c>
      <c r="B7" t="s">
        <v>188</v>
      </c>
      <c r="C7" t="s">
        <v>194</v>
      </c>
      <c r="D7" t="e">
        <f>IF(_xlfn.XLOOKUP('Summary Data'!A7,'Round 1 Data'!$A$10:$A$143,'Round 1 Data'!$E$10:$E$144,0)=0,0,1)+IF(_xlfn.XLOOKUP('Summary Data'!A7,'Round 2 Data'!$A$10:$A$146,'Round 2 Data'!$E$10:$E$146,0)=0,0,1)+IF(_xlfn.XLOOKUP('Summary Data'!A7,'Round 3 Data'!$A$10:$A$145,'Round 3 Data'!$E$10:$E$145,0)=0,0,1)+IF(_xlfn.XLOOKUP('Summary Data'!A7,'Round 4 Data'!$A$10:$A$147,'Round 4 Data'!$E$10:$E$147,0)=0,0,1)</f>
        <v>#VALUE!</v>
      </c>
      <c r="E7" s="57" t="e">
        <f>(_xlfn.XLOOKUP('Summary Data'!$A7,'Round 1 Data'!$A$10:$A$143,'Round 1 Data'!E$10:E$144,0)+_xlfn.XLOOKUP('Summary Data'!$A7,'Round 2 Data'!$A$10:$A$146,'Round 2 Data'!E$10:E$146,0)+_xlfn.XLOOKUP('Summary Data'!$A7,'Round 3 Data'!$A$10:$A$145,'Round 3 Data'!E$10:E$145,0)+_xlfn.XLOOKUP('Summary Data'!$A7,'Round 4 Data'!$A$10:$A$147,'Round 4 Data'!E$10:E$147,0))/$D7</f>
        <v>#VALUE!</v>
      </c>
      <c r="F7" s="57" t="e">
        <f>(_xlfn.XLOOKUP('Summary Data'!$A7,'Round 1 Data'!$A$10:$A$143,'Round 1 Data'!F$10:F$144,0)+_xlfn.XLOOKUP('Summary Data'!$A7,'Round 2 Data'!$A$10:$A$146,'Round 2 Data'!F$10:F$146,0)+_xlfn.XLOOKUP('Summary Data'!$A7,'Round 3 Data'!$A$10:$A$145,'Round 3 Data'!F$10:F$145,0)+_xlfn.XLOOKUP('Summary Data'!$A7,'Round 4 Data'!$A$10:$A$147,'Round 4 Data'!F$10:F$147,0))/$D7</f>
        <v>#VALUE!</v>
      </c>
      <c r="G7" s="57" t="e">
        <f>(_xlfn.XLOOKUP('Summary Data'!$A7,'Round 1 Data'!$A$10:$A$143,'Round 1 Data'!G$10:G$144,0)+_xlfn.XLOOKUP('Summary Data'!$A7,'Round 2 Data'!$A$10:$A$146,'Round 2 Data'!G$10:G$146,0)+_xlfn.XLOOKUP('Summary Data'!$A7,'Round 3 Data'!$A$10:$A$145,'Round 3 Data'!G$10:G$145,0)+_xlfn.XLOOKUP('Summary Data'!$A7,'Round 4 Data'!$A$10:$A$147,'Round 4 Data'!G$10:G$147,0))/$D7</f>
        <v>#VALUE!</v>
      </c>
      <c r="H7" s="57" t="e">
        <f>(_xlfn.XLOOKUP('Summary Data'!$A7,'Round 1 Data'!$A$10:$A$143,'Round 1 Data'!H$10:H$144,0)+_xlfn.XLOOKUP('Summary Data'!$A7,'Round 2 Data'!$A$10:$A$146,'Round 2 Data'!H$10:H$146,0)+_xlfn.XLOOKUP('Summary Data'!$A7,'Round 3 Data'!$A$10:$A$145,'Round 3 Data'!H$10:H$145,0)+_xlfn.XLOOKUP('Summary Data'!$A7,'Round 4 Data'!$A$10:$A$147,'Round 4 Data'!H$10:H$147,0))/$D7</f>
        <v>#VALUE!</v>
      </c>
      <c r="I7" s="57" t="e">
        <f>(_xlfn.XLOOKUP('Summary Data'!$A7,'Round 1 Data'!$A$10:$A$143,'Round 1 Data'!I$10:I$144,0)+_xlfn.XLOOKUP('Summary Data'!$A7,'Round 2 Data'!$A$10:$A$146,'Round 2 Data'!I$10:I$146,0)+_xlfn.XLOOKUP('Summary Data'!$A7,'Round 3 Data'!$A$10:$A$145,'Round 3 Data'!I$10:I$145,0)+_xlfn.XLOOKUP('Summary Data'!$A7,'Round 4 Data'!$A$10:$A$147,'Round 4 Data'!I$10:I$147,0))/$D7</f>
        <v>#VALUE!</v>
      </c>
      <c r="J7" s="57" t="e">
        <f>(_xlfn.XLOOKUP('Summary Data'!$A7,'Round 1 Data'!$A$10:$A$143,'Round 1 Data'!J$10:J$144,0)+_xlfn.XLOOKUP('Summary Data'!$A7,'Round 2 Data'!$A$10:$A$146,'Round 2 Data'!J$10:J$146,0)+_xlfn.XLOOKUP('Summary Data'!$A7,'Round 3 Data'!$A$10:$A$145,'Round 3 Data'!J$10:J$145,0)+_xlfn.XLOOKUP('Summary Data'!$A7,'Round 4 Data'!$A$10:$A$147,'Round 4 Data'!J$10:J$147,0))/$D7</f>
        <v>#VALUE!</v>
      </c>
      <c r="K7" s="57" t="e">
        <f>(_xlfn.XLOOKUP('Summary Data'!$A7,'Round 1 Data'!$A$10:$A$143,'Round 1 Data'!K$10:K$144,0)+_xlfn.XLOOKUP('Summary Data'!$A7,'Round 2 Data'!$A$10:$A$146,'Round 2 Data'!K$10:K$146,0)+_xlfn.XLOOKUP('Summary Data'!$A7,'Round 3 Data'!$A$10:$A$145,'Round 3 Data'!K$10:K$145,0)+_xlfn.XLOOKUP('Summary Data'!$A7,'Round 4 Data'!$A$10:$A$147,'Round 4 Data'!K$10:K$147,0))/$D7</f>
        <v>#VALUE!</v>
      </c>
      <c r="L7" s="57" t="e">
        <f>(_xlfn.XLOOKUP('Summary Data'!$A7,'Round 1 Data'!$A$10:$A$143,'Round 1 Data'!L$10:L$144,0)+_xlfn.XLOOKUP('Summary Data'!$A7,'Round 2 Data'!$A$10:$A$146,'Round 2 Data'!L$10:L$146,0)+_xlfn.XLOOKUP('Summary Data'!$A7,'Round 3 Data'!$A$10:$A$145,'Round 3 Data'!L$10:L$145,0)+_xlfn.XLOOKUP('Summary Data'!$A7,'Round 4 Data'!$A$10:$A$147,'Round 4 Data'!L$10:L$147,0))/$D7</f>
        <v>#VALUE!</v>
      </c>
      <c r="M7" s="57" t="e">
        <f>(_xlfn.XLOOKUP('Summary Data'!$A7,'Round 1 Data'!$A$10:$A$143,'Round 1 Data'!M$10:M$144,0)+_xlfn.XLOOKUP('Summary Data'!$A7,'Round 2 Data'!$A$10:$A$146,'Round 2 Data'!M$10:M$146,0)+_xlfn.XLOOKUP('Summary Data'!$A7,'Round 3 Data'!$A$10:$A$145,'Round 3 Data'!M$10:M$145,0)+_xlfn.XLOOKUP('Summary Data'!$A7,'Round 4 Data'!$A$10:$A$147,'Round 4 Data'!M$10:M$147,0))/$D7</f>
        <v>#VALUE!</v>
      </c>
      <c r="N7" s="57" t="e">
        <f>(_xlfn.XLOOKUP('Summary Data'!$A7,'Round 1 Data'!$A$10:$A$143,'Round 1 Data'!N$10:N$144,0)+_xlfn.XLOOKUP('Summary Data'!$A7,'Round 2 Data'!$A$10:$A$146,'Round 2 Data'!N$10:N$146,0)+_xlfn.XLOOKUP('Summary Data'!$A7,'Round 3 Data'!$A$10:$A$145,'Round 3 Data'!N$10:N$145,0)+_xlfn.XLOOKUP('Summary Data'!$A7,'Round 4 Data'!$A$10:$A$147,'Round 4 Data'!N$10:N$147,0))/$D7</f>
        <v>#VALUE!</v>
      </c>
      <c r="O7" s="57" t="e">
        <f>(_xlfn.XLOOKUP('Summary Data'!$A7,'Round 1 Data'!$A$10:$A$143,'Round 1 Data'!O$10:O$144,0)+_xlfn.XLOOKUP('Summary Data'!$A7,'Round 2 Data'!$A$10:$A$146,'Round 2 Data'!O$10:O$146,0)+_xlfn.XLOOKUP('Summary Data'!$A7,'Round 3 Data'!$A$10:$A$145,'Round 3 Data'!O$10:O$145,0)+_xlfn.XLOOKUP('Summary Data'!$A7,'Round 4 Data'!$A$10:$A$147,'Round 4 Data'!O$10:O$147,0))/$D7</f>
        <v>#VALUE!</v>
      </c>
      <c r="P7" s="57" t="e">
        <f>(_xlfn.XLOOKUP('Summary Data'!$A7,'Round 1 Data'!$A$10:$A$143,'Round 1 Data'!P$10:P$144,0)+_xlfn.XLOOKUP('Summary Data'!$A7,'Round 2 Data'!$A$10:$A$146,'Round 2 Data'!P$10:P$146,0)+_xlfn.XLOOKUP('Summary Data'!$A7,'Round 3 Data'!$A$10:$A$145,'Round 3 Data'!P$10:P$145,0)+_xlfn.XLOOKUP('Summary Data'!$A7,'Round 4 Data'!$A$10:$A$147,'Round 4 Data'!P$10:P$147,0))/$D7</f>
        <v>#VALUE!</v>
      </c>
      <c r="Q7" s="57" t="e">
        <f>(_xlfn.XLOOKUP('Summary Data'!$A7,'Round 1 Data'!$A$10:$A$143,'Round 1 Data'!Q$10:Q$144,0)+_xlfn.XLOOKUP('Summary Data'!$A7,'Round 2 Data'!$A$10:$A$146,'Round 2 Data'!Q$10:Q$146,0)+_xlfn.XLOOKUP('Summary Data'!$A7,'Round 3 Data'!$A$10:$A$145,'Round 3 Data'!Q$10:Q$145,0)+_xlfn.XLOOKUP('Summary Data'!$A7,'Round 4 Data'!$A$10:$A$147,'Round 4 Data'!Q$10:Q$147,0))/$D7</f>
        <v>#VALUE!</v>
      </c>
      <c r="R7" s="57" t="e">
        <f>(_xlfn.XLOOKUP('Summary Data'!$A7,'Round 1 Data'!$A$10:$A$143,'Round 1 Data'!R$10:R$144,0)+_xlfn.XLOOKUP('Summary Data'!$A7,'Round 2 Data'!$A$10:$A$146,'Round 2 Data'!R$10:R$146,0)+_xlfn.XLOOKUP('Summary Data'!$A7,'Round 3 Data'!$A$10:$A$145,'Round 3 Data'!R$10:R$145,0)+_xlfn.XLOOKUP('Summary Data'!$A7,'Round 4 Data'!$A$10:$A$147,'Round 4 Data'!R$10:R$147,0))/$D7</f>
        <v>#VALUE!</v>
      </c>
      <c r="S7" s="57" t="e">
        <f>(_xlfn.XLOOKUP('Summary Data'!$A7,'Round 1 Data'!$A$10:$A$143,'Round 1 Data'!S$10:S$144,0)+_xlfn.XLOOKUP('Summary Data'!$A7,'Round 2 Data'!$A$10:$A$146,'Round 2 Data'!S$10:S$146,0)+_xlfn.XLOOKUP('Summary Data'!$A7,'Round 3 Data'!$A$10:$A$145,'Round 3 Data'!S$10:S$145,0)+_xlfn.XLOOKUP('Summary Data'!$A7,'Round 4 Data'!$A$10:$A$147,'Round 4 Data'!S$10:S$147,0))/$D7</f>
        <v>#VALUE!</v>
      </c>
      <c r="T7" s="62" t="e">
        <f>(_xlfn.XLOOKUP('Summary Data'!$A7,'Round 1 Data'!$A$10:$A$143,'Round 1 Data'!U$10:U$144,0)+_xlfn.XLOOKUP('Summary Data'!$A7,'Round 2 Data'!$A$10:$A$146,'Round 2 Data'!U$10:U$146,0)+_xlfn.XLOOKUP('Summary Data'!$A7,'Round 3 Data'!$A$10:$A$145,'Round 3 Data'!U$10:U$145,0)+_xlfn.XLOOKUP('Summary Data'!$A7,'Round 4 Data'!$A$10:$A$147,'Round 4 Data'!U$10:U$147,0))</f>
        <v>#VALUE!</v>
      </c>
    </row>
    <row r="8" spans="1:21" ht="16" thickBot="1" x14ac:dyDescent="0.25">
      <c r="A8" s="61" t="s">
        <v>61</v>
      </c>
      <c r="B8" t="s">
        <v>188</v>
      </c>
      <c r="C8" t="s">
        <v>195</v>
      </c>
      <c r="D8" t="e">
        <f>IF(_xlfn.XLOOKUP('Summary Data'!A8,'Round 1 Data'!$A$10:$A$143,'Round 1 Data'!$E$10:$E$144,0)=0,0,1)+IF(_xlfn.XLOOKUP('Summary Data'!A8,'Round 2 Data'!$A$10:$A$146,'Round 2 Data'!$E$10:$E$146,0)=0,0,1)+IF(_xlfn.XLOOKUP('Summary Data'!A8,'Round 3 Data'!$A$10:$A$145,'Round 3 Data'!$E$10:$E$145,0)=0,0,1)+IF(_xlfn.XLOOKUP('Summary Data'!A8,'Round 4 Data'!$A$10:$A$147,'Round 4 Data'!$E$10:$E$147,0)=0,0,1)</f>
        <v>#VALUE!</v>
      </c>
      <c r="E8" s="57" t="e">
        <f>(_xlfn.XLOOKUP('Summary Data'!$A8,'Round 1 Data'!$A$10:$A$143,'Round 1 Data'!E$10:E$144,0)+_xlfn.XLOOKUP('Summary Data'!$A8,'Round 2 Data'!$A$10:$A$146,'Round 2 Data'!E$10:E$146,0)+_xlfn.XLOOKUP('Summary Data'!$A8,'Round 3 Data'!$A$10:$A$145,'Round 3 Data'!E$10:E$145,0)+_xlfn.XLOOKUP('Summary Data'!$A8,'Round 4 Data'!$A$10:$A$147,'Round 4 Data'!E$10:E$147,0))/$D8</f>
        <v>#VALUE!</v>
      </c>
      <c r="F8" s="57" t="e">
        <f>(_xlfn.XLOOKUP('Summary Data'!$A8,'Round 1 Data'!$A$10:$A$143,'Round 1 Data'!F$10:F$144,0)+_xlfn.XLOOKUP('Summary Data'!$A8,'Round 2 Data'!$A$10:$A$146,'Round 2 Data'!F$10:F$146,0)+_xlfn.XLOOKUP('Summary Data'!$A8,'Round 3 Data'!$A$10:$A$145,'Round 3 Data'!F$10:F$145,0)+_xlfn.XLOOKUP('Summary Data'!$A8,'Round 4 Data'!$A$10:$A$147,'Round 4 Data'!F$10:F$147,0))/$D8</f>
        <v>#VALUE!</v>
      </c>
      <c r="G8" s="57" t="e">
        <f>(_xlfn.XLOOKUP('Summary Data'!$A8,'Round 1 Data'!$A$10:$A$143,'Round 1 Data'!G$10:G$144,0)+_xlfn.XLOOKUP('Summary Data'!$A8,'Round 2 Data'!$A$10:$A$146,'Round 2 Data'!G$10:G$146,0)+_xlfn.XLOOKUP('Summary Data'!$A8,'Round 3 Data'!$A$10:$A$145,'Round 3 Data'!G$10:G$145,0)+_xlfn.XLOOKUP('Summary Data'!$A8,'Round 4 Data'!$A$10:$A$147,'Round 4 Data'!G$10:G$147,0))/$D8</f>
        <v>#VALUE!</v>
      </c>
      <c r="H8" s="57" t="e">
        <f>(_xlfn.XLOOKUP('Summary Data'!$A8,'Round 1 Data'!$A$10:$A$143,'Round 1 Data'!H$10:H$144,0)+_xlfn.XLOOKUP('Summary Data'!$A8,'Round 2 Data'!$A$10:$A$146,'Round 2 Data'!H$10:H$146,0)+_xlfn.XLOOKUP('Summary Data'!$A8,'Round 3 Data'!$A$10:$A$145,'Round 3 Data'!H$10:H$145,0)+_xlfn.XLOOKUP('Summary Data'!$A8,'Round 4 Data'!$A$10:$A$147,'Round 4 Data'!H$10:H$147,0))/$D8</f>
        <v>#VALUE!</v>
      </c>
      <c r="I8" s="57" t="e">
        <f>(_xlfn.XLOOKUP('Summary Data'!$A8,'Round 1 Data'!$A$10:$A$143,'Round 1 Data'!I$10:I$144,0)+_xlfn.XLOOKUP('Summary Data'!$A8,'Round 2 Data'!$A$10:$A$146,'Round 2 Data'!I$10:I$146,0)+_xlfn.XLOOKUP('Summary Data'!$A8,'Round 3 Data'!$A$10:$A$145,'Round 3 Data'!I$10:I$145,0)+_xlfn.XLOOKUP('Summary Data'!$A8,'Round 4 Data'!$A$10:$A$147,'Round 4 Data'!I$10:I$147,0))/$D8</f>
        <v>#VALUE!</v>
      </c>
      <c r="J8" s="57" t="e">
        <f>(_xlfn.XLOOKUP('Summary Data'!$A8,'Round 1 Data'!$A$10:$A$143,'Round 1 Data'!J$10:J$144,0)+_xlfn.XLOOKUP('Summary Data'!$A8,'Round 2 Data'!$A$10:$A$146,'Round 2 Data'!J$10:J$146,0)+_xlfn.XLOOKUP('Summary Data'!$A8,'Round 3 Data'!$A$10:$A$145,'Round 3 Data'!J$10:J$145,0)+_xlfn.XLOOKUP('Summary Data'!$A8,'Round 4 Data'!$A$10:$A$147,'Round 4 Data'!J$10:J$147,0))/$D8</f>
        <v>#VALUE!</v>
      </c>
      <c r="K8" s="57" t="e">
        <f>(_xlfn.XLOOKUP('Summary Data'!$A8,'Round 1 Data'!$A$10:$A$143,'Round 1 Data'!K$10:K$144,0)+_xlfn.XLOOKUP('Summary Data'!$A8,'Round 2 Data'!$A$10:$A$146,'Round 2 Data'!K$10:K$146,0)+_xlfn.XLOOKUP('Summary Data'!$A8,'Round 3 Data'!$A$10:$A$145,'Round 3 Data'!K$10:K$145,0)+_xlfn.XLOOKUP('Summary Data'!$A8,'Round 4 Data'!$A$10:$A$147,'Round 4 Data'!K$10:K$147,0))/$D8</f>
        <v>#VALUE!</v>
      </c>
      <c r="L8" s="57" t="e">
        <f>(_xlfn.XLOOKUP('Summary Data'!$A8,'Round 1 Data'!$A$10:$A$143,'Round 1 Data'!L$10:L$144,0)+_xlfn.XLOOKUP('Summary Data'!$A8,'Round 2 Data'!$A$10:$A$146,'Round 2 Data'!L$10:L$146,0)+_xlfn.XLOOKUP('Summary Data'!$A8,'Round 3 Data'!$A$10:$A$145,'Round 3 Data'!L$10:L$145,0)+_xlfn.XLOOKUP('Summary Data'!$A8,'Round 4 Data'!$A$10:$A$147,'Round 4 Data'!L$10:L$147,0))/$D8</f>
        <v>#VALUE!</v>
      </c>
      <c r="M8" s="57" t="e">
        <f>(_xlfn.XLOOKUP('Summary Data'!$A8,'Round 1 Data'!$A$10:$A$143,'Round 1 Data'!M$10:M$144,0)+_xlfn.XLOOKUP('Summary Data'!$A8,'Round 2 Data'!$A$10:$A$146,'Round 2 Data'!M$10:M$146,0)+_xlfn.XLOOKUP('Summary Data'!$A8,'Round 3 Data'!$A$10:$A$145,'Round 3 Data'!M$10:M$145,0)+_xlfn.XLOOKUP('Summary Data'!$A8,'Round 4 Data'!$A$10:$A$147,'Round 4 Data'!M$10:M$147,0))/$D8</f>
        <v>#VALUE!</v>
      </c>
      <c r="N8" s="57" t="e">
        <f>(_xlfn.XLOOKUP('Summary Data'!$A8,'Round 1 Data'!$A$10:$A$143,'Round 1 Data'!N$10:N$144,0)+_xlfn.XLOOKUP('Summary Data'!$A8,'Round 2 Data'!$A$10:$A$146,'Round 2 Data'!N$10:N$146,0)+_xlfn.XLOOKUP('Summary Data'!$A8,'Round 3 Data'!$A$10:$A$145,'Round 3 Data'!N$10:N$145,0)+_xlfn.XLOOKUP('Summary Data'!$A8,'Round 4 Data'!$A$10:$A$147,'Round 4 Data'!N$10:N$147,0))/$D8</f>
        <v>#VALUE!</v>
      </c>
      <c r="O8" s="57" t="e">
        <f>(_xlfn.XLOOKUP('Summary Data'!$A8,'Round 1 Data'!$A$10:$A$143,'Round 1 Data'!O$10:O$144,0)+_xlfn.XLOOKUP('Summary Data'!$A8,'Round 2 Data'!$A$10:$A$146,'Round 2 Data'!O$10:O$146,0)+_xlfn.XLOOKUP('Summary Data'!$A8,'Round 3 Data'!$A$10:$A$145,'Round 3 Data'!O$10:O$145,0)+_xlfn.XLOOKUP('Summary Data'!$A8,'Round 4 Data'!$A$10:$A$147,'Round 4 Data'!O$10:O$147,0))/$D8</f>
        <v>#VALUE!</v>
      </c>
      <c r="P8" s="57" t="e">
        <f>(_xlfn.XLOOKUP('Summary Data'!$A8,'Round 1 Data'!$A$10:$A$143,'Round 1 Data'!P$10:P$144,0)+_xlfn.XLOOKUP('Summary Data'!$A8,'Round 2 Data'!$A$10:$A$146,'Round 2 Data'!P$10:P$146,0)+_xlfn.XLOOKUP('Summary Data'!$A8,'Round 3 Data'!$A$10:$A$145,'Round 3 Data'!P$10:P$145,0)+_xlfn.XLOOKUP('Summary Data'!$A8,'Round 4 Data'!$A$10:$A$147,'Round 4 Data'!P$10:P$147,0))/$D8</f>
        <v>#VALUE!</v>
      </c>
      <c r="Q8" s="57" t="e">
        <f>(_xlfn.XLOOKUP('Summary Data'!$A8,'Round 1 Data'!$A$10:$A$143,'Round 1 Data'!Q$10:Q$144,0)+_xlfn.XLOOKUP('Summary Data'!$A8,'Round 2 Data'!$A$10:$A$146,'Round 2 Data'!Q$10:Q$146,0)+_xlfn.XLOOKUP('Summary Data'!$A8,'Round 3 Data'!$A$10:$A$145,'Round 3 Data'!Q$10:Q$145,0)+_xlfn.XLOOKUP('Summary Data'!$A8,'Round 4 Data'!$A$10:$A$147,'Round 4 Data'!Q$10:Q$147,0))/$D8</f>
        <v>#VALUE!</v>
      </c>
      <c r="R8" s="57" t="e">
        <f>(_xlfn.XLOOKUP('Summary Data'!$A8,'Round 1 Data'!$A$10:$A$143,'Round 1 Data'!R$10:R$144,0)+_xlfn.XLOOKUP('Summary Data'!$A8,'Round 2 Data'!$A$10:$A$146,'Round 2 Data'!R$10:R$146,0)+_xlfn.XLOOKUP('Summary Data'!$A8,'Round 3 Data'!$A$10:$A$145,'Round 3 Data'!R$10:R$145,0)+_xlfn.XLOOKUP('Summary Data'!$A8,'Round 4 Data'!$A$10:$A$147,'Round 4 Data'!R$10:R$147,0))/$D8</f>
        <v>#VALUE!</v>
      </c>
      <c r="S8" s="57" t="e">
        <f>(_xlfn.XLOOKUP('Summary Data'!$A8,'Round 1 Data'!$A$10:$A$143,'Round 1 Data'!S$10:S$144,0)+_xlfn.XLOOKUP('Summary Data'!$A8,'Round 2 Data'!$A$10:$A$146,'Round 2 Data'!S$10:S$146,0)+_xlfn.XLOOKUP('Summary Data'!$A8,'Round 3 Data'!$A$10:$A$145,'Round 3 Data'!S$10:S$145,0)+_xlfn.XLOOKUP('Summary Data'!$A8,'Round 4 Data'!$A$10:$A$147,'Round 4 Data'!S$10:S$147,0))/$D8</f>
        <v>#VALUE!</v>
      </c>
      <c r="T8" s="62" t="e">
        <f>(_xlfn.XLOOKUP('Summary Data'!$A8,'Round 1 Data'!$A$10:$A$143,'Round 1 Data'!U$10:U$144,0)+_xlfn.XLOOKUP('Summary Data'!$A8,'Round 2 Data'!$A$10:$A$146,'Round 2 Data'!U$10:U$146,0)+_xlfn.XLOOKUP('Summary Data'!$A8,'Round 3 Data'!$A$10:$A$145,'Round 3 Data'!U$10:U$145,0)+_xlfn.XLOOKUP('Summary Data'!$A8,'Round 4 Data'!$A$10:$A$147,'Round 4 Data'!U$10:U$147,0))</f>
        <v>#VALUE!</v>
      </c>
    </row>
    <row r="9" spans="1:21" ht="16" thickBot="1" x14ac:dyDescent="0.25">
      <c r="A9" s="63" t="s">
        <v>62</v>
      </c>
      <c r="B9" t="s">
        <v>188</v>
      </c>
      <c r="C9" t="s">
        <v>195</v>
      </c>
      <c r="D9" t="e">
        <f>IF(_xlfn.XLOOKUP('Summary Data'!A9,'Round 1 Data'!$A$10:$A$143,'Round 1 Data'!$E$10:$E$144,0)=0,0,1)+IF(_xlfn.XLOOKUP('Summary Data'!A9,'Round 2 Data'!$A$10:$A$146,'Round 2 Data'!$E$10:$E$146,0)=0,0,1)+IF(_xlfn.XLOOKUP('Summary Data'!A9,'Round 3 Data'!$A$10:$A$145,'Round 3 Data'!$E$10:$E$145,0)=0,0,1)+IF(_xlfn.XLOOKUP('Summary Data'!A9,'Round 4 Data'!$A$10:$A$147,'Round 4 Data'!$E$10:$E$147,0)=0,0,1)</f>
        <v>#VALUE!</v>
      </c>
      <c r="E9" s="57" t="e">
        <f>(_xlfn.XLOOKUP('Summary Data'!$A9,'Round 1 Data'!$A$10:$A$143,'Round 1 Data'!E$10:E$144,0)+_xlfn.XLOOKUP('Summary Data'!$A9,'Round 2 Data'!$A$10:$A$146,'Round 2 Data'!E$10:E$146,0)+_xlfn.XLOOKUP('Summary Data'!$A9,'Round 3 Data'!$A$10:$A$145,'Round 3 Data'!E$10:E$145,0)+_xlfn.XLOOKUP('Summary Data'!$A9,'Round 4 Data'!$A$10:$A$147,'Round 4 Data'!E$10:E$147,0))/$D9</f>
        <v>#VALUE!</v>
      </c>
      <c r="F9" s="57" t="e">
        <f>(_xlfn.XLOOKUP('Summary Data'!$A9,'Round 1 Data'!$A$10:$A$143,'Round 1 Data'!F$10:F$144,0)+_xlfn.XLOOKUP('Summary Data'!$A9,'Round 2 Data'!$A$10:$A$146,'Round 2 Data'!F$10:F$146,0)+_xlfn.XLOOKUP('Summary Data'!$A9,'Round 3 Data'!$A$10:$A$145,'Round 3 Data'!F$10:F$145,0)+_xlfn.XLOOKUP('Summary Data'!$A9,'Round 4 Data'!$A$10:$A$147,'Round 4 Data'!F$10:F$147,0))/$D9</f>
        <v>#VALUE!</v>
      </c>
      <c r="G9" s="57" t="e">
        <f>(_xlfn.XLOOKUP('Summary Data'!$A9,'Round 1 Data'!$A$10:$A$143,'Round 1 Data'!G$10:G$144,0)+_xlfn.XLOOKUP('Summary Data'!$A9,'Round 2 Data'!$A$10:$A$146,'Round 2 Data'!G$10:G$146,0)+_xlfn.XLOOKUP('Summary Data'!$A9,'Round 3 Data'!$A$10:$A$145,'Round 3 Data'!G$10:G$145,0)+_xlfn.XLOOKUP('Summary Data'!$A9,'Round 4 Data'!$A$10:$A$147,'Round 4 Data'!G$10:G$147,0))/$D9</f>
        <v>#VALUE!</v>
      </c>
      <c r="H9" s="57" t="e">
        <f>(_xlfn.XLOOKUP('Summary Data'!$A9,'Round 1 Data'!$A$10:$A$143,'Round 1 Data'!H$10:H$144,0)+_xlfn.XLOOKUP('Summary Data'!$A9,'Round 2 Data'!$A$10:$A$146,'Round 2 Data'!H$10:H$146,0)+_xlfn.XLOOKUP('Summary Data'!$A9,'Round 3 Data'!$A$10:$A$145,'Round 3 Data'!H$10:H$145,0)+_xlfn.XLOOKUP('Summary Data'!$A9,'Round 4 Data'!$A$10:$A$147,'Round 4 Data'!H$10:H$147,0))/$D9</f>
        <v>#VALUE!</v>
      </c>
      <c r="I9" s="57" t="e">
        <f>(_xlfn.XLOOKUP('Summary Data'!$A9,'Round 1 Data'!$A$10:$A$143,'Round 1 Data'!I$10:I$144,0)+_xlfn.XLOOKUP('Summary Data'!$A9,'Round 2 Data'!$A$10:$A$146,'Round 2 Data'!I$10:I$146,0)+_xlfn.XLOOKUP('Summary Data'!$A9,'Round 3 Data'!$A$10:$A$145,'Round 3 Data'!I$10:I$145,0)+_xlfn.XLOOKUP('Summary Data'!$A9,'Round 4 Data'!$A$10:$A$147,'Round 4 Data'!I$10:I$147,0))/$D9</f>
        <v>#VALUE!</v>
      </c>
      <c r="J9" s="57" t="e">
        <f>(_xlfn.XLOOKUP('Summary Data'!$A9,'Round 1 Data'!$A$10:$A$143,'Round 1 Data'!J$10:J$144,0)+_xlfn.XLOOKUP('Summary Data'!$A9,'Round 2 Data'!$A$10:$A$146,'Round 2 Data'!J$10:J$146,0)+_xlfn.XLOOKUP('Summary Data'!$A9,'Round 3 Data'!$A$10:$A$145,'Round 3 Data'!J$10:J$145,0)+_xlfn.XLOOKUP('Summary Data'!$A9,'Round 4 Data'!$A$10:$A$147,'Round 4 Data'!J$10:J$147,0))/$D9</f>
        <v>#VALUE!</v>
      </c>
      <c r="K9" s="57" t="e">
        <f>(_xlfn.XLOOKUP('Summary Data'!$A9,'Round 1 Data'!$A$10:$A$143,'Round 1 Data'!K$10:K$144,0)+_xlfn.XLOOKUP('Summary Data'!$A9,'Round 2 Data'!$A$10:$A$146,'Round 2 Data'!K$10:K$146,0)+_xlfn.XLOOKUP('Summary Data'!$A9,'Round 3 Data'!$A$10:$A$145,'Round 3 Data'!K$10:K$145,0)+_xlfn.XLOOKUP('Summary Data'!$A9,'Round 4 Data'!$A$10:$A$147,'Round 4 Data'!K$10:K$147,0))/$D9</f>
        <v>#VALUE!</v>
      </c>
      <c r="L9" s="57" t="e">
        <f>(_xlfn.XLOOKUP('Summary Data'!$A9,'Round 1 Data'!$A$10:$A$143,'Round 1 Data'!L$10:L$144,0)+_xlfn.XLOOKUP('Summary Data'!$A9,'Round 2 Data'!$A$10:$A$146,'Round 2 Data'!L$10:L$146,0)+_xlfn.XLOOKUP('Summary Data'!$A9,'Round 3 Data'!$A$10:$A$145,'Round 3 Data'!L$10:L$145,0)+_xlfn.XLOOKUP('Summary Data'!$A9,'Round 4 Data'!$A$10:$A$147,'Round 4 Data'!L$10:L$147,0))/$D9</f>
        <v>#VALUE!</v>
      </c>
      <c r="M9" s="57" t="e">
        <f>(_xlfn.XLOOKUP('Summary Data'!$A9,'Round 1 Data'!$A$10:$A$143,'Round 1 Data'!M$10:M$144,0)+_xlfn.XLOOKUP('Summary Data'!$A9,'Round 2 Data'!$A$10:$A$146,'Round 2 Data'!M$10:M$146,0)+_xlfn.XLOOKUP('Summary Data'!$A9,'Round 3 Data'!$A$10:$A$145,'Round 3 Data'!M$10:M$145,0)+_xlfn.XLOOKUP('Summary Data'!$A9,'Round 4 Data'!$A$10:$A$147,'Round 4 Data'!M$10:M$147,0))/$D9</f>
        <v>#VALUE!</v>
      </c>
      <c r="N9" s="57" t="e">
        <f>(_xlfn.XLOOKUP('Summary Data'!$A9,'Round 1 Data'!$A$10:$A$143,'Round 1 Data'!N$10:N$144,0)+_xlfn.XLOOKUP('Summary Data'!$A9,'Round 2 Data'!$A$10:$A$146,'Round 2 Data'!N$10:N$146,0)+_xlfn.XLOOKUP('Summary Data'!$A9,'Round 3 Data'!$A$10:$A$145,'Round 3 Data'!N$10:N$145,0)+_xlfn.XLOOKUP('Summary Data'!$A9,'Round 4 Data'!$A$10:$A$147,'Round 4 Data'!N$10:N$147,0))/$D9</f>
        <v>#VALUE!</v>
      </c>
      <c r="O9" s="57" t="e">
        <f>(_xlfn.XLOOKUP('Summary Data'!$A9,'Round 1 Data'!$A$10:$A$143,'Round 1 Data'!O$10:O$144,0)+_xlfn.XLOOKUP('Summary Data'!$A9,'Round 2 Data'!$A$10:$A$146,'Round 2 Data'!O$10:O$146,0)+_xlfn.XLOOKUP('Summary Data'!$A9,'Round 3 Data'!$A$10:$A$145,'Round 3 Data'!O$10:O$145,0)+_xlfn.XLOOKUP('Summary Data'!$A9,'Round 4 Data'!$A$10:$A$147,'Round 4 Data'!O$10:O$147,0))/$D9</f>
        <v>#VALUE!</v>
      </c>
      <c r="P9" s="57" t="e">
        <f>(_xlfn.XLOOKUP('Summary Data'!$A9,'Round 1 Data'!$A$10:$A$143,'Round 1 Data'!P$10:P$144,0)+_xlfn.XLOOKUP('Summary Data'!$A9,'Round 2 Data'!$A$10:$A$146,'Round 2 Data'!P$10:P$146,0)+_xlfn.XLOOKUP('Summary Data'!$A9,'Round 3 Data'!$A$10:$A$145,'Round 3 Data'!P$10:P$145,0)+_xlfn.XLOOKUP('Summary Data'!$A9,'Round 4 Data'!$A$10:$A$147,'Round 4 Data'!P$10:P$147,0))/$D9</f>
        <v>#VALUE!</v>
      </c>
      <c r="Q9" s="57" t="e">
        <f>(_xlfn.XLOOKUP('Summary Data'!$A9,'Round 1 Data'!$A$10:$A$143,'Round 1 Data'!Q$10:Q$144,0)+_xlfn.XLOOKUP('Summary Data'!$A9,'Round 2 Data'!$A$10:$A$146,'Round 2 Data'!Q$10:Q$146,0)+_xlfn.XLOOKUP('Summary Data'!$A9,'Round 3 Data'!$A$10:$A$145,'Round 3 Data'!Q$10:Q$145,0)+_xlfn.XLOOKUP('Summary Data'!$A9,'Round 4 Data'!$A$10:$A$147,'Round 4 Data'!Q$10:Q$147,0))/$D9</f>
        <v>#VALUE!</v>
      </c>
      <c r="R9" s="57" t="e">
        <f>(_xlfn.XLOOKUP('Summary Data'!$A9,'Round 1 Data'!$A$10:$A$143,'Round 1 Data'!R$10:R$144,0)+_xlfn.XLOOKUP('Summary Data'!$A9,'Round 2 Data'!$A$10:$A$146,'Round 2 Data'!R$10:R$146,0)+_xlfn.XLOOKUP('Summary Data'!$A9,'Round 3 Data'!$A$10:$A$145,'Round 3 Data'!R$10:R$145,0)+_xlfn.XLOOKUP('Summary Data'!$A9,'Round 4 Data'!$A$10:$A$147,'Round 4 Data'!R$10:R$147,0))/$D9</f>
        <v>#VALUE!</v>
      </c>
      <c r="S9" s="57" t="e">
        <f>(_xlfn.XLOOKUP('Summary Data'!$A9,'Round 1 Data'!$A$10:$A$143,'Round 1 Data'!S$10:S$144,0)+_xlfn.XLOOKUP('Summary Data'!$A9,'Round 2 Data'!$A$10:$A$146,'Round 2 Data'!S$10:S$146,0)+_xlfn.XLOOKUP('Summary Data'!$A9,'Round 3 Data'!$A$10:$A$145,'Round 3 Data'!S$10:S$145,0)+_xlfn.XLOOKUP('Summary Data'!$A9,'Round 4 Data'!$A$10:$A$147,'Round 4 Data'!S$10:S$147,0))/$D9</f>
        <v>#VALUE!</v>
      </c>
      <c r="T9" s="62" t="e">
        <f>(_xlfn.XLOOKUP('Summary Data'!$A9,'Round 1 Data'!$A$10:$A$143,'Round 1 Data'!U$10:U$144,0)+_xlfn.XLOOKUP('Summary Data'!$A9,'Round 2 Data'!$A$10:$A$146,'Round 2 Data'!U$10:U$146,0)+_xlfn.XLOOKUP('Summary Data'!$A9,'Round 3 Data'!$A$10:$A$145,'Round 3 Data'!U$10:U$145,0)+_xlfn.XLOOKUP('Summary Data'!$A9,'Round 4 Data'!$A$10:$A$147,'Round 4 Data'!U$10:U$147,0))</f>
        <v>#VALUE!</v>
      </c>
    </row>
    <row r="10" spans="1:21" ht="16" thickBot="1" x14ac:dyDescent="0.25">
      <c r="A10" s="61" t="s">
        <v>63</v>
      </c>
      <c r="B10" t="s">
        <v>188</v>
      </c>
      <c r="C10" t="s">
        <v>196</v>
      </c>
      <c r="D10" t="e">
        <f>IF(_xlfn.XLOOKUP('Summary Data'!A10,'Round 1 Data'!$A$10:$A$143,'Round 1 Data'!$E$10:$E$144,0)=0,0,1)+IF(_xlfn.XLOOKUP('Summary Data'!A10,'Round 2 Data'!$A$10:$A$146,'Round 2 Data'!$E$10:$E$146,0)=0,0,1)+IF(_xlfn.XLOOKUP('Summary Data'!A10,'Round 3 Data'!$A$10:$A$145,'Round 3 Data'!$E$10:$E$145,0)=0,0,1)+IF(_xlfn.XLOOKUP('Summary Data'!A10,'Round 4 Data'!$A$10:$A$147,'Round 4 Data'!$E$10:$E$147,0)=0,0,1)</f>
        <v>#VALUE!</v>
      </c>
      <c r="E10" s="57" t="e">
        <f>(_xlfn.XLOOKUP('Summary Data'!$A10,'Round 1 Data'!$A$10:$A$143,'Round 1 Data'!E$10:E$144,0)+_xlfn.XLOOKUP('Summary Data'!$A10,'Round 2 Data'!$A$10:$A$146,'Round 2 Data'!E$10:E$146,0)+_xlfn.XLOOKUP('Summary Data'!$A10,'Round 3 Data'!$A$10:$A$145,'Round 3 Data'!E$10:E$145,0)+_xlfn.XLOOKUP('Summary Data'!$A10,'Round 4 Data'!$A$10:$A$147,'Round 4 Data'!E$10:E$147,0))/$D10</f>
        <v>#VALUE!</v>
      </c>
      <c r="F10" s="57" t="e">
        <f>(_xlfn.XLOOKUP('Summary Data'!$A10,'Round 1 Data'!$A$10:$A$143,'Round 1 Data'!F$10:F$144,0)+_xlfn.XLOOKUP('Summary Data'!$A10,'Round 2 Data'!$A$10:$A$146,'Round 2 Data'!F$10:F$146,0)+_xlfn.XLOOKUP('Summary Data'!$A10,'Round 3 Data'!$A$10:$A$145,'Round 3 Data'!F$10:F$145,0)+_xlfn.XLOOKUP('Summary Data'!$A10,'Round 4 Data'!$A$10:$A$147,'Round 4 Data'!F$10:F$147,0))/$D10</f>
        <v>#VALUE!</v>
      </c>
      <c r="G10" s="57" t="e">
        <f>(_xlfn.XLOOKUP('Summary Data'!$A10,'Round 1 Data'!$A$10:$A$143,'Round 1 Data'!G$10:G$144,0)+_xlfn.XLOOKUP('Summary Data'!$A10,'Round 2 Data'!$A$10:$A$146,'Round 2 Data'!G$10:G$146,0)+_xlfn.XLOOKUP('Summary Data'!$A10,'Round 3 Data'!$A$10:$A$145,'Round 3 Data'!G$10:G$145,0)+_xlfn.XLOOKUP('Summary Data'!$A10,'Round 4 Data'!$A$10:$A$147,'Round 4 Data'!G$10:G$147,0))/$D10</f>
        <v>#VALUE!</v>
      </c>
      <c r="H10" s="57" t="e">
        <f>(_xlfn.XLOOKUP('Summary Data'!$A10,'Round 1 Data'!$A$10:$A$143,'Round 1 Data'!H$10:H$144,0)+_xlfn.XLOOKUP('Summary Data'!$A10,'Round 2 Data'!$A$10:$A$146,'Round 2 Data'!H$10:H$146,0)+_xlfn.XLOOKUP('Summary Data'!$A10,'Round 3 Data'!$A$10:$A$145,'Round 3 Data'!H$10:H$145,0)+_xlfn.XLOOKUP('Summary Data'!$A10,'Round 4 Data'!$A$10:$A$147,'Round 4 Data'!H$10:H$147,0))/$D10</f>
        <v>#VALUE!</v>
      </c>
      <c r="I10" s="57" t="e">
        <f>(_xlfn.XLOOKUP('Summary Data'!$A10,'Round 1 Data'!$A$10:$A$143,'Round 1 Data'!I$10:I$144,0)+_xlfn.XLOOKUP('Summary Data'!$A10,'Round 2 Data'!$A$10:$A$146,'Round 2 Data'!I$10:I$146,0)+_xlfn.XLOOKUP('Summary Data'!$A10,'Round 3 Data'!$A$10:$A$145,'Round 3 Data'!I$10:I$145,0)+_xlfn.XLOOKUP('Summary Data'!$A10,'Round 4 Data'!$A$10:$A$147,'Round 4 Data'!I$10:I$147,0))/$D10</f>
        <v>#VALUE!</v>
      </c>
      <c r="J10" s="57" t="e">
        <f>(_xlfn.XLOOKUP('Summary Data'!$A10,'Round 1 Data'!$A$10:$A$143,'Round 1 Data'!J$10:J$144,0)+_xlfn.XLOOKUP('Summary Data'!$A10,'Round 2 Data'!$A$10:$A$146,'Round 2 Data'!J$10:J$146,0)+_xlfn.XLOOKUP('Summary Data'!$A10,'Round 3 Data'!$A$10:$A$145,'Round 3 Data'!J$10:J$145,0)+_xlfn.XLOOKUP('Summary Data'!$A10,'Round 4 Data'!$A$10:$A$147,'Round 4 Data'!J$10:J$147,0))/$D10</f>
        <v>#VALUE!</v>
      </c>
      <c r="K10" s="57" t="e">
        <f>(_xlfn.XLOOKUP('Summary Data'!$A10,'Round 1 Data'!$A$10:$A$143,'Round 1 Data'!K$10:K$144,0)+_xlfn.XLOOKUP('Summary Data'!$A10,'Round 2 Data'!$A$10:$A$146,'Round 2 Data'!K$10:K$146,0)+_xlfn.XLOOKUP('Summary Data'!$A10,'Round 3 Data'!$A$10:$A$145,'Round 3 Data'!K$10:K$145,0)+_xlfn.XLOOKUP('Summary Data'!$A10,'Round 4 Data'!$A$10:$A$147,'Round 4 Data'!K$10:K$147,0))/$D10</f>
        <v>#VALUE!</v>
      </c>
      <c r="L10" s="57" t="e">
        <f>(_xlfn.XLOOKUP('Summary Data'!$A10,'Round 1 Data'!$A$10:$A$143,'Round 1 Data'!L$10:L$144,0)+_xlfn.XLOOKUP('Summary Data'!$A10,'Round 2 Data'!$A$10:$A$146,'Round 2 Data'!L$10:L$146,0)+_xlfn.XLOOKUP('Summary Data'!$A10,'Round 3 Data'!$A$10:$A$145,'Round 3 Data'!L$10:L$145,0)+_xlfn.XLOOKUP('Summary Data'!$A10,'Round 4 Data'!$A$10:$A$147,'Round 4 Data'!L$10:L$147,0))/$D10</f>
        <v>#VALUE!</v>
      </c>
      <c r="M10" s="57" t="e">
        <f>(_xlfn.XLOOKUP('Summary Data'!$A10,'Round 1 Data'!$A$10:$A$143,'Round 1 Data'!M$10:M$144,0)+_xlfn.XLOOKUP('Summary Data'!$A10,'Round 2 Data'!$A$10:$A$146,'Round 2 Data'!M$10:M$146,0)+_xlfn.XLOOKUP('Summary Data'!$A10,'Round 3 Data'!$A$10:$A$145,'Round 3 Data'!M$10:M$145,0)+_xlfn.XLOOKUP('Summary Data'!$A10,'Round 4 Data'!$A$10:$A$147,'Round 4 Data'!M$10:M$147,0))/$D10</f>
        <v>#VALUE!</v>
      </c>
      <c r="N10" s="57" t="e">
        <f>(_xlfn.XLOOKUP('Summary Data'!$A10,'Round 1 Data'!$A$10:$A$143,'Round 1 Data'!N$10:N$144,0)+_xlfn.XLOOKUP('Summary Data'!$A10,'Round 2 Data'!$A$10:$A$146,'Round 2 Data'!N$10:N$146,0)+_xlfn.XLOOKUP('Summary Data'!$A10,'Round 3 Data'!$A$10:$A$145,'Round 3 Data'!N$10:N$145,0)+_xlfn.XLOOKUP('Summary Data'!$A10,'Round 4 Data'!$A$10:$A$147,'Round 4 Data'!N$10:N$147,0))/$D10</f>
        <v>#VALUE!</v>
      </c>
      <c r="O10" s="57" t="e">
        <f>(_xlfn.XLOOKUP('Summary Data'!$A10,'Round 1 Data'!$A$10:$A$143,'Round 1 Data'!O$10:O$144,0)+_xlfn.XLOOKUP('Summary Data'!$A10,'Round 2 Data'!$A$10:$A$146,'Round 2 Data'!O$10:O$146,0)+_xlfn.XLOOKUP('Summary Data'!$A10,'Round 3 Data'!$A$10:$A$145,'Round 3 Data'!O$10:O$145,0)+_xlfn.XLOOKUP('Summary Data'!$A10,'Round 4 Data'!$A$10:$A$147,'Round 4 Data'!O$10:O$147,0))/$D10</f>
        <v>#VALUE!</v>
      </c>
      <c r="P10" s="57" t="e">
        <f>(_xlfn.XLOOKUP('Summary Data'!$A10,'Round 1 Data'!$A$10:$A$143,'Round 1 Data'!P$10:P$144,0)+_xlfn.XLOOKUP('Summary Data'!$A10,'Round 2 Data'!$A$10:$A$146,'Round 2 Data'!P$10:P$146,0)+_xlfn.XLOOKUP('Summary Data'!$A10,'Round 3 Data'!$A$10:$A$145,'Round 3 Data'!P$10:P$145,0)+_xlfn.XLOOKUP('Summary Data'!$A10,'Round 4 Data'!$A$10:$A$147,'Round 4 Data'!P$10:P$147,0))/$D10</f>
        <v>#VALUE!</v>
      </c>
      <c r="Q10" s="57" t="e">
        <f>(_xlfn.XLOOKUP('Summary Data'!$A10,'Round 1 Data'!$A$10:$A$143,'Round 1 Data'!Q$10:Q$144,0)+_xlfn.XLOOKUP('Summary Data'!$A10,'Round 2 Data'!$A$10:$A$146,'Round 2 Data'!Q$10:Q$146,0)+_xlfn.XLOOKUP('Summary Data'!$A10,'Round 3 Data'!$A$10:$A$145,'Round 3 Data'!Q$10:Q$145,0)+_xlfn.XLOOKUP('Summary Data'!$A10,'Round 4 Data'!$A$10:$A$147,'Round 4 Data'!Q$10:Q$147,0))/$D10</f>
        <v>#VALUE!</v>
      </c>
      <c r="R10" s="57" t="e">
        <f>(_xlfn.XLOOKUP('Summary Data'!$A10,'Round 1 Data'!$A$10:$A$143,'Round 1 Data'!R$10:R$144,0)+_xlfn.XLOOKUP('Summary Data'!$A10,'Round 2 Data'!$A$10:$A$146,'Round 2 Data'!R$10:R$146,0)+_xlfn.XLOOKUP('Summary Data'!$A10,'Round 3 Data'!$A$10:$A$145,'Round 3 Data'!R$10:R$145,0)+_xlfn.XLOOKUP('Summary Data'!$A10,'Round 4 Data'!$A$10:$A$147,'Round 4 Data'!R$10:R$147,0))/$D10</f>
        <v>#VALUE!</v>
      </c>
      <c r="S10" s="57" t="e">
        <f>(_xlfn.XLOOKUP('Summary Data'!$A10,'Round 1 Data'!$A$10:$A$143,'Round 1 Data'!S$10:S$144,0)+_xlfn.XLOOKUP('Summary Data'!$A10,'Round 2 Data'!$A$10:$A$146,'Round 2 Data'!S$10:S$146,0)+_xlfn.XLOOKUP('Summary Data'!$A10,'Round 3 Data'!$A$10:$A$145,'Round 3 Data'!S$10:S$145,0)+_xlfn.XLOOKUP('Summary Data'!$A10,'Round 4 Data'!$A$10:$A$147,'Round 4 Data'!S$10:S$147,0))/$D10</f>
        <v>#VALUE!</v>
      </c>
      <c r="T10" s="62" t="e">
        <f>(_xlfn.XLOOKUP('Summary Data'!$A10,'Round 1 Data'!$A$10:$A$143,'Round 1 Data'!U$10:U$144,0)+_xlfn.XLOOKUP('Summary Data'!$A10,'Round 2 Data'!$A$10:$A$146,'Round 2 Data'!U$10:U$146,0)+_xlfn.XLOOKUP('Summary Data'!$A10,'Round 3 Data'!$A$10:$A$145,'Round 3 Data'!U$10:U$145,0)+_xlfn.XLOOKUP('Summary Data'!$A10,'Round 4 Data'!$A$10:$A$147,'Round 4 Data'!U$10:U$147,0))</f>
        <v>#VALUE!</v>
      </c>
    </row>
    <row r="11" spans="1:21" ht="16" thickBot="1" x14ac:dyDescent="0.25">
      <c r="A11" s="63" t="s">
        <v>159</v>
      </c>
      <c r="B11" t="s">
        <v>188</v>
      </c>
      <c r="C11" t="s">
        <v>196</v>
      </c>
      <c r="D11" t="e">
        <f>IF(_xlfn.XLOOKUP('Summary Data'!A11,'Round 1 Data'!$A$10:$A$143,'Round 1 Data'!$E$10:$E$144,0)=0,0,1)+IF(_xlfn.XLOOKUP('Summary Data'!A11,'Round 2 Data'!$A$10:$A$146,'Round 2 Data'!$E$10:$E$146,0)=0,0,1)+IF(_xlfn.XLOOKUP('Summary Data'!A11,'Round 3 Data'!$A$10:$A$145,'Round 3 Data'!$E$10:$E$145,0)=0,0,1)+IF(_xlfn.XLOOKUP('Summary Data'!A11,'Round 4 Data'!$A$10:$A$147,'Round 4 Data'!$E$10:$E$147,0)=0,0,1)</f>
        <v>#VALUE!</v>
      </c>
      <c r="E11" s="57" t="e">
        <f>(_xlfn.XLOOKUP('Summary Data'!$A11,'Round 1 Data'!$A$10:$A$143,'Round 1 Data'!E$10:E$144,0)+_xlfn.XLOOKUP('Summary Data'!$A11,'Round 2 Data'!$A$10:$A$146,'Round 2 Data'!E$10:E$146,0)+_xlfn.XLOOKUP('Summary Data'!$A11,'Round 3 Data'!$A$10:$A$145,'Round 3 Data'!E$10:E$145,0)+_xlfn.XLOOKUP('Summary Data'!$A11,'Round 4 Data'!$A$10:$A$147,'Round 4 Data'!E$10:E$147,0))/$D11</f>
        <v>#VALUE!</v>
      </c>
      <c r="F11" s="57" t="e">
        <f>(_xlfn.XLOOKUP('Summary Data'!$A11,'Round 1 Data'!$A$10:$A$143,'Round 1 Data'!F$10:F$144,0)+_xlfn.XLOOKUP('Summary Data'!$A11,'Round 2 Data'!$A$10:$A$146,'Round 2 Data'!F$10:F$146,0)+_xlfn.XLOOKUP('Summary Data'!$A11,'Round 3 Data'!$A$10:$A$145,'Round 3 Data'!F$10:F$145,0)+_xlfn.XLOOKUP('Summary Data'!$A11,'Round 4 Data'!$A$10:$A$147,'Round 4 Data'!F$10:F$147,0))/$D11</f>
        <v>#VALUE!</v>
      </c>
      <c r="G11" s="57" t="e">
        <f>(_xlfn.XLOOKUP('Summary Data'!$A11,'Round 1 Data'!$A$10:$A$143,'Round 1 Data'!G$10:G$144,0)+_xlfn.XLOOKUP('Summary Data'!$A11,'Round 2 Data'!$A$10:$A$146,'Round 2 Data'!G$10:G$146,0)+_xlfn.XLOOKUP('Summary Data'!$A11,'Round 3 Data'!$A$10:$A$145,'Round 3 Data'!G$10:G$145,0)+_xlfn.XLOOKUP('Summary Data'!$A11,'Round 4 Data'!$A$10:$A$147,'Round 4 Data'!G$10:G$147,0))/$D11</f>
        <v>#VALUE!</v>
      </c>
      <c r="H11" s="57" t="e">
        <f>(_xlfn.XLOOKUP('Summary Data'!$A11,'Round 1 Data'!$A$10:$A$143,'Round 1 Data'!H$10:H$144,0)+_xlfn.XLOOKUP('Summary Data'!$A11,'Round 2 Data'!$A$10:$A$146,'Round 2 Data'!H$10:H$146,0)+_xlfn.XLOOKUP('Summary Data'!$A11,'Round 3 Data'!$A$10:$A$145,'Round 3 Data'!H$10:H$145,0)+_xlfn.XLOOKUP('Summary Data'!$A11,'Round 4 Data'!$A$10:$A$147,'Round 4 Data'!H$10:H$147,0))/$D11</f>
        <v>#VALUE!</v>
      </c>
      <c r="I11" s="57" t="e">
        <f>(_xlfn.XLOOKUP('Summary Data'!$A11,'Round 1 Data'!$A$10:$A$143,'Round 1 Data'!I$10:I$144,0)+_xlfn.XLOOKUP('Summary Data'!$A11,'Round 2 Data'!$A$10:$A$146,'Round 2 Data'!I$10:I$146,0)+_xlfn.XLOOKUP('Summary Data'!$A11,'Round 3 Data'!$A$10:$A$145,'Round 3 Data'!I$10:I$145,0)+_xlfn.XLOOKUP('Summary Data'!$A11,'Round 4 Data'!$A$10:$A$147,'Round 4 Data'!I$10:I$147,0))/$D11</f>
        <v>#VALUE!</v>
      </c>
      <c r="J11" s="57" t="e">
        <f>(_xlfn.XLOOKUP('Summary Data'!$A11,'Round 1 Data'!$A$10:$A$143,'Round 1 Data'!J$10:J$144,0)+_xlfn.XLOOKUP('Summary Data'!$A11,'Round 2 Data'!$A$10:$A$146,'Round 2 Data'!J$10:J$146,0)+_xlfn.XLOOKUP('Summary Data'!$A11,'Round 3 Data'!$A$10:$A$145,'Round 3 Data'!J$10:J$145,0)+_xlfn.XLOOKUP('Summary Data'!$A11,'Round 4 Data'!$A$10:$A$147,'Round 4 Data'!J$10:J$147,0))/$D11</f>
        <v>#VALUE!</v>
      </c>
      <c r="K11" s="57" t="e">
        <f>(_xlfn.XLOOKUP('Summary Data'!$A11,'Round 1 Data'!$A$10:$A$143,'Round 1 Data'!K$10:K$144,0)+_xlfn.XLOOKUP('Summary Data'!$A11,'Round 2 Data'!$A$10:$A$146,'Round 2 Data'!K$10:K$146,0)+_xlfn.XLOOKUP('Summary Data'!$A11,'Round 3 Data'!$A$10:$A$145,'Round 3 Data'!K$10:K$145,0)+_xlfn.XLOOKUP('Summary Data'!$A11,'Round 4 Data'!$A$10:$A$147,'Round 4 Data'!K$10:K$147,0))/$D11</f>
        <v>#VALUE!</v>
      </c>
      <c r="L11" s="57" t="e">
        <f>(_xlfn.XLOOKUP('Summary Data'!$A11,'Round 1 Data'!$A$10:$A$143,'Round 1 Data'!L$10:L$144,0)+_xlfn.XLOOKUP('Summary Data'!$A11,'Round 2 Data'!$A$10:$A$146,'Round 2 Data'!L$10:L$146,0)+_xlfn.XLOOKUP('Summary Data'!$A11,'Round 3 Data'!$A$10:$A$145,'Round 3 Data'!L$10:L$145,0)+_xlfn.XLOOKUP('Summary Data'!$A11,'Round 4 Data'!$A$10:$A$147,'Round 4 Data'!L$10:L$147,0))/$D11</f>
        <v>#VALUE!</v>
      </c>
      <c r="M11" s="57" t="e">
        <f>(_xlfn.XLOOKUP('Summary Data'!$A11,'Round 1 Data'!$A$10:$A$143,'Round 1 Data'!M$10:M$144,0)+_xlfn.XLOOKUP('Summary Data'!$A11,'Round 2 Data'!$A$10:$A$146,'Round 2 Data'!M$10:M$146,0)+_xlfn.XLOOKUP('Summary Data'!$A11,'Round 3 Data'!$A$10:$A$145,'Round 3 Data'!M$10:M$145,0)+_xlfn.XLOOKUP('Summary Data'!$A11,'Round 4 Data'!$A$10:$A$147,'Round 4 Data'!M$10:M$147,0))/$D11</f>
        <v>#VALUE!</v>
      </c>
      <c r="N11" s="57" t="e">
        <f>(_xlfn.XLOOKUP('Summary Data'!$A11,'Round 1 Data'!$A$10:$A$143,'Round 1 Data'!N$10:N$144,0)+_xlfn.XLOOKUP('Summary Data'!$A11,'Round 2 Data'!$A$10:$A$146,'Round 2 Data'!N$10:N$146,0)+_xlfn.XLOOKUP('Summary Data'!$A11,'Round 3 Data'!$A$10:$A$145,'Round 3 Data'!N$10:N$145,0)+_xlfn.XLOOKUP('Summary Data'!$A11,'Round 4 Data'!$A$10:$A$147,'Round 4 Data'!N$10:N$147,0))/$D11</f>
        <v>#VALUE!</v>
      </c>
      <c r="O11" s="57" t="e">
        <f>(_xlfn.XLOOKUP('Summary Data'!$A11,'Round 1 Data'!$A$10:$A$143,'Round 1 Data'!O$10:O$144,0)+_xlfn.XLOOKUP('Summary Data'!$A11,'Round 2 Data'!$A$10:$A$146,'Round 2 Data'!O$10:O$146,0)+_xlfn.XLOOKUP('Summary Data'!$A11,'Round 3 Data'!$A$10:$A$145,'Round 3 Data'!O$10:O$145,0)+_xlfn.XLOOKUP('Summary Data'!$A11,'Round 4 Data'!$A$10:$A$147,'Round 4 Data'!O$10:O$147,0))/$D11</f>
        <v>#VALUE!</v>
      </c>
      <c r="P11" s="57" t="e">
        <f>(_xlfn.XLOOKUP('Summary Data'!$A11,'Round 1 Data'!$A$10:$A$143,'Round 1 Data'!P$10:P$144,0)+_xlfn.XLOOKUP('Summary Data'!$A11,'Round 2 Data'!$A$10:$A$146,'Round 2 Data'!P$10:P$146,0)+_xlfn.XLOOKUP('Summary Data'!$A11,'Round 3 Data'!$A$10:$A$145,'Round 3 Data'!P$10:P$145,0)+_xlfn.XLOOKUP('Summary Data'!$A11,'Round 4 Data'!$A$10:$A$147,'Round 4 Data'!P$10:P$147,0))/$D11</f>
        <v>#VALUE!</v>
      </c>
      <c r="Q11" s="57" t="e">
        <f>(_xlfn.XLOOKUP('Summary Data'!$A11,'Round 1 Data'!$A$10:$A$143,'Round 1 Data'!Q$10:Q$144,0)+_xlfn.XLOOKUP('Summary Data'!$A11,'Round 2 Data'!$A$10:$A$146,'Round 2 Data'!Q$10:Q$146,0)+_xlfn.XLOOKUP('Summary Data'!$A11,'Round 3 Data'!$A$10:$A$145,'Round 3 Data'!Q$10:Q$145,0)+_xlfn.XLOOKUP('Summary Data'!$A11,'Round 4 Data'!$A$10:$A$147,'Round 4 Data'!Q$10:Q$147,0))/$D11</f>
        <v>#VALUE!</v>
      </c>
      <c r="R11" s="57" t="e">
        <f>(_xlfn.XLOOKUP('Summary Data'!$A11,'Round 1 Data'!$A$10:$A$143,'Round 1 Data'!R$10:R$144,0)+_xlfn.XLOOKUP('Summary Data'!$A11,'Round 2 Data'!$A$10:$A$146,'Round 2 Data'!R$10:R$146,0)+_xlfn.XLOOKUP('Summary Data'!$A11,'Round 3 Data'!$A$10:$A$145,'Round 3 Data'!R$10:R$145,0)+_xlfn.XLOOKUP('Summary Data'!$A11,'Round 4 Data'!$A$10:$A$147,'Round 4 Data'!R$10:R$147,0))/$D11</f>
        <v>#VALUE!</v>
      </c>
      <c r="S11" s="57" t="e">
        <f>(_xlfn.XLOOKUP('Summary Data'!$A11,'Round 1 Data'!$A$10:$A$143,'Round 1 Data'!S$10:S$144,0)+_xlfn.XLOOKUP('Summary Data'!$A11,'Round 2 Data'!$A$10:$A$146,'Round 2 Data'!S$10:S$146,0)+_xlfn.XLOOKUP('Summary Data'!$A11,'Round 3 Data'!$A$10:$A$145,'Round 3 Data'!S$10:S$145,0)+_xlfn.XLOOKUP('Summary Data'!$A11,'Round 4 Data'!$A$10:$A$147,'Round 4 Data'!S$10:S$147,0))/$D11</f>
        <v>#VALUE!</v>
      </c>
      <c r="T11" s="62" t="e">
        <f>(_xlfn.XLOOKUP('Summary Data'!$A11,'Round 1 Data'!$A$10:$A$143,'Round 1 Data'!U$10:U$144,0)+_xlfn.XLOOKUP('Summary Data'!$A11,'Round 2 Data'!$A$10:$A$146,'Round 2 Data'!U$10:U$146,0)+_xlfn.XLOOKUP('Summary Data'!$A11,'Round 3 Data'!$A$10:$A$145,'Round 3 Data'!U$10:U$145,0)+_xlfn.XLOOKUP('Summary Data'!$A11,'Round 4 Data'!$A$10:$A$147,'Round 4 Data'!U$10:U$147,0))</f>
        <v>#VALUE!</v>
      </c>
    </row>
    <row r="12" spans="1:21" ht="16" thickBot="1" x14ac:dyDescent="0.25">
      <c r="A12" s="61" t="s">
        <v>65</v>
      </c>
      <c r="B12" t="s">
        <v>188</v>
      </c>
      <c r="C12" t="s">
        <v>197</v>
      </c>
      <c r="D12" t="e">
        <f>IF(_xlfn.XLOOKUP('Summary Data'!A12,'Round 1 Data'!$A$10:$A$143,'Round 1 Data'!$E$10:$E$144,0)=0,0,1)+IF(_xlfn.XLOOKUP('Summary Data'!A12,'Round 2 Data'!$A$10:$A$146,'Round 2 Data'!$E$10:$E$146,0)=0,0,1)+IF(_xlfn.XLOOKUP('Summary Data'!A12,'Round 3 Data'!$A$10:$A$145,'Round 3 Data'!$E$10:$E$145,0)=0,0,1)+IF(_xlfn.XLOOKUP('Summary Data'!A12,'Round 4 Data'!$A$10:$A$147,'Round 4 Data'!$E$10:$E$147,0)=0,0,1)</f>
        <v>#VALUE!</v>
      </c>
      <c r="E12" s="57" t="e">
        <f>(_xlfn.XLOOKUP('Summary Data'!$A12,'Round 1 Data'!$A$10:$A$143,'Round 1 Data'!E$10:E$144,0)+_xlfn.XLOOKUP('Summary Data'!$A12,'Round 2 Data'!$A$10:$A$146,'Round 2 Data'!E$10:E$146,0)+_xlfn.XLOOKUP('Summary Data'!$A12,'Round 3 Data'!$A$10:$A$145,'Round 3 Data'!E$10:E$145,0)+_xlfn.XLOOKUP('Summary Data'!$A12,'Round 4 Data'!$A$10:$A$147,'Round 4 Data'!E$10:E$147,0))/$D12</f>
        <v>#VALUE!</v>
      </c>
      <c r="F12" s="57" t="e">
        <f>(_xlfn.XLOOKUP('Summary Data'!$A12,'Round 1 Data'!$A$10:$A$143,'Round 1 Data'!F$10:F$144,0)+_xlfn.XLOOKUP('Summary Data'!$A12,'Round 2 Data'!$A$10:$A$146,'Round 2 Data'!F$10:F$146,0)+_xlfn.XLOOKUP('Summary Data'!$A12,'Round 3 Data'!$A$10:$A$145,'Round 3 Data'!F$10:F$145,0)+_xlfn.XLOOKUP('Summary Data'!$A12,'Round 4 Data'!$A$10:$A$147,'Round 4 Data'!F$10:F$147,0))/$D12</f>
        <v>#VALUE!</v>
      </c>
      <c r="G12" s="57" t="e">
        <f>(_xlfn.XLOOKUP('Summary Data'!$A12,'Round 1 Data'!$A$10:$A$143,'Round 1 Data'!G$10:G$144,0)+_xlfn.XLOOKUP('Summary Data'!$A12,'Round 2 Data'!$A$10:$A$146,'Round 2 Data'!G$10:G$146,0)+_xlfn.XLOOKUP('Summary Data'!$A12,'Round 3 Data'!$A$10:$A$145,'Round 3 Data'!G$10:G$145,0)+_xlfn.XLOOKUP('Summary Data'!$A12,'Round 4 Data'!$A$10:$A$147,'Round 4 Data'!G$10:G$147,0))/$D12</f>
        <v>#VALUE!</v>
      </c>
      <c r="H12" s="57" t="e">
        <f>(_xlfn.XLOOKUP('Summary Data'!$A12,'Round 1 Data'!$A$10:$A$143,'Round 1 Data'!H$10:H$144,0)+_xlfn.XLOOKUP('Summary Data'!$A12,'Round 2 Data'!$A$10:$A$146,'Round 2 Data'!H$10:H$146,0)+_xlfn.XLOOKUP('Summary Data'!$A12,'Round 3 Data'!$A$10:$A$145,'Round 3 Data'!H$10:H$145,0)+_xlfn.XLOOKUP('Summary Data'!$A12,'Round 4 Data'!$A$10:$A$147,'Round 4 Data'!H$10:H$147,0))/$D12</f>
        <v>#VALUE!</v>
      </c>
      <c r="I12" s="57" t="e">
        <f>(_xlfn.XLOOKUP('Summary Data'!$A12,'Round 1 Data'!$A$10:$A$143,'Round 1 Data'!I$10:I$144,0)+_xlfn.XLOOKUP('Summary Data'!$A12,'Round 2 Data'!$A$10:$A$146,'Round 2 Data'!I$10:I$146,0)+_xlfn.XLOOKUP('Summary Data'!$A12,'Round 3 Data'!$A$10:$A$145,'Round 3 Data'!I$10:I$145,0)+_xlfn.XLOOKUP('Summary Data'!$A12,'Round 4 Data'!$A$10:$A$147,'Round 4 Data'!I$10:I$147,0))/$D12</f>
        <v>#VALUE!</v>
      </c>
      <c r="J12" s="57" t="e">
        <f>(_xlfn.XLOOKUP('Summary Data'!$A12,'Round 1 Data'!$A$10:$A$143,'Round 1 Data'!J$10:J$144,0)+_xlfn.XLOOKUP('Summary Data'!$A12,'Round 2 Data'!$A$10:$A$146,'Round 2 Data'!J$10:J$146,0)+_xlfn.XLOOKUP('Summary Data'!$A12,'Round 3 Data'!$A$10:$A$145,'Round 3 Data'!J$10:J$145,0)+_xlfn.XLOOKUP('Summary Data'!$A12,'Round 4 Data'!$A$10:$A$147,'Round 4 Data'!J$10:J$147,0))/$D12</f>
        <v>#VALUE!</v>
      </c>
      <c r="K12" s="57" t="e">
        <f>(_xlfn.XLOOKUP('Summary Data'!$A12,'Round 1 Data'!$A$10:$A$143,'Round 1 Data'!K$10:K$144,0)+_xlfn.XLOOKUP('Summary Data'!$A12,'Round 2 Data'!$A$10:$A$146,'Round 2 Data'!K$10:K$146,0)+_xlfn.XLOOKUP('Summary Data'!$A12,'Round 3 Data'!$A$10:$A$145,'Round 3 Data'!K$10:K$145,0)+_xlfn.XLOOKUP('Summary Data'!$A12,'Round 4 Data'!$A$10:$A$147,'Round 4 Data'!K$10:K$147,0))/$D12</f>
        <v>#VALUE!</v>
      </c>
      <c r="L12" s="57" t="e">
        <f>(_xlfn.XLOOKUP('Summary Data'!$A12,'Round 1 Data'!$A$10:$A$143,'Round 1 Data'!L$10:L$144,0)+_xlfn.XLOOKUP('Summary Data'!$A12,'Round 2 Data'!$A$10:$A$146,'Round 2 Data'!L$10:L$146,0)+_xlfn.XLOOKUP('Summary Data'!$A12,'Round 3 Data'!$A$10:$A$145,'Round 3 Data'!L$10:L$145,0)+_xlfn.XLOOKUP('Summary Data'!$A12,'Round 4 Data'!$A$10:$A$147,'Round 4 Data'!L$10:L$147,0))/$D12</f>
        <v>#VALUE!</v>
      </c>
      <c r="M12" s="57" t="e">
        <f>(_xlfn.XLOOKUP('Summary Data'!$A12,'Round 1 Data'!$A$10:$A$143,'Round 1 Data'!M$10:M$144,0)+_xlfn.XLOOKUP('Summary Data'!$A12,'Round 2 Data'!$A$10:$A$146,'Round 2 Data'!M$10:M$146,0)+_xlfn.XLOOKUP('Summary Data'!$A12,'Round 3 Data'!$A$10:$A$145,'Round 3 Data'!M$10:M$145,0)+_xlfn.XLOOKUP('Summary Data'!$A12,'Round 4 Data'!$A$10:$A$147,'Round 4 Data'!M$10:M$147,0))/$D12</f>
        <v>#VALUE!</v>
      </c>
      <c r="N12" s="57" t="e">
        <f>(_xlfn.XLOOKUP('Summary Data'!$A12,'Round 1 Data'!$A$10:$A$143,'Round 1 Data'!N$10:N$144,0)+_xlfn.XLOOKUP('Summary Data'!$A12,'Round 2 Data'!$A$10:$A$146,'Round 2 Data'!N$10:N$146,0)+_xlfn.XLOOKUP('Summary Data'!$A12,'Round 3 Data'!$A$10:$A$145,'Round 3 Data'!N$10:N$145,0)+_xlfn.XLOOKUP('Summary Data'!$A12,'Round 4 Data'!$A$10:$A$147,'Round 4 Data'!N$10:N$147,0))/$D12</f>
        <v>#VALUE!</v>
      </c>
      <c r="O12" s="57" t="e">
        <f>(_xlfn.XLOOKUP('Summary Data'!$A12,'Round 1 Data'!$A$10:$A$143,'Round 1 Data'!O$10:O$144,0)+_xlfn.XLOOKUP('Summary Data'!$A12,'Round 2 Data'!$A$10:$A$146,'Round 2 Data'!O$10:O$146,0)+_xlfn.XLOOKUP('Summary Data'!$A12,'Round 3 Data'!$A$10:$A$145,'Round 3 Data'!O$10:O$145,0)+_xlfn.XLOOKUP('Summary Data'!$A12,'Round 4 Data'!$A$10:$A$147,'Round 4 Data'!O$10:O$147,0))/$D12</f>
        <v>#VALUE!</v>
      </c>
      <c r="P12" s="57" t="e">
        <f>(_xlfn.XLOOKUP('Summary Data'!$A12,'Round 1 Data'!$A$10:$A$143,'Round 1 Data'!P$10:P$144,0)+_xlfn.XLOOKUP('Summary Data'!$A12,'Round 2 Data'!$A$10:$A$146,'Round 2 Data'!P$10:P$146,0)+_xlfn.XLOOKUP('Summary Data'!$A12,'Round 3 Data'!$A$10:$A$145,'Round 3 Data'!P$10:P$145,0)+_xlfn.XLOOKUP('Summary Data'!$A12,'Round 4 Data'!$A$10:$A$147,'Round 4 Data'!P$10:P$147,0))/$D12</f>
        <v>#VALUE!</v>
      </c>
      <c r="Q12" s="57" t="e">
        <f>(_xlfn.XLOOKUP('Summary Data'!$A12,'Round 1 Data'!$A$10:$A$143,'Round 1 Data'!Q$10:Q$144,0)+_xlfn.XLOOKUP('Summary Data'!$A12,'Round 2 Data'!$A$10:$A$146,'Round 2 Data'!Q$10:Q$146,0)+_xlfn.XLOOKUP('Summary Data'!$A12,'Round 3 Data'!$A$10:$A$145,'Round 3 Data'!Q$10:Q$145,0)+_xlfn.XLOOKUP('Summary Data'!$A12,'Round 4 Data'!$A$10:$A$147,'Round 4 Data'!Q$10:Q$147,0))/$D12</f>
        <v>#VALUE!</v>
      </c>
      <c r="R12" s="57" t="e">
        <f>(_xlfn.XLOOKUP('Summary Data'!$A12,'Round 1 Data'!$A$10:$A$143,'Round 1 Data'!R$10:R$144,0)+_xlfn.XLOOKUP('Summary Data'!$A12,'Round 2 Data'!$A$10:$A$146,'Round 2 Data'!R$10:R$146,0)+_xlfn.XLOOKUP('Summary Data'!$A12,'Round 3 Data'!$A$10:$A$145,'Round 3 Data'!R$10:R$145,0)+_xlfn.XLOOKUP('Summary Data'!$A12,'Round 4 Data'!$A$10:$A$147,'Round 4 Data'!R$10:R$147,0))/$D12</f>
        <v>#VALUE!</v>
      </c>
      <c r="S12" s="57" t="e">
        <f>(_xlfn.XLOOKUP('Summary Data'!$A12,'Round 1 Data'!$A$10:$A$143,'Round 1 Data'!S$10:S$144,0)+_xlfn.XLOOKUP('Summary Data'!$A12,'Round 2 Data'!$A$10:$A$146,'Round 2 Data'!S$10:S$146,0)+_xlfn.XLOOKUP('Summary Data'!$A12,'Round 3 Data'!$A$10:$A$145,'Round 3 Data'!S$10:S$145,0)+_xlfn.XLOOKUP('Summary Data'!$A12,'Round 4 Data'!$A$10:$A$147,'Round 4 Data'!S$10:S$147,0))/$D12</f>
        <v>#VALUE!</v>
      </c>
      <c r="T12" s="62" t="e">
        <f>(_xlfn.XLOOKUP('Summary Data'!$A12,'Round 1 Data'!$A$10:$A$143,'Round 1 Data'!U$10:U$144,0)+_xlfn.XLOOKUP('Summary Data'!$A12,'Round 2 Data'!$A$10:$A$146,'Round 2 Data'!U$10:U$146,0)+_xlfn.XLOOKUP('Summary Data'!$A12,'Round 3 Data'!$A$10:$A$145,'Round 3 Data'!U$10:U$145,0)+_xlfn.XLOOKUP('Summary Data'!$A12,'Round 4 Data'!$A$10:$A$147,'Round 4 Data'!U$10:U$147,0))</f>
        <v>#VALUE!</v>
      </c>
    </row>
    <row r="13" spans="1:21" ht="16" thickBot="1" x14ac:dyDescent="0.25">
      <c r="A13" s="63" t="s">
        <v>66</v>
      </c>
      <c r="B13" t="s">
        <v>188</v>
      </c>
      <c r="C13" t="s">
        <v>197</v>
      </c>
      <c r="D13" t="e">
        <f>IF(_xlfn.XLOOKUP('Summary Data'!A13,'Round 1 Data'!$A$10:$A$143,'Round 1 Data'!$E$10:$E$144,0)=0,0,1)+IF(_xlfn.XLOOKUP('Summary Data'!A13,'Round 2 Data'!$A$10:$A$146,'Round 2 Data'!$E$10:$E$146,0)=0,0,1)+IF(_xlfn.XLOOKUP('Summary Data'!A13,'Round 3 Data'!$A$10:$A$145,'Round 3 Data'!$E$10:$E$145,0)=0,0,1)+IF(_xlfn.XLOOKUP('Summary Data'!A13,'Round 4 Data'!$A$10:$A$147,'Round 4 Data'!$E$10:$E$147,0)=0,0,1)</f>
        <v>#VALUE!</v>
      </c>
      <c r="E13" s="57" t="e">
        <f>(_xlfn.XLOOKUP('Summary Data'!$A13,'Round 1 Data'!$A$10:$A$143,'Round 1 Data'!E$10:E$144,0)+_xlfn.XLOOKUP('Summary Data'!$A13,'Round 2 Data'!$A$10:$A$146,'Round 2 Data'!E$10:E$146,0)+_xlfn.XLOOKUP('Summary Data'!$A13,'Round 3 Data'!$A$10:$A$145,'Round 3 Data'!E$10:E$145,0)+_xlfn.XLOOKUP('Summary Data'!$A13,'Round 4 Data'!$A$10:$A$147,'Round 4 Data'!E$10:E$147,0))/$D13</f>
        <v>#VALUE!</v>
      </c>
      <c r="F13" s="57" t="e">
        <f>(_xlfn.XLOOKUP('Summary Data'!$A13,'Round 1 Data'!$A$10:$A$143,'Round 1 Data'!F$10:F$144,0)+_xlfn.XLOOKUP('Summary Data'!$A13,'Round 2 Data'!$A$10:$A$146,'Round 2 Data'!F$10:F$146,0)+_xlfn.XLOOKUP('Summary Data'!$A13,'Round 3 Data'!$A$10:$A$145,'Round 3 Data'!F$10:F$145,0)+_xlfn.XLOOKUP('Summary Data'!$A13,'Round 4 Data'!$A$10:$A$147,'Round 4 Data'!F$10:F$147,0))/$D13</f>
        <v>#VALUE!</v>
      </c>
      <c r="G13" s="57" t="e">
        <f>(_xlfn.XLOOKUP('Summary Data'!$A13,'Round 1 Data'!$A$10:$A$143,'Round 1 Data'!G$10:G$144,0)+_xlfn.XLOOKUP('Summary Data'!$A13,'Round 2 Data'!$A$10:$A$146,'Round 2 Data'!G$10:G$146,0)+_xlfn.XLOOKUP('Summary Data'!$A13,'Round 3 Data'!$A$10:$A$145,'Round 3 Data'!G$10:G$145,0)+_xlfn.XLOOKUP('Summary Data'!$A13,'Round 4 Data'!$A$10:$A$147,'Round 4 Data'!G$10:G$147,0))/$D13</f>
        <v>#VALUE!</v>
      </c>
      <c r="H13" s="57" t="e">
        <f>(_xlfn.XLOOKUP('Summary Data'!$A13,'Round 1 Data'!$A$10:$A$143,'Round 1 Data'!H$10:H$144,0)+_xlfn.XLOOKUP('Summary Data'!$A13,'Round 2 Data'!$A$10:$A$146,'Round 2 Data'!H$10:H$146,0)+_xlfn.XLOOKUP('Summary Data'!$A13,'Round 3 Data'!$A$10:$A$145,'Round 3 Data'!H$10:H$145,0)+_xlfn.XLOOKUP('Summary Data'!$A13,'Round 4 Data'!$A$10:$A$147,'Round 4 Data'!H$10:H$147,0))/$D13</f>
        <v>#VALUE!</v>
      </c>
      <c r="I13" s="57" t="e">
        <f>(_xlfn.XLOOKUP('Summary Data'!$A13,'Round 1 Data'!$A$10:$A$143,'Round 1 Data'!I$10:I$144,0)+_xlfn.XLOOKUP('Summary Data'!$A13,'Round 2 Data'!$A$10:$A$146,'Round 2 Data'!I$10:I$146,0)+_xlfn.XLOOKUP('Summary Data'!$A13,'Round 3 Data'!$A$10:$A$145,'Round 3 Data'!I$10:I$145,0)+_xlfn.XLOOKUP('Summary Data'!$A13,'Round 4 Data'!$A$10:$A$147,'Round 4 Data'!I$10:I$147,0))/$D13</f>
        <v>#VALUE!</v>
      </c>
      <c r="J13" s="57" t="e">
        <f>(_xlfn.XLOOKUP('Summary Data'!$A13,'Round 1 Data'!$A$10:$A$143,'Round 1 Data'!J$10:J$144,0)+_xlfn.XLOOKUP('Summary Data'!$A13,'Round 2 Data'!$A$10:$A$146,'Round 2 Data'!J$10:J$146,0)+_xlfn.XLOOKUP('Summary Data'!$A13,'Round 3 Data'!$A$10:$A$145,'Round 3 Data'!J$10:J$145,0)+_xlfn.XLOOKUP('Summary Data'!$A13,'Round 4 Data'!$A$10:$A$147,'Round 4 Data'!J$10:J$147,0))/$D13</f>
        <v>#VALUE!</v>
      </c>
      <c r="K13" s="57" t="e">
        <f>(_xlfn.XLOOKUP('Summary Data'!$A13,'Round 1 Data'!$A$10:$A$143,'Round 1 Data'!K$10:K$144,0)+_xlfn.XLOOKUP('Summary Data'!$A13,'Round 2 Data'!$A$10:$A$146,'Round 2 Data'!K$10:K$146,0)+_xlfn.XLOOKUP('Summary Data'!$A13,'Round 3 Data'!$A$10:$A$145,'Round 3 Data'!K$10:K$145,0)+_xlfn.XLOOKUP('Summary Data'!$A13,'Round 4 Data'!$A$10:$A$147,'Round 4 Data'!K$10:K$147,0))/$D13</f>
        <v>#VALUE!</v>
      </c>
      <c r="L13" s="57" t="e">
        <f>(_xlfn.XLOOKUP('Summary Data'!$A13,'Round 1 Data'!$A$10:$A$143,'Round 1 Data'!L$10:L$144,0)+_xlfn.XLOOKUP('Summary Data'!$A13,'Round 2 Data'!$A$10:$A$146,'Round 2 Data'!L$10:L$146,0)+_xlfn.XLOOKUP('Summary Data'!$A13,'Round 3 Data'!$A$10:$A$145,'Round 3 Data'!L$10:L$145,0)+_xlfn.XLOOKUP('Summary Data'!$A13,'Round 4 Data'!$A$10:$A$147,'Round 4 Data'!L$10:L$147,0))/$D13</f>
        <v>#VALUE!</v>
      </c>
      <c r="M13" s="57" t="e">
        <f>(_xlfn.XLOOKUP('Summary Data'!$A13,'Round 1 Data'!$A$10:$A$143,'Round 1 Data'!M$10:M$144,0)+_xlfn.XLOOKUP('Summary Data'!$A13,'Round 2 Data'!$A$10:$A$146,'Round 2 Data'!M$10:M$146,0)+_xlfn.XLOOKUP('Summary Data'!$A13,'Round 3 Data'!$A$10:$A$145,'Round 3 Data'!M$10:M$145,0)+_xlfn.XLOOKUP('Summary Data'!$A13,'Round 4 Data'!$A$10:$A$147,'Round 4 Data'!M$10:M$147,0))/$D13</f>
        <v>#VALUE!</v>
      </c>
      <c r="N13" s="57" t="e">
        <f>(_xlfn.XLOOKUP('Summary Data'!$A13,'Round 1 Data'!$A$10:$A$143,'Round 1 Data'!N$10:N$144,0)+_xlfn.XLOOKUP('Summary Data'!$A13,'Round 2 Data'!$A$10:$A$146,'Round 2 Data'!N$10:N$146,0)+_xlfn.XLOOKUP('Summary Data'!$A13,'Round 3 Data'!$A$10:$A$145,'Round 3 Data'!N$10:N$145,0)+_xlfn.XLOOKUP('Summary Data'!$A13,'Round 4 Data'!$A$10:$A$147,'Round 4 Data'!N$10:N$147,0))/$D13</f>
        <v>#VALUE!</v>
      </c>
      <c r="O13" s="57" t="e">
        <f>(_xlfn.XLOOKUP('Summary Data'!$A13,'Round 1 Data'!$A$10:$A$143,'Round 1 Data'!O$10:O$144,0)+_xlfn.XLOOKUP('Summary Data'!$A13,'Round 2 Data'!$A$10:$A$146,'Round 2 Data'!O$10:O$146,0)+_xlfn.XLOOKUP('Summary Data'!$A13,'Round 3 Data'!$A$10:$A$145,'Round 3 Data'!O$10:O$145,0)+_xlfn.XLOOKUP('Summary Data'!$A13,'Round 4 Data'!$A$10:$A$147,'Round 4 Data'!O$10:O$147,0))/$D13</f>
        <v>#VALUE!</v>
      </c>
      <c r="P13" s="57" t="e">
        <f>(_xlfn.XLOOKUP('Summary Data'!$A13,'Round 1 Data'!$A$10:$A$143,'Round 1 Data'!P$10:P$144,0)+_xlfn.XLOOKUP('Summary Data'!$A13,'Round 2 Data'!$A$10:$A$146,'Round 2 Data'!P$10:P$146,0)+_xlfn.XLOOKUP('Summary Data'!$A13,'Round 3 Data'!$A$10:$A$145,'Round 3 Data'!P$10:P$145,0)+_xlfn.XLOOKUP('Summary Data'!$A13,'Round 4 Data'!$A$10:$A$147,'Round 4 Data'!P$10:P$147,0))/$D13</f>
        <v>#VALUE!</v>
      </c>
      <c r="Q13" s="57" t="e">
        <f>(_xlfn.XLOOKUP('Summary Data'!$A13,'Round 1 Data'!$A$10:$A$143,'Round 1 Data'!Q$10:Q$144,0)+_xlfn.XLOOKUP('Summary Data'!$A13,'Round 2 Data'!$A$10:$A$146,'Round 2 Data'!Q$10:Q$146,0)+_xlfn.XLOOKUP('Summary Data'!$A13,'Round 3 Data'!$A$10:$A$145,'Round 3 Data'!Q$10:Q$145,0)+_xlfn.XLOOKUP('Summary Data'!$A13,'Round 4 Data'!$A$10:$A$147,'Round 4 Data'!Q$10:Q$147,0))/$D13</f>
        <v>#VALUE!</v>
      </c>
      <c r="R13" s="57" t="e">
        <f>(_xlfn.XLOOKUP('Summary Data'!$A13,'Round 1 Data'!$A$10:$A$143,'Round 1 Data'!R$10:R$144,0)+_xlfn.XLOOKUP('Summary Data'!$A13,'Round 2 Data'!$A$10:$A$146,'Round 2 Data'!R$10:R$146,0)+_xlfn.XLOOKUP('Summary Data'!$A13,'Round 3 Data'!$A$10:$A$145,'Round 3 Data'!R$10:R$145,0)+_xlfn.XLOOKUP('Summary Data'!$A13,'Round 4 Data'!$A$10:$A$147,'Round 4 Data'!R$10:R$147,0))/$D13</f>
        <v>#VALUE!</v>
      </c>
      <c r="S13" s="57" t="e">
        <f>(_xlfn.XLOOKUP('Summary Data'!$A13,'Round 1 Data'!$A$10:$A$143,'Round 1 Data'!S$10:S$144,0)+_xlfn.XLOOKUP('Summary Data'!$A13,'Round 2 Data'!$A$10:$A$146,'Round 2 Data'!S$10:S$146,0)+_xlfn.XLOOKUP('Summary Data'!$A13,'Round 3 Data'!$A$10:$A$145,'Round 3 Data'!S$10:S$145,0)+_xlfn.XLOOKUP('Summary Data'!$A13,'Round 4 Data'!$A$10:$A$147,'Round 4 Data'!S$10:S$147,0))/$D13</f>
        <v>#VALUE!</v>
      </c>
      <c r="T13" s="62" t="e">
        <f>(_xlfn.XLOOKUP('Summary Data'!$A13,'Round 1 Data'!$A$10:$A$143,'Round 1 Data'!U$10:U$144,0)+_xlfn.XLOOKUP('Summary Data'!$A13,'Round 2 Data'!$A$10:$A$146,'Round 2 Data'!U$10:U$146,0)+_xlfn.XLOOKUP('Summary Data'!$A13,'Round 3 Data'!$A$10:$A$145,'Round 3 Data'!U$10:U$145,0)+_xlfn.XLOOKUP('Summary Data'!$A13,'Round 4 Data'!$A$10:$A$147,'Round 4 Data'!U$10:U$147,0))</f>
        <v>#VALUE!</v>
      </c>
    </row>
    <row r="14" spans="1:21" ht="16" thickBot="1" x14ac:dyDescent="0.25">
      <c r="A14" s="61" t="s">
        <v>67</v>
      </c>
      <c r="B14" t="s">
        <v>188</v>
      </c>
      <c r="C14" t="s">
        <v>198</v>
      </c>
      <c r="D14" t="e">
        <f>IF(_xlfn.XLOOKUP('Summary Data'!A14,'Round 1 Data'!$A$10:$A$143,'Round 1 Data'!$E$10:$E$144,0)=0,0,1)+IF(_xlfn.XLOOKUP('Summary Data'!A14,'Round 2 Data'!$A$10:$A$146,'Round 2 Data'!$E$10:$E$146,0)=0,0,1)+IF(_xlfn.XLOOKUP('Summary Data'!A14,'Round 3 Data'!$A$10:$A$145,'Round 3 Data'!$E$10:$E$145,0)=0,0,1)+IF(_xlfn.XLOOKUP('Summary Data'!A14,'Round 4 Data'!$A$10:$A$147,'Round 4 Data'!$E$10:$E$147,0)=0,0,1)</f>
        <v>#VALUE!</v>
      </c>
      <c r="E14" s="57" t="e">
        <f>(_xlfn.XLOOKUP('Summary Data'!$A14,'Round 1 Data'!$A$10:$A$143,'Round 1 Data'!E$10:E$144,0)+_xlfn.XLOOKUP('Summary Data'!$A14,'Round 2 Data'!$A$10:$A$146,'Round 2 Data'!E$10:E$146,0)+_xlfn.XLOOKUP('Summary Data'!$A14,'Round 3 Data'!$A$10:$A$145,'Round 3 Data'!E$10:E$145,0)+_xlfn.XLOOKUP('Summary Data'!$A14,'Round 4 Data'!$A$10:$A$147,'Round 4 Data'!E$10:E$147,0))/$D14</f>
        <v>#VALUE!</v>
      </c>
      <c r="F14" s="57" t="e">
        <f>(_xlfn.XLOOKUP('Summary Data'!$A14,'Round 1 Data'!$A$10:$A$143,'Round 1 Data'!F$10:F$144,0)+_xlfn.XLOOKUP('Summary Data'!$A14,'Round 2 Data'!$A$10:$A$146,'Round 2 Data'!F$10:F$146,0)+_xlfn.XLOOKUP('Summary Data'!$A14,'Round 3 Data'!$A$10:$A$145,'Round 3 Data'!F$10:F$145,0)+_xlfn.XLOOKUP('Summary Data'!$A14,'Round 4 Data'!$A$10:$A$147,'Round 4 Data'!F$10:F$147,0))/$D14</f>
        <v>#VALUE!</v>
      </c>
      <c r="G14" s="57" t="e">
        <f>(_xlfn.XLOOKUP('Summary Data'!$A14,'Round 1 Data'!$A$10:$A$143,'Round 1 Data'!G$10:G$144,0)+_xlfn.XLOOKUP('Summary Data'!$A14,'Round 2 Data'!$A$10:$A$146,'Round 2 Data'!G$10:G$146,0)+_xlfn.XLOOKUP('Summary Data'!$A14,'Round 3 Data'!$A$10:$A$145,'Round 3 Data'!G$10:G$145,0)+_xlfn.XLOOKUP('Summary Data'!$A14,'Round 4 Data'!$A$10:$A$147,'Round 4 Data'!G$10:G$147,0))/$D14</f>
        <v>#VALUE!</v>
      </c>
      <c r="H14" s="57" t="e">
        <f>(_xlfn.XLOOKUP('Summary Data'!$A14,'Round 1 Data'!$A$10:$A$143,'Round 1 Data'!H$10:H$144,0)+_xlfn.XLOOKUP('Summary Data'!$A14,'Round 2 Data'!$A$10:$A$146,'Round 2 Data'!H$10:H$146,0)+_xlfn.XLOOKUP('Summary Data'!$A14,'Round 3 Data'!$A$10:$A$145,'Round 3 Data'!H$10:H$145,0)+_xlfn.XLOOKUP('Summary Data'!$A14,'Round 4 Data'!$A$10:$A$147,'Round 4 Data'!H$10:H$147,0))/$D14</f>
        <v>#VALUE!</v>
      </c>
      <c r="I14" s="57" t="e">
        <f>(_xlfn.XLOOKUP('Summary Data'!$A14,'Round 1 Data'!$A$10:$A$143,'Round 1 Data'!I$10:I$144,0)+_xlfn.XLOOKUP('Summary Data'!$A14,'Round 2 Data'!$A$10:$A$146,'Round 2 Data'!I$10:I$146,0)+_xlfn.XLOOKUP('Summary Data'!$A14,'Round 3 Data'!$A$10:$A$145,'Round 3 Data'!I$10:I$145,0)+_xlfn.XLOOKUP('Summary Data'!$A14,'Round 4 Data'!$A$10:$A$147,'Round 4 Data'!I$10:I$147,0))/$D14</f>
        <v>#VALUE!</v>
      </c>
      <c r="J14" s="57" t="e">
        <f>(_xlfn.XLOOKUP('Summary Data'!$A14,'Round 1 Data'!$A$10:$A$143,'Round 1 Data'!J$10:J$144,0)+_xlfn.XLOOKUP('Summary Data'!$A14,'Round 2 Data'!$A$10:$A$146,'Round 2 Data'!J$10:J$146,0)+_xlfn.XLOOKUP('Summary Data'!$A14,'Round 3 Data'!$A$10:$A$145,'Round 3 Data'!J$10:J$145,0)+_xlfn.XLOOKUP('Summary Data'!$A14,'Round 4 Data'!$A$10:$A$147,'Round 4 Data'!J$10:J$147,0))/$D14</f>
        <v>#VALUE!</v>
      </c>
      <c r="K14" s="57" t="e">
        <f>(_xlfn.XLOOKUP('Summary Data'!$A14,'Round 1 Data'!$A$10:$A$143,'Round 1 Data'!K$10:K$144,0)+_xlfn.XLOOKUP('Summary Data'!$A14,'Round 2 Data'!$A$10:$A$146,'Round 2 Data'!K$10:K$146,0)+_xlfn.XLOOKUP('Summary Data'!$A14,'Round 3 Data'!$A$10:$A$145,'Round 3 Data'!K$10:K$145,0)+_xlfn.XLOOKUP('Summary Data'!$A14,'Round 4 Data'!$A$10:$A$147,'Round 4 Data'!K$10:K$147,0))/$D14</f>
        <v>#VALUE!</v>
      </c>
      <c r="L14" s="57" t="e">
        <f>(_xlfn.XLOOKUP('Summary Data'!$A14,'Round 1 Data'!$A$10:$A$143,'Round 1 Data'!L$10:L$144,0)+_xlfn.XLOOKUP('Summary Data'!$A14,'Round 2 Data'!$A$10:$A$146,'Round 2 Data'!L$10:L$146,0)+_xlfn.XLOOKUP('Summary Data'!$A14,'Round 3 Data'!$A$10:$A$145,'Round 3 Data'!L$10:L$145,0)+_xlfn.XLOOKUP('Summary Data'!$A14,'Round 4 Data'!$A$10:$A$147,'Round 4 Data'!L$10:L$147,0))/$D14</f>
        <v>#VALUE!</v>
      </c>
      <c r="M14" s="57" t="e">
        <f>(_xlfn.XLOOKUP('Summary Data'!$A14,'Round 1 Data'!$A$10:$A$143,'Round 1 Data'!M$10:M$144,0)+_xlfn.XLOOKUP('Summary Data'!$A14,'Round 2 Data'!$A$10:$A$146,'Round 2 Data'!M$10:M$146,0)+_xlfn.XLOOKUP('Summary Data'!$A14,'Round 3 Data'!$A$10:$A$145,'Round 3 Data'!M$10:M$145,0)+_xlfn.XLOOKUP('Summary Data'!$A14,'Round 4 Data'!$A$10:$A$147,'Round 4 Data'!M$10:M$147,0))/$D14</f>
        <v>#VALUE!</v>
      </c>
      <c r="N14" s="57" t="e">
        <f>(_xlfn.XLOOKUP('Summary Data'!$A14,'Round 1 Data'!$A$10:$A$143,'Round 1 Data'!N$10:N$144,0)+_xlfn.XLOOKUP('Summary Data'!$A14,'Round 2 Data'!$A$10:$A$146,'Round 2 Data'!N$10:N$146,0)+_xlfn.XLOOKUP('Summary Data'!$A14,'Round 3 Data'!$A$10:$A$145,'Round 3 Data'!N$10:N$145,0)+_xlfn.XLOOKUP('Summary Data'!$A14,'Round 4 Data'!$A$10:$A$147,'Round 4 Data'!N$10:N$147,0))/$D14</f>
        <v>#VALUE!</v>
      </c>
      <c r="O14" s="57" t="e">
        <f>(_xlfn.XLOOKUP('Summary Data'!$A14,'Round 1 Data'!$A$10:$A$143,'Round 1 Data'!O$10:O$144,0)+_xlfn.XLOOKUP('Summary Data'!$A14,'Round 2 Data'!$A$10:$A$146,'Round 2 Data'!O$10:O$146,0)+_xlfn.XLOOKUP('Summary Data'!$A14,'Round 3 Data'!$A$10:$A$145,'Round 3 Data'!O$10:O$145,0)+_xlfn.XLOOKUP('Summary Data'!$A14,'Round 4 Data'!$A$10:$A$147,'Round 4 Data'!O$10:O$147,0))/$D14</f>
        <v>#VALUE!</v>
      </c>
      <c r="P14" s="57" t="e">
        <f>(_xlfn.XLOOKUP('Summary Data'!$A14,'Round 1 Data'!$A$10:$A$143,'Round 1 Data'!P$10:P$144,0)+_xlfn.XLOOKUP('Summary Data'!$A14,'Round 2 Data'!$A$10:$A$146,'Round 2 Data'!P$10:P$146,0)+_xlfn.XLOOKUP('Summary Data'!$A14,'Round 3 Data'!$A$10:$A$145,'Round 3 Data'!P$10:P$145,0)+_xlfn.XLOOKUP('Summary Data'!$A14,'Round 4 Data'!$A$10:$A$147,'Round 4 Data'!P$10:P$147,0))/$D14</f>
        <v>#VALUE!</v>
      </c>
      <c r="Q14" s="57" t="e">
        <f>(_xlfn.XLOOKUP('Summary Data'!$A14,'Round 1 Data'!$A$10:$A$143,'Round 1 Data'!Q$10:Q$144,0)+_xlfn.XLOOKUP('Summary Data'!$A14,'Round 2 Data'!$A$10:$A$146,'Round 2 Data'!Q$10:Q$146,0)+_xlfn.XLOOKUP('Summary Data'!$A14,'Round 3 Data'!$A$10:$A$145,'Round 3 Data'!Q$10:Q$145,0)+_xlfn.XLOOKUP('Summary Data'!$A14,'Round 4 Data'!$A$10:$A$147,'Round 4 Data'!Q$10:Q$147,0))/$D14</f>
        <v>#VALUE!</v>
      </c>
      <c r="R14" s="57" t="e">
        <f>(_xlfn.XLOOKUP('Summary Data'!$A14,'Round 1 Data'!$A$10:$A$143,'Round 1 Data'!R$10:R$144,0)+_xlfn.XLOOKUP('Summary Data'!$A14,'Round 2 Data'!$A$10:$A$146,'Round 2 Data'!R$10:R$146,0)+_xlfn.XLOOKUP('Summary Data'!$A14,'Round 3 Data'!$A$10:$A$145,'Round 3 Data'!R$10:R$145,0)+_xlfn.XLOOKUP('Summary Data'!$A14,'Round 4 Data'!$A$10:$A$147,'Round 4 Data'!R$10:R$147,0))/$D14</f>
        <v>#VALUE!</v>
      </c>
      <c r="S14" s="57" t="e">
        <f>(_xlfn.XLOOKUP('Summary Data'!$A14,'Round 1 Data'!$A$10:$A$143,'Round 1 Data'!S$10:S$144,0)+_xlfn.XLOOKUP('Summary Data'!$A14,'Round 2 Data'!$A$10:$A$146,'Round 2 Data'!S$10:S$146,0)+_xlfn.XLOOKUP('Summary Data'!$A14,'Round 3 Data'!$A$10:$A$145,'Round 3 Data'!S$10:S$145,0)+_xlfn.XLOOKUP('Summary Data'!$A14,'Round 4 Data'!$A$10:$A$147,'Round 4 Data'!S$10:S$147,0))/$D14</f>
        <v>#VALUE!</v>
      </c>
      <c r="T14" s="62" t="e">
        <f>(_xlfn.XLOOKUP('Summary Data'!$A14,'Round 1 Data'!$A$10:$A$143,'Round 1 Data'!U$10:U$144,0)+_xlfn.XLOOKUP('Summary Data'!$A14,'Round 2 Data'!$A$10:$A$146,'Round 2 Data'!U$10:U$146,0)+_xlfn.XLOOKUP('Summary Data'!$A14,'Round 3 Data'!$A$10:$A$145,'Round 3 Data'!U$10:U$145,0)+_xlfn.XLOOKUP('Summary Data'!$A14,'Round 4 Data'!$A$10:$A$147,'Round 4 Data'!U$10:U$147,0))</f>
        <v>#VALUE!</v>
      </c>
    </row>
    <row r="15" spans="1:21" ht="16" thickBot="1" x14ac:dyDescent="0.25">
      <c r="A15" s="63" t="s">
        <v>68</v>
      </c>
      <c r="B15" t="s">
        <v>188</v>
      </c>
      <c r="C15" t="s">
        <v>198</v>
      </c>
      <c r="D15" t="e">
        <f>IF(_xlfn.XLOOKUP('Summary Data'!A15,'Round 1 Data'!$A$10:$A$143,'Round 1 Data'!$E$10:$E$144,0)=0,0,1)+IF(_xlfn.XLOOKUP('Summary Data'!A15,'Round 2 Data'!$A$10:$A$146,'Round 2 Data'!$E$10:$E$146,0)=0,0,1)+IF(_xlfn.XLOOKUP('Summary Data'!A15,'Round 3 Data'!$A$10:$A$145,'Round 3 Data'!$E$10:$E$145,0)=0,0,1)+IF(_xlfn.XLOOKUP('Summary Data'!A15,'Round 4 Data'!$A$10:$A$147,'Round 4 Data'!$E$10:$E$147,0)=0,0,1)</f>
        <v>#VALUE!</v>
      </c>
      <c r="E15" s="57" t="e">
        <f>(_xlfn.XLOOKUP('Summary Data'!$A15,'Round 1 Data'!$A$10:$A$143,'Round 1 Data'!E$10:E$144,0)+_xlfn.XLOOKUP('Summary Data'!$A15,'Round 2 Data'!$A$10:$A$146,'Round 2 Data'!E$10:E$146,0)+_xlfn.XLOOKUP('Summary Data'!$A15,'Round 3 Data'!$A$10:$A$145,'Round 3 Data'!E$10:E$145,0)+_xlfn.XLOOKUP('Summary Data'!$A15,'Round 4 Data'!$A$10:$A$147,'Round 4 Data'!E$10:E$147,0))/$D15</f>
        <v>#VALUE!</v>
      </c>
      <c r="F15" s="57" t="e">
        <f>(_xlfn.XLOOKUP('Summary Data'!$A15,'Round 1 Data'!$A$10:$A$143,'Round 1 Data'!F$10:F$144,0)+_xlfn.XLOOKUP('Summary Data'!$A15,'Round 2 Data'!$A$10:$A$146,'Round 2 Data'!F$10:F$146,0)+_xlfn.XLOOKUP('Summary Data'!$A15,'Round 3 Data'!$A$10:$A$145,'Round 3 Data'!F$10:F$145,0)+_xlfn.XLOOKUP('Summary Data'!$A15,'Round 4 Data'!$A$10:$A$147,'Round 4 Data'!F$10:F$147,0))/$D15</f>
        <v>#VALUE!</v>
      </c>
      <c r="G15" s="57" t="e">
        <f>(_xlfn.XLOOKUP('Summary Data'!$A15,'Round 1 Data'!$A$10:$A$143,'Round 1 Data'!G$10:G$144,0)+_xlfn.XLOOKUP('Summary Data'!$A15,'Round 2 Data'!$A$10:$A$146,'Round 2 Data'!G$10:G$146,0)+_xlfn.XLOOKUP('Summary Data'!$A15,'Round 3 Data'!$A$10:$A$145,'Round 3 Data'!G$10:G$145,0)+_xlfn.XLOOKUP('Summary Data'!$A15,'Round 4 Data'!$A$10:$A$147,'Round 4 Data'!G$10:G$147,0))/$D15</f>
        <v>#VALUE!</v>
      </c>
      <c r="H15" s="57" t="e">
        <f>(_xlfn.XLOOKUP('Summary Data'!$A15,'Round 1 Data'!$A$10:$A$143,'Round 1 Data'!H$10:H$144,0)+_xlfn.XLOOKUP('Summary Data'!$A15,'Round 2 Data'!$A$10:$A$146,'Round 2 Data'!H$10:H$146,0)+_xlfn.XLOOKUP('Summary Data'!$A15,'Round 3 Data'!$A$10:$A$145,'Round 3 Data'!H$10:H$145,0)+_xlfn.XLOOKUP('Summary Data'!$A15,'Round 4 Data'!$A$10:$A$147,'Round 4 Data'!H$10:H$147,0))/$D15</f>
        <v>#VALUE!</v>
      </c>
      <c r="I15" s="57" t="e">
        <f>(_xlfn.XLOOKUP('Summary Data'!$A15,'Round 1 Data'!$A$10:$A$143,'Round 1 Data'!I$10:I$144,0)+_xlfn.XLOOKUP('Summary Data'!$A15,'Round 2 Data'!$A$10:$A$146,'Round 2 Data'!I$10:I$146,0)+_xlfn.XLOOKUP('Summary Data'!$A15,'Round 3 Data'!$A$10:$A$145,'Round 3 Data'!I$10:I$145,0)+_xlfn.XLOOKUP('Summary Data'!$A15,'Round 4 Data'!$A$10:$A$147,'Round 4 Data'!I$10:I$147,0))/$D15</f>
        <v>#VALUE!</v>
      </c>
      <c r="J15" s="57" t="e">
        <f>(_xlfn.XLOOKUP('Summary Data'!$A15,'Round 1 Data'!$A$10:$A$143,'Round 1 Data'!J$10:J$144,0)+_xlfn.XLOOKUP('Summary Data'!$A15,'Round 2 Data'!$A$10:$A$146,'Round 2 Data'!J$10:J$146,0)+_xlfn.XLOOKUP('Summary Data'!$A15,'Round 3 Data'!$A$10:$A$145,'Round 3 Data'!J$10:J$145,0)+_xlfn.XLOOKUP('Summary Data'!$A15,'Round 4 Data'!$A$10:$A$147,'Round 4 Data'!J$10:J$147,0))/$D15</f>
        <v>#VALUE!</v>
      </c>
      <c r="K15" s="57" t="e">
        <f>(_xlfn.XLOOKUP('Summary Data'!$A15,'Round 1 Data'!$A$10:$A$143,'Round 1 Data'!K$10:K$144,0)+_xlfn.XLOOKUP('Summary Data'!$A15,'Round 2 Data'!$A$10:$A$146,'Round 2 Data'!K$10:K$146,0)+_xlfn.XLOOKUP('Summary Data'!$A15,'Round 3 Data'!$A$10:$A$145,'Round 3 Data'!K$10:K$145,0)+_xlfn.XLOOKUP('Summary Data'!$A15,'Round 4 Data'!$A$10:$A$147,'Round 4 Data'!K$10:K$147,0))/$D15</f>
        <v>#VALUE!</v>
      </c>
      <c r="L15" s="57" t="e">
        <f>(_xlfn.XLOOKUP('Summary Data'!$A15,'Round 1 Data'!$A$10:$A$143,'Round 1 Data'!L$10:L$144,0)+_xlfn.XLOOKUP('Summary Data'!$A15,'Round 2 Data'!$A$10:$A$146,'Round 2 Data'!L$10:L$146,0)+_xlfn.XLOOKUP('Summary Data'!$A15,'Round 3 Data'!$A$10:$A$145,'Round 3 Data'!L$10:L$145,0)+_xlfn.XLOOKUP('Summary Data'!$A15,'Round 4 Data'!$A$10:$A$147,'Round 4 Data'!L$10:L$147,0))/$D15</f>
        <v>#VALUE!</v>
      </c>
      <c r="M15" s="57" t="e">
        <f>(_xlfn.XLOOKUP('Summary Data'!$A15,'Round 1 Data'!$A$10:$A$143,'Round 1 Data'!M$10:M$144,0)+_xlfn.XLOOKUP('Summary Data'!$A15,'Round 2 Data'!$A$10:$A$146,'Round 2 Data'!M$10:M$146,0)+_xlfn.XLOOKUP('Summary Data'!$A15,'Round 3 Data'!$A$10:$A$145,'Round 3 Data'!M$10:M$145,0)+_xlfn.XLOOKUP('Summary Data'!$A15,'Round 4 Data'!$A$10:$A$147,'Round 4 Data'!M$10:M$147,0))/$D15</f>
        <v>#VALUE!</v>
      </c>
      <c r="N15" s="57" t="e">
        <f>(_xlfn.XLOOKUP('Summary Data'!$A15,'Round 1 Data'!$A$10:$A$143,'Round 1 Data'!N$10:N$144,0)+_xlfn.XLOOKUP('Summary Data'!$A15,'Round 2 Data'!$A$10:$A$146,'Round 2 Data'!N$10:N$146,0)+_xlfn.XLOOKUP('Summary Data'!$A15,'Round 3 Data'!$A$10:$A$145,'Round 3 Data'!N$10:N$145,0)+_xlfn.XLOOKUP('Summary Data'!$A15,'Round 4 Data'!$A$10:$A$147,'Round 4 Data'!N$10:N$147,0))/$D15</f>
        <v>#VALUE!</v>
      </c>
      <c r="O15" s="57" t="e">
        <f>(_xlfn.XLOOKUP('Summary Data'!$A15,'Round 1 Data'!$A$10:$A$143,'Round 1 Data'!O$10:O$144,0)+_xlfn.XLOOKUP('Summary Data'!$A15,'Round 2 Data'!$A$10:$A$146,'Round 2 Data'!O$10:O$146,0)+_xlfn.XLOOKUP('Summary Data'!$A15,'Round 3 Data'!$A$10:$A$145,'Round 3 Data'!O$10:O$145,0)+_xlfn.XLOOKUP('Summary Data'!$A15,'Round 4 Data'!$A$10:$A$147,'Round 4 Data'!O$10:O$147,0))/$D15</f>
        <v>#VALUE!</v>
      </c>
      <c r="P15" s="57" t="e">
        <f>(_xlfn.XLOOKUP('Summary Data'!$A15,'Round 1 Data'!$A$10:$A$143,'Round 1 Data'!P$10:P$144,0)+_xlfn.XLOOKUP('Summary Data'!$A15,'Round 2 Data'!$A$10:$A$146,'Round 2 Data'!P$10:P$146,0)+_xlfn.XLOOKUP('Summary Data'!$A15,'Round 3 Data'!$A$10:$A$145,'Round 3 Data'!P$10:P$145,0)+_xlfn.XLOOKUP('Summary Data'!$A15,'Round 4 Data'!$A$10:$A$147,'Round 4 Data'!P$10:P$147,0))/$D15</f>
        <v>#VALUE!</v>
      </c>
      <c r="Q15" s="57" t="e">
        <f>(_xlfn.XLOOKUP('Summary Data'!$A15,'Round 1 Data'!$A$10:$A$143,'Round 1 Data'!Q$10:Q$144,0)+_xlfn.XLOOKUP('Summary Data'!$A15,'Round 2 Data'!$A$10:$A$146,'Round 2 Data'!Q$10:Q$146,0)+_xlfn.XLOOKUP('Summary Data'!$A15,'Round 3 Data'!$A$10:$A$145,'Round 3 Data'!Q$10:Q$145,0)+_xlfn.XLOOKUP('Summary Data'!$A15,'Round 4 Data'!$A$10:$A$147,'Round 4 Data'!Q$10:Q$147,0))/$D15</f>
        <v>#VALUE!</v>
      </c>
      <c r="R15" s="57" t="e">
        <f>(_xlfn.XLOOKUP('Summary Data'!$A15,'Round 1 Data'!$A$10:$A$143,'Round 1 Data'!R$10:R$144,0)+_xlfn.XLOOKUP('Summary Data'!$A15,'Round 2 Data'!$A$10:$A$146,'Round 2 Data'!R$10:R$146,0)+_xlfn.XLOOKUP('Summary Data'!$A15,'Round 3 Data'!$A$10:$A$145,'Round 3 Data'!R$10:R$145,0)+_xlfn.XLOOKUP('Summary Data'!$A15,'Round 4 Data'!$A$10:$A$147,'Round 4 Data'!R$10:R$147,0))/$D15</f>
        <v>#VALUE!</v>
      </c>
      <c r="S15" s="57" t="e">
        <f>(_xlfn.XLOOKUP('Summary Data'!$A15,'Round 1 Data'!$A$10:$A$143,'Round 1 Data'!S$10:S$144,0)+_xlfn.XLOOKUP('Summary Data'!$A15,'Round 2 Data'!$A$10:$A$146,'Round 2 Data'!S$10:S$146,0)+_xlfn.XLOOKUP('Summary Data'!$A15,'Round 3 Data'!$A$10:$A$145,'Round 3 Data'!S$10:S$145,0)+_xlfn.XLOOKUP('Summary Data'!$A15,'Round 4 Data'!$A$10:$A$147,'Round 4 Data'!S$10:S$147,0))/$D15</f>
        <v>#VALUE!</v>
      </c>
      <c r="T15" s="62" t="e">
        <f>(_xlfn.XLOOKUP('Summary Data'!$A15,'Round 1 Data'!$A$10:$A$143,'Round 1 Data'!U$10:U$144,0)+_xlfn.XLOOKUP('Summary Data'!$A15,'Round 2 Data'!$A$10:$A$146,'Round 2 Data'!U$10:U$146,0)+_xlfn.XLOOKUP('Summary Data'!$A15,'Round 3 Data'!$A$10:$A$145,'Round 3 Data'!U$10:U$145,0)+_xlfn.XLOOKUP('Summary Data'!$A15,'Round 4 Data'!$A$10:$A$147,'Round 4 Data'!U$10:U$147,0))</f>
        <v>#VALUE!</v>
      </c>
    </row>
    <row r="16" spans="1:21" ht="16" thickBot="1" x14ac:dyDescent="0.25">
      <c r="A16" s="61" t="s">
        <v>69</v>
      </c>
      <c r="B16" t="s">
        <v>188</v>
      </c>
      <c r="C16" t="s">
        <v>198</v>
      </c>
      <c r="D16" t="e">
        <f>IF(_xlfn.XLOOKUP('Summary Data'!A16,'Round 1 Data'!$A$10:$A$143,'Round 1 Data'!$E$10:$E$144,0)=0,0,1)+IF(_xlfn.XLOOKUP('Summary Data'!A16,'Round 2 Data'!$A$10:$A$146,'Round 2 Data'!$E$10:$E$146,0)=0,0,1)+IF(_xlfn.XLOOKUP('Summary Data'!A16,'Round 3 Data'!$A$10:$A$145,'Round 3 Data'!$E$10:$E$145,0)=0,0,1)+IF(_xlfn.XLOOKUP('Summary Data'!A16,'Round 4 Data'!$A$10:$A$147,'Round 4 Data'!$E$10:$E$147,0)=0,0,1)</f>
        <v>#VALUE!</v>
      </c>
      <c r="E16" s="57" t="e">
        <f>(_xlfn.XLOOKUP('Summary Data'!$A16,'Round 1 Data'!$A$10:$A$143,'Round 1 Data'!E$10:E$144,0)+_xlfn.XLOOKUP('Summary Data'!$A16,'Round 2 Data'!$A$10:$A$146,'Round 2 Data'!E$10:E$146,0)+_xlfn.XLOOKUP('Summary Data'!$A16,'Round 3 Data'!$A$10:$A$145,'Round 3 Data'!E$10:E$145,0)+_xlfn.XLOOKUP('Summary Data'!$A16,'Round 4 Data'!$A$10:$A$147,'Round 4 Data'!E$10:E$147,0))/$D16</f>
        <v>#VALUE!</v>
      </c>
      <c r="F16" s="57" t="e">
        <f>(_xlfn.XLOOKUP('Summary Data'!$A16,'Round 1 Data'!$A$10:$A$143,'Round 1 Data'!F$10:F$144,0)+_xlfn.XLOOKUP('Summary Data'!$A16,'Round 2 Data'!$A$10:$A$146,'Round 2 Data'!F$10:F$146,0)+_xlfn.XLOOKUP('Summary Data'!$A16,'Round 3 Data'!$A$10:$A$145,'Round 3 Data'!F$10:F$145,0)+_xlfn.XLOOKUP('Summary Data'!$A16,'Round 4 Data'!$A$10:$A$147,'Round 4 Data'!F$10:F$147,0))/$D16</f>
        <v>#VALUE!</v>
      </c>
      <c r="G16" s="57" t="e">
        <f>(_xlfn.XLOOKUP('Summary Data'!$A16,'Round 1 Data'!$A$10:$A$143,'Round 1 Data'!G$10:G$144,0)+_xlfn.XLOOKUP('Summary Data'!$A16,'Round 2 Data'!$A$10:$A$146,'Round 2 Data'!G$10:G$146,0)+_xlfn.XLOOKUP('Summary Data'!$A16,'Round 3 Data'!$A$10:$A$145,'Round 3 Data'!G$10:G$145,0)+_xlfn.XLOOKUP('Summary Data'!$A16,'Round 4 Data'!$A$10:$A$147,'Round 4 Data'!G$10:G$147,0))/$D16</f>
        <v>#VALUE!</v>
      </c>
      <c r="H16" s="57" t="e">
        <f>(_xlfn.XLOOKUP('Summary Data'!$A16,'Round 1 Data'!$A$10:$A$143,'Round 1 Data'!H$10:H$144,0)+_xlfn.XLOOKUP('Summary Data'!$A16,'Round 2 Data'!$A$10:$A$146,'Round 2 Data'!H$10:H$146,0)+_xlfn.XLOOKUP('Summary Data'!$A16,'Round 3 Data'!$A$10:$A$145,'Round 3 Data'!H$10:H$145,0)+_xlfn.XLOOKUP('Summary Data'!$A16,'Round 4 Data'!$A$10:$A$147,'Round 4 Data'!H$10:H$147,0))/$D16</f>
        <v>#VALUE!</v>
      </c>
      <c r="I16" s="57" t="e">
        <f>(_xlfn.XLOOKUP('Summary Data'!$A16,'Round 1 Data'!$A$10:$A$143,'Round 1 Data'!I$10:I$144,0)+_xlfn.XLOOKUP('Summary Data'!$A16,'Round 2 Data'!$A$10:$A$146,'Round 2 Data'!I$10:I$146,0)+_xlfn.XLOOKUP('Summary Data'!$A16,'Round 3 Data'!$A$10:$A$145,'Round 3 Data'!I$10:I$145,0)+_xlfn.XLOOKUP('Summary Data'!$A16,'Round 4 Data'!$A$10:$A$147,'Round 4 Data'!I$10:I$147,0))/$D16</f>
        <v>#VALUE!</v>
      </c>
      <c r="J16" s="57" t="e">
        <f>(_xlfn.XLOOKUP('Summary Data'!$A16,'Round 1 Data'!$A$10:$A$143,'Round 1 Data'!J$10:J$144,0)+_xlfn.XLOOKUP('Summary Data'!$A16,'Round 2 Data'!$A$10:$A$146,'Round 2 Data'!J$10:J$146,0)+_xlfn.XLOOKUP('Summary Data'!$A16,'Round 3 Data'!$A$10:$A$145,'Round 3 Data'!J$10:J$145,0)+_xlfn.XLOOKUP('Summary Data'!$A16,'Round 4 Data'!$A$10:$A$147,'Round 4 Data'!J$10:J$147,0))/$D16</f>
        <v>#VALUE!</v>
      </c>
      <c r="K16" s="57" t="e">
        <f>(_xlfn.XLOOKUP('Summary Data'!$A16,'Round 1 Data'!$A$10:$A$143,'Round 1 Data'!K$10:K$144,0)+_xlfn.XLOOKUP('Summary Data'!$A16,'Round 2 Data'!$A$10:$A$146,'Round 2 Data'!K$10:K$146,0)+_xlfn.XLOOKUP('Summary Data'!$A16,'Round 3 Data'!$A$10:$A$145,'Round 3 Data'!K$10:K$145,0)+_xlfn.XLOOKUP('Summary Data'!$A16,'Round 4 Data'!$A$10:$A$147,'Round 4 Data'!K$10:K$147,0))/$D16</f>
        <v>#VALUE!</v>
      </c>
      <c r="L16" s="57" t="e">
        <f>(_xlfn.XLOOKUP('Summary Data'!$A16,'Round 1 Data'!$A$10:$A$143,'Round 1 Data'!L$10:L$144,0)+_xlfn.XLOOKUP('Summary Data'!$A16,'Round 2 Data'!$A$10:$A$146,'Round 2 Data'!L$10:L$146,0)+_xlfn.XLOOKUP('Summary Data'!$A16,'Round 3 Data'!$A$10:$A$145,'Round 3 Data'!L$10:L$145,0)+_xlfn.XLOOKUP('Summary Data'!$A16,'Round 4 Data'!$A$10:$A$147,'Round 4 Data'!L$10:L$147,0))/$D16</f>
        <v>#VALUE!</v>
      </c>
      <c r="M16" s="57" t="e">
        <f>(_xlfn.XLOOKUP('Summary Data'!$A16,'Round 1 Data'!$A$10:$A$143,'Round 1 Data'!M$10:M$144,0)+_xlfn.XLOOKUP('Summary Data'!$A16,'Round 2 Data'!$A$10:$A$146,'Round 2 Data'!M$10:M$146,0)+_xlfn.XLOOKUP('Summary Data'!$A16,'Round 3 Data'!$A$10:$A$145,'Round 3 Data'!M$10:M$145,0)+_xlfn.XLOOKUP('Summary Data'!$A16,'Round 4 Data'!$A$10:$A$147,'Round 4 Data'!M$10:M$147,0))/$D16</f>
        <v>#VALUE!</v>
      </c>
      <c r="N16" s="57" t="e">
        <f>(_xlfn.XLOOKUP('Summary Data'!$A16,'Round 1 Data'!$A$10:$A$143,'Round 1 Data'!N$10:N$144,0)+_xlfn.XLOOKUP('Summary Data'!$A16,'Round 2 Data'!$A$10:$A$146,'Round 2 Data'!N$10:N$146,0)+_xlfn.XLOOKUP('Summary Data'!$A16,'Round 3 Data'!$A$10:$A$145,'Round 3 Data'!N$10:N$145,0)+_xlfn.XLOOKUP('Summary Data'!$A16,'Round 4 Data'!$A$10:$A$147,'Round 4 Data'!N$10:N$147,0))/$D16</f>
        <v>#VALUE!</v>
      </c>
      <c r="O16" s="57" t="e">
        <f>(_xlfn.XLOOKUP('Summary Data'!$A16,'Round 1 Data'!$A$10:$A$143,'Round 1 Data'!O$10:O$144,0)+_xlfn.XLOOKUP('Summary Data'!$A16,'Round 2 Data'!$A$10:$A$146,'Round 2 Data'!O$10:O$146,0)+_xlfn.XLOOKUP('Summary Data'!$A16,'Round 3 Data'!$A$10:$A$145,'Round 3 Data'!O$10:O$145,0)+_xlfn.XLOOKUP('Summary Data'!$A16,'Round 4 Data'!$A$10:$A$147,'Round 4 Data'!O$10:O$147,0))/$D16</f>
        <v>#VALUE!</v>
      </c>
      <c r="P16" s="57" t="e">
        <f>(_xlfn.XLOOKUP('Summary Data'!$A16,'Round 1 Data'!$A$10:$A$143,'Round 1 Data'!P$10:P$144,0)+_xlfn.XLOOKUP('Summary Data'!$A16,'Round 2 Data'!$A$10:$A$146,'Round 2 Data'!P$10:P$146,0)+_xlfn.XLOOKUP('Summary Data'!$A16,'Round 3 Data'!$A$10:$A$145,'Round 3 Data'!P$10:P$145,0)+_xlfn.XLOOKUP('Summary Data'!$A16,'Round 4 Data'!$A$10:$A$147,'Round 4 Data'!P$10:P$147,0))/$D16</f>
        <v>#VALUE!</v>
      </c>
      <c r="Q16" s="57" t="e">
        <f>(_xlfn.XLOOKUP('Summary Data'!$A16,'Round 1 Data'!$A$10:$A$143,'Round 1 Data'!Q$10:Q$144,0)+_xlfn.XLOOKUP('Summary Data'!$A16,'Round 2 Data'!$A$10:$A$146,'Round 2 Data'!Q$10:Q$146,0)+_xlfn.XLOOKUP('Summary Data'!$A16,'Round 3 Data'!$A$10:$A$145,'Round 3 Data'!Q$10:Q$145,0)+_xlfn.XLOOKUP('Summary Data'!$A16,'Round 4 Data'!$A$10:$A$147,'Round 4 Data'!Q$10:Q$147,0))/$D16</f>
        <v>#VALUE!</v>
      </c>
      <c r="R16" s="57" t="e">
        <f>(_xlfn.XLOOKUP('Summary Data'!$A16,'Round 1 Data'!$A$10:$A$143,'Round 1 Data'!R$10:R$144,0)+_xlfn.XLOOKUP('Summary Data'!$A16,'Round 2 Data'!$A$10:$A$146,'Round 2 Data'!R$10:R$146,0)+_xlfn.XLOOKUP('Summary Data'!$A16,'Round 3 Data'!$A$10:$A$145,'Round 3 Data'!R$10:R$145,0)+_xlfn.XLOOKUP('Summary Data'!$A16,'Round 4 Data'!$A$10:$A$147,'Round 4 Data'!R$10:R$147,0))/$D16</f>
        <v>#VALUE!</v>
      </c>
      <c r="S16" s="57" t="e">
        <f>(_xlfn.XLOOKUP('Summary Data'!$A16,'Round 1 Data'!$A$10:$A$143,'Round 1 Data'!S$10:S$144,0)+_xlfn.XLOOKUP('Summary Data'!$A16,'Round 2 Data'!$A$10:$A$146,'Round 2 Data'!S$10:S$146,0)+_xlfn.XLOOKUP('Summary Data'!$A16,'Round 3 Data'!$A$10:$A$145,'Round 3 Data'!S$10:S$145,0)+_xlfn.XLOOKUP('Summary Data'!$A16,'Round 4 Data'!$A$10:$A$147,'Round 4 Data'!S$10:S$147,0))/$D16</f>
        <v>#VALUE!</v>
      </c>
      <c r="T16" s="62" t="e">
        <f>(_xlfn.XLOOKUP('Summary Data'!$A16,'Round 1 Data'!$A$10:$A$143,'Round 1 Data'!U$10:U$144,0)+_xlfn.XLOOKUP('Summary Data'!$A16,'Round 2 Data'!$A$10:$A$146,'Round 2 Data'!U$10:U$146,0)+_xlfn.XLOOKUP('Summary Data'!$A16,'Round 3 Data'!$A$10:$A$145,'Round 3 Data'!U$10:U$145,0)+_xlfn.XLOOKUP('Summary Data'!$A16,'Round 4 Data'!$A$10:$A$147,'Round 4 Data'!U$10:U$147,0))</f>
        <v>#VALUE!</v>
      </c>
    </row>
    <row r="17" spans="1:20" ht="16" thickBot="1" x14ac:dyDescent="0.25">
      <c r="A17" s="63" t="s">
        <v>161</v>
      </c>
      <c r="B17" t="s">
        <v>188</v>
      </c>
      <c r="C17" t="s">
        <v>198</v>
      </c>
      <c r="D17" t="e">
        <f>IF(_xlfn.XLOOKUP('Summary Data'!A17,'Round 1 Data'!$A$10:$A$143,'Round 1 Data'!$E$10:$E$144,0)=0,0,1)+IF(_xlfn.XLOOKUP('Summary Data'!A17,'Round 2 Data'!$A$10:$A$146,'Round 2 Data'!$E$10:$E$146,0)=0,0,1)+IF(_xlfn.XLOOKUP('Summary Data'!A17,'Round 3 Data'!$A$10:$A$145,'Round 3 Data'!$E$10:$E$145,0)=0,0,1)+IF(_xlfn.XLOOKUP('Summary Data'!A17,'Round 4 Data'!$A$10:$A$147,'Round 4 Data'!$E$10:$E$147,0)=0,0,1)</f>
        <v>#VALUE!</v>
      </c>
      <c r="E17" s="57" t="e">
        <f>(_xlfn.XLOOKUP('Summary Data'!$A17,'Round 1 Data'!$A$10:$A$143,'Round 1 Data'!E$10:E$144,0)+_xlfn.XLOOKUP('Summary Data'!$A17,'Round 2 Data'!$A$10:$A$146,'Round 2 Data'!E$10:E$146,0)+_xlfn.XLOOKUP('Summary Data'!$A17,'Round 3 Data'!$A$10:$A$145,'Round 3 Data'!E$10:E$145,0)+_xlfn.XLOOKUP('Summary Data'!$A17,'Round 4 Data'!$A$10:$A$147,'Round 4 Data'!E$10:E$147,0))/$D17</f>
        <v>#VALUE!</v>
      </c>
      <c r="F17" s="57" t="e">
        <f>(_xlfn.XLOOKUP('Summary Data'!$A17,'Round 1 Data'!$A$10:$A$143,'Round 1 Data'!F$10:F$144,0)+_xlfn.XLOOKUP('Summary Data'!$A17,'Round 2 Data'!$A$10:$A$146,'Round 2 Data'!F$10:F$146,0)+_xlfn.XLOOKUP('Summary Data'!$A17,'Round 3 Data'!$A$10:$A$145,'Round 3 Data'!F$10:F$145,0)+_xlfn.XLOOKUP('Summary Data'!$A17,'Round 4 Data'!$A$10:$A$147,'Round 4 Data'!F$10:F$147,0))/$D17</f>
        <v>#VALUE!</v>
      </c>
      <c r="G17" s="57" t="e">
        <f>(_xlfn.XLOOKUP('Summary Data'!$A17,'Round 1 Data'!$A$10:$A$143,'Round 1 Data'!G$10:G$144,0)+_xlfn.XLOOKUP('Summary Data'!$A17,'Round 2 Data'!$A$10:$A$146,'Round 2 Data'!G$10:G$146,0)+_xlfn.XLOOKUP('Summary Data'!$A17,'Round 3 Data'!$A$10:$A$145,'Round 3 Data'!G$10:G$145,0)+_xlfn.XLOOKUP('Summary Data'!$A17,'Round 4 Data'!$A$10:$A$147,'Round 4 Data'!G$10:G$147,0))/$D17</f>
        <v>#VALUE!</v>
      </c>
      <c r="H17" s="57" t="e">
        <f>(_xlfn.XLOOKUP('Summary Data'!$A17,'Round 1 Data'!$A$10:$A$143,'Round 1 Data'!H$10:H$144,0)+_xlfn.XLOOKUP('Summary Data'!$A17,'Round 2 Data'!$A$10:$A$146,'Round 2 Data'!H$10:H$146,0)+_xlfn.XLOOKUP('Summary Data'!$A17,'Round 3 Data'!$A$10:$A$145,'Round 3 Data'!H$10:H$145,0)+_xlfn.XLOOKUP('Summary Data'!$A17,'Round 4 Data'!$A$10:$A$147,'Round 4 Data'!H$10:H$147,0))/$D17</f>
        <v>#VALUE!</v>
      </c>
      <c r="I17" s="57" t="e">
        <f>(_xlfn.XLOOKUP('Summary Data'!$A17,'Round 1 Data'!$A$10:$A$143,'Round 1 Data'!I$10:I$144,0)+_xlfn.XLOOKUP('Summary Data'!$A17,'Round 2 Data'!$A$10:$A$146,'Round 2 Data'!I$10:I$146,0)+_xlfn.XLOOKUP('Summary Data'!$A17,'Round 3 Data'!$A$10:$A$145,'Round 3 Data'!I$10:I$145,0)+_xlfn.XLOOKUP('Summary Data'!$A17,'Round 4 Data'!$A$10:$A$147,'Round 4 Data'!I$10:I$147,0))/$D17</f>
        <v>#VALUE!</v>
      </c>
      <c r="J17" s="57" t="e">
        <f>(_xlfn.XLOOKUP('Summary Data'!$A17,'Round 1 Data'!$A$10:$A$143,'Round 1 Data'!J$10:J$144,0)+_xlfn.XLOOKUP('Summary Data'!$A17,'Round 2 Data'!$A$10:$A$146,'Round 2 Data'!J$10:J$146,0)+_xlfn.XLOOKUP('Summary Data'!$A17,'Round 3 Data'!$A$10:$A$145,'Round 3 Data'!J$10:J$145,0)+_xlfn.XLOOKUP('Summary Data'!$A17,'Round 4 Data'!$A$10:$A$147,'Round 4 Data'!J$10:J$147,0))/$D17</f>
        <v>#VALUE!</v>
      </c>
      <c r="K17" s="57" t="e">
        <f>(_xlfn.XLOOKUP('Summary Data'!$A17,'Round 1 Data'!$A$10:$A$143,'Round 1 Data'!K$10:K$144,0)+_xlfn.XLOOKUP('Summary Data'!$A17,'Round 2 Data'!$A$10:$A$146,'Round 2 Data'!K$10:K$146,0)+_xlfn.XLOOKUP('Summary Data'!$A17,'Round 3 Data'!$A$10:$A$145,'Round 3 Data'!K$10:K$145,0)+_xlfn.XLOOKUP('Summary Data'!$A17,'Round 4 Data'!$A$10:$A$147,'Round 4 Data'!K$10:K$147,0))/$D17</f>
        <v>#VALUE!</v>
      </c>
      <c r="L17" s="57" t="e">
        <f>(_xlfn.XLOOKUP('Summary Data'!$A17,'Round 1 Data'!$A$10:$A$143,'Round 1 Data'!L$10:L$144,0)+_xlfn.XLOOKUP('Summary Data'!$A17,'Round 2 Data'!$A$10:$A$146,'Round 2 Data'!L$10:L$146,0)+_xlfn.XLOOKUP('Summary Data'!$A17,'Round 3 Data'!$A$10:$A$145,'Round 3 Data'!L$10:L$145,0)+_xlfn.XLOOKUP('Summary Data'!$A17,'Round 4 Data'!$A$10:$A$147,'Round 4 Data'!L$10:L$147,0))/$D17</f>
        <v>#VALUE!</v>
      </c>
      <c r="M17" s="57" t="e">
        <f>(_xlfn.XLOOKUP('Summary Data'!$A17,'Round 1 Data'!$A$10:$A$143,'Round 1 Data'!M$10:M$144,0)+_xlfn.XLOOKUP('Summary Data'!$A17,'Round 2 Data'!$A$10:$A$146,'Round 2 Data'!M$10:M$146,0)+_xlfn.XLOOKUP('Summary Data'!$A17,'Round 3 Data'!$A$10:$A$145,'Round 3 Data'!M$10:M$145,0)+_xlfn.XLOOKUP('Summary Data'!$A17,'Round 4 Data'!$A$10:$A$147,'Round 4 Data'!M$10:M$147,0))/$D17</f>
        <v>#VALUE!</v>
      </c>
      <c r="N17" s="57" t="e">
        <f>(_xlfn.XLOOKUP('Summary Data'!$A17,'Round 1 Data'!$A$10:$A$143,'Round 1 Data'!N$10:N$144,0)+_xlfn.XLOOKUP('Summary Data'!$A17,'Round 2 Data'!$A$10:$A$146,'Round 2 Data'!N$10:N$146,0)+_xlfn.XLOOKUP('Summary Data'!$A17,'Round 3 Data'!$A$10:$A$145,'Round 3 Data'!N$10:N$145,0)+_xlfn.XLOOKUP('Summary Data'!$A17,'Round 4 Data'!$A$10:$A$147,'Round 4 Data'!N$10:N$147,0))/$D17</f>
        <v>#VALUE!</v>
      </c>
      <c r="O17" s="57" t="e">
        <f>(_xlfn.XLOOKUP('Summary Data'!$A17,'Round 1 Data'!$A$10:$A$143,'Round 1 Data'!O$10:O$144,0)+_xlfn.XLOOKUP('Summary Data'!$A17,'Round 2 Data'!$A$10:$A$146,'Round 2 Data'!O$10:O$146,0)+_xlfn.XLOOKUP('Summary Data'!$A17,'Round 3 Data'!$A$10:$A$145,'Round 3 Data'!O$10:O$145,0)+_xlfn.XLOOKUP('Summary Data'!$A17,'Round 4 Data'!$A$10:$A$147,'Round 4 Data'!O$10:O$147,0))/$D17</f>
        <v>#VALUE!</v>
      </c>
      <c r="P17" s="57" t="e">
        <f>(_xlfn.XLOOKUP('Summary Data'!$A17,'Round 1 Data'!$A$10:$A$143,'Round 1 Data'!P$10:P$144,0)+_xlfn.XLOOKUP('Summary Data'!$A17,'Round 2 Data'!$A$10:$A$146,'Round 2 Data'!P$10:P$146,0)+_xlfn.XLOOKUP('Summary Data'!$A17,'Round 3 Data'!$A$10:$A$145,'Round 3 Data'!P$10:P$145,0)+_xlfn.XLOOKUP('Summary Data'!$A17,'Round 4 Data'!$A$10:$A$147,'Round 4 Data'!P$10:P$147,0))/$D17</f>
        <v>#VALUE!</v>
      </c>
      <c r="Q17" s="57" t="e">
        <f>(_xlfn.XLOOKUP('Summary Data'!$A17,'Round 1 Data'!$A$10:$A$143,'Round 1 Data'!Q$10:Q$144,0)+_xlfn.XLOOKUP('Summary Data'!$A17,'Round 2 Data'!$A$10:$A$146,'Round 2 Data'!Q$10:Q$146,0)+_xlfn.XLOOKUP('Summary Data'!$A17,'Round 3 Data'!$A$10:$A$145,'Round 3 Data'!Q$10:Q$145,0)+_xlfn.XLOOKUP('Summary Data'!$A17,'Round 4 Data'!$A$10:$A$147,'Round 4 Data'!Q$10:Q$147,0))/$D17</f>
        <v>#VALUE!</v>
      </c>
      <c r="R17" s="57" t="e">
        <f>(_xlfn.XLOOKUP('Summary Data'!$A17,'Round 1 Data'!$A$10:$A$143,'Round 1 Data'!R$10:R$144,0)+_xlfn.XLOOKUP('Summary Data'!$A17,'Round 2 Data'!$A$10:$A$146,'Round 2 Data'!R$10:R$146,0)+_xlfn.XLOOKUP('Summary Data'!$A17,'Round 3 Data'!$A$10:$A$145,'Round 3 Data'!R$10:R$145,0)+_xlfn.XLOOKUP('Summary Data'!$A17,'Round 4 Data'!$A$10:$A$147,'Round 4 Data'!R$10:R$147,0))/$D17</f>
        <v>#VALUE!</v>
      </c>
      <c r="S17" s="57" t="e">
        <f>(_xlfn.XLOOKUP('Summary Data'!$A17,'Round 1 Data'!$A$10:$A$143,'Round 1 Data'!S$10:S$144,0)+_xlfn.XLOOKUP('Summary Data'!$A17,'Round 2 Data'!$A$10:$A$146,'Round 2 Data'!S$10:S$146,0)+_xlfn.XLOOKUP('Summary Data'!$A17,'Round 3 Data'!$A$10:$A$145,'Round 3 Data'!S$10:S$145,0)+_xlfn.XLOOKUP('Summary Data'!$A17,'Round 4 Data'!$A$10:$A$147,'Round 4 Data'!S$10:S$147,0))/$D17</f>
        <v>#VALUE!</v>
      </c>
      <c r="T17" s="62" t="e">
        <f>(_xlfn.XLOOKUP('Summary Data'!$A17,'Round 1 Data'!$A$10:$A$143,'Round 1 Data'!U$10:U$144,0)+_xlfn.XLOOKUP('Summary Data'!$A17,'Round 2 Data'!$A$10:$A$146,'Round 2 Data'!U$10:U$146,0)+_xlfn.XLOOKUP('Summary Data'!$A17,'Round 3 Data'!$A$10:$A$145,'Round 3 Data'!U$10:U$145,0)+_xlfn.XLOOKUP('Summary Data'!$A17,'Round 4 Data'!$A$10:$A$147,'Round 4 Data'!U$10:U$147,0))</f>
        <v>#VALUE!</v>
      </c>
    </row>
    <row r="18" spans="1:20" ht="16" thickBot="1" x14ac:dyDescent="0.25">
      <c r="A18" s="61" t="s">
        <v>70</v>
      </c>
      <c r="B18" t="s">
        <v>188</v>
      </c>
      <c r="C18" t="s">
        <v>199</v>
      </c>
      <c r="D18" t="e">
        <f>IF(_xlfn.XLOOKUP('Summary Data'!A18,'Round 1 Data'!$A$10:$A$143,'Round 1 Data'!$E$10:$E$144,0)=0,0,1)+IF(_xlfn.XLOOKUP('Summary Data'!A18,'Round 2 Data'!$A$10:$A$146,'Round 2 Data'!$E$10:$E$146,0)=0,0,1)+IF(_xlfn.XLOOKUP('Summary Data'!A18,'Round 3 Data'!$A$10:$A$145,'Round 3 Data'!$E$10:$E$145,0)=0,0,1)+IF(_xlfn.XLOOKUP('Summary Data'!A18,'Round 4 Data'!$A$10:$A$147,'Round 4 Data'!$E$10:$E$147,0)=0,0,1)</f>
        <v>#VALUE!</v>
      </c>
      <c r="E18" s="57" t="e">
        <f>(_xlfn.XLOOKUP('Summary Data'!$A18,'Round 1 Data'!$A$10:$A$143,'Round 1 Data'!E$10:E$144,0)+_xlfn.XLOOKUP('Summary Data'!$A18,'Round 2 Data'!$A$10:$A$146,'Round 2 Data'!E$10:E$146,0)+_xlfn.XLOOKUP('Summary Data'!$A18,'Round 3 Data'!$A$10:$A$145,'Round 3 Data'!E$10:E$145,0)+_xlfn.XLOOKUP('Summary Data'!$A18,'Round 4 Data'!$A$10:$A$147,'Round 4 Data'!E$10:E$147,0))/$D18</f>
        <v>#VALUE!</v>
      </c>
      <c r="F18" s="57" t="e">
        <f>(_xlfn.XLOOKUP('Summary Data'!$A18,'Round 1 Data'!$A$10:$A$143,'Round 1 Data'!F$10:F$144,0)+_xlfn.XLOOKUP('Summary Data'!$A18,'Round 2 Data'!$A$10:$A$146,'Round 2 Data'!F$10:F$146,0)+_xlfn.XLOOKUP('Summary Data'!$A18,'Round 3 Data'!$A$10:$A$145,'Round 3 Data'!F$10:F$145,0)+_xlfn.XLOOKUP('Summary Data'!$A18,'Round 4 Data'!$A$10:$A$147,'Round 4 Data'!F$10:F$147,0))/$D18</f>
        <v>#VALUE!</v>
      </c>
      <c r="G18" s="57" t="e">
        <f>(_xlfn.XLOOKUP('Summary Data'!$A18,'Round 1 Data'!$A$10:$A$143,'Round 1 Data'!G$10:G$144,0)+_xlfn.XLOOKUP('Summary Data'!$A18,'Round 2 Data'!$A$10:$A$146,'Round 2 Data'!G$10:G$146,0)+_xlfn.XLOOKUP('Summary Data'!$A18,'Round 3 Data'!$A$10:$A$145,'Round 3 Data'!G$10:G$145,0)+_xlfn.XLOOKUP('Summary Data'!$A18,'Round 4 Data'!$A$10:$A$147,'Round 4 Data'!G$10:G$147,0))/$D18</f>
        <v>#VALUE!</v>
      </c>
      <c r="H18" s="57" t="e">
        <f>(_xlfn.XLOOKUP('Summary Data'!$A18,'Round 1 Data'!$A$10:$A$143,'Round 1 Data'!H$10:H$144,0)+_xlfn.XLOOKUP('Summary Data'!$A18,'Round 2 Data'!$A$10:$A$146,'Round 2 Data'!H$10:H$146,0)+_xlfn.XLOOKUP('Summary Data'!$A18,'Round 3 Data'!$A$10:$A$145,'Round 3 Data'!H$10:H$145,0)+_xlfn.XLOOKUP('Summary Data'!$A18,'Round 4 Data'!$A$10:$A$147,'Round 4 Data'!H$10:H$147,0))/$D18</f>
        <v>#VALUE!</v>
      </c>
      <c r="I18" s="57" t="e">
        <f>(_xlfn.XLOOKUP('Summary Data'!$A18,'Round 1 Data'!$A$10:$A$143,'Round 1 Data'!I$10:I$144,0)+_xlfn.XLOOKUP('Summary Data'!$A18,'Round 2 Data'!$A$10:$A$146,'Round 2 Data'!I$10:I$146,0)+_xlfn.XLOOKUP('Summary Data'!$A18,'Round 3 Data'!$A$10:$A$145,'Round 3 Data'!I$10:I$145,0)+_xlfn.XLOOKUP('Summary Data'!$A18,'Round 4 Data'!$A$10:$A$147,'Round 4 Data'!I$10:I$147,0))/$D18</f>
        <v>#VALUE!</v>
      </c>
      <c r="J18" s="57" t="e">
        <f>(_xlfn.XLOOKUP('Summary Data'!$A18,'Round 1 Data'!$A$10:$A$143,'Round 1 Data'!J$10:J$144,0)+_xlfn.XLOOKUP('Summary Data'!$A18,'Round 2 Data'!$A$10:$A$146,'Round 2 Data'!J$10:J$146,0)+_xlfn.XLOOKUP('Summary Data'!$A18,'Round 3 Data'!$A$10:$A$145,'Round 3 Data'!J$10:J$145,0)+_xlfn.XLOOKUP('Summary Data'!$A18,'Round 4 Data'!$A$10:$A$147,'Round 4 Data'!J$10:J$147,0))/$D18</f>
        <v>#VALUE!</v>
      </c>
      <c r="K18" s="57" t="e">
        <f>(_xlfn.XLOOKUP('Summary Data'!$A18,'Round 1 Data'!$A$10:$A$143,'Round 1 Data'!K$10:K$144,0)+_xlfn.XLOOKUP('Summary Data'!$A18,'Round 2 Data'!$A$10:$A$146,'Round 2 Data'!K$10:K$146,0)+_xlfn.XLOOKUP('Summary Data'!$A18,'Round 3 Data'!$A$10:$A$145,'Round 3 Data'!K$10:K$145,0)+_xlfn.XLOOKUP('Summary Data'!$A18,'Round 4 Data'!$A$10:$A$147,'Round 4 Data'!K$10:K$147,0))/$D18</f>
        <v>#VALUE!</v>
      </c>
      <c r="L18" s="57" t="e">
        <f>(_xlfn.XLOOKUP('Summary Data'!$A18,'Round 1 Data'!$A$10:$A$143,'Round 1 Data'!L$10:L$144,0)+_xlfn.XLOOKUP('Summary Data'!$A18,'Round 2 Data'!$A$10:$A$146,'Round 2 Data'!L$10:L$146,0)+_xlfn.XLOOKUP('Summary Data'!$A18,'Round 3 Data'!$A$10:$A$145,'Round 3 Data'!L$10:L$145,0)+_xlfn.XLOOKUP('Summary Data'!$A18,'Round 4 Data'!$A$10:$A$147,'Round 4 Data'!L$10:L$147,0))/$D18</f>
        <v>#VALUE!</v>
      </c>
      <c r="M18" s="57" t="e">
        <f>(_xlfn.XLOOKUP('Summary Data'!$A18,'Round 1 Data'!$A$10:$A$143,'Round 1 Data'!M$10:M$144,0)+_xlfn.XLOOKUP('Summary Data'!$A18,'Round 2 Data'!$A$10:$A$146,'Round 2 Data'!M$10:M$146,0)+_xlfn.XLOOKUP('Summary Data'!$A18,'Round 3 Data'!$A$10:$A$145,'Round 3 Data'!M$10:M$145,0)+_xlfn.XLOOKUP('Summary Data'!$A18,'Round 4 Data'!$A$10:$A$147,'Round 4 Data'!M$10:M$147,0))/$D18</f>
        <v>#VALUE!</v>
      </c>
      <c r="N18" s="57" t="e">
        <f>(_xlfn.XLOOKUP('Summary Data'!$A18,'Round 1 Data'!$A$10:$A$143,'Round 1 Data'!N$10:N$144,0)+_xlfn.XLOOKUP('Summary Data'!$A18,'Round 2 Data'!$A$10:$A$146,'Round 2 Data'!N$10:N$146,0)+_xlfn.XLOOKUP('Summary Data'!$A18,'Round 3 Data'!$A$10:$A$145,'Round 3 Data'!N$10:N$145,0)+_xlfn.XLOOKUP('Summary Data'!$A18,'Round 4 Data'!$A$10:$A$147,'Round 4 Data'!N$10:N$147,0))/$D18</f>
        <v>#VALUE!</v>
      </c>
      <c r="O18" s="57" t="e">
        <f>(_xlfn.XLOOKUP('Summary Data'!$A18,'Round 1 Data'!$A$10:$A$143,'Round 1 Data'!O$10:O$144,0)+_xlfn.XLOOKUP('Summary Data'!$A18,'Round 2 Data'!$A$10:$A$146,'Round 2 Data'!O$10:O$146,0)+_xlfn.XLOOKUP('Summary Data'!$A18,'Round 3 Data'!$A$10:$A$145,'Round 3 Data'!O$10:O$145,0)+_xlfn.XLOOKUP('Summary Data'!$A18,'Round 4 Data'!$A$10:$A$147,'Round 4 Data'!O$10:O$147,0))/$D18</f>
        <v>#VALUE!</v>
      </c>
      <c r="P18" s="57" t="e">
        <f>(_xlfn.XLOOKUP('Summary Data'!$A18,'Round 1 Data'!$A$10:$A$143,'Round 1 Data'!P$10:P$144,0)+_xlfn.XLOOKUP('Summary Data'!$A18,'Round 2 Data'!$A$10:$A$146,'Round 2 Data'!P$10:P$146,0)+_xlfn.XLOOKUP('Summary Data'!$A18,'Round 3 Data'!$A$10:$A$145,'Round 3 Data'!P$10:P$145,0)+_xlfn.XLOOKUP('Summary Data'!$A18,'Round 4 Data'!$A$10:$A$147,'Round 4 Data'!P$10:P$147,0))/$D18</f>
        <v>#VALUE!</v>
      </c>
      <c r="Q18" s="57" t="e">
        <f>(_xlfn.XLOOKUP('Summary Data'!$A18,'Round 1 Data'!$A$10:$A$143,'Round 1 Data'!Q$10:Q$144,0)+_xlfn.XLOOKUP('Summary Data'!$A18,'Round 2 Data'!$A$10:$A$146,'Round 2 Data'!Q$10:Q$146,0)+_xlfn.XLOOKUP('Summary Data'!$A18,'Round 3 Data'!$A$10:$A$145,'Round 3 Data'!Q$10:Q$145,0)+_xlfn.XLOOKUP('Summary Data'!$A18,'Round 4 Data'!$A$10:$A$147,'Round 4 Data'!Q$10:Q$147,0))/$D18</f>
        <v>#VALUE!</v>
      </c>
      <c r="R18" s="57" t="e">
        <f>(_xlfn.XLOOKUP('Summary Data'!$A18,'Round 1 Data'!$A$10:$A$143,'Round 1 Data'!R$10:R$144,0)+_xlfn.XLOOKUP('Summary Data'!$A18,'Round 2 Data'!$A$10:$A$146,'Round 2 Data'!R$10:R$146,0)+_xlfn.XLOOKUP('Summary Data'!$A18,'Round 3 Data'!$A$10:$A$145,'Round 3 Data'!R$10:R$145,0)+_xlfn.XLOOKUP('Summary Data'!$A18,'Round 4 Data'!$A$10:$A$147,'Round 4 Data'!R$10:R$147,0))/$D18</f>
        <v>#VALUE!</v>
      </c>
      <c r="S18" s="57" t="e">
        <f>(_xlfn.XLOOKUP('Summary Data'!$A18,'Round 1 Data'!$A$10:$A$143,'Round 1 Data'!S$10:S$144,0)+_xlfn.XLOOKUP('Summary Data'!$A18,'Round 2 Data'!$A$10:$A$146,'Round 2 Data'!S$10:S$146,0)+_xlfn.XLOOKUP('Summary Data'!$A18,'Round 3 Data'!$A$10:$A$145,'Round 3 Data'!S$10:S$145,0)+_xlfn.XLOOKUP('Summary Data'!$A18,'Round 4 Data'!$A$10:$A$147,'Round 4 Data'!S$10:S$147,0))/$D18</f>
        <v>#VALUE!</v>
      </c>
      <c r="T18" s="62" t="e">
        <f>(_xlfn.XLOOKUP('Summary Data'!$A18,'Round 1 Data'!$A$10:$A$143,'Round 1 Data'!U$10:U$144,0)+_xlfn.XLOOKUP('Summary Data'!$A18,'Round 2 Data'!$A$10:$A$146,'Round 2 Data'!U$10:U$146,0)+_xlfn.XLOOKUP('Summary Data'!$A18,'Round 3 Data'!$A$10:$A$145,'Round 3 Data'!U$10:U$145,0)+_xlfn.XLOOKUP('Summary Data'!$A18,'Round 4 Data'!$A$10:$A$147,'Round 4 Data'!U$10:U$147,0))</f>
        <v>#VALUE!</v>
      </c>
    </row>
    <row r="19" spans="1:20" ht="16" thickBot="1" x14ac:dyDescent="0.25">
      <c r="A19" s="63" t="s">
        <v>72</v>
      </c>
      <c r="B19" t="s">
        <v>188</v>
      </c>
      <c r="C19" t="s">
        <v>199</v>
      </c>
      <c r="D19" t="e">
        <f>IF(_xlfn.XLOOKUP('Summary Data'!A19,'Round 1 Data'!$A$10:$A$143,'Round 1 Data'!$E$10:$E$144,0)=0,0,1)+IF(_xlfn.XLOOKUP('Summary Data'!A19,'Round 2 Data'!$A$10:$A$146,'Round 2 Data'!$E$10:$E$146,0)=0,0,1)+IF(_xlfn.XLOOKUP('Summary Data'!A19,'Round 3 Data'!$A$10:$A$145,'Round 3 Data'!$E$10:$E$145,0)=0,0,1)+IF(_xlfn.XLOOKUP('Summary Data'!A19,'Round 4 Data'!$A$10:$A$147,'Round 4 Data'!$E$10:$E$147,0)=0,0,1)</f>
        <v>#VALUE!</v>
      </c>
      <c r="E19" s="57" t="e">
        <f>(_xlfn.XLOOKUP('Summary Data'!$A19,'Round 1 Data'!$A$10:$A$143,'Round 1 Data'!E$10:E$144,0)+_xlfn.XLOOKUP('Summary Data'!$A19,'Round 2 Data'!$A$10:$A$146,'Round 2 Data'!E$10:E$146,0)+_xlfn.XLOOKUP('Summary Data'!$A19,'Round 3 Data'!$A$10:$A$145,'Round 3 Data'!E$10:E$145,0)+_xlfn.XLOOKUP('Summary Data'!$A19,'Round 4 Data'!$A$10:$A$147,'Round 4 Data'!E$10:E$147,0))/$D19</f>
        <v>#VALUE!</v>
      </c>
      <c r="F19" s="57" t="e">
        <f>(_xlfn.XLOOKUP('Summary Data'!$A19,'Round 1 Data'!$A$10:$A$143,'Round 1 Data'!F$10:F$144,0)+_xlfn.XLOOKUP('Summary Data'!$A19,'Round 2 Data'!$A$10:$A$146,'Round 2 Data'!F$10:F$146,0)+_xlfn.XLOOKUP('Summary Data'!$A19,'Round 3 Data'!$A$10:$A$145,'Round 3 Data'!F$10:F$145,0)+_xlfn.XLOOKUP('Summary Data'!$A19,'Round 4 Data'!$A$10:$A$147,'Round 4 Data'!F$10:F$147,0))/$D19</f>
        <v>#VALUE!</v>
      </c>
      <c r="G19" s="57" t="e">
        <f>(_xlfn.XLOOKUP('Summary Data'!$A19,'Round 1 Data'!$A$10:$A$143,'Round 1 Data'!G$10:G$144,0)+_xlfn.XLOOKUP('Summary Data'!$A19,'Round 2 Data'!$A$10:$A$146,'Round 2 Data'!G$10:G$146,0)+_xlfn.XLOOKUP('Summary Data'!$A19,'Round 3 Data'!$A$10:$A$145,'Round 3 Data'!G$10:G$145,0)+_xlfn.XLOOKUP('Summary Data'!$A19,'Round 4 Data'!$A$10:$A$147,'Round 4 Data'!G$10:G$147,0))/$D19</f>
        <v>#VALUE!</v>
      </c>
      <c r="H19" s="57" t="e">
        <f>(_xlfn.XLOOKUP('Summary Data'!$A19,'Round 1 Data'!$A$10:$A$143,'Round 1 Data'!H$10:H$144,0)+_xlfn.XLOOKUP('Summary Data'!$A19,'Round 2 Data'!$A$10:$A$146,'Round 2 Data'!H$10:H$146,0)+_xlfn.XLOOKUP('Summary Data'!$A19,'Round 3 Data'!$A$10:$A$145,'Round 3 Data'!H$10:H$145,0)+_xlfn.XLOOKUP('Summary Data'!$A19,'Round 4 Data'!$A$10:$A$147,'Round 4 Data'!H$10:H$147,0))/$D19</f>
        <v>#VALUE!</v>
      </c>
      <c r="I19" s="57" t="e">
        <f>(_xlfn.XLOOKUP('Summary Data'!$A19,'Round 1 Data'!$A$10:$A$143,'Round 1 Data'!I$10:I$144,0)+_xlfn.XLOOKUP('Summary Data'!$A19,'Round 2 Data'!$A$10:$A$146,'Round 2 Data'!I$10:I$146,0)+_xlfn.XLOOKUP('Summary Data'!$A19,'Round 3 Data'!$A$10:$A$145,'Round 3 Data'!I$10:I$145,0)+_xlfn.XLOOKUP('Summary Data'!$A19,'Round 4 Data'!$A$10:$A$147,'Round 4 Data'!I$10:I$147,0))/$D19</f>
        <v>#VALUE!</v>
      </c>
      <c r="J19" s="57" t="e">
        <f>(_xlfn.XLOOKUP('Summary Data'!$A19,'Round 1 Data'!$A$10:$A$143,'Round 1 Data'!J$10:J$144,0)+_xlfn.XLOOKUP('Summary Data'!$A19,'Round 2 Data'!$A$10:$A$146,'Round 2 Data'!J$10:J$146,0)+_xlfn.XLOOKUP('Summary Data'!$A19,'Round 3 Data'!$A$10:$A$145,'Round 3 Data'!J$10:J$145,0)+_xlfn.XLOOKUP('Summary Data'!$A19,'Round 4 Data'!$A$10:$A$147,'Round 4 Data'!J$10:J$147,0))/$D19</f>
        <v>#VALUE!</v>
      </c>
      <c r="K19" s="57" t="e">
        <f>(_xlfn.XLOOKUP('Summary Data'!$A19,'Round 1 Data'!$A$10:$A$143,'Round 1 Data'!K$10:K$144,0)+_xlfn.XLOOKUP('Summary Data'!$A19,'Round 2 Data'!$A$10:$A$146,'Round 2 Data'!K$10:K$146,0)+_xlfn.XLOOKUP('Summary Data'!$A19,'Round 3 Data'!$A$10:$A$145,'Round 3 Data'!K$10:K$145,0)+_xlfn.XLOOKUP('Summary Data'!$A19,'Round 4 Data'!$A$10:$A$147,'Round 4 Data'!K$10:K$147,0))/$D19</f>
        <v>#VALUE!</v>
      </c>
      <c r="L19" s="57" t="e">
        <f>(_xlfn.XLOOKUP('Summary Data'!$A19,'Round 1 Data'!$A$10:$A$143,'Round 1 Data'!L$10:L$144,0)+_xlfn.XLOOKUP('Summary Data'!$A19,'Round 2 Data'!$A$10:$A$146,'Round 2 Data'!L$10:L$146,0)+_xlfn.XLOOKUP('Summary Data'!$A19,'Round 3 Data'!$A$10:$A$145,'Round 3 Data'!L$10:L$145,0)+_xlfn.XLOOKUP('Summary Data'!$A19,'Round 4 Data'!$A$10:$A$147,'Round 4 Data'!L$10:L$147,0))/$D19</f>
        <v>#VALUE!</v>
      </c>
      <c r="M19" s="57" t="e">
        <f>(_xlfn.XLOOKUP('Summary Data'!$A19,'Round 1 Data'!$A$10:$A$143,'Round 1 Data'!M$10:M$144,0)+_xlfn.XLOOKUP('Summary Data'!$A19,'Round 2 Data'!$A$10:$A$146,'Round 2 Data'!M$10:M$146,0)+_xlfn.XLOOKUP('Summary Data'!$A19,'Round 3 Data'!$A$10:$A$145,'Round 3 Data'!M$10:M$145,0)+_xlfn.XLOOKUP('Summary Data'!$A19,'Round 4 Data'!$A$10:$A$147,'Round 4 Data'!M$10:M$147,0))/$D19</f>
        <v>#VALUE!</v>
      </c>
      <c r="N19" s="57" t="e">
        <f>(_xlfn.XLOOKUP('Summary Data'!$A19,'Round 1 Data'!$A$10:$A$143,'Round 1 Data'!N$10:N$144,0)+_xlfn.XLOOKUP('Summary Data'!$A19,'Round 2 Data'!$A$10:$A$146,'Round 2 Data'!N$10:N$146,0)+_xlfn.XLOOKUP('Summary Data'!$A19,'Round 3 Data'!$A$10:$A$145,'Round 3 Data'!N$10:N$145,0)+_xlfn.XLOOKUP('Summary Data'!$A19,'Round 4 Data'!$A$10:$A$147,'Round 4 Data'!N$10:N$147,0))/$D19</f>
        <v>#VALUE!</v>
      </c>
      <c r="O19" s="57" t="e">
        <f>(_xlfn.XLOOKUP('Summary Data'!$A19,'Round 1 Data'!$A$10:$A$143,'Round 1 Data'!O$10:O$144,0)+_xlfn.XLOOKUP('Summary Data'!$A19,'Round 2 Data'!$A$10:$A$146,'Round 2 Data'!O$10:O$146,0)+_xlfn.XLOOKUP('Summary Data'!$A19,'Round 3 Data'!$A$10:$A$145,'Round 3 Data'!O$10:O$145,0)+_xlfn.XLOOKUP('Summary Data'!$A19,'Round 4 Data'!$A$10:$A$147,'Round 4 Data'!O$10:O$147,0))/$D19</f>
        <v>#VALUE!</v>
      </c>
      <c r="P19" s="57" t="e">
        <f>(_xlfn.XLOOKUP('Summary Data'!$A19,'Round 1 Data'!$A$10:$A$143,'Round 1 Data'!P$10:P$144,0)+_xlfn.XLOOKUP('Summary Data'!$A19,'Round 2 Data'!$A$10:$A$146,'Round 2 Data'!P$10:P$146,0)+_xlfn.XLOOKUP('Summary Data'!$A19,'Round 3 Data'!$A$10:$A$145,'Round 3 Data'!P$10:P$145,0)+_xlfn.XLOOKUP('Summary Data'!$A19,'Round 4 Data'!$A$10:$A$147,'Round 4 Data'!P$10:P$147,0))/$D19</f>
        <v>#VALUE!</v>
      </c>
      <c r="Q19" s="57" t="e">
        <f>(_xlfn.XLOOKUP('Summary Data'!$A19,'Round 1 Data'!$A$10:$A$143,'Round 1 Data'!Q$10:Q$144,0)+_xlfn.XLOOKUP('Summary Data'!$A19,'Round 2 Data'!$A$10:$A$146,'Round 2 Data'!Q$10:Q$146,0)+_xlfn.XLOOKUP('Summary Data'!$A19,'Round 3 Data'!$A$10:$A$145,'Round 3 Data'!Q$10:Q$145,0)+_xlfn.XLOOKUP('Summary Data'!$A19,'Round 4 Data'!$A$10:$A$147,'Round 4 Data'!Q$10:Q$147,0))/$D19</f>
        <v>#VALUE!</v>
      </c>
      <c r="R19" s="57" t="e">
        <f>(_xlfn.XLOOKUP('Summary Data'!$A19,'Round 1 Data'!$A$10:$A$143,'Round 1 Data'!R$10:R$144,0)+_xlfn.XLOOKUP('Summary Data'!$A19,'Round 2 Data'!$A$10:$A$146,'Round 2 Data'!R$10:R$146,0)+_xlfn.XLOOKUP('Summary Data'!$A19,'Round 3 Data'!$A$10:$A$145,'Round 3 Data'!R$10:R$145,0)+_xlfn.XLOOKUP('Summary Data'!$A19,'Round 4 Data'!$A$10:$A$147,'Round 4 Data'!R$10:R$147,0))/$D19</f>
        <v>#VALUE!</v>
      </c>
      <c r="S19" s="57" t="e">
        <f>(_xlfn.XLOOKUP('Summary Data'!$A19,'Round 1 Data'!$A$10:$A$143,'Round 1 Data'!S$10:S$144,0)+_xlfn.XLOOKUP('Summary Data'!$A19,'Round 2 Data'!$A$10:$A$146,'Round 2 Data'!S$10:S$146,0)+_xlfn.XLOOKUP('Summary Data'!$A19,'Round 3 Data'!$A$10:$A$145,'Round 3 Data'!S$10:S$145,0)+_xlfn.XLOOKUP('Summary Data'!$A19,'Round 4 Data'!$A$10:$A$147,'Round 4 Data'!S$10:S$147,0))/$D19</f>
        <v>#VALUE!</v>
      </c>
      <c r="T19" s="62" t="e">
        <f>(_xlfn.XLOOKUP('Summary Data'!$A19,'Round 1 Data'!$A$10:$A$143,'Round 1 Data'!U$10:U$144,0)+_xlfn.XLOOKUP('Summary Data'!$A19,'Round 2 Data'!$A$10:$A$146,'Round 2 Data'!U$10:U$146,0)+_xlfn.XLOOKUP('Summary Data'!$A19,'Round 3 Data'!$A$10:$A$145,'Round 3 Data'!U$10:U$145,0)+_xlfn.XLOOKUP('Summary Data'!$A19,'Round 4 Data'!$A$10:$A$147,'Round 4 Data'!U$10:U$147,0))</f>
        <v>#VALUE!</v>
      </c>
    </row>
    <row r="20" spans="1:20" ht="16" thickBot="1" x14ac:dyDescent="0.25">
      <c r="A20" s="61" t="s">
        <v>162</v>
      </c>
      <c r="B20" t="s">
        <v>188</v>
      </c>
      <c r="C20" t="s">
        <v>199</v>
      </c>
      <c r="D20" t="e">
        <f>IF(_xlfn.XLOOKUP('Summary Data'!A20,'Round 1 Data'!$A$10:$A$143,'Round 1 Data'!$E$10:$E$144,0)=0,0,1)+IF(_xlfn.XLOOKUP('Summary Data'!A20,'Round 2 Data'!$A$10:$A$146,'Round 2 Data'!$E$10:$E$146,0)=0,0,1)+IF(_xlfn.XLOOKUP('Summary Data'!A20,'Round 3 Data'!$A$10:$A$145,'Round 3 Data'!$E$10:$E$145,0)=0,0,1)+IF(_xlfn.XLOOKUP('Summary Data'!A20,'Round 4 Data'!$A$10:$A$147,'Round 4 Data'!$E$10:$E$147,0)=0,0,1)</f>
        <v>#VALUE!</v>
      </c>
      <c r="E20" s="57" t="e">
        <f>(_xlfn.XLOOKUP('Summary Data'!$A20,'Round 1 Data'!$A$10:$A$143,'Round 1 Data'!E$10:E$144,0)+_xlfn.XLOOKUP('Summary Data'!$A20,'Round 2 Data'!$A$10:$A$146,'Round 2 Data'!E$10:E$146,0)+_xlfn.XLOOKUP('Summary Data'!$A20,'Round 3 Data'!$A$10:$A$145,'Round 3 Data'!E$10:E$145,0)+_xlfn.XLOOKUP('Summary Data'!$A20,'Round 4 Data'!$A$10:$A$147,'Round 4 Data'!E$10:E$147,0))/$D20</f>
        <v>#VALUE!</v>
      </c>
      <c r="F20" s="57" t="e">
        <f>(_xlfn.XLOOKUP('Summary Data'!$A20,'Round 1 Data'!$A$10:$A$143,'Round 1 Data'!F$10:F$144,0)+_xlfn.XLOOKUP('Summary Data'!$A20,'Round 2 Data'!$A$10:$A$146,'Round 2 Data'!F$10:F$146,0)+_xlfn.XLOOKUP('Summary Data'!$A20,'Round 3 Data'!$A$10:$A$145,'Round 3 Data'!F$10:F$145,0)+_xlfn.XLOOKUP('Summary Data'!$A20,'Round 4 Data'!$A$10:$A$147,'Round 4 Data'!F$10:F$147,0))/$D20</f>
        <v>#VALUE!</v>
      </c>
      <c r="G20" s="57" t="e">
        <f>(_xlfn.XLOOKUP('Summary Data'!$A20,'Round 1 Data'!$A$10:$A$143,'Round 1 Data'!G$10:G$144,0)+_xlfn.XLOOKUP('Summary Data'!$A20,'Round 2 Data'!$A$10:$A$146,'Round 2 Data'!G$10:G$146,0)+_xlfn.XLOOKUP('Summary Data'!$A20,'Round 3 Data'!$A$10:$A$145,'Round 3 Data'!G$10:G$145,0)+_xlfn.XLOOKUP('Summary Data'!$A20,'Round 4 Data'!$A$10:$A$147,'Round 4 Data'!G$10:G$147,0))/$D20</f>
        <v>#VALUE!</v>
      </c>
      <c r="H20" s="57" t="e">
        <f>(_xlfn.XLOOKUP('Summary Data'!$A20,'Round 1 Data'!$A$10:$A$143,'Round 1 Data'!H$10:H$144,0)+_xlfn.XLOOKUP('Summary Data'!$A20,'Round 2 Data'!$A$10:$A$146,'Round 2 Data'!H$10:H$146,0)+_xlfn.XLOOKUP('Summary Data'!$A20,'Round 3 Data'!$A$10:$A$145,'Round 3 Data'!H$10:H$145,0)+_xlfn.XLOOKUP('Summary Data'!$A20,'Round 4 Data'!$A$10:$A$147,'Round 4 Data'!H$10:H$147,0))/$D20</f>
        <v>#VALUE!</v>
      </c>
      <c r="I20" s="57" t="e">
        <f>(_xlfn.XLOOKUP('Summary Data'!$A20,'Round 1 Data'!$A$10:$A$143,'Round 1 Data'!I$10:I$144,0)+_xlfn.XLOOKUP('Summary Data'!$A20,'Round 2 Data'!$A$10:$A$146,'Round 2 Data'!I$10:I$146,0)+_xlfn.XLOOKUP('Summary Data'!$A20,'Round 3 Data'!$A$10:$A$145,'Round 3 Data'!I$10:I$145,0)+_xlfn.XLOOKUP('Summary Data'!$A20,'Round 4 Data'!$A$10:$A$147,'Round 4 Data'!I$10:I$147,0))/$D20</f>
        <v>#VALUE!</v>
      </c>
      <c r="J20" s="57" t="e">
        <f>(_xlfn.XLOOKUP('Summary Data'!$A20,'Round 1 Data'!$A$10:$A$143,'Round 1 Data'!J$10:J$144,0)+_xlfn.XLOOKUP('Summary Data'!$A20,'Round 2 Data'!$A$10:$A$146,'Round 2 Data'!J$10:J$146,0)+_xlfn.XLOOKUP('Summary Data'!$A20,'Round 3 Data'!$A$10:$A$145,'Round 3 Data'!J$10:J$145,0)+_xlfn.XLOOKUP('Summary Data'!$A20,'Round 4 Data'!$A$10:$A$147,'Round 4 Data'!J$10:J$147,0))/$D20</f>
        <v>#VALUE!</v>
      </c>
      <c r="K20" s="57" t="e">
        <f>(_xlfn.XLOOKUP('Summary Data'!$A20,'Round 1 Data'!$A$10:$A$143,'Round 1 Data'!K$10:K$144,0)+_xlfn.XLOOKUP('Summary Data'!$A20,'Round 2 Data'!$A$10:$A$146,'Round 2 Data'!K$10:K$146,0)+_xlfn.XLOOKUP('Summary Data'!$A20,'Round 3 Data'!$A$10:$A$145,'Round 3 Data'!K$10:K$145,0)+_xlfn.XLOOKUP('Summary Data'!$A20,'Round 4 Data'!$A$10:$A$147,'Round 4 Data'!K$10:K$147,0))/$D20</f>
        <v>#VALUE!</v>
      </c>
      <c r="L20" s="57" t="e">
        <f>(_xlfn.XLOOKUP('Summary Data'!$A20,'Round 1 Data'!$A$10:$A$143,'Round 1 Data'!L$10:L$144,0)+_xlfn.XLOOKUP('Summary Data'!$A20,'Round 2 Data'!$A$10:$A$146,'Round 2 Data'!L$10:L$146,0)+_xlfn.XLOOKUP('Summary Data'!$A20,'Round 3 Data'!$A$10:$A$145,'Round 3 Data'!L$10:L$145,0)+_xlfn.XLOOKUP('Summary Data'!$A20,'Round 4 Data'!$A$10:$A$147,'Round 4 Data'!L$10:L$147,0))/$D20</f>
        <v>#VALUE!</v>
      </c>
      <c r="M20" s="57" t="e">
        <f>(_xlfn.XLOOKUP('Summary Data'!$A20,'Round 1 Data'!$A$10:$A$143,'Round 1 Data'!M$10:M$144,0)+_xlfn.XLOOKUP('Summary Data'!$A20,'Round 2 Data'!$A$10:$A$146,'Round 2 Data'!M$10:M$146,0)+_xlfn.XLOOKUP('Summary Data'!$A20,'Round 3 Data'!$A$10:$A$145,'Round 3 Data'!M$10:M$145,0)+_xlfn.XLOOKUP('Summary Data'!$A20,'Round 4 Data'!$A$10:$A$147,'Round 4 Data'!M$10:M$147,0))/$D20</f>
        <v>#VALUE!</v>
      </c>
      <c r="N20" s="57" t="e">
        <f>(_xlfn.XLOOKUP('Summary Data'!$A20,'Round 1 Data'!$A$10:$A$143,'Round 1 Data'!N$10:N$144,0)+_xlfn.XLOOKUP('Summary Data'!$A20,'Round 2 Data'!$A$10:$A$146,'Round 2 Data'!N$10:N$146,0)+_xlfn.XLOOKUP('Summary Data'!$A20,'Round 3 Data'!$A$10:$A$145,'Round 3 Data'!N$10:N$145,0)+_xlfn.XLOOKUP('Summary Data'!$A20,'Round 4 Data'!$A$10:$A$147,'Round 4 Data'!N$10:N$147,0))/$D20</f>
        <v>#VALUE!</v>
      </c>
      <c r="O20" s="57" t="e">
        <f>(_xlfn.XLOOKUP('Summary Data'!$A20,'Round 1 Data'!$A$10:$A$143,'Round 1 Data'!O$10:O$144,0)+_xlfn.XLOOKUP('Summary Data'!$A20,'Round 2 Data'!$A$10:$A$146,'Round 2 Data'!O$10:O$146,0)+_xlfn.XLOOKUP('Summary Data'!$A20,'Round 3 Data'!$A$10:$A$145,'Round 3 Data'!O$10:O$145,0)+_xlfn.XLOOKUP('Summary Data'!$A20,'Round 4 Data'!$A$10:$A$147,'Round 4 Data'!O$10:O$147,0))/$D20</f>
        <v>#VALUE!</v>
      </c>
      <c r="P20" s="57" t="e">
        <f>(_xlfn.XLOOKUP('Summary Data'!$A20,'Round 1 Data'!$A$10:$A$143,'Round 1 Data'!P$10:P$144,0)+_xlfn.XLOOKUP('Summary Data'!$A20,'Round 2 Data'!$A$10:$A$146,'Round 2 Data'!P$10:P$146,0)+_xlfn.XLOOKUP('Summary Data'!$A20,'Round 3 Data'!$A$10:$A$145,'Round 3 Data'!P$10:P$145,0)+_xlfn.XLOOKUP('Summary Data'!$A20,'Round 4 Data'!$A$10:$A$147,'Round 4 Data'!P$10:P$147,0))/$D20</f>
        <v>#VALUE!</v>
      </c>
      <c r="Q20" s="57" t="e">
        <f>(_xlfn.XLOOKUP('Summary Data'!$A20,'Round 1 Data'!$A$10:$A$143,'Round 1 Data'!Q$10:Q$144,0)+_xlfn.XLOOKUP('Summary Data'!$A20,'Round 2 Data'!$A$10:$A$146,'Round 2 Data'!Q$10:Q$146,0)+_xlfn.XLOOKUP('Summary Data'!$A20,'Round 3 Data'!$A$10:$A$145,'Round 3 Data'!Q$10:Q$145,0)+_xlfn.XLOOKUP('Summary Data'!$A20,'Round 4 Data'!$A$10:$A$147,'Round 4 Data'!Q$10:Q$147,0))/$D20</f>
        <v>#VALUE!</v>
      </c>
      <c r="R20" s="57" t="e">
        <f>(_xlfn.XLOOKUP('Summary Data'!$A20,'Round 1 Data'!$A$10:$A$143,'Round 1 Data'!R$10:R$144,0)+_xlfn.XLOOKUP('Summary Data'!$A20,'Round 2 Data'!$A$10:$A$146,'Round 2 Data'!R$10:R$146,0)+_xlfn.XLOOKUP('Summary Data'!$A20,'Round 3 Data'!$A$10:$A$145,'Round 3 Data'!R$10:R$145,0)+_xlfn.XLOOKUP('Summary Data'!$A20,'Round 4 Data'!$A$10:$A$147,'Round 4 Data'!R$10:R$147,0))/$D20</f>
        <v>#VALUE!</v>
      </c>
      <c r="S20" s="57" t="e">
        <f>(_xlfn.XLOOKUP('Summary Data'!$A20,'Round 1 Data'!$A$10:$A$143,'Round 1 Data'!S$10:S$144,0)+_xlfn.XLOOKUP('Summary Data'!$A20,'Round 2 Data'!$A$10:$A$146,'Round 2 Data'!S$10:S$146,0)+_xlfn.XLOOKUP('Summary Data'!$A20,'Round 3 Data'!$A$10:$A$145,'Round 3 Data'!S$10:S$145,0)+_xlfn.XLOOKUP('Summary Data'!$A20,'Round 4 Data'!$A$10:$A$147,'Round 4 Data'!S$10:S$147,0))/$D20</f>
        <v>#VALUE!</v>
      </c>
      <c r="T20" s="62" t="e">
        <f>(_xlfn.XLOOKUP('Summary Data'!$A20,'Round 1 Data'!$A$10:$A$143,'Round 1 Data'!U$10:U$144,0)+_xlfn.XLOOKUP('Summary Data'!$A20,'Round 2 Data'!$A$10:$A$146,'Round 2 Data'!U$10:U$146,0)+_xlfn.XLOOKUP('Summary Data'!$A20,'Round 3 Data'!$A$10:$A$145,'Round 3 Data'!U$10:U$145,0)+_xlfn.XLOOKUP('Summary Data'!$A20,'Round 4 Data'!$A$10:$A$147,'Round 4 Data'!U$10:U$147,0))</f>
        <v>#VALUE!</v>
      </c>
    </row>
    <row r="21" spans="1:20" ht="16" thickBot="1" x14ac:dyDescent="0.25">
      <c r="A21" s="63" t="s">
        <v>75</v>
      </c>
      <c r="B21" t="s">
        <v>188</v>
      </c>
      <c r="C21" t="s">
        <v>200</v>
      </c>
      <c r="D21" t="e">
        <f>IF(_xlfn.XLOOKUP('Summary Data'!A21,'Round 1 Data'!$A$10:$A$143,'Round 1 Data'!$E$10:$E$144,0)=0,0,1)+IF(_xlfn.XLOOKUP('Summary Data'!A21,'Round 2 Data'!$A$10:$A$146,'Round 2 Data'!$E$10:$E$146,0)=0,0,1)+IF(_xlfn.XLOOKUP('Summary Data'!A21,'Round 3 Data'!$A$10:$A$145,'Round 3 Data'!$E$10:$E$145,0)=0,0,1)+IF(_xlfn.XLOOKUP('Summary Data'!A21,'Round 4 Data'!$A$10:$A$147,'Round 4 Data'!$E$10:$E$147,0)=0,0,1)</f>
        <v>#VALUE!</v>
      </c>
      <c r="E21" s="57" t="e">
        <f>(_xlfn.XLOOKUP('Summary Data'!$A21,'Round 1 Data'!$A$10:$A$143,'Round 1 Data'!E$10:E$144,0)+_xlfn.XLOOKUP('Summary Data'!$A21,'Round 2 Data'!$A$10:$A$146,'Round 2 Data'!E$10:E$146,0)+_xlfn.XLOOKUP('Summary Data'!$A21,'Round 3 Data'!$A$10:$A$145,'Round 3 Data'!E$10:E$145,0)+_xlfn.XLOOKUP('Summary Data'!$A21,'Round 4 Data'!$A$10:$A$147,'Round 4 Data'!E$10:E$147,0))/$D21</f>
        <v>#VALUE!</v>
      </c>
      <c r="F21" s="57" t="e">
        <f>(_xlfn.XLOOKUP('Summary Data'!$A21,'Round 1 Data'!$A$10:$A$143,'Round 1 Data'!F$10:F$144,0)+_xlfn.XLOOKUP('Summary Data'!$A21,'Round 2 Data'!$A$10:$A$146,'Round 2 Data'!F$10:F$146,0)+_xlfn.XLOOKUP('Summary Data'!$A21,'Round 3 Data'!$A$10:$A$145,'Round 3 Data'!F$10:F$145,0)+_xlfn.XLOOKUP('Summary Data'!$A21,'Round 4 Data'!$A$10:$A$147,'Round 4 Data'!F$10:F$147,0))/$D21</f>
        <v>#VALUE!</v>
      </c>
      <c r="G21" s="57" t="e">
        <f>(_xlfn.XLOOKUP('Summary Data'!$A21,'Round 1 Data'!$A$10:$A$143,'Round 1 Data'!G$10:G$144,0)+_xlfn.XLOOKUP('Summary Data'!$A21,'Round 2 Data'!$A$10:$A$146,'Round 2 Data'!G$10:G$146,0)+_xlfn.XLOOKUP('Summary Data'!$A21,'Round 3 Data'!$A$10:$A$145,'Round 3 Data'!G$10:G$145,0)+_xlfn.XLOOKUP('Summary Data'!$A21,'Round 4 Data'!$A$10:$A$147,'Round 4 Data'!G$10:G$147,0))/$D21</f>
        <v>#VALUE!</v>
      </c>
      <c r="H21" s="57" t="e">
        <f>(_xlfn.XLOOKUP('Summary Data'!$A21,'Round 1 Data'!$A$10:$A$143,'Round 1 Data'!H$10:H$144,0)+_xlfn.XLOOKUP('Summary Data'!$A21,'Round 2 Data'!$A$10:$A$146,'Round 2 Data'!H$10:H$146,0)+_xlfn.XLOOKUP('Summary Data'!$A21,'Round 3 Data'!$A$10:$A$145,'Round 3 Data'!H$10:H$145,0)+_xlfn.XLOOKUP('Summary Data'!$A21,'Round 4 Data'!$A$10:$A$147,'Round 4 Data'!H$10:H$147,0))/$D21</f>
        <v>#VALUE!</v>
      </c>
      <c r="I21" s="57" t="e">
        <f>(_xlfn.XLOOKUP('Summary Data'!$A21,'Round 1 Data'!$A$10:$A$143,'Round 1 Data'!I$10:I$144,0)+_xlfn.XLOOKUP('Summary Data'!$A21,'Round 2 Data'!$A$10:$A$146,'Round 2 Data'!I$10:I$146,0)+_xlfn.XLOOKUP('Summary Data'!$A21,'Round 3 Data'!$A$10:$A$145,'Round 3 Data'!I$10:I$145,0)+_xlfn.XLOOKUP('Summary Data'!$A21,'Round 4 Data'!$A$10:$A$147,'Round 4 Data'!I$10:I$147,0))/$D21</f>
        <v>#VALUE!</v>
      </c>
      <c r="J21" s="57" t="e">
        <f>(_xlfn.XLOOKUP('Summary Data'!$A21,'Round 1 Data'!$A$10:$A$143,'Round 1 Data'!J$10:J$144,0)+_xlfn.XLOOKUP('Summary Data'!$A21,'Round 2 Data'!$A$10:$A$146,'Round 2 Data'!J$10:J$146,0)+_xlfn.XLOOKUP('Summary Data'!$A21,'Round 3 Data'!$A$10:$A$145,'Round 3 Data'!J$10:J$145,0)+_xlfn.XLOOKUP('Summary Data'!$A21,'Round 4 Data'!$A$10:$A$147,'Round 4 Data'!J$10:J$147,0))/$D21</f>
        <v>#VALUE!</v>
      </c>
      <c r="K21" s="57" t="e">
        <f>(_xlfn.XLOOKUP('Summary Data'!$A21,'Round 1 Data'!$A$10:$A$143,'Round 1 Data'!K$10:K$144,0)+_xlfn.XLOOKUP('Summary Data'!$A21,'Round 2 Data'!$A$10:$A$146,'Round 2 Data'!K$10:K$146,0)+_xlfn.XLOOKUP('Summary Data'!$A21,'Round 3 Data'!$A$10:$A$145,'Round 3 Data'!K$10:K$145,0)+_xlfn.XLOOKUP('Summary Data'!$A21,'Round 4 Data'!$A$10:$A$147,'Round 4 Data'!K$10:K$147,0))/$D21</f>
        <v>#VALUE!</v>
      </c>
      <c r="L21" s="57" t="e">
        <f>(_xlfn.XLOOKUP('Summary Data'!$A21,'Round 1 Data'!$A$10:$A$143,'Round 1 Data'!L$10:L$144,0)+_xlfn.XLOOKUP('Summary Data'!$A21,'Round 2 Data'!$A$10:$A$146,'Round 2 Data'!L$10:L$146,0)+_xlfn.XLOOKUP('Summary Data'!$A21,'Round 3 Data'!$A$10:$A$145,'Round 3 Data'!L$10:L$145,0)+_xlfn.XLOOKUP('Summary Data'!$A21,'Round 4 Data'!$A$10:$A$147,'Round 4 Data'!L$10:L$147,0))/$D21</f>
        <v>#VALUE!</v>
      </c>
      <c r="M21" s="57" t="e">
        <f>(_xlfn.XLOOKUP('Summary Data'!$A21,'Round 1 Data'!$A$10:$A$143,'Round 1 Data'!M$10:M$144,0)+_xlfn.XLOOKUP('Summary Data'!$A21,'Round 2 Data'!$A$10:$A$146,'Round 2 Data'!M$10:M$146,0)+_xlfn.XLOOKUP('Summary Data'!$A21,'Round 3 Data'!$A$10:$A$145,'Round 3 Data'!M$10:M$145,0)+_xlfn.XLOOKUP('Summary Data'!$A21,'Round 4 Data'!$A$10:$A$147,'Round 4 Data'!M$10:M$147,0))/$D21</f>
        <v>#VALUE!</v>
      </c>
      <c r="N21" s="57" t="e">
        <f>(_xlfn.XLOOKUP('Summary Data'!$A21,'Round 1 Data'!$A$10:$A$143,'Round 1 Data'!N$10:N$144,0)+_xlfn.XLOOKUP('Summary Data'!$A21,'Round 2 Data'!$A$10:$A$146,'Round 2 Data'!N$10:N$146,0)+_xlfn.XLOOKUP('Summary Data'!$A21,'Round 3 Data'!$A$10:$A$145,'Round 3 Data'!N$10:N$145,0)+_xlfn.XLOOKUP('Summary Data'!$A21,'Round 4 Data'!$A$10:$A$147,'Round 4 Data'!N$10:N$147,0))/$D21</f>
        <v>#VALUE!</v>
      </c>
      <c r="O21" s="57" t="e">
        <f>(_xlfn.XLOOKUP('Summary Data'!$A21,'Round 1 Data'!$A$10:$A$143,'Round 1 Data'!O$10:O$144,0)+_xlfn.XLOOKUP('Summary Data'!$A21,'Round 2 Data'!$A$10:$A$146,'Round 2 Data'!O$10:O$146,0)+_xlfn.XLOOKUP('Summary Data'!$A21,'Round 3 Data'!$A$10:$A$145,'Round 3 Data'!O$10:O$145,0)+_xlfn.XLOOKUP('Summary Data'!$A21,'Round 4 Data'!$A$10:$A$147,'Round 4 Data'!O$10:O$147,0))/$D21</f>
        <v>#VALUE!</v>
      </c>
      <c r="P21" s="57" t="e">
        <f>(_xlfn.XLOOKUP('Summary Data'!$A21,'Round 1 Data'!$A$10:$A$143,'Round 1 Data'!P$10:P$144,0)+_xlfn.XLOOKUP('Summary Data'!$A21,'Round 2 Data'!$A$10:$A$146,'Round 2 Data'!P$10:P$146,0)+_xlfn.XLOOKUP('Summary Data'!$A21,'Round 3 Data'!$A$10:$A$145,'Round 3 Data'!P$10:P$145,0)+_xlfn.XLOOKUP('Summary Data'!$A21,'Round 4 Data'!$A$10:$A$147,'Round 4 Data'!P$10:P$147,0))/$D21</f>
        <v>#VALUE!</v>
      </c>
      <c r="Q21" s="57" t="e">
        <f>(_xlfn.XLOOKUP('Summary Data'!$A21,'Round 1 Data'!$A$10:$A$143,'Round 1 Data'!Q$10:Q$144,0)+_xlfn.XLOOKUP('Summary Data'!$A21,'Round 2 Data'!$A$10:$A$146,'Round 2 Data'!Q$10:Q$146,0)+_xlfn.XLOOKUP('Summary Data'!$A21,'Round 3 Data'!$A$10:$A$145,'Round 3 Data'!Q$10:Q$145,0)+_xlfn.XLOOKUP('Summary Data'!$A21,'Round 4 Data'!$A$10:$A$147,'Round 4 Data'!Q$10:Q$147,0))/$D21</f>
        <v>#VALUE!</v>
      </c>
      <c r="R21" s="57" t="e">
        <f>(_xlfn.XLOOKUP('Summary Data'!$A21,'Round 1 Data'!$A$10:$A$143,'Round 1 Data'!R$10:R$144,0)+_xlfn.XLOOKUP('Summary Data'!$A21,'Round 2 Data'!$A$10:$A$146,'Round 2 Data'!R$10:R$146,0)+_xlfn.XLOOKUP('Summary Data'!$A21,'Round 3 Data'!$A$10:$A$145,'Round 3 Data'!R$10:R$145,0)+_xlfn.XLOOKUP('Summary Data'!$A21,'Round 4 Data'!$A$10:$A$147,'Round 4 Data'!R$10:R$147,0))/$D21</f>
        <v>#VALUE!</v>
      </c>
      <c r="S21" s="57" t="e">
        <f>(_xlfn.XLOOKUP('Summary Data'!$A21,'Round 1 Data'!$A$10:$A$143,'Round 1 Data'!S$10:S$144,0)+_xlfn.XLOOKUP('Summary Data'!$A21,'Round 2 Data'!$A$10:$A$146,'Round 2 Data'!S$10:S$146,0)+_xlfn.XLOOKUP('Summary Data'!$A21,'Round 3 Data'!$A$10:$A$145,'Round 3 Data'!S$10:S$145,0)+_xlfn.XLOOKUP('Summary Data'!$A21,'Round 4 Data'!$A$10:$A$147,'Round 4 Data'!S$10:S$147,0))/$D21</f>
        <v>#VALUE!</v>
      </c>
      <c r="T21" s="62" t="e">
        <f>(_xlfn.XLOOKUP('Summary Data'!$A21,'Round 1 Data'!$A$10:$A$143,'Round 1 Data'!U$10:U$144,0)+_xlfn.XLOOKUP('Summary Data'!$A21,'Round 2 Data'!$A$10:$A$146,'Round 2 Data'!U$10:U$146,0)+_xlfn.XLOOKUP('Summary Data'!$A21,'Round 3 Data'!$A$10:$A$145,'Round 3 Data'!U$10:U$145,0)+_xlfn.XLOOKUP('Summary Data'!$A21,'Round 4 Data'!$A$10:$A$147,'Round 4 Data'!U$10:U$147,0))</f>
        <v>#VALUE!</v>
      </c>
    </row>
    <row r="22" spans="1:20" ht="16" thickBot="1" x14ac:dyDescent="0.25">
      <c r="A22" s="61" t="s">
        <v>163</v>
      </c>
      <c r="B22" t="s">
        <v>188</v>
      </c>
      <c r="C22" t="s">
        <v>200</v>
      </c>
      <c r="D22" t="e">
        <f>IF(_xlfn.XLOOKUP('Summary Data'!A22,'Round 1 Data'!$A$10:$A$143,'Round 1 Data'!$E$10:$E$144,0)=0,0,1)+IF(_xlfn.XLOOKUP('Summary Data'!A22,'Round 2 Data'!$A$10:$A$146,'Round 2 Data'!$E$10:$E$146,0)=0,0,1)+IF(_xlfn.XLOOKUP('Summary Data'!A22,'Round 3 Data'!$A$10:$A$145,'Round 3 Data'!$E$10:$E$145,0)=0,0,1)+IF(_xlfn.XLOOKUP('Summary Data'!A22,'Round 4 Data'!$A$10:$A$147,'Round 4 Data'!$E$10:$E$147,0)=0,0,1)</f>
        <v>#VALUE!</v>
      </c>
      <c r="E22" s="57" t="e">
        <f>(_xlfn.XLOOKUP('Summary Data'!$A22,'Round 1 Data'!$A$10:$A$143,'Round 1 Data'!E$10:E$144,0)+_xlfn.XLOOKUP('Summary Data'!$A22,'Round 2 Data'!$A$10:$A$146,'Round 2 Data'!E$10:E$146,0)+_xlfn.XLOOKUP('Summary Data'!$A22,'Round 3 Data'!$A$10:$A$145,'Round 3 Data'!E$10:E$145,0)+_xlfn.XLOOKUP('Summary Data'!$A22,'Round 4 Data'!$A$10:$A$147,'Round 4 Data'!E$10:E$147,0))/$D22</f>
        <v>#VALUE!</v>
      </c>
      <c r="F22" s="57" t="e">
        <f>(_xlfn.XLOOKUP('Summary Data'!$A22,'Round 1 Data'!$A$10:$A$143,'Round 1 Data'!F$10:F$144,0)+_xlfn.XLOOKUP('Summary Data'!$A22,'Round 2 Data'!$A$10:$A$146,'Round 2 Data'!F$10:F$146,0)+_xlfn.XLOOKUP('Summary Data'!$A22,'Round 3 Data'!$A$10:$A$145,'Round 3 Data'!F$10:F$145,0)+_xlfn.XLOOKUP('Summary Data'!$A22,'Round 4 Data'!$A$10:$A$147,'Round 4 Data'!F$10:F$147,0))/$D22</f>
        <v>#VALUE!</v>
      </c>
      <c r="G22" s="57" t="e">
        <f>(_xlfn.XLOOKUP('Summary Data'!$A22,'Round 1 Data'!$A$10:$A$143,'Round 1 Data'!G$10:G$144,0)+_xlfn.XLOOKUP('Summary Data'!$A22,'Round 2 Data'!$A$10:$A$146,'Round 2 Data'!G$10:G$146,0)+_xlfn.XLOOKUP('Summary Data'!$A22,'Round 3 Data'!$A$10:$A$145,'Round 3 Data'!G$10:G$145,0)+_xlfn.XLOOKUP('Summary Data'!$A22,'Round 4 Data'!$A$10:$A$147,'Round 4 Data'!G$10:G$147,0))/$D22</f>
        <v>#VALUE!</v>
      </c>
      <c r="H22" s="57" t="e">
        <f>(_xlfn.XLOOKUP('Summary Data'!$A22,'Round 1 Data'!$A$10:$A$143,'Round 1 Data'!H$10:H$144,0)+_xlfn.XLOOKUP('Summary Data'!$A22,'Round 2 Data'!$A$10:$A$146,'Round 2 Data'!H$10:H$146,0)+_xlfn.XLOOKUP('Summary Data'!$A22,'Round 3 Data'!$A$10:$A$145,'Round 3 Data'!H$10:H$145,0)+_xlfn.XLOOKUP('Summary Data'!$A22,'Round 4 Data'!$A$10:$A$147,'Round 4 Data'!H$10:H$147,0))/$D22</f>
        <v>#VALUE!</v>
      </c>
      <c r="I22" s="57" t="e">
        <f>(_xlfn.XLOOKUP('Summary Data'!$A22,'Round 1 Data'!$A$10:$A$143,'Round 1 Data'!I$10:I$144,0)+_xlfn.XLOOKUP('Summary Data'!$A22,'Round 2 Data'!$A$10:$A$146,'Round 2 Data'!I$10:I$146,0)+_xlfn.XLOOKUP('Summary Data'!$A22,'Round 3 Data'!$A$10:$A$145,'Round 3 Data'!I$10:I$145,0)+_xlfn.XLOOKUP('Summary Data'!$A22,'Round 4 Data'!$A$10:$A$147,'Round 4 Data'!I$10:I$147,0))/$D22</f>
        <v>#VALUE!</v>
      </c>
      <c r="J22" s="57" t="e">
        <f>(_xlfn.XLOOKUP('Summary Data'!$A22,'Round 1 Data'!$A$10:$A$143,'Round 1 Data'!J$10:J$144,0)+_xlfn.XLOOKUP('Summary Data'!$A22,'Round 2 Data'!$A$10:$A$146,'Round 2 Data'!J$10:J$146,0)+_xlfn.XLOOKUP('Summary Data'!$A22,'Round 3 Data'!$A$10:$A$145,'Round 3 Data'!J$10:J$145,0)+_xlfn.XLOOKUP('Summary Data'!$A22,'Round 4 Data'!$A$10:$A$147,'Round 4 Data'!J$10:J$147,0))/$D22</f>
        <v>#VALUE!</v>
      </c>
      <c r="K22" s="57" t="e">
        <f>(_xlfn.XLOOKUP('Summary Data'!$A22,'Round 1 Data'!$A$10:$A$143,'Round 1 Data'!K$10:K$144,0)+_xlfn.XLOOKUP('Summary Data'!$A22,'Round 2 Data'!$A$10:$A$146,'Round 2 Data'!K$10:K$146,0)+_xlfn.XLOOKUP('Summary Data'!$A22,'Round 3 Data'!$A$10:$A$145,'Round 3 Data'!K$10:K$145,0)+_xlfn.XLOOKUP('Summary Data'!$A22,'Round 4 Data'!$A$10:$A$147,'Round 4 Data'!K$10:K$147,0))/$D22</f>
        <v>#VALUE!</v>
      </c>
      <c r="L22" s="57" t="e">
        <f>(_xlfn.XLOOKUP('Summary Data'!$A22,'Round 1 Data'!$A$10:$A$143,'Round 1 Data'!L$10:L$144,0)+_xlfn.XLOOKUP('Summary Data'!$A22,'Round 2 Data'!$A$10:$A$146,'Round 2 Data'!L$10:L$146,0)+_xlfn.XLOOKUP('Summary Data'!$A22,'Round 3 Data'!$A$10:$A$145,'Round 3 Data'!L$10:L$145,0)+_xlfn.XLOOKUP('Summary Data'!$A22,'Round 4 Data'!$A$10:$A$147,'Round 4 Data'!L$10:L$147,0))/$D22</f>
        <v>#VALUE!</v>
      </c>
      <c r="M22" s="57" t="e">
        <f>(_xlfn.XLOOKUP('Summary Data'!$A22,'Round 1 Data'!$A$10:$A$143,'Round 1 Data'!M$10:M$144,0)+_xlfn.XLOOKUP('Summary Data'!$A22,'Round 2 Data'!$A$10:$A$146,'Round 2 Data'!M$10:M$146,0)+_xlfn.XLOOKUP('Summary Data'!$A22,'Round 3 Data'!$A$10:$A$145,'Round 3 Data'!M$10:M$145,0)+_xlfn.XLOOKUP('Summary Data'!$A22,'Round 4 Data'!$A$10:$A$147,'Round 4 Data'!M$10:M$147,0))/$D22</f>
        <v>#VALUE!</v>
      </c>
      <c r="N22" s="57" t="e">
        <f>(_xlfn.XLOOKUP('Summary Data'!$A22,'Round 1 Data'!$A$10:$A$143,'Round 1 Data'!N$10:N$144,0)+_xlfn.XLOOKUP('Summary Data'!$A22,'Round 2 Data'!$A$10:$A$146,'Round 2 Data'!N$10:N$146,0)+_xlfn.XLOOKUP('Summary Data'!$A22,'Round 3 Data'!$A$10:$A$145,'Round 3 Data'!N$10:N$145,0)+_xlfn.XLOOKUP('Summary Data'!$A22,'Round 4 Data'!$A$10:$A$147,'Round 4 Data'!N$10:N$147,0))/$D22</f>
        <v>#VALUE!</v>
      </c>
      <c r="O22" s="57" t="e">
        <f>(_xlfn.XLOOKUP('Summary Data'!$A22,'Round 1 Data'!$A$10:$A$143,'Round 1 Data'!O$10:O$144,0)+_xlfn.XLOOKUP('Summary Data'!$A22,'Round 2 Data'!$A$10:$A$146,'Round 2 Data'!O$10:O$146,0)+_xlfn.XLOOKUP('Summary Data'!$A22,'Round 3 Data'!$A$10:$A$145,'Round 3 Data'!O$10:O$145,0)+_xlfn.XLOOKUP('Summary Data'!$A22,'Round 4 Data'!$A$10:$A$147,'Round 4 Data'!O$10:O$147,0))/$D22</f>
        <v>#VALUE!</v>
      </c>
      <c r="P22" s="57" t="e">
        <f>(_xlfn.XLOOKUP('Summary Data'!$A22,'Round 1 Data'!$A$10:$A$143,'Round 1 Data'!P$10:P$144,0)+_xlfn.XLOOKUP('Summary Data'!$A22,'Round 2 Data'!$A$10:$A$146,'Round 2 Data'!P$10:P$146,0)+_xlfn.XLOOKUP('Summary Data'!$A22,'Round 3 Data'!$A$10:$A$145,'Round 3 Data'!P$10:P$145,0)+_xlfn.XLOOKUP('Summary Data'!$A22,'Round 4 Data'!$A$10:$A$147,'Round 4 Data'!P$10:P$147,0))/$D22</f>
        <v>#VALUE!</v>
      </c>
      <c r="Q22" s="57" t="e">
        <f>(_xlfn.XLOOKUP('Summary Data'!$A22,'Round 1 Data'!$A$10:$A$143,'Round 1 Data'!Q$10:Q$144,0)+_xlfn.XLOOKUP('Summary Data'!$A22,'Round 2 Data'!$A$10:$A$146,'Round 2 Data'!Q$10:Q$146,0)+_xlfn.XLOOKUP('Summary Data'!$A22,'Round 3 Data'!$A$10:$A$145,'Round 3 Data'!Q$10:Q$145,0)+_xlfn.XLOOKUP('Summary Data'!$A22,'Round 4 Data'!$A$10:$A$147,'Round 4 Data'!Q$10:Q$147,0))/$D22</f>
        <v>#VALUE!</v>
      </c>
      <c r="R22" s="57" t="e">
        <f>(_xlfn.XLOOKUP('Summary Data'!$A22,'Round 1 Data'!$A$10:$A$143,'Round 1 Data'!R$10:R$144,0)+_xlfn.XLOOKUP('Summary Data'!$A22,'Round 2 Data'!$A$10:$A$146,'Round 2 Data'!R$10:R$146,0)+_xlfn.XLOOKUP('Summary Data'!$A22,'Round 3 Data'!$A$10:$A$145,'Round 3 Data'!R$10:R$145,0)+_xlfn.XLOOKUP('Summary Data'!$A22,'Round 4 Data'!$A$10:$A$147,'Round 4 Data'!R$10:R$147,0))/$D22</f>
        <v>#VALUE!</v>
      </c>
      <c r="S22" s="57" t="e">
        <f>(_xlfn.XLOOKUP('Summary Data'!$A22,'Round 1 Data'!$A$10:$A$143,'Round 1 Data'!S$10:S$144,0)+_xlfn.XLOOKUP('Summary Data'!$A22,'Round 2 Data'!$A$10:$A$146,'Round 2 Data'!S$10:S$146,0)+_xlfn.XLOOKUP('Summary Data'!$A22,'Round 3 Data'!$A$10:$A$145,'Round 3 Data'!S$10:S$145,0)+_xlfn.XLOOKUP('Summary Data'!$A22,'Round 4 Data'!$A$10:$A$147,'Round 4 Data'!S$10:S$147,0))/$D22</f>
        <v>#VALUE!</v>
      </c>
      <c r="T22" s="62" t="e">
        <f>(_xlfn.XLOOKUP('Summary Data'!$A22,'Round 1 Data'!$A$10:$A$143,'Round 1 Data'!U$10:U$144,0)+_xlfn.XLOOKUP('Summary Data'!$A22,'Round 2 Data'!$A$10:$A$146,'Round 2 Data'!U$10:U$146,0)+_xlfn.XLOOKUP('Summary Data'!$A22,'Round 3 Data'!$A$10:$A$145,'Round 3 Data'!U$10:U$145,0)+_xlfn.XLOOKUP('Summary Data'!$A22,'Round 4 Data'!$A$10:$A$147,'Round 4 Data'!U$10:U$147,0))</f>
        <v>#VALUE!</v>
      </c>
    </row>
    <row r="23" spans="1:20" ht="16" thickBot="1" x14ac:dyDescent="0.25">
      <c r="A23" s="63" t="s">
        <v>77</v>
      </c>
      <c r="B23" t="s">
        <v>188</v>
      </c>
      <c r="C23" t="s">
        <v>200</v>
      </c>
      <c r="D23" t="e">
        <f>IF(_xlfn.XLOOKUP('Summary Data'!A23,'Round 1 Data'!$A$10:$A$143,'Round 1 Data'!$E$10:$E$144,0)=0,0,1)+IF(_xlfn.XLOOKUP('Summary Data'!A23,'Round 2 Data'!$A$10:$A$146,'Round 2 Data'!$E$10:$E$146,0)=0,0,1)+IF(_xlfn.XLOOKUP('Summary Data'!A23,'Round 3 Data'!$A$10:$A$145,'Round 3 Data'!$E$10:$E$145,0)=0,0,1)+IF(_xlfn.XLOOKUP('Summary Data'!A23,'Round 4 Data'!$A$10:$A$147,'Round 4 Data'!$E$10:$E$147,0)=0,0,1)</f>
        <v>#VALUE!</v>
      </c>
      <c r="E23" s="57" t="e">
        <f>(_xlfn.XLOOKUP('Summary Data'!$A23,'Round 1 Data'!$A$10:$A$143,'Round 1 Data'!E$10:E$144,0)+_xlfn.XLOOKUP('Summary Data'!$A23,'Round 2 Data'!$A$10:$A$146,'Round 2 Data'!E$10:E$146,0)+_xlfn.XLOOKUP('Summary Data'!$A23,'Round 3 Data'!$A$10:$A$145,'Round 3 Data'!E$10:E$145,0)+_xlfn.XLOOKUP('Summary Data'!$A23,'Round 4 Data'!$A$10:$A$147,'Round 4 Data'!E$10:E$147,0))/$D23</f>
        <v>#VALUE!</v>
      </c>
      <c r="F23" s="57" t="e">
        <f>(_xlfn.XLOOKUP('Summary Data'!$A23,'Round 1 Data'!$A$10:$A$143,'Round 1 Data'!F$10:F$144,0)+_xlfn.XLOOKUP('Summary Data'!$A23,'Round 2 Data'!$A$10:$A$146,'Round 2 Data'!F$10:F$146,0)+_xlfn.XLOOKUP('Summary Data'!$A23,'Round 3 Data'!$A$10:$A$145,'Round 3 Data'!F$10:F$145,0)+_xlfn.XLOOKUP('Summary Data'!$A23,'Round 4 Data'!$A$10:$A$147,'Round 4 Data'!F$10:F$147,0))/$D23</f>
        <v>#VALUE!</v>
      </c>
      <c r="G23" s="57" t="e">
        <f>(_xlfn.XLOOKUP('Summary Data'!$A23,'Round 1 Data'!$A$10:$A$143,'Round 1 Data'!G$10:G$144,0)+_xlfn.XLOOKUP('Summary Data'!$A23,'Round 2 Data'!$A$10:$A$146,'Round 2 Data'!G$10:G$146,0)+_xlfn.XLOOKUP('Summary Data'!$A23,'Round 3 Data'!$A$10:$A$145,'Round 3 Data'!G$10:G$145,0)+_xlfn.XLOOKUP('Summary Data'!$A23,'Round 4 Data'!$A$10:$A$147,'Round 4 Data'!G$10:G$147,0))/$D23</f>
        <v>#VALUE!</v>
      </c>
      <c r="H23" s="57" t="e">
        <f>(_xlfn.XLOOKUP('Summary Data'!$A23,'Round 1 Data'!$A$10:$A$143,'Round 1 Data'!H$10:H$144,0)+_xlfn.XLOOKUP('Summary Data'!$A23,'Round 2 Data'!$A$10:$A$146,'Round 2 Data'!H$10:H$146,0)+_xlfn.XLOOKUP('Summary Data'!$A23,'Round 3 Data'!$A$10:$A$145,'Round 3 Data'!H$10:H$145,0)+_xlfn.XLOOKUP('Summary Data'!$A23,'Round 4 Data'!$A$10:$A$147,'Round 4 Data'!H$10:H$147,0))/$D23</f>
        <v>#VALUE!</v>
      </c>
      <c r="I23" s="57" t="e">
        <f>(_xlfn.XLOOKUP('Summary Data'!$A23,'Round 1 Data'!$A$10:$A$143,'Round 1 Data'!I$10:I$144,0)+_xlfn.XLOOKUP('Summary Data'!$A23,'Round 2 Data'!$A$10:$A$146,'Round 2 Data'!I$10:I$146,0)+_xlfn.XLOOKUP('Summary Data'!$A23,'Round 3 Data'!$A$10:$A$145,'Round 3 Data'!I$10:I$145,0)+_xlfn.XLOOKUP('Summary Data'!$A23,'Round 4 Data'!$A$10:$A$147,'Round 4 Data'!I$10:I$147,0))/$D23</f>
        <v>#VALUE!</v>
      </c>
      <c r="J23" s="57" t="e">
        <f>(_xlfn.XLOOKUP('Summary Data'!$A23,'Round 1 Data'!$A$10:$A$143,'Round 1 Data'!J$10:J$144,0)+_xlfn.XLOOKUP('Summary Data'!$A23,'Round 2 Data'!$A$10:$A$146,'Round 2 Data'!J$10:J$146,0)+_xlfn.XLOOKUP('Summary Data'!$A23,'Round 3 Data'!$A$10:$A$145,'Round 3 Data'!J$10:J$145,0)+_xlfn.XLOOKUP('Summary Data'!$A23,'Round 4 Data'!$A$10:$A$147,'Round 4 Data'!J$10:J$147,0))/$D23</f>
        <v>#VALUE!</v>
      </c>
      <c r="K23" s="57" t="e">
        <f>(_xlfn.XLOOKUP('Summary Data'!$A23,'Round 1 Data'!$A$10:$A$143,'Round 1 Data'!K$10:K$144,0)+_xlfn.XLOOKUP('Summary Data'!$A23,'Round 2 Data'!$A$10:$A$146,'Round 2 Data'!K$10:K$146,0)+_xlfn.XLOOKUP('Summary Data'!$A23,'Round 3 Data'!$A$10:$A$145,'Round 3 Data'!K$10:K$145,0)+_xlfn.XLOOKUP('Summary Data'!$A23,'Round 4 Data'!$A$10:$A$147,'Round 4 Data'!K$10:K$147,0))/$D23</f>
        <v>#VALUE!</v>
      </c>
      <c r="L23" s="57" t="e">
        <f>(_xlfn.XLOOKUP('Summary Data'!$A23,'Round 1 Data'!$A$10:$A$143,'Round 1 Data'!L$10:L$144,0)+_xlfn.XLOOKUP('Summary Data'!$A23,'Round 2 Data'!$A$10:$A$146,'Round 2 Data'!L$10:L$146,0)+_xlfn.XLOOKUP('Summary Data'!$A23,'Round 3 Data'!$A$10:$A$145,'Round 3 Data'!L$10:L$145,0)+_xlfn.XLOOKUP('Summary Data'!$A23,'Round 4 Data'!$A$10:$A$147,'Round 4 Data'!L$10:L$147,0))/$D23</f>
        <v>#VALUE!</v>
      </c>
      <c r="M23" s="57" t="e">
        <f>(_xlfn.XLOOKUP('Summary Data'!$A23,'Round 1 Data'!$A$10:$A$143,'Round 1 Data'!M$10:M$144,0)+_xlfn.XLOOKUP('Summary Data'!$A23,'Round 2 Data'!$A$10:$A$146,'Round 2 Data'!M$10:M$146,0)+_xlfn.XLOOKUP('Summary Data'!$A23,'Round 3 Data'!$A$10:$A$145,'Round 3 Data'!M$10:M$145,0)+_xlfn.XLOOKUP('Summary Data'!$A23,'Round 4 Data'!$A$10:$A$147,'Round 4 Data'!M$10:M$147,0))/$D23</f>
        <v>#VALUE!</v>
      </c>
      <c r="N23" s="57" t="e">
        <f>(_xlfn.XLOOKUP('Summary Data'!$A23,'Round 1 Data'!$A$10:$A$143,'Round 1 Data'!N$10:N$144,0)+_xlfn.XLOOKUP('Summary Data'!$A23,'Round 2 Data'!$A$10:$A$146,'Round 2 Data'!N$10:N$146,0)+_xlfn.XLOOKUP('Summary Data'!$A23,'Round 3 Data'!$A$10:$A$145,'Round 3 Data'!N$10:N$145,0)+_xlfn.XLOOKUP('Summary Data'!$A23,'Round 4 Data'!$A$10:$A$147,'Round 4 Data'!N$10:N$147,0))/$D23</f>
        <v>#VALUE!</v>
      </c>
      <c r="O23" s="57" t="e">
        <f>(_xlfn.XLOOKUP('Summary Data'!$A23,'Round 1 Data'!$A$10:$A$143,'Round 1 Data'!O$10:O$144,0)+_xlfn.XLOOKUP('Summary Data'!$A23,'Round 2 Data'!$A$10:$A$146,'Round 2 Data'!O$10:O$146,0)+_xlfn.XLOOKUP('Summary Data'!$A23,'Round 3 Data'!$A$10:$A$145,'Round 3 Data'!O$10:O$145,0)+_xlfn.XLOOKUP('Summary Data'!$A23,'Round 4 Data'!$A$10:$A$147,'Round 4 Data'!O$10:O$147,0))/$D23</f>
        <v>#VALUE!</v>
      </c>
      <c r="P23" s="57" t="e">
        <f>(_xlfn.XLOOKUP('Summary Data'!$A23,'Round 1 Data'!$A$10:$A$143,'Round 1 Data'!P$10:P$144,0)+_xlfn.XLOOKUP('Summary Data'!$A23,'Round 2 Data'!$A$10:$A$146,'Round 2 Data'!P$10:P$146,0)+_xlfn.XLOOKUP('Summary Data'!$A23,'Round 3 Data'!$A$10:$A$145,'Round 3 Data'!P$10:P$145,0)+_xlfn.XLOOKUP('Summary Data'!$A23,'Round 4 Data'!$A$10:$A$147,'Round 4 Data'!P$10:P$147,0))/$D23</f>
        <v>#VALUE!</v>
      </c>
      <c r="Q23" s="57" t="e">
        <f>(_xlfn.XLOOKUP('Summary Data'!$A23,'Round 1 Data'!$A$10:$A$143,'Round 1 Data'!Q$10:Q$144,0)+_xlfn.XLOOKUP('Summary Data'!$A23,'Round 2 Data'!$A$10:$A$146,'Round 2 Data'!Q$10:Q$146,0)+_xlfn.XLOOKUP('Summary Data'!$A23,'Round 3 Data'!$A$10:$A$145,'Round 3 Data'!Q$10:Q$145,0)+_xlfn.XLOOKUP('Summary Data'!$A23,'Round 4 Data'!$A$10:$A$147,'Round 4 Data'!Q$10:Q$147,0))/$D23</f>
        <v>#VALUE!</v>
      </c>
      <c r="R23" s="57" t="e">
        <f>(_xlfn.XLOOKUP('Summary Data'!$A23,'Round 1 Data'!$A$10:$A$143,'Round 1 Data'!R$10:R$144,0)+_xlfn.XLOOKUP('Summary Data'!$A23,'Round 2 Data'!$A$10:$A$146,'Round 2 Data'!R$10:R$146,0)+_xlfn.XLOOKUP('Summary Data'!$A23,'Round 3 Data'!$A$10:$A$145,'Round 3 Data'!R$10:R$145,0)+_xlfn.XLOOKUP('Summary Data'!$A23,'Round 4 Data'!$A$10:$A$147,'Round 4 Data'!R$10:R$147,0))/$D23</f>
        <v>#VALUE!</v>
      </c>
      <c r="S23" s="57" t="e">
        <f>(_xlfn.XLOOKUP('Summary Data'!$A23,'Round 1 Data'!$A$10:$A$143,'Round 1 Data'!S$10:S$144,0)+_xlfn.XLOOKUP('Summary Data'!$A23,'Round 2 Data'!$A$10:$A$146,'Round 2 Data'!S$10:S$146,0)+_xlfn.XLOOKUP('Summary Data'!$A23,'Round 3 Data'!$A$10:$A$145,'Round 3 Data'!S$10:S$145,0)+_xlfn.XLOOKUP('Summary Data'!$A23,'Round 4 Data'!$A$10:$A$147,'Round 4 Data'!S$10:S$147,0))/$D23</f>
        <v>#VALUE!</v>
      </c>
      <c r="T23" s="62" t="e">
        <f>(_xlfn.XLOOKUP('Summary Data'!$A23,'Round 1 Data'!$A$10:$A$143,'Round 1 Data'!U$10:U$144,0)+_xlfn.XLOOKUP('Summary Data'!$A23,'Round 2 Data'!$A$10:$A$146,'Round 2 Data'!U$10:U$146,0)+_xlfn.XLOOKUP('Summary Data'!$A23,'Round 3 Data'!$A$10:$A$145,'Round 3 Data'!U$10:U$145,0)+_xlfn.XLOOKUP('Summary Data'!$A23,'Round 4 Data'!$A$10:$A$147,'Round 4 Data'!U$10:U$147,0))</f>
        <v>#VALUE!</v>
      </c>
    </row>
    <row r="24" spans="1:20" ht="16" thickBot="1" x14ac:dyDescent="0.25">
      <c r="A24" s="61" t="s">
        <v>164</v>
      </c>
      <c r="B24" t="s">
        <v>188</v>
      </c>
      <c r="C24" t="s">
        <v>200</v>
      </c>
      <c r="D24" t="e">
        <f>IF(_xlfn.XLOOKUP('Summary Data'!A24,'Round 1 Data'!$A$10:$A$143,'Round 1 Data'!$E$10:$E$144,0)=0,0,1)+IF(_xlfn.XLOOKUP('Summary Data'!A24,'Round 2 Data'!$A$10:$A$146,'Round 2 Data'!$E$10:$E$146,0)=0,0,1)+IF(_xlfn.XLOOKUP('Summary Data'!A24,'Round 3 Data'!$A$10:$A$145,'Round 3 Data'!$E$10:$E$145,0)=0,0,1)+IF(_xlfn.XLOOKUP('Summary Data'!A24,'Round 4 Data'!$A$10:$A$147,'Round 4 Data'!$E$10:$E$147,0)=0,0,1)</f>
        <v>#VALUE!</v>
      </c>
      <c r="E24" s="57" t="e">
        <f>(_xlfn.XLOOKUP('Summary Data'!$A24,'Round 1 Data'!$A$10:$A$143,'Round 1 Data'!E$10:E$144,0)+_xlfn.XLOOKUP('Summary Data'!$A24,'Round 2 Data'!$A$10:$A$146,'Round 2 Data'!E$10:E$146,0)+_xlfn.XLOOKUP('Summary Data'!$A24,'Round 3 Data'!$A$10:$A$145,'Round 3 Data'!E$10:E$145,0)+_xlfn.XLOOKUP('Summary Data'!$A24,'Round 4 Data'!$A$10:$A$147,'Round 4 Data'!E$10:E$147,0))/$D24</f>
        <v>#VALUE!</v>
      </c>
      <c r="F24" s="57" t="e">
        <f>(_xlfn.XLOOKUP('Summary Data'!$A24,'Round 1 Data'!$A$10:$A$143,'Round 1 Data'!F$10:F$144,0)+_xlfn.XLOOKUP('Summary Data'!$A24,'Round 2 Data'!$A$10:$A$146,'Round 2 Data'!F$10:F$146,0)+_xlfn.XLOOKUP('Summary Data'!$A24,'Round 3 Data'!$A$10:$A$145,'Round 3 Data'!F$10:F$145,0)+_xlfn.XLOOKUP('Summary Data'!$A24,'Round 4 Data'!$A$10:$A$147,'Round 4 Data'!F$10:F$147,0))/$D24</f>
        <v>#VALUE!</v>
      </c>
      <c r="G24" s="57" t="e">
        <f>(_xlfn.XLOOKUP('Summary Data'!$A24,'Round 1 Data'!$A$10:$A$143,'Round 1 Data'!G$10:G$144,0)+_xlfn.XLOOKUP('Summary Data'!$A24,'Round 2 Data'!$A$10:$A$146,'Round 2 Data'!G$10:G$146,0)+_xlfn.XLOOKUP('Summary Data'!$A24,'Round 3 Data'!$A$10:$A$145,'Round 3 Data'!G$10:G$145,0)+_xlfn.XLOOKUP('Summary Data'!$A24,'Round 4 Data'!$A$10:$A$147,'Round 4 Data'!G$10:G$147,0))/$D24</f>
        <v>#VALUE!</v>
      </c>
      <c r="H24" s="57" t="e">
        <f>(_xlfn.XLOOKUP('Summary Data'!$A24,'Round 1 Data'!$A$10:$A$143,'Round 1 Data'!H$10:H$144,0)+_xlfn.XLOOKUP('Summary Data'!$A24,'Round 2 Data'!$A$10:$A$146,'Round 2 Data'!H$10:H$146,0)+_xlfn.XLOOKUP('Summary Data'!$A24,'Round 3 Data'!$A$10:$A$145,'Round 3 Data'!H$10:H$145,0)+_xlfn.XLOOKUP('Summary Data'!$A24,'Round 4 Data'!$A$10:$A$147,'Round 4 Data'!H$10:H$147,0))/$D24</f>
        <v>#VALUE!</v>
      </c>
      <c r="I24" s="57" t="e">
        <f>(_xlfn.XLOOKUP('Summary Data'!$A24,'Round 1 Data'!$A$10:$A$143,'Round 1 Data'!I$10:I$144,0)+_xlfn.XLOOKUP('Summary Data'!$A24,'Round 2 Data'!$A$10:$A$146,'Round 2 Data'!I$10:I$146,0)+_xlfn.XLOOKUP('Summary Data'!$A24,'Round 3 Data'!$A$10:$A$145,'Round 3 Data'!I$10:I$145,0)+_xlfn.XLOOKUP('Summary Data'!$A24,'Round 4 Data'!$A$10:$A$147,'Round 4 Data'!I$10:I$147,0))/$D24</f>
        <v>#VALUE!</v>
      </c>
      <c r="J24" s="57" t="e">
        <f>(_xlfn.XLOOKUP('Summary Data'!$A24,'Round 1 Data'!$A$10:$A$143,'Round 1 Data'!J$10:J$144,0)+_xlfn.XLOOKUP('Summary Data'!$A24,'Round 2 Data'!$A$10:$A$146,'Round 2 Data'!J$10:J$146,0)+_xlfn.XLOOKUP('Summary Data'!$A24,'Round 3 Data'!$A$10:$A$145,'Round 3 Data'!J$10:J$145,0)+_xlfn.XLOOKUP('Summary Data'!$A24,'Round 4 Data'!$A$10:$A$147,'Round 4 Data'!J$10:J$147,0))/$D24</f>
        <v>#VALUE!</v>
      </c>
      <c r="K24" s="57" t="e">
        <f>(_xlfn.XLOOKUP('Summary Data'!$A24,'Round 1 Data'!$A$10:$A$143,'Round 1 Data'!K$10:K$144,0)+_xlfn.XLOOKUP('Summary Data'!$A24,'Round 2 Data'!$A$10:$A$146,'Round 2 Data'!K$10:K$146,0)+_xlfn.XLOOKUP('Summary Data'!$A24,'Round 3 Data'!$A$10:$A$145,'Round 3 Data'!K$10:K$145,0)+_xlfn.XLOOKUP('Summary Data'!$A24,'Round 4 Data'!$A$10:$A$147,'Round 4 Data'!K$10:K$147,0))/$D24</f>
        <v>#VALUE!</v>
      </c>
      <c r="L24" s="57" t="e">
        <f>(_xlfn.XLOOKUP('Summary Data'!$A24,'Round 1 Data'!$A$10:$A$143,'Round 1 Data'!L$10:L$144,0)+_xlfn.XLOOKUP('Summary Data'!$A24,'Round 2 Data'!$A$10:$A$146,'Round 2 Data'!L$10:L$146,0)+_xlfn.XLOOKUP('Summary Data'!$A24,'Round 3 Data'!$A$10:$A$145,'Round 3 Data'!L$10:L$145,0)+_xlfn.XLOOKUP('Summary Data'!$A24,'Round 4 Data'!$A$10:$A$147,'Round 4 Data'!L$10:L$147,0))/$D24</f>
        <v>#VALUE!</v>
      </c>
      <c r="M24" s="57" t="e">
        <f>(_xlfn.XLOOKUP('Summary Data'!$A24,'Round 1 Data'!$A$10:$A$143,'Round 1 Data'!M$10:M$144,0)+_xlfn.XLOOKUP('Summary Data'!$A24,'Round 2 Data'!$A$10:$A$146,'Round 2 Data'!M$10:M$146,0)+_xlfn.XLOOKUP('Summary Data'!$A24,'Round 3 Data'!$A$10:$A$145,'Round 3 Data'!M$10:M$145,0)+_xlfn.XLOOKUP('Summary Data'!$A24,'Round 4 Data'!$A$10:$A$147,'Round 4 Data'!M$10:M$147,0))/$D24</f>
        <v>#VALUE!</v>
      </c>
      <c r="N24" s="57" t="e">
        <f>(_xlfn.XLOOKUP('Summary Data'!$A24,'Round 1 Data'!$A$10:$A$143,'Round 1 Data'!N$10:N$144,0)+_xlfn.XLOOKUP('Summary Data'!$A24,'Round 2 Data'!$A$10:$A$146,'Round 2 Data'!N$10:N$146,0)+_xlfn.XLOOKUP('Summary Data'!$A24,'Round 3 Data'!$A$10:$A$145,'Round 3 Data'!N$10:N$145,0)+_xlfn.XLOOKUP('Summary Data'!$A24,'Round 4 Data'!$A$10:$A$147,'Round 4 Data'!N$10:N$147,0))/$D24</f>
        <v>#VALUE!</v>
      </c>
      <c r="O24" s="57" t="e">
        <f>(_xlfn.XLOOKUP('Summary Data'!$A24,'Round 1 Data'!$A$10:$A$143,'Round 1 Data'!O$10:O$144,0)+_xlfn.XLOOKUP('Summary Data'!$A24,'Round 2 Data'!$A$10:$A$146,'Round 2 Data'!O$10:O$146,0)+_xlfn.XLOOKUP('Summary Data'!$A24,'Round 3 Data'!$A$10:$A$145,'Round 3 Data'!O$10:O$145,0)+_xlfn.XLOOKUP('Summary Data'!$A24,'Round 4 Data'!$A$10:$A$147,'Round 4 Data'!O$10:O$147,0))/$D24</f>
        <v>#VALUE!</v>
      </c>
      <c r="P24" s="57" t="e">
        <f>(_xlfn.XLOOKUP('Summary Data'!$A24,'Round 1 Data'!$A$10:$A$143,'Round 1 Data'!P$10:P$144,0)+_xlfn.XLOOKUP('Summary Data'!$A24,'Round 2 Data'!$A$10:$A$146,'Round 2 Data'!P$10:P$146,0)+_xlfn.XLOOKUP('Summary Data'!$A24,'Round 3 Data'!$A$10:$A$145,'Round 3 Data'!P$10:P$145,0)+_xlfn.XLOOKUP('Summary Data'!$A24,'Round 4 Data'!$A$10:$A$147,'Round 4 Data'!P$10:P$147,0))/$D24</f>
        <v>#VALUE!</v>
      </c>
      <c r="Q24" s="57" t="e">
        <f>(_xlfn.XLOOKUP('Summary Data'!$A24,'Round 1 Data'!$A$10:$A$143,'Round 1 Data'!Q$10:Q$144,0)+_xlfn.XLOOKUP('Summary Data'!$A24,'Round 2 Data'!$A$10:$A$146,'Round 2 Data'!Q$10:Q$146,0)+_xlfn.XLOOKUP('Summary Data'!$A24,'Round 3 Data'!$A$10:$A$145,'Round 3 Data'!Q$10:Q$145,0)+_xlfn.XLOOKUP('Summary Data'!$A24,'Round 4 Data'!$A$10:$A$147,'Round 4 Data'!Q$10:Q$147,0))/$D24</f>
        <v>#VALUE!</v>
      </c>
      <c r="R24" s="57" t="e">
        <f>(_xlfn.XLOOKUP('Summary Data'!$A24,'Round 1 Data'!$A$10:$A$143,'Round 1 Data'!R$10:R$144,0)+_xlfn.XLOOKUP('Summary Data'!$A24,'Round 2 Data'!$A$10:$A$146,'Round 2 Data'!R$10:R$146,0)+_xlfn.XLOOKUP('Summary Data'!$A24,'Round 3 Data'!$A$10:$A$145,'Round 3 Data'!R$10:R$145,0)+_xlfn.XLOOKUP('Summary Data'!$A24,'Round 4 Data'!$A$10:$A$147,'Round 4 Data'!R$10:R$147,0))/$D24</f>
        <v>#VALUE!</v>
      </c>
      <c r="S24" s="57" t="e">
        <f>(_xlfn.XLOOKUP('Summary Data'!$A24,'Round 1 Data'!$A$10:$A$143,'Round 1 Data'!S$10:S$144,0)+_xlfn.XLOOKUP('Summary Data'!$A24,'Round 2 Data'!$A$10:$A$146,'Round 2 Data'!S$10:S$146,0)+_xlfn.XLOOKUP('Summary Data'!$A24,'Round 3 Data'!$A$10:$A$145,'Round 3 Data'!S$10:S$145,0)+_xlfn.XLOOKUP('Summary Data'!$A24,'Round 4 Data'!$A$10:$A$147,'Round 4 Data'!S$10:S$147,0))/$D24</f>
        <v>#VALUE!</v>
      </c>
      <c r="T24" s="62" t="e">
        <f>(_xlfn.XLOOKUP('Summary Data'!$A24,'Round 1 Data'!$A$10:$A$143,'Round 1 Data'!U$10:U$144,0)+_xlfn.XLOOKUP('Summary Data'!$A24,'Round 2 Data'!$A$10:$A$146,'Round 2 Data'!U$10:U$146,0)+_xlfn.XLOOKUP('Summary Data'!$A24,'Round 3 Data'!$A$10:$A$145,'Round 3 Data'!U$10:U$145,0)+_xlfn.XLOOKUP('Summary Data'!$A24,'Round 4 Data'!$A$10:$A$147,'Round 4 Data'!U$10:U$147,0))</f>
        <v>#VALUE!</v>
      </c>
    </row>
    <row r="25" spans="1:20" ht="16" thickBot="1" x14ac:dyDescent="0.25">
      <c r="A25" s="63" t="s">
        <v>78</v>
      </c>
      <c r="B25" t="s">
        <v>188</v>
      </c>
      <c r="C25" t="s">
        <v>201</v>
      </c>
      <c r="D25" t="e">
        <f>IF(_xlfn.XLOOKUP('Summary Data'!A25,'Round 1 Data'!$A$10:$A$143,'Round 1 Data'!$E$10:$E$144,0)=0,0,1)+IF(_xlfn.XLOOKUP('Summary Data'!A25,'Round 2 Data'!$A$10:$A$146,'Round 2 Data'!$E$10:$E$146,0)=0,0,1)+IF(_xlfn.XLOOKUP('Summary Data'!A25,'Round 3 Data'!$A$10:$A$145,'Round 3 Data'!$E$10:$E$145,0)=0,0,1)+IF(_xlfn.XLOOKUP('Summary Data'!A25,'Round 4 Data'!$A$10:$A$147,'Round 4 Data'!$E$10:$E$147,0)=0,0,1)</f>
        <v>#VALUE!</v>
      </c>
      <c r="E25" s="57" t="e">
        <f>(_xlfn.XLOOKUP('Summary Data'!$A25,'Round 1 Data'!$A$10:$A$143,'Round 1 Data'!E$10:E$144,0)+_xlfn.XLOOKUP('Summary Data'!$A25,'Round 2 Data'!$A$10:$A$146,'Round 2 Data'!E$10:E$146,0)+_xlfn.XLOOKUP('Summary Data'!$A25,'Round 3 Data'!$A$10:$A$145,'Round 3 Data'!E$10:E$145,0)+_xlfn.XLOOKUP('Summary Data'!$A25,'Round 4 Data'!$A$10:$A$147,'Round 4 Data'!E$10:E$147,0))/$D25</f>
        <v>#VALUE!</v>
      </c>
      <c r="F25" s="57" t="e">
        <f>(_xlfn.XLOOKUP('Summary Data'!$A25,'Round 1 Data'!$A$10:$A$143,'Round 1 Data'!F$10:F$144,0)+_xlfn.XLOOKUP('Summary Data'!$A25,'Round 2 Data'!$A$10:$A$146,'Round 2 Data'!F$10:F$146,0)+_xlfn.XLOOKUP('Summary Data'!$A25,'Round 3 Data'!$A$10:$A$145,'Round 3 Data'!F$10:F$145,0)+_xlfn.XLOOKUP('Summary Data'!$A25,'Round 4 Data'!$A$10:$A$147,'Round 4 Data'!F$10:F$147,0))/$D25</f>
        <v>#VALUE!</v>
      </c>
      <c r="G25" s="57" t="e">
        <f>(_xlfn.XLOOKUP('Summary Data'!$A25,'Round 1 Data'!$A$10:$A$143,'Round 1 Data'!G$10:G$144,0)+_xlfn.XLOOKUP('Summary Data'!$A25,'Round 2 Data'!$A$10:$A$146,'Round 2 Data'!G$10:G$146,0)+_xlfn.XLOOKUP('Summary Data'!$A25,'Round 3 Data'!$A$10:$A$145,'Round 3 Data'!G$10:G$145,0)+_xlfn.XLOOKUP('Summary Data'!$A25,'Round 4 Data'!$A$10:$A$147,'Round 4 Data'!G$10:G$147,0))/$D25</f>
        <v>#VALUE!</v>
      </c>
      <c r="H25" s="57" t="e">
        <f>(_xlfn.XLOOKUP('Summary Data'!$A25,'Round 1 Data'!$A$10:$A$143,'Round 1 Data'!H$10:H$144,0)+_xlfn.XLOOKUP('Summary Data'!$A25,'Round 2 Data'!$A$10:$A$146,'Round 2 Data'!H$10:H$146,0)+_xlfn.XLOOKUP('Summary Data'!$A25,'Round 3 Data'!$A$10:$A$145,'Round 3 Data'!H$10:H$145,0)+_xlfn.XLOOKUP('Summary Data'!$A25,'Round 4 Data'!$A$10:$A$147,'Round 4 Data'!H$10:H$147,0))/$D25</f>
        <v>#VALUE!</v>
      </c>
      <c r="I25" s="57" t="e">
        <f>(_xlfn.XLOOKUP('Summary Data'!$A25,'Round 1 Data'!$A$10:$A$143,'Round 1 Data'!I$10:I$144,0)+_xlfn.XLOOKUP('Summary Data'!$A25,'Round 2 Data'!$A$10:$A$146,'Round 2 Data'!I$10:I$146,0)+_xlfn.XLOOKUP('Summary Data'!$A25,'Round 3 Data'!$A$10:$A$145,'Round 3 Data'!I$10:I$145,0)+_xlfn.XLOOKUP('Summary Data'!$A25,'Round 4 Data'!$A$10:$A$147,'Round 4 Data'!I$10:I$147,0))/$D25</f>
        <v>#VALUE!</v>
      </c>
      <c r="J25" s="57" t="e">
        <f>(_xlfn.XLOOKUP('Summary Data'!$A25,'Round 1 Data'!$A$10:$A$143,'Round 1 Data'!J$10:J$144,0)+_xlfn.XLOOKUP('Summary Data'!$A25,'Round 2 Data'!$A$10:$A$146,'Round 2 Data'!J$10:J$146,0)+_xlfn.XLOOKUP('Summary Data'!$A25,'Round 3 Data'!$A$10:$A$145,'Round 3 Data'!J$10:J$145,0)+_xlfn.XLOOKUP('Summary Data'!$A25,'Round 4 Data'!$A$10:$A$147,'Round 4 Data'!J$10:J$147,0))/$D25</f>
        <v>#VALUE!</v>
      </c>
      <c r="K25" s="57" t="e">
        <f>(_xlfn.XLOOKUP('Summary Data'!$A25,'Round 1 Data'!$A$10:$A$143,'Round 1 Data'!K$10:K$144,0)+_xlfn.XLOOKUP('Summary Data'!$A25,'Round 2 Data'!$A$10:$A$146,'Round 2 Data'!K$10:K$146,0)+_xlfn.XLOOKUP('Summary Data'!$A25,'Round 3 Data'!$A$10:$A$145,'Round 3 Data'!K$10:K$145,0)+_xlfn.XLOOKUP('Summary Data'!$A25,'Round 4 Data'!$A$10:$A$147,'Round 4 Data'!K$10:K$147,0))/$D25</f>
        <v>#VALUE!</v>
      </c>
      <c r="L25" s="57" t="e">
        <f>(_xlfn.XLOOKUP('Summary Data'!$A25,'Round 1 Data'!$A$10:$A$143,'Round 1 Data'!L$10:L$144,0)+_xlfn.XLOOKUP('Summary Data'!$A25,'Round 2 Data'!$A$10:$A$146,'Round 2 Data'!L$10:L$146,0)+_xlfn.XLOOKUP('Summary Data'!$A25,'Round 3 Data'!$A$10:$A$145,'Round 3 Data'!L$10:L$145,0)+_xlfn.XLOOKUP('Summary Data'!$A25,'Round 4 Data'!$A$10:$A$147,'Round 4 Data'!L$10:L$147,0))/$D25</f>
        <v>#VALUE!</v>
      </c>
      <c r="M25" s="57" t="e">
        <f>(_xlfn.XLOOKUP('Summary Data'!$A25,'Round 1 Data'!$A$10:$A$143,'Round 1 Data'!M$10:M$144,0)+_xlfn.XLOOKUP('Summary Data'!$A25,'Round 2 Data'!$A$10:$A$146,'Round 2 Data'!M$10:M$146,0)+_xlfn.XLOOKUP('Summary Data'!$A25,'Round 3 Data'!$A$10:$A$145,'Round 3 Data'!M$10:M$145,0)+_xlfn.XLOOKUP('Summary Data'!$A25,'Round 4 Data'!$A$10:$A$147,'Round 4 Data'!M$10:M$147,0))/$D25</f>
        <v>#VALUE!</v>
      </c>
      <c r="N25" s="57" t="e">
        <f>(_xlfn.XLOOKUP('Summary Data'!$A25,'Round 1 Data'!$A$10:$A$143,'Round 1 Data'!N$10:N$144,0)+_xlfn.XLOOKUP('Summary Data'!$A25,'Round 2 Data'!$A$10:$A$146,'Round 2 Data'!N$10:N$146,0)+_xlfn.XLOOKUP('Summary Data'!$A25,'Round 3 Data'!$A$10:$A$145,'Round 3 Data'!N$10:N$145,0)+_xlfn.XLOOKUP('Summary Data'!$A25,'Round 4 Data'!$A$10:$A$147,'Round 4 Data'!N$10:N$147,0))/$D25</f>
        <v>#VALUE!</v>
      </c>
      <c r="O25" s="57" t="e">
        <f>(_xlfn.XLOOKUP('Summary Data'!$A25,'Round 1 Data'!$A$10:$A$143,'Round 1 Data'!O$10:O$144,0)+_xlfn.XLOOKUP('Summary Data'!$A25,'Round 2 Data'!$A$10:$A$146,'Round 2 Data'!O$10:O$146,0)+_xlfn.XLOOKUP('Summary Data'!$A25,'Round 3 Data'!$A$10:$A$145,'Round 3 Data'!O$10:O$145,0)+_xlfn.XLOOKUP('Summary Data'!$A25,'Round 4 Data'!$A$10:$A$147,'Round 4 Data'!O$10:O$147,0))/$D25</f>
        <v>#VALUE!</v>
      </c>
      <c r="P25" s="57" t="e">
        <f>(_xlfn.XLOOKUP('Summary Data'!$A25,'Round 1 Data'!$A$10:$A$143,'Round 1 Data'!P$10:P$144,0)+_xlfn.XLOOKUP('Summary Data'!$A25,'Round 2 Data'!$A$10:$A$146,'Round 2 Data'!P$10:P$146,0)+_xlfn.XLOOKUP('Summary Data'!$A25,'Round 3 Data'!$A$10:$A$145,'Round 3 Data'!P$10:P$145,0)+_xlfn.XLOOKUP('Summary Data'!$A25,'Round 4 Data'!$A$10:$A$147,'Round 4 Data'!P$10:P$147,0))/$D25</f>
        <v>#VALUE!</v>
      </c>
      <c r="Q25" s="57" t="e">
        <f>(_xlfn.XLOOKUP('Summary Data'!$A25,'Round 1 Data'!$A$10:$A$143,'Round 1 Data'!Q$10:Q$144,0)+_xlfn.XLOOKUP('Summary Data'!$A25,'Round 2 Data'!$A$10:$A$146,'Round 2 Data'!Q$10:Q$146,0)+_xlfn.XLOOKUP('Summary Data'!$A25,'Round 3 Data'!$A$10:$A$145,'Round 3 Data'!Q$10:Q$145,0)+_xlfn.XLOOKUP('Summary Data'!$A25,'Round 4 Data'!$A$10:$A$147,'Round 4 Data'!Q$10:Q$147,0))/$D25</f>
        <v>#VALUE!</v>
      </c>
      <c r="R25" s="57" t="e">
        <f>(_xlfn.XLOOKUP('Summary Data'!$A25,'Round 1 Data'!$A$10:$A$143,'Round 1 Data'!R$10:R$144,0)+_xlfn.XLOOKUP('Summary Data'!$A25,'Round 2 Data'!$A$10:$A$146,'Round 2 Data'!R$10:R$146,0)+_xlfn.XLOOKUP('Summary Data'!$A25,'Round 3 Data'!$A$10:$A$145,'Round 3 Data'!R$10:R$145,0)+_xlfn.XLOOKUP('Summary Data'!$A25,'Round 4 Data'!$A$10:$A$147,'Round 4 Data'!R$10:R$147,0))/$D25</f>
        <v>#VALUE!</v>
      </c>
      <c r="S25" s="57" t="e">
        <f>(_xlfn.XLOOKUP('Summary Data'!$A25,'Round 1 Data'!$A$10:$A$143,'Round 1 Data'!S$10:S$144,0)+_xlfn.XLOOKUP('Summary Data'!$A25,'Round 2 Data'!$A$10:$A$146,'Round 2 Data'!S$10:S$146,0)+_xlfn.XLOOKUP('Summary Data'!$A25,'Round 3 Data'!$A$10:$A$145,'Round 3 Data'!S$10:S$145,0)+_xlfn.XLOOKUP('Summary Data'!$A25,'Round 4 Data'!$A$10:$A$147,'Round 4 Data'!S$10:S$147,0))/$D25</f>
        <v>#VALUE!</v>
      </c>
      <c r="T25" s="62" t="e">
        <f>(_xlfn.XLOOKUP('Summary Data'!$A25,'Round 1 Data'!$A$10:$A$143,'Round 1 Data'!U$10:U$144,0)+_xlfn.XLOOKUP('Summary Data'!$A25,'Round 2 Data'!$A$10:$A$146,'Round 2 Data'!U$10:U$146,0)+_xlfn.XLOOKUP('Summary Data'!$A25,'Round 3 Data'!$A$10:$A$145,'Round 3 Data'!U$10:U$145,0)+_xlfn.XLOOKUP('Summary Data'!$A25,'Round 4 Data'!$A$10:$A$147,'Round 4 Data'!U$10:U$147,0))</f>
        <v>#VALUE!</v>
      </c>
    </row>
    <row r="26" spans="1:20" ht="16" thickBot="1" x14ac:dyDescent="0.25">
      <c r="A26" s="61" t="s">
        <v>79</v>
      </c>
      <c r="B26" t="s">
        <v>188</v>
      </c>
      <c r="C26" t="s">
        <v>201</v>
      </c>
      <c r="D26" t="e">
        <f>IF(_xlfn.XLOOKUP('Summary Data'!A26,'Round 1 Data'!$A$10:$A$143,'Round 1 Data'!$E$10:$E$144,0)=0,0,1)+IF(_xlfn.XLOOKUP('Summary Data'!A26,'Round 2 Data'!$A$10:$A$146,'Round 2 Data'!$E$10:$E$146,0)=0,0,1)+IF(_xlfn.XLOOKUP('Summary Data'!A26,'Round 3 Data'!$A$10:$A$145,'Round 3 Data'!$E$10:$E$145,0)=0,0,1)+IF(_xlfn.XLOOKUP('Summary Data'!A26,'Round 4 Data'!$A$10:$A$147,'Round 4 Data'!$E$10:$E$147,0)=0,0,1)</f>
        <v>#VALUE!</v>
      </c>
      <c r="E26" s="57" t="e">
        <f>(_xlfn.XLOOKUP('Summary Data'!$A26,'Round 1 Data'!$A$10:$A$143,'Round 1 Data'!E$10:E$144,0)+_xlfn.XLOOKUP('Summary Data'!$A26,'Round 2 Data'!$A$10:$A$146,'Round 2 Data'!E$10:E$146,0)+_xlfn.XLOOKUP('Summary Data'!$A26,'Round 3 Data'!$A$10:$A$145,'Round 3 Data'!E$10:E$145,0)+_xlfn.XLOOKUP('Summary Data'!$A26,'Round 4 Data'!$A$10:$A$147,'Round 4 Data'!E$10:E$147,0))/$D26</f>
        <v>#VALUE!</v>
      </c>
      <c r="F26" s="57" t="e">
        <f>(_xlfn.XLOOKUP('Summary Data'!$A26,'Round 1 Data'!$A$10:$A$143,'Round 1 Data'!F$10:F$144,0)+_xlfn.XLOOKUP('Summary Data'!$A26,'Round 2 Data'!$A$10:$A$146,'Round 2 Data'!F$10:F$146,0)+_xlfn.XLOOKUP('Summary Data'!$A26,'Round 3 Data'!$A$10:$A$145,'Round 3 Data'!F$10:F$145,0)+_xlfn.XLOOKUP('Summary Data'!$A26,'Round 4 Data'!$A$10:$A$147,'Round 4 Data'!F$10:F$147,0))/$D26</f>
        <v>#VALUE!</v>
      </c>
      <c r="G26" s="57" t="e">
        <f>(_xlfn.XLOOKUP('Summary Data'!$A26,'Round 1 Data'!$A$10:$A$143,'Round 1 Data'!G$10:G$144,0)+_xlfn.XLOOKUP('Summary Data'!$A26,'Round 2 Data'!$A$10:$A$146,'Round 2 Data'!G$10:G$146,0)+_xlfn.XLOOKUP('Summary Data'!$A26,'Round 3 Data'!$A$10:$A$145,'Round 3 Data'!G$10:G$145,0)+_xlfn.XLOOKUP('Summary Data'!$A26,'Round 4 Data'!$A$10:$A$147,'Round 4 Data'!G$10:G$147,0))/$D26</f>
        <v>#VALUE!</v>
      </c>
      <c r="H26" s="57" t="e">
        <f>(_xlfn.XLOOKUP('Summary Data'!$A26,'Round 1 Data'!$A$10:$A$143,'Round 1 Data'!H$10:H$144,0)+_xlfn.XLOOKUP('Summary Data'!$A26,'Round 2 Data'!$A$10:$A$146,'Round 2 Data'!H$10:H$146,0)+_xlfn.XLOOKUP('Summary Data'!$A26,'Round 3 Data'!$A$10:$A$145,'Round 3 Data'!H$10:H$145,0)+_xlfn.XLOOKUP('Summary Data'!$A26,'Round 4 Data'!$A$10:$A$147,'Round 4 Data'!H$10:H$147,0))/$D26</f>
        <v>#VALUE!</v>
      </c>
      <c r="I26" s="57" t="e">
        <f>(_xlfn.XLOOKUP('Summary Data'!$A26,'Round 1 Data'!$A$10:$A$143,'Round 1 Data'!I$10:I$144,0)+_xlfn.XLOOKUP('Summary Data'!$A26,'Round 2 Data'!$A$10:$A$146,'Round 2 Data'!I$10:I$146,0)+_xlfn.XLOOKUP('Summary Data'!$A26,'Round 3 Data'!$A$10:$A$145,'Round 3 Data'!I$10:I$145,0)+_xlfn.XLOOKUP('Summary Data'!$A26,'Round 4 Data'!$A$10:$A$147,'Round 4 Data'!I$10:I$147,0))/$D26</f>
        <v>#VALUE!</v>
      </c>
      <c r="J26" s="57" t="e">
        <f>(_xlfn.XLOOKUP('Summary Data'!$A26,'Round 1 Data'!$A$10:$A$143,'Round 1 Data'!J$10:J$144,0)+_xlfn.XLOOKUP('Summary Data'!$A26,'Round 2 Data'!$A$10:$A$146,'Round 2 Data'!J$10:J$146,0)+_xlfn.XLOOKUP('Summary Data'!$A26,'Round 3 Data'!$A$10:$A$145,'Round 3 Data'!J$10:J$145,0)+_xlfn.XLOOKUP('Summary Data'!$A26,'Round 4 Data'!$A$10:$A$147,'Round 4 Data'!J$10:J$147,0))/$D26</f>
        <v>#VALUE!</v>
      </c>
      <c r="K26" s="57" t="e">
        <f>(_xlfn.XLOOKUP('Summary Data'!$A26,'Round 1 Data'!$A$10:$A$143,'Round 1 Data'!K$10:K$144,0)+_xlfn.XLOOKUP('Summary Data'!$A26,'Round 2 Data'!$A$10:$A$146,'Round 2 Data'!K$10:K$146,0)+_xlfn.XLOOKUP('Summary Data'!$A26,'Round 3 Data'!$A$10:$A$145,'Round 3 Data'!K$10:K$145,0)+_xlfn.XLOOKUP('Summary Data'!$A26,'Round 4 Data'!$A$10:$A$147,'Round 4 Data'!K$10:K$147,0))/$D26</f>
        <v>#VALUE!</v>
      </c>
      <c r="L26" s="57" t="e">
        <f>(_xlfn.XLOOKUP('Summary Data'!$A26,'Round 1 Data'!$A$10:$A$143,'Round 1 Data'!L$10:L$144,0)+_xlfn.XLOOKUP('Summary Data'!$A26,'Round 2 Data'!$A$10:$A$146,'Round 2 Data'!L$10:L$146,0)+_xlfn.XLOOKUP('Summary Data'!$A26,'Round 3 Data'!$A$10:$A$145,'Round 3 Data'!L$10:L$145,0)+_xlfn.XLOOKUP('Summary Data'!$A26,'Round 4 Data'!$A$10:$A$147,'Round 4 Data'!L$10:L$147,0))/$D26</f>
        <v>#VALUE!</v>
      </c>
      <c r="M26" s="57" t="e">
        <f>(_xlfn.XLOOKUP('Summary Data'!$A26,'Round 1 Data'!$A$10:$A$143,'Round 1 Data'!M$10:M$144,0)+_xlfn.XLOOKUP('Summary Data'!$A26,'Round 2 Data'!$A$10:$A$146,'Round 2 Data'!M$10:M$146,0)+_xlfn.XLOOKUP('Summary Data'!$A26,'Round 3 Data'!$A$10:$A$145,'Round 3 Data'!M$10:M$145,0)+_xlfn.XLOOKUP('Summary Data'!$A26,'Round 4 Data'!$A$10:$A$147,'Round 4 Data'!M$10:M$147,0))/$D26</f>
        <v>#VALUE!</v>
      </c>
      <c r="N26" s="57" t="e">
        <f>(_xlfn.XLOOKUP('Summary Data'!$A26,'Round 1 Data'!$A$10:$A$143,'Round 1 Data'!N$10:N$144,0)+_xlfn.XLOOKUP('Summary Data'!$A26,'Round 2 Data'!$A$10:$A$146,'Round 2 Data'!N$10:N$146,0)+_xlfn.XLOOKUP('Summary Data'!$A26,'Round 3 Data'!$A$10:$A$145,'Round 3 Data'!N$10:N$145,0)+_xlfn.XLOOKUP('Summary Data'!$A26,'Round 4 Data'!$A$10:$A$147,'Round 4 Data'!N$10:N$147,0))/$D26</f>
        <v>#VALUE!</v>
      </c>
      <c r="O26" s="57" t="e">
        <f>(_xlfn.XLOOKUP('Summary Data'!$A26,'Round 1 Data'!$A$10:$A$143,'Round 1 Data'!O$10:O$144,0)+_xlfn.XLOOKUP('Summary Data'!$A26,'Round 2 Data'!$A$10:$A$146,'Round 2 Data'!O$10:O$146,0)+_xlfn.XLOOKUP('Summary Data'!$A26,'Round 3 Data'!$A$10:$A$145,'Round 3 Data'!O$10:O$145,0)+_xlfn.XLOOKUP('Summary Data'!$A26,'Round 4 Data'!$A$10:$A$147,'Round 4 Data'!O$10:O$147,0))/$D26</f>
        <v>#VALUE!</v>
      </c>
      <c r="P26" s="57" t="e">
        <f>(_xlfn.XLOOKUP('Summary Data'!$A26,'Round 1 Data'!$A$10:$A$143,'Round 1 Data'!P$10:P$144,0)+_xlfn.XLOOKUP('Summary Data'!$A26,'Round 2 Data'!$A$10:$A$146,'Round 2 Data'!P$10:P$146,0)+_xlfn.XLOOKUP('Summary Data'!$A26,'Round 3 Data'!$A$10:$A$145,'Round 3 Data'!P$10:P$145,0)+_xlfn.XLOOKUP('Summary Data'!$A26,'Round 4 Data'!$A$10:$A$147,'Round 4 Data'!P$10:P$147,0))/$D26</f>
        <v>#VALUE!</v>
      </c>
      <c r="Q26" s="57" t="e">
        <f>(_xlfn.XLOOKUP('Summary Data'!$A26,'Round 1 Data'!$A$10:$A$143,'Round 1 Data'!Q$10:Q$144,0)+_xlfn.XLOOKUP('Summary Data'!$A26,'Round 2 Data'!$A$10:$A$146,'Round 2 Data'!Q$10:Q$146,0)+_xlfn.XLOOKUP('Summary Data'!$A26,'Round 3 Data'!$A$10:$A$145,'Round 3 Data'!Q$10:Q$145,0)+_xlfn.XLOOKUP('Summary Data'!$A26,'Round 4 Data'!$A$10:$A$147,'Round 4 Data'!Q$10:Q$147,0))/$D26</f>
        <v>#VALUE!</v>
      </c>
      <c r="R26" s="57" t="e">
        <f>(_xlfn.XLOOKUP('Summary Data'!$A26,'Round 1 Data'!$A$10:$A$143,'Round 1 Data'!R$10:R$144,0)+_xlfn.XLOOKUP('Summary Data'!$A26,'Round 2 Data'!$A$10:$A$146,'Round 2 Data'!R$10:R$146,0)+_xlfn.XLOOKUP('Summary Data'!$A26,'Round 3 Data'!$A$10:$A$145,'Round 3 Data'!R$10:R$145,0)+_xlfn.XLOOKUP('Summary Data'!$A26,'Round 4 Data'!$A$10:$A$147,'Round 4 Data'!R$10:R$147,0))/$D26</f>
        <v>#VALUE!</v>
      </c>
      <c r="S26" s="57" t="e">
        <f>(_xlfn.XLOOKUP('Summary Data'!$A26,'Round 1 Data'!$A$10:$A$143,'Round 1 Data'!S$10:S$144,0)+_xlfn.XLOOKUP('Summary Data'!$A26,'Round 2 Data'!$A$10:$A$146,'Round 2 Data'!S$10:S$146,0)+_xlfn.XLOOKUP('Summary Data'!$A26,'Round 3 Data'!$A$10:$A$145,'Round 3 Data'!S$10:S$145,0)+_xlfn.XLOOKUP('Summary Data'!$A26,'Round 4 Data'!$A$10:$A$147,'Round 4 Data'!S$10:S$147,0))/$D26</f>
        <v>#VALUE!</v>
      </c>
      <c r="T26" s="62" t="e">
        <f>(_xlfn.XLOOKUP('Summary Data'!$A26,'Round 1 Data'!$A$10:$A$143,'Round 1 Data'!U$10:U$144,0)+_xlfn.XLOOKUP('Summary Data'!$A26,'Round 2 Data'!$A$10:$A$146,'Round 2 Data'!U$10:U$146,0)+_xlfn.XLOOKUP('Summary Data'!$A26,'Round 3 Data'!$A$10:$A$145,'Round 3 Data'!U$10:U$145,0)+_xlfn.XLOOKUP('Summary Data'!$A26,'Round 4 Data'!$A$10:$A$147,'Round 4 Data'!U$10:U$147,0))</f>
        <v>#VALUE!</v>
      </c>
    </row>
    <row r="27" spans="1:20" ht="16" thickBot="1" x14ac:dyDescent="0.25">
      <c r="A27" s="61" t="s">
        <v>126</v>
      </c>
      <c r="B27" t="s">
        <v>189</v>
      </c>
      <c r="C27" t="s">
        <v>194</v>
      </c>
      <c r="D27" t="e">
        <f>IF(_xlfn.XLOOKUP('Summary Data'!A27,'Round 1 Data'!$A$10:$A$143,'Round 1 Data'!$E$10:$E$144,0)=0,0,1)+IF(_xlfn.XLOOKUP('Summary Data'!A27,'Round 2 Data'!$A$10:$A$146,'Round 2 Data'!$E$10:$E$146,0)=0,0,1)+IF(_xlfn.XLOOKUP('Summary Data'!A27,'Round 3 Data'!$A$10:$A$145,'Round 3 Data'!$E$10:$E$145,0)=0,0,1)+IF(_xlfn.XLOOKUP('Summary Data'!A27,'Round 4 Data'!$A$10:$A$147,'Round 4 Data'!$E$10:$E$147,0)=0,0,1)</f>
        <v>#VALUE!</v>
      </c>
      <c r="E27" s="57" t="e">
        <f>(_xlfn.XLOOKUP('Summary Data'!$A27,'Round 1 Data'!$A$10:$A$143,'Round 1 Data'!E$10:E$144,0)+_xlfn.XLOOKUP('Summary Data'!$A27,'Round 2 Data'!$A$10:$A$146,'Round 2 Data'!E$10:E$146,0)+_xlfn.XLOOKUP('Summary Data'!$A27,'Round 3 Data'!$A$10:$A$145,'Round 3 Data'!E$10:E$145,0)+_xlfn.XLOOKUP('Summary Data'!$A27,'Round 4 Data'!$A$10:$A$147,'Round 4 Data'!E$10:E$147,0))/$D27</f>
        <v>#VALUE!</v>
      </c>
      <c r="F27" s="57" t="e">
        <f>(_xlfn.XLOOKUP('Summary Data'!$A27,'Round 1 Data'!$A$10:$A$143,'Round 1 Data'!F$10:F$144,0)+_xlfn.XLOOKUP('Summary Data'!$A27,'Round 2 Data'!$A$10:$A$146,'Round 2 Data'!F$10:F$146,0)+_xlfn.XLOOKUP('Summary Data'!$A27,'Round 3 Data'!$A$10:$A$145,'Round 3 Data'!F$10:F$145,0)+_xlfn.XLOOKUP('Summary Data'!$A27,'Round 4 Data'!$A$10:$A$147,'Round 4 Data'!F$10:F$147,0))/$D27</f>
        <v>#VALUE!</v>
      </c>
      <c r="G27" s="57" t="e">
        <f>(_xlfn.XLOOKUP('Summary Data'!$A27,'Round 1 Data'!$A$10:$A$143,'Round 1 Data'!G$10:G$144,0)+_xlfn.XLOOKUP('Summary Data'!$A27,'Round 2 Data'!$A$10:$A$146,'Round 2 Data'!G$10:G$146,0)+_xlfn.XLOOKUP('Summary Data'!$A27,'Round 3 Data'!$A$10:$A$145,'Round 3 Data'!G$10:G$145,0)+_xlfn.XLOOKUP('Summary Data'!$A27,'Round 4 Data'!$A$10:$A$147,'Round 4 Data'!G$10:G$147,0))/$D27</f>
        <v>#VALUE!</v>
      </c>
      <c r="H27" s="57" t="e">
        <f>(_xlfn.XLOOKUP('Summary Data'!$A27,'Round 1 Data'!$A$10:$A$143,'Round 1 Data'!H$10:H$144,0)+_xlfn.XLOOKUP('Summary Data'!$A27,'Round 2 Data'!$A$10:$A$146,'Round 2 Data'!H$10:H$146,0)+_xlfn.XLOOKUP('Summary Data'!$A27,'Round 3 Data'!$A$10:$A$145,'Round 3 Data'!H$10:H$145,0)+_xlfn.XLOOKUP('Summary Data'!$A27,'Round 4 Data'!$A$10:$A$147,'Round 4 Data'!H$10:H$147,0))/$D27</f>
        <v>#VALUE!</v>
      </c>
      <c r="I27" s="57" t="e">
        <f>(_xlfn.XLOOKUP('Summary Data'!$A27,'Round 1 Data'!$A$10:$A$143,'Round 1 Data'!I$10:I$144,0)+_xlfn.XLOOKUP('Summary Data'!$A27,'Round 2 Data'!$A$10:$A$146,'Round 2 Data'!I$10:I$146,0)+_xlfn.XLOOKUP('Summary Data'!$A27,'Round 3 Data'!$A$10:$A$145,'Round 3 Data'!I$10:I$145,0)+_xlfn.XLOOKUP('Summary Data'!$A27,'Round 4 Data'!$A$10:$A$147,'Round 4 Data'!I$10:I$147,0))/$D27</f>
        <v>#VALUE!</v>
      </c>
      <c r="J27" s="57" t="e">
        <f>(_xlfn.XLOOKUP('Summary Data'!$A27,'Round 1 Data'!$A$10:$A$143,'Round 1 Data'!J$10:J$144,0)+_xlfn.XLOOKUP('Summary Data'!$A27,'Round 2 Data'!$A$10:$A$146,'Round 2 Data'!J$10:J$146,0)+_xlfn.XLOOKUP('Summary Data'!$A27,'Round 3 Data'!$A$10:$A$145,'Round 3 Data'!J$10:J$145,0)+_xlfn.XLOOKUP('Summary Data'!$A27,'Round 4 Data'!$A$10:$A$147,'Round 4 Data'!J$10:J$147,0))/$D27</f>
        <v>#VALUE!</v>
      </c>
      <c r="K27" s="57" t="e">
        <f>(_xlfn.XLOOKUP('Summary Data'!$A27,'Round 1 Data'!$A$10:$A$143,'Round 1 Data'!K$10:K$144,0)+_xlfn.XLOOKUP('Summary Data'!$A27,'Round 2 Data'!$A$10:$A$146,'Round 2 Data'!K$10:K$146,0)+_xlfn.XLOOKUP('Summary Data'!$A27,'Round 3 Data'!$A$10:$A$145,'Round 3 Data'!K$10:K$145,0)+_xlfn.XLOOKUP('Summary Data'!$A27,'Round 4 Data'!$A$10:$A$147,'Round 4 Data'!K$10:K$147,0))/$D27</f>
        <v>#VALUE!</v>
      </c>
      <c r="L27" s="57" t="e">
        <f>(_xlfn.XLOOKUP('Summary Data'!$A27,'Round 1 Data'!$A$10:$A$143,'Round 1 Data'!L$10:L$144,0)+_xlfn.XLOOKUP('Summary Data'!$A27,'Round 2 Data'!$A$10:$A$146,'Round 2 Data'!L$10:L$146,0)+_xlfn.XLOOKUP('Summary Data'!$A27,'Round 3 Data'!$A$10:$A$145,'Round 3 Data'!L$10:L$145,0)+_xlfn.XLOOKUP('Summary Data'!$A27,'Round 4 Data'!$A$10:$A$147,'Round 4 Data'!L$10:L$147,0))/$D27</f>
        <v>#VALUE!</v>
      </c>
      <c r="M27" s="57" t="e">
        <f>(_xlfn.XLOOKUP('Summary Data'!$A27,'Round 1 Data'!$A$10:$A$143,'Round 1 Data'!M$10:M$144,0)+_xlfn.XLOOKUP('Summary Data'!$A27,'Round 2 Data'!$A$10:$A$146,'Round 2 Data'!M$10:M$146,0)+_xlfn.XLOOKUP('Summary Data'!$A27,'Round 3 Data'!$A$10:$A$145,'Round 3 Data'!M$10:M$145,0)+_xlfn.XLOOKUP('Summary Data'!$A27,'Round 4 Data'!$A$10:$A$147,'Round 4 Data'!M$10:M$147,0))/$D27</f>
        <v>#VALUE!</v>
      </c>
      <c r="N27" s="57" t="e">
        <f>(_xlfn.XLOOKUP('Summary Data'!$A27,'Round 1 Data'!$A$10:$A$143,'Round 1 Data'!N$10:N$144,0)+_xlfn.XLOOKUP('Summary Data'!$A27,'Round 2 Data'!$A$10:$A$146,'Round 2 Data'!N$10:N$146,0)+_xlfn.XLOOKUP('Summary Data'!$A27,'Round 3 Data'!$A$10:$A$145,'Round 3 Data'!N$10:N$145,0)+_xlfn.XLOOKUP('Summary Data'!$A27,'Round 4 Data'!$A$10:$A$147,'Round 4 Data'!N$10:N$147,0))/$D27</f>
        <v>#VALUE!</v>
      </c>
      <c r="O27" s="57" t="e">
        <f>(_xlfn.XLOOKUP('Summary Data'!$A27,'Round 1 Data'!$A$10:$A$143,'Round 1 Data'!O$10:O$144,0)+_xlfn.XLOOKUP('Summary Data'!$A27,'Round 2 Data'!$A$10:$A$146,'Round 2 Data'!O$10:O$146,0)+_xlfn.XLOOKUP('Summary Data'!$A27,'Round 3 Data'!$A$10:$A$145,'Round 3 Data'!O$10:O$145,0)+_xlfn.XLOOKUP('Summary Data'!$A27,'Round 4 Data'!$A$10:$A$147,'Round 4 Data'!O$10:O$147,0))/$D27</f>
        <v>#VALUE!</v>
      </c>
      <c r="P27" s="57" t="e">
        <f>(_xlfn.XLOOKUP('Summary Data'!$A27,'Round 1 Data'!$A$10:$A$143,'Round 1 Data'!P$10:P$144,0)+_xlfn.XLOOKUP('Summary Data'!$A27,'Round 2 Data'!$A$10:$A$146,'Round 2 Data'!P$10:P$146,0)+_xlfn.XLOOKUP('Summary Data'!$A27,'Round 3 Data'!$A$10:$A$145,'Round 3 Data'!P$10:P$145,0)+_xlfn.XLOOKUP('Summary Data'!$A27,'Round 4 Data'!$A$10:$A$147,'Round 4 Data'!P$10:P$147,0))/$D27</f>
        <v>#VALUE!</v>
      </c>
      <c r="Q27" s="57" t="e">
        <f>(_xlfn.XLOOKUP('Summary Data'!$A27,'Round 1 Data'!$A$10:$A$143,'Round 1 Data'!Q$10:Q$144,0)+_xlfn.XLOOKUP('Summary Data'!$A27,'Round 2 Data'!$A$10:$A$146,'Round 2 Data'!Q$10:Q$146,0)+_xlfn.XLOOKUP('Summary Data'!$A27,'Round 3 Data'!$A$10:$A$145,'Round 3 Data'!Q$10:Q$145,0)+_xlfn.XLOOKUP('Summary Data'!$A27,'Round 4 Data'!$A$10:$A$147,'Round 4 Data'!Q$10:Q$147,0))/$D27</f>
        <v>#VALUE!</v>
      </c>
      <c r="R27" s="57" t="e">
        <f>(_xlfn.XLOOKUP('Summary Data'!$A27,'Round 1 Data'!$A$10:$A$143,'Round 1 Data'!R$10:R$144,0)+_xlfn.XLOOKUP('Summary Data'!$A27,'Round 2 Data'!$A$10:$A$146,'Round 2 Data'!R$10:R$146,0)+_xlfn.XLOOKUP('Summary Data'!$A27,'Round 3 Data'!$A$10:$A$145,'Round 3 Data'!R$10:R$145,0)+_xlfn.XLOOKUP('Summary Data'!$A27,'Round 4 Data'!$A$10:$A$147,'Round 4 Data'!R$10:R$147,0))/$D27</f>
        <v>#VALUE!</v>
      </c>
      <c r="S27" s="57" t="e">
        <f>(_xlfn.XLOOKUP('Summary Data'!$A27,'Round 1 Data'!$A$10:$A$143,'Round 1 Data'!S$10:S$144,0)+_xlfn.XLOOKUP('Summary Data'!$A27,'Round 2 Data'!$A$10:$A$146,'Round 2 Data'!S$10:S$146,0)+_xlfn.XLOOKUP('Summary Data'!$A27,'Round 3 Data'!$A$10:$A$145,'Round 3 Data'!S$10:S$145,0)+_xlfn.XLOOKUP('Summary Data'!$A27,'Round 4 Data'!$A$10:$A$147,'Round 4 Data'!S$10:S$147,0))/$D27</f>
        <v>#VALUE!</v>
      </c>
      <c r="T27" s="62" t="e">
        <f>(_xlfn.XLOOKUP('Summary Data'!$A27,'Round 1 Data'!$A$10:$A$143,'Round 1 Data'!U$10:U$144,0)+_xlfn.XLOOKUP('Summary Data'!$A27,'Round 2 Data'!$A$10:$A$146,'Round 2 Data'!U$10:U$146,0)+_xlfn.XLOOKUP('Summary Data'!$A27,'Round 3 Data'!$A$10:$A$145,'Round 3 Data'!U$10:U$145,0)+_xlfn.XLOOKUP('Summary Data'!$A27,'Round 4 Data'!$A$10:$A$147,'Round 4 Data'!U$10:U$147,0))</f>
        <v>#VALUE!</v>
      </c>
    </row>
    <row r="28" spans="1:20" ht="16" thickBot="1" x14ac:dyDescent="0.25">
      <c r="A28" s="63" t="s">
        <v>127</v>
      </c>
      <c r="B28" t="s">
        <v>189</v>
      </c>
      <c r="C28" t="s">
        <v>194</v>
      </c>
      <c r="D28" t="e">
        <f>IF(_xlfn.XLOOKUP('Summary Data'!A28,'Round 1 Data'!$A$10:$A$143,'Round 1 Data'!$E$10:$E$144,0)=0,0,1)+IF(_xlfn.XLOOKUP('Summary Data'!A28,'Round 2 Data'!$A$10:$A$146,'Round 2 Data'!$E$10:$E$146,0)=0,0,1)+IF(_xlfn.XLOOKUP('Summary Data'!A28,'Round 3 Data'!$A$10:$A$145,'Round 3 Data'!$E$10:$E$145,0)=0,0,1)+IF(_xlfn.XLOOKUP('Summary Data'!A28,'Round 4 Data'!$A$10:$A$147,'Round 4 Data'!$E$10:$E$147,0)=0,0,1)</f>
        <v>#VALUE!</v>
      </c>
      <c r="E28" s="57" t="e">
        <f>(_xlfn.XLOOKUP('Summary Data'!$A28,'Round 1 Data'!$A$10:$A$143,'Round 1 Data'!E$10:E$144,0)+_xlfn.XLOOKUP('Summary Data'!$A28,'Round 2 Data'!$A$10:$A$146,'Round 2 Data'!E$10:E$146,0)+_xlfn.XLOOKUP('Summary Data'!$A28,'Round 3 Data'!$A$10:$A$145,'Round 3 Data'!E$10:E$145,0)+_xlfn.XLOOKUP('Summary Data'!$A28,'Round 4 Data'!$A$10:$A$147,'Round 4 Data'!E$10:E$147,0))/$D28</f>
        <v>#VALUE!</v>
      </c>
      <c r="F28" s="57" t="e">
        <f>(_xlfn.XLOOKUP('Summary Data'!$A28,'Round 1 Data'!$A$10:$A$143,'Round 1 Data'!F$10:F$144,0)+_xlfn.XLOOKUP('Summary Data'!$A28,'Round 2 Data'!$A$10:$A$146,'Round 2 Data'!F$10:F$146,0)+_xlfn.XLOOKUP('Summary Data'!$A28,'Round 3 Data'!$A$10:$A$145,'Round 3 Data'!F$10:F$145,0)+_xlfn.XLOOKUP('Summary Data'!$A28,'Round 4 Data'!$A$10:$A$147,'Round 4 Data'!F$10:F$147,0))/$D28</f>
        <v>#VALUE!</v>
      </c>
      <c r="G28" s="57" t="e">
        <f>(_xlfn.XLOOKUP('Summary Data'!$A28,'Round 1 Data'!$A$10:$A$143,'Round 1 Data'!G$10:G$144,0)+_xlfn.XLOOKUP('Summary Data'!$A28,'Round 2 Data'!$A$10:$A$146,'Round 2 Data'!G$10:G$146,0)+_xlfn.XLOOKUP('Summary Data'!$A28,'Round 3 Data'!$A$10:$A$145,'Round 3 Data'!G$10:G$145,0)+_xlfn.XLOOKUP('Summary Data'!$A28,'Round 4 Data'!$A$10:$A$147,'Round 4 Data'!G$10:G$147,0))/$D28</f>
        <v>#VALUE!</v>
      </c>
      <c r="H28" s="57" t="e">
        <f>(_xlfn.XLOOKUP('Summary Data'!$A28,'Round 1 Data'!$A$10:$A$143,'Round 1 Data'!H$10:H$144,0)+_xlfn.XLOOKUP('Summary Data'!$A28,'Round 2 Data'!$A$10:$A$146,'Round 2 Data'!H$10:H$146,0)+_xlfn.XLOOKUP('Summary Data'!$A28,'Round 3 Data'!$A$10:$A$145,'Round 3 Data'!H$10:H$145,0)+_xlfn.XLOOKUP('Summary Data'!$A28,'Round 4 Data'!$A$10:$A$147,'Round 4 Data'!H$10:H$147,0))/$D28</f>
        <v>#VALUE!</v>
      </c>
      <c r="I28" s="57" t="e">
        <f>(_xlfn.XLOOKUP('Summary Data'!$A28,'Round 1 Data'!$A$10:$A$143,'Round 1 Data'!I$10:I$144,0)+_xlfn.XLOOKUP('Summary Data'!$A28,'Round 2 Data'!$A$10:$A$146,'Round 2 Data'!I$10:I$146,0)+_xlfn.XLOOKUP('Summary Data'!$A28,'Round 3 Data'!$A$10:$A$145,'Round 3 Data'!I$10:I$145,0)+_xlfn.XLOOKUP('Summary Data'!$A28,'Round 4 Data'!$A$10:$A$147,'Round 4 Data'!I$10:I$147,0))/$D28</f>
        <v>#VALUE!</v>
      </c>
      <c r="J28" s="57" t="e">
        <f>(_xlfn.XLOOKUP('Summary Data'!$A28,'Round 1 Data'!$A$10:$A$143,'Round 1 Data'!J$10:J$144,0)+_xlfn.XLOOKUP('Summary Data'!$A28,'Round 2 Data'!$A$10:$A$146,'Round 2 Data'!J$10:J$146,0)+_xlfn.XLOOKUP('Summary Data'!$A28,'Round 3 Data'!$A$10:$A$145,'Round 3 Data'!J$10:J$145,0)+_xlfn.XLOOKUP('Summary Data'!$A28,'Round 4 Data'!$A$10:$A$147,'Round 4 Data'!J$10:J$147,0))/$D28</f>
        <v>#VALUE!</v>
      </c>
      <c r="K28" s="57" t="e">
        <f>(_xlfn.XLOOKUP('Summary Data'!$A28,'Round 1 Data'!$A$10:$A$143,'Round 1 Data'!K$10:K$144,0)+_xlfn.XLOOKUP('Summary Data'!$A28,'Round 2 Data'!$A$10:$A$146,'Round 2 Data'!K$10:K$146,0)+_xlfn.XLOOKUP('Summary Data'!$A28,'Round 3 Data'!$A$10:$A$145,'Round 3 Data'!K$10:K$145,0)+_xlfn.XLOOKUP('Summary Data'!$A28,'Round 4 Data'!$A$10:$A$147,'Round 4 Data'!K$10:K$147,0))/$D28</f>
        <v>#VALUE!</v>
      </c>
      <c r="L28" s="57" t="e">
        <f>(_xlfn.XLOOKUP('Summary Data'!$A28,'Round 1 Data'!$A$10:$A$143,'Round 1 Data'!L$10:L$144,0)+_xlfn.XLOOKUP('Summary Data'!$A28,'Round 2 Data'!$A$10:$A$146,'Round 2 Data'!L$10:L$146,0)+_xlfn.XLOOKUP('Summary Data'!$A28,'Round 3 Data'!$A$10:$A$145,'Round 3 Data'!L$10:L$145,0)+_xlfn.XLOOKUP('Summary Data'!$A28,'Round 4 Data'!$A$10:$A$147,'Round 4 Data'!L$10:L$147,0))/$D28</f>
        <v>#VALUE!</v>
      </c>
      <c r="M28" s="57" t="e">
        <f>(_xlfn.XLOOKUP('Summary Data'!$A28,'Round 1 Data'!$A$10:$A$143,'Round 1 Data'!M$10:M$144,0)+_xlfn.XLOOKUP('Summary Data'!$A28,'Round 2 Data'!$A$10:$A$146,'Round 2 Data'!M$10:M$146,0)+_xlfn.XLOOKUP('Summary Data'!$A28,'Round 3 Data'!$A$10:$A$145,'Round 3 Data'!M$10:M$145,0)+_xlfn.XLOOKUP('Summary Data'!$A28,'Round 4 Data'!$A$10:$A$147,'Round 4 Data'!M$10:M$147,0))/$D28</f>
        <v>#VALUE!</v>
      </c>
      <c r="N28" s="57" t="e">
        <f>(_xlfn.XLOOKUP('Summary Data'!$A28,'Round 1 Data'!$A$10:$A$143,'Round 1 Data'!N$10:N$144,0)+_xlfn.XLOOKUP('Summary Data'!$A28,'Round 2 Data'!$A$10:$A$146,'Round 2 Data'!N$10:N$146,0)+_xlfn.XLOOKUP('Summary Data'!$A28,'Round 3 Data'!$A$10:$A$145,'Round 3 Data'!N$10:N$145,0)+_xlfn.XLOOKUP('Summary Data'!$A28,'Round 4 Data'!$A$10:$A$147,'Round 4 Data'!N$10:N$147,0))/$D28</f>
        <v>#VALUE!</v>
      </c>
      <c r="O28" s="57" t="e">
        <f>(_xlfn.XLOOKUP('Summary Data'!$A28,'Round 1 Data'!$A$10:$A$143,'Round 1 Data'!O$10:O$144,0)+_xlfn.XLOOKUP('Summary Data'!$A28,'Round 2 Data'!$A$10:$A$146,'Round 2 Data'!O$10:O$146,0)+_xlfn.XLOOKUP('Summary Data'!$A28,'Round 3 Data'!$A$10:$A$145,'Round 3 Data'!O$10:O$145,0)+_xlfn.XLOOKUP('Summary Data'!$A28,'Round 4 Data'!$A$10:$A$147,'Round 4 Data'!O$10:O$147,0))/$D28</f>
        <v>#VALUE!</v>
      </c>
      <c r="P28" s="57" t="e">
        <f>(_xlfn.XLOOKUP('Summary Data'!$A28,'Round 1 Data'!$A$10:$A$143,'Round 1 Data'!P$10:P$144,0)+_xlfn.XLOOKUP('Summary Data'!$A28,'Round 2 Data'!$A$10:$A$146,'Round 2 Data'!P$10:P$146,0)+_xlfn.XLOOKUP('Summary Data'!$A28,'Round 3 Data'!$A$10:$A$145,'Round 3 Data'!P$10:P$145,0)+_xlfn.XLOOKUP('Summary Data'!$A28,'Round 4 Data'!$A$10:$A$147,'Round 4 Data'!P$10:P$147,0))/$D28</f>
        <v>#VALUE!</v>
      </c>
      <c r="Q28" s="57" t="e">
        <f>(_xlfn.XLOOKUP('Summary Data'!$A28,'Round 1 Data'!$A$10:$A$143,'Round 1 Data'!Q$10:Q$144,0)+_xlfn.XLOOKUP('Summary Data'!$A28,'Round 2 Data'!$A$10:$A$146,'Round 2 Data'!Q$10:Q$146,0)+_xlfn.XLOOKUP('Summary Data'!$A28,'Round 3 Data'!$A$10:$A$145,'Round 3 Data'!Q$10:Q$145,0)+_xlfn.XLOOKUP('Summary Data'!$A28,'Round 4 Data'!$A$10:$A$147,'Round 4 Data'!Q$10:Q$147,0))/$D28</f>
        <v>#VALUE!</v>
      </c>
      <c r="R28" s="57" t="e">
        <f>(_xlfn.XLOOKUP('Summary Data'!$A28,'Round 1 Data'!$A$10:$A$143,'Round 1 Data'!R$10:R$144,0)+_xlfn.XLOOKUP('Summary Data'!$A28,'Round 2 Data'!$A$10:$A$146,'Round 2 Data'!R$10:R$146,0)+_xlfn.XLOOKUP('Summary Data'!$A28,'Round 3 Data'!$A$10:$A$145,'Round 3 Data'!R$10:R$145,0)+_xlfn.XLOOKUP('Summary Data'!$A28,'Round 4 Data'!$A$10:$A$147,'Round 4 Data'!R$10:R$147,0))/$D28</f>
        <v>#VALUE!</v>
      </c>
      <c r="S28" s="57" t="e">
        <f>(_xlfn.XLOOKUP('Summary Data'!$A28,'Round 1 Data'!$A$10:$A$143,'Round 1 Data'!S$10:S$144,0)+_xlfn.XLOOKUP('Summary Data'!$A28,'Round 2 Data'!$A$10:$A$146,'Round 2 Data'!S$10:S$146,0)+_xlfn.XLOOKUP('Summary Data'!$A28,'Round 3 Data'!$A$10:$A$145,'Round 3 Data'!S$10:S$145,0)+_xlfn.XLOOKUP('Summary Data'!$A28,'Round 4 Data'!$A$10:$A$147,'Round 4 Data'!S$10:S$147,0))/$D28</f>
        <v>#VALUE!</v>
      </c>
      <c r="T28" s="62" t="e">
        <f>(_xlfn.XLOOKUP('Summary Data'!$A28,'Round 1 Data'!$A$10:$A$143,'Round 1 Data'!U$10:U$144,0)+_xlfn.XLOOKUP('Summary Data'!$A28,'Round 2 Data'!$A$10:$A$146,'Round 2 Data'!U$10:U$146,0)+_xlfn.XLOOKUP('Summary Data'!$A28,'Round 3 Data'!$A$10:$A$145,'Round 3 Data'!U$10:U$145,0)+_xlfn.XLOOKUP('Summary Data'!$A28,'Round 4 Data'!$A$10:$A$147,'Round 4 Data'!U$10:U$147,0))</f>
        <v>#VALUE!</v>
      </c>
    </row>
    <row r="29" spans="1:20" ht="16" thickBot="1" x14ac:dyDescent="0.25">
      <c r="A29" s="61" t="s">
        <v>128</v>
      </c>
      <c r="B29" t="s">
        <v>189</v>
      </c>
      <c r="C29" t="s">
        <v>194</v>
      </c>
      <c r="D29" t="e">
        <f>IF(_xlfn.XLOOKUP('Summary Data'!A29,'Round 1 Data'!$A$10:$A$143,'Round 1 Data'!$E$10:$E$144,0)=0,0,1)+IF(_xlfn.XLOOKUP('Summary Data'!A29,'Round 2 Data'!$A$10:$A$146,'Round 2 Data'!$E$10:$E$146,0)=0,0,1)+IF(_xlfn.XLOOKUP('Summary Data'!A29,'Round 3 Data'!$A$10:$A$145,'Round 3 Data'!$E$10:$E$145,0)=0,0,1)+IF(_xlfn.XLOOKUP('Summary Data'!A29,'Round 4 Data'!$A$10:$A$147,'Round 4 Data'!$E$10:$E$147,0)=0,0,1)</f>
        <v>#VALUE!</v>
      </c>
      <c r="E29" s="57" t="e">
        <f>(_xlfn.XLOOKUP('Summary Data'!$A29,'Round 1 Data'!$A$10:$A$143,'Round 1 Data'!E$10:E$144,0)+_xlfn.XLOOKUP('Summary Data'!$A29,'Round 2 Data'!$A$10:$A$146,'Round 2 Data'!E$10:E$146,0)+_xlfn.XLOOKUP('Summary Data'!$A29,'Round 3 Data'!$A$10:$A$145,'Round 3 Data'!E$10:E$145,0)+_xlfn.XLOOKUP('Summary Data'!$A29,'Round 4 Data'!$A$10:$A$147,'Round 4 Data'!E$10:E$147,0))/$D29</f>
        <v>#VALUE!</v>
      </c>
      <c r="F29" s="57" t="e">
        <f>(_xlfn.XLOOKUP('Summary Data'!$A29,'Round 1 Data'!$A$10:$A$143,'Round 1 Data'!F$10:F$144,0)+_xlfn.XLOOKUP('Summary Data'!$A29,'Round 2 Data'!$A$10:$A$146,'Round 2 Data'!F$10:F$146,0)+_xlfn.XLOOKUP('Summary Data'!$A29,'Round 3 Data'!$A$10:$A$145,'Round 3 Data'!F$10:F$145,0)+_xlfn.XLOOKUP('Summary Data'!$A29,'Round 4 Data'!$A$10:$A$147,'Round 4 Data'!F$10:F$147,0))/$D29</f>
        <v>#VALUE!</v>
      </c>
      <c r="G29" s="57" t="e">
        <f>(_xlfn.XLOOKUP('Summary Data'!$A29,'Round 1 Data'!$A$10:$A$143,'Round 1 Data'!G$10:G$144,0)+_xlfn.XLOOKUP('Summary Data'!$A29,'Round 2 Data'!$A$10:$A$146,'Round 2 Data'!G$10:G$146,0)+_xlfn.XLOOKUP('Summary Data'!$A29,'Round 3 Data'!$A$10:$A$145,'Round 3 Data'!G$10:G$145,0)+_xlfn.XLOOKUP('Summary Data'!$A29,'Round 4 Data'!$A$10:$A$147,'Round 4 Data'!G$10:G$147,0))/$D29</f>
        <v>#VALUE!</v>
      </c>
      <c r="H29" s="57" t="e">
        <f>(_xlfn.XLOOKUP('Summary Data'!$A29,'Round 1 Data'!$A$10:$A$143,'Round 1 Data'!H$10:H$144,0)+_xlfn.XLOOKUP('Summary Data'!$A29,'Round 2 Data'!$A$10:$A$146,'Round 2 Data'!H$10:H$146,0)+_xlfn.XLOOKUP('Summary Data'!$A29,'Round 3 Data'!$A$10:$A$145,'Round 3 Data'!H$10:H$145,0)+_xlfn.XLOOKUP('Summary Data'!$A29,'Round 4 Data'!$A$10:$A$147,'Round 4 Data'!H$10:H$147,0))/$D29</f>
        <v>#VALUE!</v>
      </c>
      <c r="I29" s="57" t="e">
        <f>(_xlfn.XLOOKUP('Summary Data'!$A29,'Round 1 Data'!$A$10:$A$143,'Round 1 Data'!I$10:I$144,0)+_xlfn.XLOOKUP('Summary Data'!$A29,'Round 2 Data'!$A$10:$A$146,'Round 2 Data'!I$10:I$146,0)+_xlfn.XLOOKUP('Summary Data'!$A29,'Round 3 Data'!$A$10:$A$145,'Round 3 Data'!I$10:I$145,0)+_xlfn.XLOOKUP('Summary Data'!$A29,'Round 4 Data'!$A$10:$A$147,'Round 4 Data'!I$10:I$147,0))/$D29</f>
        <v>#VALUE!</v>
      </c>
      <c r="J29" s="57" t="e">
        <f>(_xlfn.XLOOKUP('Summary Data'!$A29,'Round 1 Data'!$A$10:$A$143,'Round 1 Data'!J$10:J$144,0)+_xlfn.XLOOKUP('Summary Data'!$A29,'Round 2 Data'!$A$10:$A$146,'Round 2 Data'!J$10:J$146,0)+_xlfn.XLOOKUP('Summary Data'!$A29,'Round 3 Data'!$A$10:$A$145,'Round 3 Data'!J$10:J$145,0)+_xlfn.XLOOKUP('Summary Data'!$A29,'Round 4 Data'!$A$10:$A$147,'Round 4 Data'!J$10:J$147,0))/$D29</f>
        <v>#VALUE!</v>
      </c>
      <c r="K29" s="57" t="e">
        <f>(_xlfn.XLOOKUP('Summary Data'!$A29,'Round 1 Data'!$A$10:$A$143,'Round 1 Data'!K$10:K$144,0)+_xlfn.XLOOKUP('Summary Data'!$A29,'Round 2 Data'!$A$10:$A$146,'Round 2 Data'!K$10:K$146,0)+_xlfn.XLOOKUP('Summary Data'!$A29,'Round 3 Data'!$A$10:$A$145,'Round 3 Data'!K$10:K$145,0)+_xlfn.XLOOKUP('Summary Data'!$A29,'Round 4 Data'!$A$10:$A$147,'Round 4 Data'!K$10:K$147,0))/$D29</f>
        <v>#VALUE!</v>
      </c>
      <c r="L29" s="57" t="e">
        <f>(_xlfn.XLOOKUP('Summary Data'!$A29,'Round 1 Data'!$A$10:$A$143,'Round 1 Data'!L$10:L$144,0)+_xlfn.XLOOKUP('Summary Data'!$A29,'Round 2 Data'!$A$10:$A$146,'Round 2 Data'!L$10:L$146,0)+_xlfn.XLOOKUP('Summary Data'!$A29,'Round 3 Data'!$A$10:$A$145,'Round 3 Data'!L$10:L$145,0)+_xlfn.XLOOKUP('Summary Data'!$A29,'Round 4 Data'!$A$10:$A$147,'Round 4 Data'!L$10:L$147,0))/$D29</f>
        <v>#VALUE!</v>
      </c>
      <c r="M29" s="57" t="e">
        <f>(_xlfn.XLOOKUP('Summary Data'!$A29,'Round 1 Data'!$A$10:$A$143,'Round 1 Data'!M$10:M$144,0)+_xlfn.XLOOKUP('Summary Data'!$A29,'Round 2 Data'!$A$10:$A$146,'Round 2 Data'!M$10:M$146,0)+_xlfn.XLOOKUP('Summary Data'!$A29,'Round 3 Data'!$A$10:$A$145,'Round 3 Data'!M$10:M$145,0)+_xlfn.XLOOKUP('Summary Data'!$A29,'Round 4 Data'!$A$10:$A$147,'Round 4 Data'!M$10:M$147,0))/$D29</f>
        <v>#VALUE!</v>
      </c>
      <c r="N29" s="57" t="e">
        <f>(_xlfn.XLOOKUP('Summary Data'!$A29,'Round 1 Data'!$A$10:$A$143,'Round 1 Data'!N$10:N$144,0)+_xlfn.XLOOKUP('Summary Data'!$A29,'Round 2 Data'!$A$10:$A$146,'Round 2 Data'!N$10:N$146,0)+_xlfn.XLOOKUP('Summary Data'!$A29,'Round 3 Data'!$A$10:$A$145,'Round 3 Data'!N$10:N$145,0)+_xlfn.XLOOKUP('Summary Data'!$A29,'Round 4 Data'!$A$10:$A$147,'Round 4 Data'!N$10:N$147,0))/$D29</f>
        <v>#VALUE!</v>
      </c>
      <c r="O29" s="57" t="e">
        <f>(_xlfn.XLOOKUP('Summary Data'!$A29,'Round 1 Data'!$A$10:$A$143,'Round 1 Data'!O$10:O$144,0)+_xlfn.XLOOKUP('Summary Data'!$A29,'Round 2 Data'!$A$10:$A$146,'Round 2 Data'!O$10:O$146,0)+_xlfn.XLOOKUP('Summary Data'!$A29,'Round 3 Data'!$A$10:$A$145,'Round 3 Data'!O$10:O$145,0)+_xlfn.XLOOKUP('Summary Data'!$A29,'Round 4 Data'!$A$10:$A$147,'Round 4 Data'!O$10:O$147,0))/$D29</f>
        <v>#VALUE!</v>
      </c>
      <c r="P29" s="57" t="e">
        <f>(_xlfn.XLOOKUP('Summary Data'!$A29,'Round 1 Data'!$A$10:$A$143,'Round 1 Data'!P$10:P$144,0)+_xlfn.XLOOKUP('Summary Data'!$A29,'Round 2 Data'!$A$10:$A$146,'Round 2 Data'!P$10:P$146,0)+_xlfn.XLOOKUP('Summary Data'!$A29,'Round 3 Data'!$A$10:$A$145,'Round 3 Data'!P$10:P$145,0)+_xlfn.XLOOKUP('Summary Data'!$A29,'Round 4 Data'!$A$10:$A$147,'Round 4 Data'!P$10:P$147,0))/$D29</f>
        <v>#VALUE!</v>
      </c>
      <c r="Q29" s="57" t="e">
        <f>(_xlfn.XLOOKUP('Summary Data'!$A29,'Round 1 Data'!$A$10:$A$143,'Round 1 Data'!Q$10:Q$144,0)+_xlfn.XLOOKUP('Summary Data'!$A29,'Round 2 Data'!$A$10:$A$146,'Round 2 Data'!Q$10:Q$146,0)+_xlfn.XLOOKUP('Summary Data'!$A29,'Round 3 Data'!$A$10:$A$145,'Round 3 Data'!Q$10:Q$145,0)+_xlfn.XLOOKUP('Summary Data'!$A29,'Round 4 Data'!$A$10:$A$147,'Round 4 Data'!Q$10:Q$147,0))/$D29</f>
        <v>#VALUE!</v>
      </c>
      <c r="R29" s="57" t="e">
        <f>(_xlfn.XLOOKUP('Summary Data'!$A29,'Round 1 Data'!$A$10:$A$143,'Round 1 Data'!R$10:R$144,0)+_xlfn.XLOOKUP('Summary Data'!$A29,'Round 2 Data'!$A$10:$A$146,'Round 2 Data'!R$10:R$146,0)+_xlfn.XLOOKUP('Summary Data'!$A29,'Round 3 Data'!$A$10:$A$145,'Round 3 Data'!R$10:R$145,0)+_xlfn.XLOOKUP('Summary Data'!$A29,'Round 4 Data'!$A$10:$A$147,'Round 4 Data'!R$10:R$147,0))/$D29</f>
        <v>#VALUE!</v>
      </c>
      <c r="S29" s="57" t="e">
        <f>(_xlfn.XLOOKUP('Summary Data'!$A29,'Round 1 Data'!$A$10:$A$143,'Round 1 Data'!S$10:S$144,0)+_xlfn.XLOOKUP('Summary Data'!$A29,'Round 2 Data'!$A$10:$A$146,'Round 2 Data'!S$10:S$146,0)+_xlfn.XLOOKUP('Summary Data'!$A29,'Round 3 Data'!$A$10:$A$145,'Round 3 Data'!S$10:S$145,0)+_xlfn.XLOOKUP('Summary Data'!$A29,'Round 4 Data'!$A$10:$A$147,'Round 4 Data'!S$10:S$147,0))/$D29</f>
        <v>#VALUE!</v>
      </c>
      <c r="T29" s="62" t="e">
        <f>(_xlfn.XLOOKUP('Summary Data'!$A29,'Round 1 Data'!$A$10:$A$143,'Round 1 Data'!U$10:U$144,0)+_xlfn.XLOOKUP('Summary Data'!$A29,'Round 2 Data'!$A$10:$A$146,'Round 2 Data'!U$10:U$146,0)+_xlfn.XLOOKUP('Summary Data'!$A29,'Round 3 Data'!$A$10:$A$145,'Round 3 Data'!U$10:U$145,0)+_xlfn.XLOOKUP('Summary Data'!$A29,'Round 4 Data'!$A$10:$A$147,'Round 4 Data'!U$10:U$147,0))</f>
        <v>#VALUE!</v>
      </c>
    </row>
    <row r="30" spans="1:20" ht="16" thickBot="1" x14ac:dyDescent="0.25">
      <c r="A30" s="63" t="s">
        <v>129</v>
      </c>
      <c r="B30" t="s">
        <v>189</v>
      </c>
      <c r="C30" t="s">
        <v>195</v>
      </c>
      <c r="D30" t="e">
        <f>IF(_xlfn.XLOOKUP('Summary Data'!A30,'Round 1 Data'!$A$10:$A$143,'Round 1 Data'!$E$10:$E$144,0)=0,0,1)+IF(_xlfn.XLOOKUP('Summary Data'!A30,'Round 2 Data'!$A$10:$A$146,'Round 2 Data'!$E$10:$E$146,0)=0,0,1)+IF(_xlfn.XLOOKUP('Summary Data'!A30,'Round 3 Data'!$A$10:$A$145,'Round 3 Data'!$E$10:$E$145,0)=0,0,1)+IF(_xlfn.XLOOKUP('Summary Data'!A30,'Round 4 Data'!$A$10:$A$147,'Round 4 Data'!$E$10:$E$147,0)=0,0,1)</f>
        <v>#VALUE!</v>
      </c>
      <c r="E30" s="57" t="e">
        <f>(_xlfn.XLOOKUP('Summary Data'!$A30,'Round 1 Data'!$A$10:$A$143,'Round 1 Data'!E$10:E$144,0)+_xlfn.XLOOKUP('Summary Data'!$A30,'Round 2 Data'!$A$10:$A$146,'Round 2 Data'!E$10:E$146,0)+_xlfn.XLOOKUP('Summary Data'!$A30,'Round 3 Data'!$A$10:$A$145,'Round 3 Data'!E$10:E$145,0)+_xlfn.XLOOKUP('Summary Data'!$A30,'Round 4 Data'!$A$10:$A$147,'Round 4 Data'!E$10:E$147,0))/$D30</f>
        <v>#VALUE!</v>
      </c>
      <c r="F30" s="57" t="e">
        <f>(_xlfn.XLOOKUP('Summary Data'!$A30,'Round 1 Data'!$A$10:$A$143,'Round 1 Data'!F$10:F$144,0)+_xlfn.XLOOKUP('Summary Data'!$A30,'Round 2 Data'!$A$10:$A$146,'Round 2 Data'!F$10:F$146,0)+_xlfn.XLOOKUP('Summary Data'!$A30,'Round 3 Data'!$A$10:$A$145,'Round 3 Data'!F$10:F$145,0)+_xlfn.XLOOKUP('Summary Data'!$A30,'Round 4 Data'!$A$10:$A$147,'Round 4 Data'!F$10:F$147,0))/$D30</f>
        <v>#VALUE!</v>
      </c>
      <c r="G30" s="57" t="e">
        <f>(_xlfn.XLOOKUP('Summary Data'!$A30,'Round 1 Data'!$A$10:$A$143,'Round 1 Data'!G$10:G$144,0)+_xlfn.XLOOKUP('Summary Data'!$A30,'Round 2 Data'!$A$10:$A$146,'Round 2 Data'!G$10:G$146,0)+_xlfn.XLOOKUP('Summary Data'!$A30,'Round 3 Data'!$A$10:$A$145,'Round 3 Data'!G$10:G$145,0)+_xlfn.XLOOKUP('Summary Data'!$A30,'Round 4 Data'!$A$10:$A$147,'Round 4 Data'!G$10:G$147,0))/$D30</f>
        <v>#VALUE!</v>
      </c>
      <c r="H30" s="57" t="e">
        <f>(_xlfn.XLOOKUP('Summary Data'!$A30,'Round 1 Data'!$A$10:$A$143,'Round 1 Data'!H$10:H$144,0)+_xlfn.XLOOKUP('Summary Data'!$A30,'Round 2 Data'!$A$10:$A$146,'Round 2 Data'!H$10:H$146,0)+_xlfn.XLOOKUP('Summary Data'!$A30,'Round 3 Data'!$A$10:$A$145,'Round 3 Data'!H$10:H$145,0)+_xlfn.XLOOKUP('Summary Data'!$A30,'Round 4 Data'!$A$10:$A$147,'Round 4 Data'!H$10:H$147,0))/$D30</f>
        <v>#VALUE!</v>
      </c>
      <c r="I30" s="57" t="e">
        <f>(_xlfn.XLOOKUP('Summary Data'!$A30,'Round 1 Data'!$A$10:$A$143,'Round 1 Data'!I$10:I$144,0)+_xlfn.XLOOKUP('Summary Data'!$A30,'Round 2 Data'!$A$10:$A$146,'Round 2 Data'!I$10:I$146,0)+_xlfn.XLOOKUP('Summary Data'!$A30,'Round 3 Data'!$A$10:$A$145,'Round 3 Data'!I$10:I$145,0)+_xlfn.XLOOKUP('Summary Data'!$A30,'Round 4 Data'!$A$10:$A$147,'Round 4 Data'!I$10:I$147,0))/$D30</f>
        <v>#VALUE!</v>
      </c>
      <c r="J30" s="57" t="e">
        <f>(_xlfn.XLOOKUP('Summary Data'!$A30,'Round 1 Data'!$A$10:$A$143,'Round 1 Data'!J$10:J$144,0)+_xlfn.XLOOKUP('Summary Data'!$A30,'Round 2 Data'!$A$10:$A$146,'Round 2 Data'!J$10:J$146,0)+_xlfn.XLOOKUP('Summary Data'!$A30,'Round 3 Data'!$A$10:$A$145,'Round 3 Data'!J$10:J$145,0)+_xlfn.XLOOKUP('Summary Data'!$A30,'Round 4 Data'!$A$10:$A$147,'Round 4 Data'!J$10:J$147,0))/$D30</f>
        <v>#VALUE!</v>
      </c>
      <c r="K30" s="57" t="e">
        <f>(_xlfn.XLOOKUP('Summary Data'!$A30,'Round 1 Data'!$A$10:$A$143,'Round 1 Data'!K$10:K$144,0)+_xlfn.XLOOKUP('Summary Data'!$A30,'Round 2 Data'!$A$10:$A$146,'Round 2 Data'!K$10:K$146,0)+_xlfn.XLOOKUP('Summary Data'!$A30,'Round 3 Data'!$A$10:$A$145,'Round 3 Data'!K$10:K$145,0)+_xlfn.XLOOKUP('Summary Data'!$A30,'Round 4 Data'!$A$10:$A$147,'Round 4 Data'!K$10:K$147,0))/$D30</f>
        <v>#VALUE!</v>
      </c>
      <c r="L30" s="57" t="e">
        <f>(_xlfn.XLOOKUP('Summary Data'!$A30,'Round 1 Data'!$A$10:$A$143,'Round 1 Data'!L$10:L$144,0)+_xlfn.XLOOKUP('Summary Data'!$A30,'Round 2 Data'!$A$10:$A$146,'Round 2 Data'!L$10:L$146,0)+_xlfn.XLOOKUP('Summary Data'!$A30,'Round 3 Data'!$A$10:$A$145,'Round 3 Data'!L$10:L$145,0)+_xlfn.XLOOKUP('Summary Data'!$A30,'Round 4 Data'!$A$10:$A$147,'Round 4 Data'!L$10:L$147,0))/$D30</f>
        <v>#VALUE!</v>
      </c>
      <c r="M30" s="57" t="e">
        <f>(_xlfn.XLOOKUP('Summary Data'!$A30,'Round 1 Data'!$A$10:$A$143,'Round 1 Data'!M$10:M$144,0)+_xlfn.XLOOKUP('Summary Data'!$A30,'Round 2 Data'!$A$10:$A$146,'Round 2 Data'!M$10:M$146,0)+_xlfn.XLOOKUP('Summary Data'!$A30,'Round 3 Data'!$A$10:$A$145,'Round 3 Data'!M$10:M$145,0)+_xlfn.XLOOKUP('Summary Data'!$A30,'Round 4 Data'!$A$10:$A$147,'Round 4 Data'!M$10:M$147,0))/$D30</f>
        <v>#VALUE!</v>
      </c>
      <c r="N30" s="57" t="e">
        <f>(_xlfn.XLOOKUP('Summary Data'!$A30,'Round 1 Data'!$A$10:$A$143,'Round 1 Data'!N$10:N$144,0)+_xlfn.XLOOKUP('Summary Data'!$A30,'Round 2 Data'!$A$10:$A$146,'Round 2 Data'!N$10:N$146,0)+_xlfn.XLOOKUP('Summary Data'!$A30,'Round 3 Data'!$A$10:$A$145,'Round 3 Data'!N$10:N$145,0)+_xlfn.XLOOKUP('Summary Data'!$A30,'Round 4 Data'!$A$10:$A$147,'Round 4 Data'!N$10:N$147,0))/$D30</f>
        <v>#VALUE!</v>
      </c>
      <c r="O30" s="57" t="e">
        <f>(_xlfn.XLOOKUP('Summary Data'!$A30,'Round 1 Data'!$A$10:$A$143,'Round 1 Data'!O$10:O$144,0)+_xlfn.XLOOKUP('Summary Data'!$A30,'Round 2 Data'!$A$10:$A$146,'Round 2 Data'!O$10:O$146,0)+_xlfn.XLOOKUP('Summary Data'!$A30,'Round 3 Data'!$A$10:$A$145,'Round 3 Data'!O$10:O$145,0)+_xlfn.XLOOKUP('Summary Data'!$A30,'Round 4 Data'!$A$10:$A$147,'Round 4 Data'!O$10:O$147,0))/$D30</f>
        <v>#VALUE!</v>
      </c>
      <c r="P30" s="57" t="e">
        <f>(_xlfn.XLOOKUP('Summary Data'!$A30,'Round 1 Data'!$A$10:$A$143,'Round 1 Data'!P$10:P$144,0)+_xlfn.XLOOKUP('Summary Data'!$A30,'Round 2 Data'!$A$10:$A$146,'Round 2 Data'!P$10:P$146,0)+_xlfn.XLOOKUP('Summary Data'!$A30,'Round 3 Data'!$A$10:$A$145,'Round 3 Data'!P$10:P$145,0)+_xlfn.XLOOKUP('Summary Data'!$A30,'Round 4 Data'!$A$10:$A$147,'Round 4 Data'!P$10:P$147,0))/$D30</f>
        <v>#VALUE!</v>
      </c>
      <c r="Q30" s="57" t="e">
        <f>(_xlfn.XLOOKUP('Summary Data'!$A30,'Round 1 Data'!$A$10:$A$143,'Round 1 Data'!Q$10:Q$144,0)+_xlfn.XLOOKUP('Summary Data'!$A30,'Round 2 Data'!$A$10:$A$146,'Round 2 Data'!Q$10:Q$146,0)+_xlfn.XLOOKUP('Summary Data'!$A30,'Round 3 Data'!$A$10:$A$145,'Round 3 Data'!Q$10:Q$145,0)+_xlfn.XLOOKUP('Summary Data'!$A30,'Round 4 Data'!$A$10:$A$147,'Round 4 Data'!Q$10:Q$147,0))/$D30</f>
        <v>#VALUE!</v>
      </c>
      <c r="R30" s="57" t="e">
        <f>(_xlfn.XLOOKUP('Summary Data'!$A30,'Round 1 Data'!$A$10:$A$143,'Round 1 Data'!R$10:R$144,0)+_xlfn.XLOOKUP('Summary Data'!$A30,'Round 2 Data'!$A$10:$A$146,'Round 2 Data'!R$10:R$146,0)+_xlfn.XLOOKUP('Summary Data'!$A30,'Round 3 Data'!$A$10:$A$145,'Round 3 Data'!R$10:R$145,0)+_xlfn.XLOOKUP('Summary Data'!$A30,'Round 4 Data'!$A$10:$A$147,'Round 4 Data'!R$10:R$147,0))/$D30</f>
        <v>#VALUE!</v>
      </c>
      <c r="S30" s="57" t="e">
        <f>(_xlfn.XLOOKUP('Summary Data'!$A30,'Round 1 Data'!$A$10:$A$143,'Round 1 Data'!S$10:S$144,0)+_xlfn.XLOOKUP('Summary Data'!$A30,'Round 2 Data'!$A$10:$A$146,'Round 2 Data'!S$10:S$146,0)+_xlfn.XLOOKUP('Summary Data'!$A30,'Round 3 Data'!$A$10:$A$145,'Round 3 Data'!S$10:S$145,0)+_xlfn.XLOOKUP('Summary Data'!$A30,'Round 4 Data'!$A$10:$A$147,'Round 4 Data'!S$10:S$147,0))/$D30</f>
        <v>#VALUE!</v>
      </c>
      <c r="T30" s="62" t="e">
        <f>(_xlfn.XLOOKUP('Summary Data'!$A30,'Round 1 Data'!$A$10:$A$143,'Round 1 Data'!U$10:U$144,0)+_xlfn.XLOOKUP('Summary Data'!$A30,'Round 2 Data'!$A$10:$A$146,'Round 2 Data'!U$10:U$146,0)+_xlfn.XLOOKUP('Summary Data'!$A30,'Round 3 Data'!$A$10:$A$145,'Round 3 Data'!U$10:U$145,0)+_xlfn.XLOOKUP('Summary Data'!$A30,'Round 4 Data'!$A$10:$A$147,'Round 4 Data'!U$10:U$147,0))</f>
        <v>#VALUE!</v>
      </c>
    </row>
    <row r="31" spans="1:20" ht="16" thickBot="1" x14ac:dyDescent="0.25">
      <c r="A31" s="61" t="s">
        <v>130</v>
      </c>
      <c r="B31" t="s">
        <v>189</v>
      </c>
      <c r="C31" t="s">
        <v>195</v>
      </c>
      <c r="D31" t="e">
        <f>IF(_xlfn.XLOOKUP('Summary Data'!A31,'Round 1 Data'!$A$10:$A$143,'Round 1 Data'!$E$10:$E$144,0)=0,0,1)+IF(_xlfn.XLOOKUP('Summary Data'!A31,'Round 2 Data'!$A$10:$A$146,'Round 2 Data'!$E$10:$E$146,0)=0,0,1)+IF(_xlfn.XLOOKUP('Summary Data'!A31,'Round 3 Data'!$A$10:$A$145,'Round 3 Data'!$E$10:$E$145,0)=0,0,1)+IF(_xlfn.XLOOKUP('Summary Data'!A31,'Round 4 Data'!$A$10:$A$147,'Round 4 Data'!$E$10:$E$147,0)=0,0,1)</f>
        <v>#VALUE!</v>
      </c>
      <c r="E31" s="57" t="e">
        <f>(_xlfn.XLOOKUP('Summary Data'!$A31,'Round 1 Data'!$A$10:$A$143,'Round 1 Data'!E$10:E$144,0)+_xlfn.XLOOKUP('Summary Data'!$A31,'Round 2 Data'!$A$10:$A$146,'Round 2 Data'!E$10:E$146,0)+_xlfn.XLOOKUP('Summary Data'!$A31,'Round 3 Data'!$A$10:$A$145,'Round 3 Data'!E$10:E$145,0)+_xlfn.XLOOKUP('Summary Data'!$A31,'Round 4 Data'!$A$10:$A$147,'Round 4 Data'!E$10:E$147,0))/$D31</f>
        <v>#VALUE!</v>
      </c>
      <c r="F31" s="57" t="e">
        <f>(_xlfn.XLOOKUP('Summary Data'!$A31,'Round 1 Data'!$A$10:$A$143,'Round 1 Data'!F$10:F$144,0)+_xlfn.XLOOKUP('Summary Data'!$A31,'Round 2 Data'!$A$10:$A$146,'Round 2 Data'!F$10:F$146,0)+_xlfn.XLOOKUP('Summary Data'!$A31,'Round 3 Data'!$A$10:$A$145,'Round 3 Data'!F$10:F$145,0)+_xlfn.XLOOKUP('Summary Data'!$A31,'Round 4 Data'!$A$10:$A$147,'Round 4 Data'!F$10:F$147,0))/$D31</f>
        <v>#VALUE!</v>
      </c>
      <c r="G31" s="57" t="e">
        <f>(_xlfn.XLOOKUP('Summary Data'!$A31,'Round 1 Data'!$A$10:$A$143,'Round 1 Data'!G$10:G$144,0)+_xlfn.XLOOKUP('Summary Data'!$A31,'Round 2 Data'!$A$10:$A$146,'Round 2 Data'!G$10:G$146,0)+_xlfn.XLOOKUP('Summary Data'!$A31,'Round 3 Data'!$A$10:$A$145,'Round 3 Data'!G$10:G$145,0)+_xlfn.XLOOKUP('Summary Data'!$A31,'Round 4 Data'!$A$10:$A$147,'Round 4 Data'!G$10:G$147,0))/$D31</f>
        <v>#VALUE!</v>
      </c>
      <c r="H31" s="57" t="e">
        <f>(_xlfn.XLOOKUP('Summary Data'!$A31,'Round 1 Data'!$A$10:$A$143,'Round 1 Data'!H$10:H$144,0)+_xlfn.XLOOKUP('Summary Data'!$A31,'Round 2 Data'!$A$10:$A$146,'Round 2 Data'!H$10:H$146,0)+_xlfn.XLOOKUP('Summary Data'!$A31,'Round 3 Data'!$A$10:$A$145,'Round 3 Data'!H$10:H$145,0)+_xlfn.XLOOKUP('Summary Data'!$A31,'Round 4 Data'!$A$10:$A$147,'Round 4 Data'!H$10:H$147,0))/$D31</f>
        <v>#VALUE!</v>
      </c>
      <c r="I31" s="57" t="e">
        <f>(_xlfn.XLOOKUP('Summary Data'!$A31,'Round 1 Data'!$A$10:$A$143,'Round 1 Data'!I$10:I$144,0)+_xlfn.XLOOKUP('Summary Data'!$A31,'Round 2 Data'!$A$10:$A$146,'Round 2 Data'!I$10:I$146,0)+_xlfn.XLOOKUP('Summary Data'!$A31,'Round 3 Data'!$A$10:$A$145,'Round 3 Data'!I$10:I$145,0)+_xlfn.XLOOKUP('Summary Data'!$A31,'Round 4 Data'!$A$10:$A$147,'Round 4 Data'!I$10:I$147,0))/$D31</f>
        <v>#VALUE!</v>
      </c>
      <c r="J31" s="57" t="e">
        <f>(_xlfn.XLOOKUP('Summary Data'!$A31,'Round 1 Data'!$A$10:$A$143,'Round 1 Data'!J$10:J$144,0)+_xlfn.XLOOKUP('Summary Data'!$A31,'Round 2 Data'!$A$10:$A$146,'Round 2 Data'!J$10:J$146,0)+_xlfn.XLOOKUP('Summary Data'!$A31,'Round 3 Data'!$A$10:$A$145,'Round 3 Data'!J$10:J$145,0)+_xlfn.XLOOKUP('Summary Data'!$A31,'Round 4 Data'!$A$10:$A$147,'Round 4 Data'!J$10:J$147,0))/$D31</f>
        <v>#VALUE!</v>
      </c>
      <c r="K31" s="57" t="e">
        <f>(_xlfn.XLOOKUP('Summary Data'!$A31,'Round 1 Data'!$A$10:$A$143,'Round 1 Data'!K$10:K$144,0)+_xlfn.XLOOKUP('Summary Data'!$A31,'Round 2 Data'!$A$10:$A$146,'Round 2 Data'!K$10:K$146,0)+_xlfn.XLOOKUP('Summary Data'!$A31,'Round 3 Data'!$A$10:$A$145,'Round 3 Data'!K$10:K$145,0)+_xlfn.XLOOKUP('Summary Data'!$A31,'Round 4 Data'!$A$10:$A$147,'Round 4 Data'!K$10:K$147,0))/$D31</f>
        <v>#VALUE!</v>
      </c>
      <c r="L31" s="57" t="e">
        <f>(_xlfn.XLOOKUP('Summary Data'!$A31,'Round 1 Data'!$A$10:$A$143,'Round 1 Data'!L$10:L$144,0)+_xlfn.XLOOKUP('Summary Data'!$A31,'Round 2 Data'!$A$10:$A$146,'Round 2 Data'!L$10:L$146,0)+_xlfn.XLOOKUP('Summary Data'!$A31,'Round 3 Data'!$A$10:$A$145,'Round 3 Data'!L$10:L$145,0)+_xlfn.XLOOKUP('Summary Data'!$A31,'Round 4 Data'!$A$10:$A$147,'Round 4 Data'!L$10:L$147,0))/$D31</f>
        <v>#VALUE!</v>
      </c>
      <c r="M31" s="57" t="e">
        <f>(_xlfn.XLOOKUP('Summary Data'!$A31,'Round 1 Data'!$A$10:$A$143,'Round 1 Data'!M$10:M$144,0)+_xlfn.XLOOKUP('Summary Data'!$A31,'Round 2 Data'!$A$10:$A$146,'Round 2 Data'!M$10:M$146,0)+_xlfn.XLOOKUP('Summary Data'!$A31,'Round 3 Data'!$A$10:$A$145,'Round 3 Data'!M$10:M$145,0)+_xlfn.XLOOKUP('Summary Data'!$A31,'Round 4 Data'!$A$10:$A$147,'Round 4 Data'!M$10:M$147,0))/$D31</f>
        <v>#VALUE!</v>
      </c>
      <c r="N31" s="57" t="e">
        <f>(_xlfn.XLOOKUP('Summary Data'!$A31,'Round 1 Data'!$A$10:$A$143,'Round 1 Data'!N$10:N$144,0)+_xlfn.XLOOKUP('Summary Data'!$A31,'Round 2 Data'!$A$10:$A$146,'Round 2 Data'!N$10:N$146,0)+_xlfn.XLOOKUP('Summary Data'!$A31,'Round 3 Data'!$A$10:$A$145,'Round 3 Data'!N$10:N$145,0)+_xlfn.XLOOKUP('Summary Data'!$A31,'Round 4 Data'!$A$10:$A$147,'Round 4 Data'!N$10:N$147,0))/$D31</f>
        <v>#VALUE!</v>
      </c>
      <c r="O31" s="57" t="e">
        <f>(_xlfn.XLOOKUP('Summary Data'!$A31,'Round 1 Data'!$A$10:$A$143,'Round 1 Data'!O$10:O$144,0)+_xlfn.XLOOKUP('Summary Data'!$A31,'Round 2 Data'!$A$10:$A$146,'Round 2 Data'!O$10:O$146,0)+_xlfn.XLOOKUP('Summary Data'!$A31,'Round 3 Data'!$A$10:$A$145,'Round 3 Data'!O$10:O$145,0)+_xlfn.XLOOKUP('Summary Data'!$A31,'Round 4 Data'!$A$10:$A$147,'Round 4 Data'!O$10:O$147,0))/$D31</f>
        <v>#VALUE!</v>
      </c>
      <c r="P31" s="57" t="e">
        <f>(_xlfn.XLOOKUP('Summary Data'!$A31,'Round 1 Data'!$A$10:$A$143,'Round 1 Data'!P$10:P$144,0)+_xlfn.XLOOKUP('Summary Data'!$A31,'Round 2 Data'!$A$10:$A$146,'Round 2 Data'!P$10:P$146,0)+_xlfn.XLOOKUP('Summary Data'!$A31,'Round 3 Data'!$A$10:$A$145,'Round 3 Data'!P$10:P$145,0)+_xlfn.XLOOKUP('Summary Data'!$A31,'Round 4 Data'!$A$10:$A$147,'Round 4 Data'!P$10:P$147,0))/$D31</f>
        <v>#VALUE!</v>
      </c>
      <c r="Q31" s="57" t="e">
        <f>(_xlfn.XLOOKUP('Summary Data'!$A31,'Round 1 Data'!$A$10:$A$143,'Round 1 Data'!Q$10:Q$144,0)+_xlfn.XLOOKUP('Summary Data'!$A31,'Round 2 Data'!$A$10:$A$146,'Round 2 Data'!Q$10:Q$146,0)+_xlfn.XLOOKUP('Summary Data'!$A31,'Round 3 Data'!$A$10:$A$145,'Round 3 Data'!Q$10:Q$145,0)+_xlfn.XLOOKUP('Summary Data'!$A31,'Round 4 Data'!$A$10:$A$147,'Round 4 Data'!Q$10:Q$147,0))/$D31</f>
        <v>#VALUE!</v>
      </c>
      <c r="R31" s="57" t="e">
        <f>(_xlfn.XLOOKUP('Summary Data'!$A31,'Round 1 Data'!$A$10:$A$143,'Round 1 Data'!R$10:R$144,0)+_xlfn.XLOOKUP('Summary Data'!$A31,'Round 2 Data'!$A$10:$A$146,'Round 2 Data'!R$10:R$146,0)+_xlfn.XLOOKUP('Summary Data'!$A31,'Round 3 Data'!$A$10:$A$145,'Round 3 Data'!R$10:R$145,0)+_xlfn.XLOOKUP('Summary Data'!$A31,'Round 4 Data'!$A$10:$A$147,'Round 4 Data'!R$10:R$147,0))/$D31</f>
        <v>#VALUE!</v>
      </c>
      <c r="S31" s="57" t="e">
        <f>(_xlfn.XLOOKUP('Summary Data'!$A31,'Round 1 Data'!$A$10:$A$143,'Round 1 Data'!S$10:S$144,0)+_xlfn.XLOOKUP('Summary Data'!$A31,'Round 2 Data'!$A$10:$A$146,'Round 2 Data'!S$10:S$146,0)+_xlfn.XLOOKUP('Summary Data'!$A31,'Round 3 Data'!$A$10:$A$145,'Round 3 Data'!S$10:S$145,0)+_xlfn.XLOOKUP('Summary Data'!$A31,'Round 4 Data'!$A$10:$A$147,'Round 4 Data'!S$10:S$147,0))/$D31</f>
        <v>#VALUE!</v>
      </c>
      <c r="T31" s="62" t="e">
        <f>(_xlfn.XLOOKUP('Summary Data'!$A31,'Round 1 Data'!$A$10:$A$143,'Round 1 Data'!U$10:U$144,0)+_xlfn.XLOOKUP('Summary Data'!$A31,'Round 2 Data'!$A$10:$A$146,'Round 2 Data'!U$10:U$146,0)+_xlfn.XLOOKUP('Summary Data'!$A31,'Round 3 Data'!$A$10:$A$145,'Round 3 Data'!U$10:U$145,0)+_xlfn.XLOOKUP('Summary Data'!$A31,'Round 4 Data'!$A$10:$A$147,'Round 4 Data'!U$10:U$147,0))</f>
        <v>#VALUE!</v>
      </c>
    </row>
    <row r="32" spans="1:20" ht="16" thickBot="1" x14ac:dyDescent="0.25">
      <c r="A32" s="63" t="s">
        <v>131</v>
      </c>
      <c r="B32" t="s">
        <v>189</v>
      </c>
      <c r="C32" t="s">
        <v>195</v>
      </c>
      <c r="D32" t="e">
        <f>IF(_xlfn.XLOOKUP('Summary Data'!A32,'Round 1 Data'!$A$10:$A$143,'Round 1 Data'!$E$10:$E$144,0)=0,0,1)+IF(_xlfn.XLOOKUP('Summary Data'!A32,'Round 2 Data'!$A$10:$A$146,'Round 2 Data'!$E$10:$E$146,0)=0,0,1)+IF(_xlfn.XLOOKUP('Summary Data'!A32,'Round 3 Data'!$A$10:$A$145,'Round 3 Data'!$E$10:$E$145,0)=0,0,1)+IF(_xlfn.XLOOKUP('Summary Data'!A32,'Round 4 Data'!$A$10:$A$147,'Round 4 Data'!$E$10:$E$147,0)=0,0,1)</f>
        <v>#VALUE!</v>
      </c>
      <c r="E32" s="57" t="e">
        <f>(_xlfn.XLOOKUP('Summary Data'!$A32,'Round 1 Data'!$A$10:$A$143,'Round 1 Data'!E$10:E$144,0)+_xlfn.XLOOKUP('Summary Data'!$A32,'Round 2 Data'!$A$10:$A$146,'Round 2 Data'!E$10:E$146,0)+_xlfn.XLOOKUP('Summary Data'!$A32,'Round 3 Data'!$A$10:$A$145,'Round 3 Data'!E$10:E$145,0)+_xlfn.XLOOKUP('Summary Data'!$A32,'Round 4 Data'!$A$10:$A$147,'Round 4 Data'!E$10:E$147,0))/$D32</f>
        <v>#VALUE!</v>
      </c>
      <c r="F32" s="57" t="e">
        <f>(_xlfn.XLOOKUP('Summary Data'!$A32,'Round 1 Data'!$A$10:$A$143,'Round 1 Data'!F$10:F$144,0)+_xlfn.XLOOKUP('Summary Data'!$A32,'Round 2 Data'!$A$10:$A$146,'Round 2 Data'!F$10:F$146,0)+_xlfn.XLOOKUP('Summary Data'!$A32,'Round 3 Data'!$A$10:$A$145,'Round 3 Data'!F$10:F$145,0)+_xlfn.XLOOKUP('Summary Data'!$A32,'Round 4 Data'!$A$10:$A$147,'Round 4 Data'!F$10:F$147,0))/$D32</f>
        <v>#VALUE!</v>
      </c>
      <c r="G32" s="57" t="e">
        <f>(_xlfn.XLOOKUP('Summary Data'!$A32,'Round 1 Data'!$A$10:$A$143,'Round 1 Data'!G$10:G$144,0)+_xlfn.XLOOKUP('Summary Data'!$A32,'Round 2 Data'!$A$10:$A$146,'Round 2 Data'!G$10:G$146,0)+_xlfn.XLOOKUP('Summary Data'!$A32,'Round 3 Data'!$A$10:$A$145,'Round 3 Data'!G$10:G$145,0)+_xlfn.XLOOKUP('Summary Data'!$A32,'Round 4 Data'!$A$10:$A$147,'Round 4 Data'!G$10:G$147,0))/$D32</f>
        <v>#VALUE!</v>
      </c>
      <c r="H32" s="57" t="e">
        <f>(_xlfn.XLOOKUP('Summary Data'!$A32,'Round 1 Data'!$A$10:$A$143,'Round 1 Data'!H$10:H$144,0)+_xlfn.XLOOKUP('Summary Data'!$A32,'Round 2 Data'!$A$10:$A$146,'Round 2 Data'!H$10:H$146,0)+_xlfn.XLOOKUP('Summary Data'!$A32,'Round 3 Data'!$A$10:$A$145,'Round 3 Data'!H$10:H$145,0)+_xlfn.XLOOKUP('Summary Data'!$A32,'Round 4 Data'!$A$10:$A$147,'Round 4 Data'!H$10:H$147,0))/$D32</f>
        <v>#VALUE!</v>
      </c>
      <c r="I32" s="57" t="e">
        <f>(_xlfn.XLOOKUP('Summary Data'!$A32,'Round 1 Data'!$A$10:$A$143,'Round 1 Data'!I$10:I$144,0)+_xlfn.XLOOKUP('Summary Data'!$A32,'Round 2 Data'!$A$10:$A$146,'Round 2 Data'!I$10:I$146,0)+_xlfn.XLOOKUP('Summary Data'!$A32,'Round 3 Data'!$A$10:$A$145,'Round 3 Data'!I$10:I$145,0)+_xlfn.XLOOKUP('Summary Data'!$A32,'Round 4 Data'!$A$10:$A$147,'Round 4 Data'!I$10:I$147,0))/$D32</f>
        <v>#VALUE!</v>
      </c>
      <c r="J32" s="57" t="e">
        <f>(_xlfn.XLOOKUP('Summary Data'!$A32,'Round 1 Data'!$A$10:$A$143,'Round 1 Data'!J$10:J$144,0)+_xlfn.XLOOKUP('Summary Data'!$A32,'Round 2 Data'!$A$10:$A$146,'Round 2 Data'!J$10:J$146,0)+_xlfn.XLOOKUP('Summary Data'!$A32,'Round 3 Data'!$A$10:$A$145,'Round 3 Data'!J$10:J$145,0)+_xlfn.XLOOKUP('Summary Data'!$A32,'Round 4 Data'!$A$10:$A$147,'Round 4 Data'!J$10:J$147,0))/$D32</f>
        <v>#VALUE!</v>
      </c>
      <c r="K32" s="57" t="e">
        <f>(_xlfn.XLOOKUP('Summary Data'!$A32,'Round 1 Data'!$A$10:$A$143,'Round 1 Data'!K$10:K$144,0)+_xlfn.XLOOKUP('Summary Data'!$A32,'Round 2 Data'!$A$10:$A$146,'Round 2 Data'!K$10:K$146,0)+_xlfn.XLOOKUP('Summary Data'!$A32,'Round 3 Data'!$A$10:$A$145,'Round 3 Data'!K$10:K$145,0)+_xlfn.XLOOKUP('Summary Data'!$A32,'Round 4 Data'!$A$10:$A$147,'Round 4 Data'!K$10:K$147,0))/$D32</f>
        <v>#VALUE!</v>
      </c>
      <c r="L32" s="57" t="e">
        <f>(_xlfn.XLOOKUP('Summary Data'!$A32,'Round 1 Data'!$A$10:$A$143,'Round 1 Data'!L$10:L$144,0)+_xlfn.XLOOKUP('Summary Data'!$A32,'Round 2 Data'!$A$10:$A$146,'Round 2 Data'!L$10:L$146,0)+_xlfn.XLOOKUP('Summary Data'!$A32,'Round 3 Data'!$A$10:$A$145,'Round 3 Data'!L$10:L$145,0)+_xlfn.XLOOKUP('Summary Data'!$A32,'Round 4 Data'!$A$10:$A$147,'Round 4 Data'!L$10:L$147,0))/$D32</f>
        <v>#VALUE!</v>
      </c>
      <c r="M32" s="57" t="e">
        <f>(_xlfn.XLOOKUP('Summary Data'!$A32,'Round 1 Data'!$A$10:$A$143,'Round 1 Data'!M$10:M$144,0)+_xlfn.XLOOKUP('Summary Data'!$A32,'Round 2 Data'!$A$10:$A$146,'Round 2 Data'!M$10:M$146,0)+_xlfn.XLOOKUP('Summary Data'!$A32,'Round 3 Data'!$A$10:$A$145,'Round 3 Data'!M$10:M$145,0)+_xlfn.XLOOKUP('Summary Data'!$A32,'Round 4 Data'!$A$10:$A$147,'Round 4 Data'!M$10:M$147,0))/$D32</f>
        <v>#VALUE!</v>
      </c>
      <c r="N32" s="57" t="e">
        <f>(_xlfn.XLOOKUP('Summary Data'!$A32,'Round 1 Data'!$A$10:$A$143,'Round 1 Data'!N$10:N$144,0)+_xlfn.XLOOKUP('Summary Data'!$A32,'Round 2 Data'!$A$10:$A$146,'Round 2 Data'!N$10:N$146,0)+_xlfn.XLOOKUP('Summary Data'!$A32,'Round 3 Data'!$A$10:$A$145,'Round 3 Data'!N$10:N$145,0)+_xlfn.XLOOKUP('Summary Data'!$A32,'Round 4 Data'!$A$10:$A$147,'Round 4 Data'!N$10:N$147,0))/$D32</f>
        <v>#VALUE!</v>
      </c>
      <c r="O32" s="57" t="e">
        <f>(_xlfn.XLOOKUP('Summary Data'!$A32,'Round 1 Data'!$A$10:$A$143,'Round 1 Data'!O$10:O$144,0)+_xlfn.XLOOKUP('Summary Data'!$A32,'Round 2 Data'!$A$10:$A$146,'Round 2 Data'!O$10:O$146,0)+_xlfn.XLOOKUP('Summary Data'!$A32,'Round 3 Data'!$A$10:$A$145,'Round 3 Data'!O$10:O$145,0)+_xlfn.XLOOKUP('Summary Data'!$A32,'Round 4 Data'!$A$10:$A$147,'Round 4 Data'!O$10:O$147,0))/$D32</f>
        <v>#VALUE!</v>
      </c>
      <c r="P32" s="57" t="e">
        <f>(_xlfn.XLOOKUP('Summary Data'!$A32,'Round 1 Data'!$A$10:$A$143,'Round 1 Data'!P$10:P$144,0)+_xlfn.XLOOKUP('Summary Data'!$A32,'Round 2 Data'!$A$10:$A$146,'Round 2 Data'!P$10:P$146,0)+_xlfn.XLOOKUP('Summary Data'!$A32,'Round 3 Data'!$A$10:$A$145,'Round 3 Data'!P$10:P$145,0)+_xlfn.XLOOKUP('Summary Data'!$A32,'Round 4 Data'!$A$10:$A$147,'Round 4 Data'!P$10:P$147,0))/$D32</f>
        <v>#VALUE!</v>
      </c>
      <c r="Q32" s="57" t="e">
        <f>(_xlfn.XLOOKUP('Summary Data'!$A32,'Round 1 Data'!$A$10:$A$143,'Round 1 Data'!Q$10:Q$144,0)+_xlfn.XLOOKUP('Summary Data'!$A32,'Round 2 Data'!$A$10:$A$146,'Round 2 Data'!Q$10:Q$146,0)+_xlfn.XLOOKUP('Summary Data'!$A32,'Round 3 Data'!$A$10:$A$145,'Round 3 Data'!Q$10:Q$145,0)+_xlfn.XLOOKUP('Summary Data'!$A32,'Round 4 Data'!$A$10:$A$147,'Round 4 Data'!Q$10:Q$147,0))/$D32</f>
        <v>#VALUE!</v>
      </c>
      <c r="R32" s="57" t="e">
        <f>(_xlfn.XLOOKUP('Summary Data'!$A32,'Round 1 Data'!$A$10:$A$143,'Round 1 Data'!R$10:R$144,0)+_xlfn.XLOOKUP('Summary Data'!$A32,'Round 2 Data'!$A$10:$A$146,'Round 2 Data'!R$10:R$146,0)+_xlfn.XLOOKUP('Summary Data'!$A32,'Round 3 Data'!$A$10:$A$145,'Round 3 Data'!R$10:R$145,0)+_xlfn.XLOOKUP('Summary Data'!$A32,'Round 4 Data'!$A$10:$A$147,'Round 4 Data'!R$10:R$147,0))/$D32</f>
        <v>#VALUE!</v>
      </c>
      <c r="S32" s="57" t="e">
        <f>(_xlfn.XLOOKUP('Summary Data'!$A32,'Round 1 Data'!$A$10:$A$143,'Round 1 Data'!S$10:S$144,0)+_xlfn.XLOOKUP('Summary Data'!$A32,'Round 2 Data'!$A$10:$A$146,'Round 2 Data'!S$10:S$146,0)+_xlfn.XLOOKUP('Summary Data'!$A32,'Round 3 Data'!$A$10:$A$145,'Round 3 Data'!S$10:S$145,0)+_xlfn.XLOOKUP('Summary Data'!$A32,'Round 4 Data'!$A$10:$A$147,'Round 4 Data'!S$10:S$147,0))/$D32</f>
        <v>#VALUE!</v>
      </c>
      <c r="T32" s="62" t="e">
        <f>(_xlfn.XLOOKUP('Summary Data'!$A32,'Round 1 Data'!$A$10:$A$143,'Round 1 Data'!U$10:U$144,0)+_xlfn.XLOOKUP('Summary Data'!$A32,'Round 2 Data'!$A$10:$A$146,'Round 2 Data'!U$10:U$146,0)+_xlfn.XLOOKUP('Summary Data'!$A32,'Round 3 Data'!$A$10:$A$145,'Round 3 Data'!U$10:U$145,0)+_xlfn.XLOOKUP('Summary Data'!$A32,'Round 4 Data'!$A$10:$A$147,'Round 4 Data'!U$10:U$147,0))</f>
        <v>#VALUE!</v>
      </c>
    </row>
    <row r="33" spans="1:20" ht="16" thickBot="1" x14ac:dyDescent="0.25">
      <c r="A33" s="61" t="s">
        <v>132</v>
      </c>
      <c r="B33" t="s">
        <v>189</v>
      </c>
      <c r="C33" t="s">
        <v>196</v>
      </c>
      <c r="D33" t="e">
        <f>IF(_xlfn.XLOOKUP('Summary Data'!A33,'Round 1 Data'!$A$10:$A$143,'Round 1 Data'!$E$10:$E$144,0)=0,0,1)+IF(_xlfn.XLOOKUP('Summary Data'!A33,'Round 2 Data'!$A$10:$A$146,'Round 2 Data'!$E$10:$E$146,0)=0,0,1)+IF(_xlfn.XLOOKUP('Summary Data'!A33,'Round 3 Data'!$A$10:$A$145,'Round 3 Data'!$E$10:$E$145,0)=0,0,1)+IF(_xlfn.XLOOKUP('Summary Data'!A33,'Round 4 Data'!$A$10:$A$147,'Round 4 Data'!$E$10:$E$147,0)=0,0,1)</f>
        <v>#VALUE!</v>
      </c>
      <c r="E33" s="57" t="e">
        <f>(_xlfn.XLOOKUP('Summary Data'!$A33,'Round 1 Data'!$A$10:$A$143,'Round 1 Data'!E$10:E$144,0)+_xlfn.XLOOKUP('Summary Data'!$A33,'Round 2 Data'!$A$10:$A$146,'Round 2 Data'!E$10:E$146,0)+_xlfn.XLOOKUP('Summary Data'!$A33,'Round 3 Data'!$A$10:$A$145,'Round 3 Data'!E$10:E$145,0)+_xlfn.XLOOKUP('Summary Data'!$A33,'Round 4 Data'!$A$10:$A$147,'Round 4 Data'!E$10:E$147,0))/$D33</f>
        <v>#VALUE!</v>
      </c>
      <c r="F33" s="57" t="e">
        <f>(_xlfn.XLOOKUP('Summary Data'!$A33,'Round 1 Data'!$A$10:$A$143,'Round 1 Data'!F$10:F$144,0)+_xlfn.XLOOKUP('Summary Data'!$A33,'Round 2 Data'!$A$10:$A$146,'Round 2 Data'!F$10:F$146,0)+_xlfn.XLOOKUP('Summary Data'!$A33,'Round 3 Data'!$A$10:$A$145,'Round 3 Data'!F$10:F$145,0)+_xlfn.XLOOKUP('Summary Data'!$A33,'Round 4 Data'!$A$10:$A$147,'Round 4 Data'!F$10:F$147,0))/$D33</f>
        <v>#VALUE!</v>
      </c>
      <c r="G33" s="57" t="e">
        <f>(_xlfn.XLOOKUP('Summary Data'!$A33,'Round 1 Data'!$A$10:$A$143,'Round 1 Data'!G$10:G$144,0)+_xlfn.XLOOKUP('Summary Data'!$A33,'Round 2 Data'!$A$10:$A$146,'Round 2 Data'!G$10:G$146,0)+_xlfn.XLOOKUP('Summary Data'!$A33,'Round 3 Data'!$A$10:$A$145,'Round 3 Data'!G$10:G$145,0)+_xlfn.XLOOKUP('Summary Data'!$A33,'Round 4 Data'!$A$10:$A$147,'Round 4 Data'!G$10:G$147,0))/$D33</f>
        <v>#VALUE!</v>
      </c>
      <c r="H33" s="57" t="e">
        <f>(_xlfn.XLOOKUP('Summary Data'!$A33,'Round 1 Data'!$A$10:$A$143,'Round 1 Data'!H$10:H$144,0)+_xlfn.XLOOKUP('Summary Data'!$A33,'Round 2 Data'!$A$10:$A$146,'Round 2 Data'!H$10:H$146,0)+_xlfn.XLOOKUP('Summary Data'!$A33,'Round 3 Data'!$A$10:$A$145,'Round 3 Data'!H$10:H$145,0)+_xlfn.XLOOKUP('Summary Data'!$A33,'Round 4 Data'!$A$10:$A$147,'Round 4 Data'!H$10:H$147,0))/$D33</f>
        <v>#VALUE!</v>
      </c>
      <c r="I33" s="57" t="e">
        <f>(_xlfn.XLOOKUP('Summary Data'!$A33,'Round 1 Data'!$A$10:$A$143,'Round 1 Data'!I$10:I$144,0)+_xlfn.XLOOKUP('Summary Data'!$A33,'Round 2 Data'!$A$10:$A$146,'Round 2 Data'!I$10:I$146,0)+_xlfn.XLOOKUP('Summary Data'!$A33,'Round 3 Data'!$A$10:$A$145,'Round 3 Data'!I$10:I$145,0)+_xlfn.XLOOKUP('Summary Data'!$A33,'Round 4 Data'!$A$10:$A$147,'Round 4 Data'!I$10:I$147,0))/$D33</f>
        <v>#VALUE!</v>
      </c>
      <c r="J33" s="57" t="e">
        <f>(_xlfn.XLOOKUP('Summary Data'!$A33,'Round 1 Data'!$A$10:$A$143,'Round 1 Data'!J$10:J$144,0)+_xlfn.XLOOKUP('Summary Data'!$A33,'Round 2 Data'!$A$10:$A$146,'Round 2 Data'!J$10:J$146,0)+_xlfn.XLOOKUP('Summary Data'!$A33,'Round 3 Data'!$A$10:$A$145,'Round 3 Data'!J$10:J$145,0)+_xlfn.XLOOKUP('Summary Data'!$A33,'Round 4 Data'!$A$10:$A$147,'Round 4 Data'!J$10:J$147,0))/$D33</f>
        <v>#VALUE!</v>
      </c>
      <c r="K33" s="57" t="e">
        <f>(_xlfn.XLOOKUP('Summary Data'!$A33,'Round 1 Data'!$A$10:$A$143,'Round 1 Data'!K$10:K$144,0)+_xlfn.XLOOKUP('Summary Data'!$A33,'Round 2 Data'!$A$10:$A$146,'Round 2 Data'!K$10:K$146,0)+_xlfn.XLOOKUP('Summary Data'!$A33,'Round 3 Data'!$A$10:$A$145,'Round 3 Data'!K$10:K$145,0)+_xlfn.XLOOKUP('Summary Data'!$A33,'Round 4 Data'!$A$10:$A$147,'Round 4 Data'!K$10:K$147,0))/$D33</f>
        <v>#VALUE!</v>
      </c>
      <c r="L33" s="57" t="e">
        <f>(_xlfn.XLOOKUP('Summary Data'!$A33,'Round 1 Data'!$A$10:$A$143,'Round 1 Data'!L$10:L$144,0)+_xlfn.XLOOKUP('Summary Data'!$A33,'Round 2 Data'!$A$10:$A$146,'Round 2 Data'!L$10:L$146,0)+_xlfn.XLOOKUP('Summary Data'!$A33,'Round 3 Data'!$A$10:$A$145,'Round 3 Data'!L$10:L$145,0)+_xlfn.XLOOKUP('Summary Data'!$A33,'Round 4 Data'!$A$10:$A$147,'Round 4 Data'!L$10:L$147,0))/$D33</f>
        <v>#VALUE!</v>
      </c>
      <c r="M33" s="57" t="e">
        <f>(_xlfn.XLOOKUP('Summary Data'!$A33,'Round 1 Data'!$A$10:$A$143,'Round 1 Data'!M$10:M$144,0)+_xlfn.XLOOKUP('Summary Data'!$A33,'Round 2 Data'!$A$10:$A$146,'Round 2 Data'!M$10:M$146,0)+_xlfn.XLOOKUP('Summary Data'!$A33,'Round 3 Data'!$A$10:$A$145,'Round 3 Data'!M$10:M$145,0)+_xlfn.XLOOKUP('Summary Data'!$A33,'Round 4 Data'!$A$10:$A$147,'Round 4 Data'!M$10:M$147,0))/$D33</f>
        <v>#VALUE!</v>
      </c>
      <c r="N33" s="57" t="e">
        <f>(_xlfn.XLOOKUP('Summary Data'!$A33,'Round 1 Data'!$A$10:$A$143,'Round 1 Data'!N$10:N$144,0)+_xlfn.XLOOKUP('Summary Data'!$A33,'Round 2 Data'!$A$10:$A$146,'Round 2 Data'!N$10:N$146,0)+_xlfn.XLOOKUP('Summary Data'!$A33,'Round 3 Data'!$A$10:$A$145,'Round 3 Data'!N$10:N$145,0)+_xlfn.XLOOKUP('Summary Data'!$A33,'Round 4 Data'!$A$10:$A$147,'Round 4 Data'!N$10:N$147,0))/$D33</f>
        <v>#VALUE!</v>
      </c>
      <c r="O33" s="57" t="e">
        <f>(_xlfn.XLOOKUP('Summary Data'!$A33,'Round 1 Data'!$A$10:$A$143,'Round 1 Data'!O$10:O$144,0)+_xlfn.XLOOKUP('Summary Data'!$A33,'Round 2 Data'!$A$10:$A$146,'Round 2 Data'!O$10:O$146,0)+_xlfn.XLOOKUP('Summary Data'!$A33,'Round 3 Data'!$A$10:$A$145,'Round 3 Data'!O$10:O$145,0)+_xlfn.XLOOKUP('Summary Data'!$A33,'Round 4 Data'!$A$10:$A$147,'Round 4 Data'!O$10:O$147,0))/$D33</f>
        <v>#VALUE!</v>
      </c>
      <c r="P33" s="57" t="e">
        <f>(_xlfn.XLOOKUP('Summary Data'!$A33,'Round 1 Data'!$A$10:$A$143,'Round 1 Data'!P$10:P$144,0)+_xlfn.XLOOKUP('Summary Data'!$A33,'Round 2 Data'!$A$10:$A$146,'Round 2 Data'!P$10:P$146,0)+_xlfn.XLOOKUP('Summary Data'!$A33,'Round 3 Data'!$A$10:$A$145,'Round 3 Data'!P$10:P$145,0)+_xlfn.XLOOKUP('Summary Data'!$A33,'Round 4 Data'!$A$10:$A$147,'Round 4 Data'!P$10:P$147,0))/$D33</f>
        <v>#VALUE!</v>
      </c>
      <c r="Q33" s="57" t="e">
        <f>(_xlfn.XLOOKUP('Summary Data'!$A33,'Round 1 Data'!$A$10:$A$143,'Round 1 Data'!Q$10:Q$144,0)+_xlfn.XLOOKUP('Summary Data'!$A33,'Round 2 Data'!$A$10:$A$146,'Round 2 Data'!Q$10:Q$146,0)+_xlfn.XLOOKUP('Summary Data'!$A33,'Round 3 Data'!$A$10:$A$145,'Round 3 Data'!Q$10:Q$145,0)+_xlfn.XLOOKUP('Summary Data'!$A33,'Round 4 Data'!$A$10:$A$147,'Round 4 Data'!Q$10:Q$147,0))/$D33</f>
        <v>#VALUE!</v>
      </c>
      <c r="R33" s="57" t="e">
        <f>(_xlfn.XLOOKUP('Summary Data'!$A33,'Round 1 Data'!$A$10:$A$143,'Round 1 Data'!R$10:R$144,0)+_xlfn.XLOOKUP('Summary Data'!$A33,'Round 2 Data'!$A$10:$A$146,'Round 2 Data'!R$10:R$146,0)+_xlfn.XLOOKUP('Summary Data'!$A33,'Round 3 Data'!$A$10:$A$145,'Round 3 Data'!R$10:R$145,0)+_xlfn.XLOOKUP('Summary Data'!$A33,'Round 4 Data'!$A$10:$A$147,'Round 4 Data'!R$10:R$147,0))/$D33</f>
        <v>#VALUE!</v>
      </c>
      <c r="S33" s="57" t="e">
        <f>(_xlfn.XLOOKUP('Summary Data'!$A33,'Round 1 Data'!$A$10:$A$143,'Round 1 Data'!S$10:S$144,0)+_xlfn.XLOOKUP('Summary Data'!$A33,'Round 2 Data'!$A$10:$A$146,'Round 2 Data'!S$10:S$146,0)+_xlfn.XLOOKUP('Summary Data'!$A33,'Round 3 Data'!$A$10:$A$145,'Round 3 Data'!S$10:S$145,0)+_xlfn.XLOOKUP('Summary Data'!$A33,'Round 4 Data'!$A$10:$A$147,'Round 4 Data'!S$10:S$147,0))/$D33</f>
        <v>#VALUE!</v>
      </c>
      <c r="T33" s="62" t="e">
        <f>(_xlfn.XLOOKUP('Summary Data'!$A33,'Round 1 Data'!$A$10:$A$143,'Round 1 Data'!U$10:U$144,0)+_xlfn.XLOOKUP('Summary Data'!$A33,'Round 2 Data'!$A$10:$A$146,'Round 2 Data'!U$10:U$146,0)+_xlfn.XLOOKUP('Summary Data'!$A33,'Round 3 Data'!$A$10:$A$145,'Round 3 Data'!U$10:U$145,0)+_xlfn.XLOOKUP('Summary Data'!$A33,'Round 4 Data'!$A$10:$A$147,'Round 4 Data'!U$10:U$147,0))</f>
        <v>#VALUE!</v>
      </c>
    </row>
    <row r="34" spans="1:20" ht="16" thickBot="1" x14ac:dyDescent="0.25">
      <c r="A34" s="63" t="s">
        <v>133</v>
      </c>
      <c r="B34" t="s">
        <v>189</v>
      </c>
      <c r="C34" t="s">
        <v>196</v>
      </c>
      <c r="D34" t="e">
        <f>IF(_xlfn.XLOOKUP('Summary Data'!A34,'Round 1 Data'!$A$10:$A$143,'Round 1 Data'!$E$10:$E$144,0)=0,0,1)+IF(_xlfn.XLOOKUP('Summary Data'!A34,'Round 2 Data'!$A$10:$A$146,'Round 2 Data'!$E$10:$E$146,0)=0,0,1)+IF(_xlfn.XLOOKUP('Summary Data'!A34,'Round 3 Data'!$A$10:$A$145,'Round 3 Data'!$E$10:$E$145,0)=0,0,1)+IF(_xlfn.XLOOKUP('Summary Data'!A34,'Round 4 Data'!$A$10:$A$147,'Round 4 Data'!$E$10:$E$147,0)=0,0,1)</f>
        <v>#VALUE!</v>
      </c>
      <c r="E34" s="57" t="e">
        <f>(_xlfn.XLOOKUP('Summary Data'!$A34,'Round 1 Data'!$A$10:$A$143,'Round 1 Data'!E$10:E$144,0)+_xlfn.XLOOKUP('Summary Data'!$A34,'Round 2 Data'!$A$10:$A$146,'Round 2 Data'!E$10:E$146,0)+_xlfn.XLOOKUP('Summary Data'!$A34,'Round 3 Data'!$A$10:$A$145,'Round 3 Data'!E$10:E$145,0)+_xlfn.XLOOKUP('Summary Data'!$A34,'Round 4 Data'!$A$10:$A$147,'Round 4 Data'!E$10:E$147,0))/$D34</f>
        <v>#VALUE!</v>
      </c>
      <c r="F34" s="57" t="e">
        <f>(_xlfn.XLOOKUP('Summary Data'!$A34,'Round 1 Data'!$A$10:$A$143,'Round 1 Data'!F$10:F$144,0)+_xlfn.XLOOKUP('Summary Data'!$A34,'Round 2 Data'!$A$10:$A$146,'Round 2 Data'!F$10:F$146,0)+_xlfn.XLOOKUP('Summary Data'!$A34,'Round 3 Data'!$A$10:$A$145,'Round 3 Data'!F$10:F$145,0)+_xlfn.XLOOKUP('Summary Data'!$A34,'Round 4 Data'!$A$10:$A$147,'Round 4 Data'!F$10:F$147,0))/$D34</f>
        <v>#VALUE!</v>
      </c>
      <c r="G34" s="57" t="e">
        <f>(_xlfn.XLOOKUP('Summary Data'!$A34,'Round 1 Data'!$A$10:$A$143,'Round 1 Data'!G$10:G$144,0)+_xlfn.XLOOKUP('Summary Data'!$A34,'Round 2 Data'!$A$10:$A$146,'Round 2 Data'!G$10:G$146,0)+_xlfn.XLOOKUP('Summary Data'!$A34,'Round 3 Data'!$A$10:$A$145,'Round 3 Data'!G$10:G$145,0)+_xlfn.XLOOKUP('Summary Data'!$A34,'Round 4 Data'!$A$10:$A$147,'Round 4 Data'!G$10:G$147,0))/$D34</f>
        <v>#VALUE!</v>
      </c>
      <c r="H34" s="57" t="e">
        <f>(_xlfn.XLOOKUP('Summary Data'!$A34,'Round 1 Data'!$A$10:$A$143,'Round 1 Data'!H$10:H$144,0)+_xlfn.XLOOKUP('Summary Data'!$A34,'Round 2 Data'!$A$10:$A$146,'Round 2 Data'!H$10:H$146,0)+_xlfn.XLOOKUP('Summary Data'!$A34,'Round 3 Data'!$A$10:$A$145,'Round 3 Data'!H$10:H$145,0)+_xlfn.XLOOKUP('Summary Data'!$A34,'Round 4 Data'!$A$10:$A$147,'Round 4 Data'!H$10:H$147,0))/$D34</f>
        <v>#VALUE!</v>
      </c>
      <c r="I34" s="57" t="e">
        <f>(_xlfn.XLOOKUP('Summary Data'!$A34,'Round 1 Data'!$A$10:$A$143,'Round 1 Data'!I$10:I$144,0)+_xlfn.XLOOKUP('Summary Data'!$A34,'Round 2 Data'!$A$10:$A$146,'Round 2 Data'!I$10:I$146,0)+_xlfn.XLOOKUP('Summary Data'!$A34,'Round 3 Data'!$A$10:$A$145,'Round 3 Data'!I$10:I$145,0)+_xlfn.XLOOKUP('Summary Data'!$A34,'Round 4 Data'!$A$10:$A$147,'Round 4 Data'!I$10:I$147,0))/$D34</f>
        <v>#VALUE!</v>
      </c>
      <c r="J34" s="57" t="e">
        <f>(_xlfn.XLOOKUP('Summary Data'!$A34,'Round 1 Data'!$A$10:$A$143,'Round 1 Data'!J$10:J$144,0)+_xlfn.XLOOKUP('Summary Data'!$A34,'Round 2 Data'!$A$10:$A$146,'Round 2 Data'!J$10:J$146,0)+_xlfn.XLOOKUP('Summary Data'!$A34,'Round 3 Data'!$A$10:$A$145,'Round 3 Data'!J$10:J$145,0)+_xlfn.XLOOKUP('Summary Data'!$A34,'Round 4 Data'!$A$10:$A$147,'Round 4 Data'!J$10:J$147,0))/$D34</f>
        <v>#VALUE!</v>
      </c>
      <c r="K34" s="57" t="e">
        <f>(_xlfn.XLOOKUP('Summary Data'!$A34,'Round 1 Data'!$A$10:$A$143,'Round 1 Data'!K$10:K$144,0)+_xlfn.XLOOKUP('Summary Data'!$A34,'Round 2 Data'!$A$10:$A$146,'Round 2 Data'!K$10:K$146,0)+_xlfn.XLOOKUP('Summary Data'!$A34,'Round 3 Data'!$A$10:$A$145,'Round 3 Data'!K$10:K$145,0)+_xlfn.XLOOKUP('Summary Data'!$A34,'Round 4 Data'!$A$10:$A$147,'Round 4 Data'!K$10:K$147,0))/$D34</f>
        <v>#VALUE!</v>
      </c>
      <c r="L34" s="57" t="e">
        <f>(_xlfn.XLOOKUP('Summary Data'!$A34,'Round 1 Data'!$A$10:$A$143,'Round 1 Data'!L$10:L$144,0)+_xlfn.XLOOKUP('Summary Data'!$A34,'Round 2 Data'!$A$10:$A$146,'Round 2 Data'!L$10:L$146,0)+_xlfn.XLOOKUP('Summary Data'!$A34,'Round 3 Data'!$A$10:$A$145,'Round 3 Data'!L$10:L$145,0)+_xlfn.XLOOKUP('Summary Data'!$A34,'Round 4 Data'!$A$10:$A$147,'Round 4 Data'!L$10:L$147,0))/$D34</f>
        <v>#VALUE!</v>
      </c>
      <c r="M34" s="57" t="e">
        <f>(_xlfn.XLOOKUP('Summary Data'!$A34,'Round 1 Data'!$A$10:$A$143,'Round 1 Data'!M$10:M$144,0)+_xlfn.XLOOKUP('Summary Data'!$A34,'Round 2 Data'!$A$10:$A$146,'Round 2 Data'!M$10:M$146,0)+_xlfn.XLOOKUP('Summary Data'!$A34,'Round 3 Data'!$A$10:$A$145,'Round 3 Data'!M$10:M$145,0)+_xlfn.XLOOKUP('Summary Data'!$A34,'Round 4 Data'!$A$10:$A$147,'Round 4 Data'!M$10:M$147,0))/$D34</f>
        <v>#VALUE!</v>
      </c>
      <c r="N34" s="57" t="e">
        <f>(_xlfn.XLOOKUP('Summary Data'!$A34,'Round 1 Data'!$A$10:$A$143,'Round 1 Data'!N$10:N$144,0)+_xlfn.XLOOKUP('Summary Data'!$A34,'Round 2 Data'!$A$10:$A$146,'Round 2 Data'!N$10:N$146,0)+_xlfn.XLOOKUP('Summary Data'!$A34,'Round 3 Data'!$A$10:$A$145,'Round 3 Data'!N$10:N$145,0)+_xlfn.XLOOKUP('Summary Data'!$A34,'Round 4 Data'!$A$10:$A$147,'Round 4 Data'!N$10:N$147,0))/$D34</f>
        <v>#VALUE!</v>
      </c>
      <c r="O34" s="57" t="e">
        <f>(_xlfn.XLOOKUP('Summary Data'!$A34,'Round 1 Data'!$A$10:$A$143,'Round 1 Data'!O$10:O$144,0)+_xlfn.XLOOKUP('Summary Data'!$A34,'Round 2 Data'!$A$10:$A$146,'Round 2 Data'!O$10:O$146,0)+_xlfn.XLOOKUP('Summary Data'!$A34,'Round 3 Data'!$A$10:$A$145,'Round 3 Data'!O$10:O$145,0)+_xlfn.XLOOKUP('Summary Data'!$A34,'Round 4 Data'!$A$10:$A$147,'Round 4 Data'!O$10:O$147,0))/$D34</f>
        <v>#VALUE!</v>
      </c>
      <c r="P34" s="57" t="e">
        <f>(_xlfn.XLOOKUP('Summary Data'!$A34,'Round 1 Data'!$A$10:$A$143,'Round 1 Data'!P$10:P$144,0)+_xlfn.XLOOKUP('Summary Data'!$A34,'Round 2 Data'!$A$10:$A$146,'Round 2 Data'!P$10:P$146,0)+_xlfn.XLOOKUP('Summary Data'!$A34,'Round 3 Data'!$A$10:$A$145,'Round 3 Data'!P$10:P$145,0)+_xlfn.XLOOKUP('Summary Data'!$A34,'Round 4 Data'!$A$10:$A$147,'Round 4 Data'!P$10:P$147,0))/$D34</f>
        <v>#VALUE!</v>
      </c>
      <c r="Q34" s="57" t="e">
        <f>(_xlfn.XLOOKUP('Summary Data'!$A34,'Round 1 Data'!$A$10:$A$143,'Round 1 Data'!Q$10:Q$144,0)+_xlfn.XLOOKUP('Summary Data'!$A34,'Round 2 Data'!$A$10:$A$146,'Round 2 Data'!Q$10:Q$146,0)+_xlfn.XLOOKUP('Summary Data'!$A34,'Round 3 Data'!$A$10:$A$145,'Round 3 Data'!Q$10:Q$145,0)+_xlfn.XLOOKUP('Summary Data'!$A34,'Round 4 Data'!$A$10:$A$147,'Round 4 Data'!Q$10:Q$147,0))/$D34</f>
        <v>#VALUE!</v>
      </c>
      <c r="R34" s="57" t="e">
        <f>(_xlfn.XLOOKUP('Summary Data'!$A34,'Round 1 Data'!$A$10:$A$143,'Round 1 Data'!R$10:R$144,0)+_xlfn.XLOOKUP('Summary Data'!$A34,'Round 2 Data'!$A$10:$A$146,'Round 2 Data'!R$10:R$146,0)+_xlfn.XLOOKUP('Summary Data'!$A34,'Round 3 Data'!$A$10:$A$145,'Round 3 Data'!R$10:R$145,0)+_xlfn.XLOOKUP('Summary Data'!$A34,'Round 4 Data'!$A$10:$A$147,'Round 4 Data'!R$10:R$147,0))/$D34</f>
        <v>#VALUE!</v>
      </c>
      <c r="S34" s="57" t="e">
        <f>(_xlfn.XLOOKUP('Summary Data'!$A34,'Round 1 Data'!$A$10:$A$143,'Round 1 Data'!S$10:S$144,0)+_xlfn.XLOOKUP('Summary Data'!$A34,'Round 2 Data'!$A$10:$A$146,'Round 2 Data'!S$10:S$146,0)+_xlfn.XLOOKUP('Summary Data'!$A34,'Round 3 Data'!$A$10:$A$145,'Round 3 Data'!S$10:S$145,0)+_xlfn.XLOOKUP('Summary Data'!$A34,'Round 4 Data'!$A$10:$A$147,'Round 4 Data'!S$10:S$147,0))/$D34</f>
        <v>#VALUE!</v>
      </c>
      <c r="T34" s="62" t="e">
        <f>(_xlfn.XLOOKUP('Summary Data'!$A34,'Round 1 Data'!$A$10:$A$143,'Round 1 Data'!U$10:U$144,0)+_xlfn.XLOOKUP('Summary Data'!$A34,'Round 2 Data'!$A$10:$A$146,'Round 2 Data'!U$10:U$146,0)+_xlfn.XLOOKUP('Summary Data'!$A34,'Round 3 Data'!$A$10:$A$145,'Round 3 Data'!U$10:U$145,0)+_xlfn.XLOOKUP('Summary Data'!$A34,'Round 4 Data'!$A$10:$A$147,'Round 4 Data'!U$10:U$147,0))</f>
        <v>#VALUE!</v>
      </c>
    </row>
    <row r="35" spans="1:20" ht="16" thickBot="1" x14ac:dyDescent="0.25">
      <c r="A35" s="61" t="s">
        <v>134</v>
      </c>
      <c r="B35" t="s">
        <v>189</v>
      </c>
      <c r="C35" t="s">
        <v>197</v>
      </c>
      <c r="D35" t="e">
        <f>IF(_xlfn.XLOOKUP('Summary Data'!A35,'Round 1 Data'!$A$10:$A$143,'Round 1 Data'!$E$10:$E$144,0)=0,0,1)+IF(_xlfn.XLOOKUP('Summary Data'!A35,'Round 2 Data'!$A$10:$A$146,'Round 2 Data'!$E$10:$E$146,0)=0,0,1)+IF(_xlfn.XLOOKUP('Summary Data'!A35,'Round 3 Data'!$A$10:$A$145,'Round 3 Data'!$E$10:$E$145,0)=0,0,1)+IF(_xlfn.XLOOKUP('Summary Data'!A35,'Round 4 Data'!$A$10:$A$147,'Round 4 Data'!$E$10:$E$147,0)=0,0,1)</f>
        <v>#VALUE!</v>
      </c>
      <c r="E35" s="57" t="e">
        <f>(_xlfn.XLOOKUP('Summary Data'!$A35,'Round 1 Data'!$A$10:$A$143,'Round 1 Data'!E$10:E$144,0)+_xlfn.XLOOKUP('Summary Data'!$A35,'Round 2 Data'!$A$10:$A$146,'Round 2 Data'!E$10:E$146,0)+_xlfn.XLOOKUP('Summary Data'!$A35,'Round 3 Data'!$A$10:$A$145,'Round 3 Data'!E$10:E$145,0)+_xlfn.XLOOKUP('Summary Data'!$A35,'Round 4 Data'!$A$10:$A$147,'Round 4 Data'!E$10:E$147,0))/$D35</f>
        <v>#VALUE!</v>
      </c>
      <c r="F35" s="57" t="e">
        <f>(_xlfn.XLOOKUP('Summary Data'!$A35,'Round 1 Data'!$A$10:$A$143,'Round 1 Data'!F$10:F$144,0)+_xlfn.XLOOKUP('Summary Data'!$A35,'Round 2 Data'!$A$10:$A$146,'Round 2 Data'!F$10:F$146,0)+_xlfn.XLOOKUP('Summary Data'!$A35,'Round 3 Data'!$A$10:$A$145,'Round 3 Data'!F$10:F$145,0)+_xlfn.XLOOKUP('Summary Data'!$A35,'Round 4 Data'!$A$10:$A$147,'Round 4 Data'!F$10:F$147,0))/$D35</f>
        <v>#VALUE!</v>
      </c>
      <c r="G35" s="57" t="e">
        <f>(_xlfn.XLOOKUP('Summary Data'!$A35,'Round 1 Data'!$A$10:$A$143,'Round 1 Data'!G$10:G$144,0)+_xlfn.XLOOKUP('Summary Data'!$A35,'Round 2 Data'!$A$10:$A$146,'Round 2 Data'!G$10:G$146,0)+_xlfn.XLOOKUP('Summary Data'!$A35,'Round 3 Data'!$A$10:$A$145,'Round 3 Data'!G$10:G$145,0)+_xlfn.XLOOKUP('Summary Data'!$A35,'Round 4 Data'!$A$10:$A$147,'Round 4 Data'!G$10:G$147,0))/$D35</f>
        <v>#VALUE!</v>
      </c>
      <c r="H35" s="57" t="e">
        <f>(_xlfn.XLOOKUP('Summary Data'!$A35,'Round 1 Data'!$A$10:$A$143,'Round 1 Data'!H$10:H$144,0)+_xlfn.XLOOKUP('Summary Data'!$A35,'Round 2 Data'!$A$10:$A$146,'Round 2 Data'!H$10:H$146,0)+_xlfn.XLOOKUP('Summary Data'!$A35,'Round 3 Data'!$A$10:$A$145,'Round 3 Data'!H$10:H$145,0)+_xlfn.XLOOKUP('Summary Data'!$A35,'Round 4 Data'!$A$10:$A$147,'Round 4 Data'!H$10:H$147,0))/$D35</f>
        <v>#VALUE!</v>
      </c>
      <c r="I35" s="57" t="e">
        <f>(_xlfn.XLOOKUP('Summary Data'!$A35,'Round 1 Data'!$A$10:$A$143,'Round 1 Data'!I$10:I$144,0)+_xlfn.XLOOKUP('Summary Data'!$A35,'Round 2 Data'!$A$10:$A$146,'Round 2 Data'!I$10:I$146,0)+_xlfn.XLOOKUP('Summary Data'!$A35,'Round 3 Data'!$A$10:$A$145,'Round 3 Data'!I$10:I$145,0)+_xlfn.XLOOKUP('Summary Data'!$A35,'Round 4 Data'!$A$10:$A$147,'Round 4 Data'!I$10:I$147,0))/$D35</f>
        <v>#VALUE!</v>
      </c>
      <c r="J35" s="57" t="e">
        <f>(_xlfn.XLOOKUP('Summary Data'!$A35,'Round 1 Data'!$A$10:$A$143,'Round 1 Data'!J$10:J$144,0)+_xlfn.XLOOKUP('Summary Data'!$A35,'Round 2 Data'!$A$10:$A$146,'Round 2 Data'!J$10:J$146,0)+_xlfn.XLOOKUP('Summary Data'!$A35,'Round 3 Data'!$A$10:$A$145,'Round 3 Data'!J$10:J$145,0)+_xlfn.XLOOKUP('Summary Data'!$A35,'Round 4 Data'!$A$10:$A$147,'Round 4 Data'!J$10:J$147,0))/$D35</f>
        <v>#VALUE!</v>
      </c>
      <c r="K35" s="57" t="e">
        <f>(_xlfn.XLOOKUP('Summary Data'!$A35,'Round 1 Data'!$A$10:$A$143,'Round 1 Data'!K$10:K$144,0)+_xlfn.XLOOKUP('Summary Data'!$A35,'Round 2 Data'!$A$10:$A$146,'Round 2 Data'!K$10:K$146,0)+_xlfn.XLOOKUP('Summary Data'!$A35,'Round 3 Data'!$A$10:$A$145,'Round 3 Data'!K$10:K$145,0)+_xlfn.XLOOKUP('Summary Data'!$A35,'Round 4 Data'!$A$10:$A$147,'Round 4 Data'!K$10:K$147,0))/$D35</f>
        <v>#VALUE!</v>
      </c>
      <c r="L35" s="57" t="e">
        <f>(_xlfn.XLOOKUP('Summary Data'!$A35,'Round 1 Data'!$A$10:$A$143,'Round 1 Data'!L$10:L$144,0)+_xlfn.XLOOKUP('Summary Data'!$A35,'Round 2 Data'!$A$10:$A$146,'Round 2 Data'!L$10:L$146,0)+_xlfn.XLOOKUP('Summary Data'!$A35,'Round 3 Data'!$A$10:$A$145,'Round 3 Data'!L$10:L$145,0)+_xlfn.XLOOKUP('Summary Data'!$A35,'Round 4 Data'!$A$10:$A$147,'Round 4 Data'!L$10:L$147,0))/$D35</f>
        <v>#VALUE!</v>
      </c>
      <c r="M35" s="57" t="e">
        <f>(_xlfn.XLOOKUP('Summary Data'!$A35,'Round 1 Data'!$A$10:$A$143,'Round 1 Data'!M$10:M$144,0)+_xlfn.XLOOKUP('Summary Data'!$A35,'Round 2 Data'!$A$10:$A$146,'Round 2 Data'!M$10:M$146,0)+_xlfn.XLOOKUP('Summary Data'!$A35,'Round 3 Data'!$A$10:$A$145,'Round 3 Data'!M$10:M$145,0)+_xlfn.XLOOKUP('Summary Data'!$A35,'Round 4 Data'!$A$10:$A$147,'Round 4 Data'!M$10:M$147,0))/$D35</f>
        <v>#VALUE!</v>
      </c>
      <c r="N35" s="57" t="e">
        <f>(_xlfn.XLOOKUP('Summary Data'!$A35,'Round 1 Data'!$A$10:$A$143,'Round 1 Data'!N$10:N$144,0)+_xlfn.XLOOKUP('Summary Data'!$A35,'Round 2 Data'!$A$10:$A$146,'Round 2 Data'!N$10:N$146,0)+_xlfn.XLOOKUP('Summary Data'!$A35,'Round 3 Data'!$A$10:$A$145,'Round 3 Data'!N$10:N$145,0)+_xlfn.XLOOKUP('Summary Data'!$A35,'Round 4 Data'!$A$10:$A$147,'Round 4 Data'!N$10:N$147,0))/$D35</f>
        <v>#VALUE!</v>
      </c>
      <c r="O35" s="57" t="e">
        <f>(_xlfn.XLOOKUP('Summary Data'!$A35,'Round 1 Data'!$A$10:$A$143,'Round 1 Data'!O$10:O$144,0)+_xlfn.XLOOKUP('Summary Data'!$A35,'Round 2 Data'!$A$10:$A$146,'Round 2 Data'!O$10:O$146,0)+_xlfn.XLOOKUP('Summary Data'!$A35,'Round 3 Data'!$A$10:$A$145,'Round 3 Data'!O$10:O$145,0)+_xlfn.XLOOKUP('Summary Data'!$A35,'Round 4 Data'!$A$10:$A$147,'Round 4 Data'!O$10:O$147,0))/$D35</f>
        <v>#VALUE!</v>
      </c>
      <c r="P35" s="57" t="e">
        <f>(_xlfn.XLOOKUP('Summary Data'!$A35,'Round 1 Data'!$A$10:$A$143,'Round 1 Data'!P$10:P$144,0)+_xlfn.XLOOKUP('Summary Data'!$A35,'Round 2 Data'!$A$10:$A$146,'Round 2 Data'!P$10:P$146,0)+_xlfn.XLOOKUP('Summary Data'!$A35,'Round 3 Data'!$A$10:$A$145,'Round 3 Data'!P$10:P$145,0)+_xlfn.XLOOKUP('Summary Data'!$A35,'Round 4 Data'!$A$10:$A$147,'Round 4 Data'!P$10:P$147,0))/$D35</f>
        <v>#VALUE!</v>
      </c>
      <c r="Q35" s="57" t="e">
        <f>(_xlfn.XLOOKUP('Summary Data'!$A35,'Round 1 Data'!$A$10:$A$143,'Round 1 Data'!Q$10:Q$144,0)+_xlfn.XLOOKUP('Summary Data'!$A35,'Round 2 Data'!$A$10:$A$146,'Round 2 Data'!Q$10:Q$146,0)+_xlfn.XLOOKUP('Summary Data'!$A35,'Round 3 Data'!$A$10:$A$145,'Round 3 Data'!Q$10:Q$145,0)+_xlfn.XLOOKUP('Summary Data'!$A35,'Round 4 Data'!$A$10:$A$147,'Round 4 Data'!Q$10:Q$147,0))/$D35</f>
        <v>#VALUE!</v>
      </c>
      <c r="R35" s="57" t="e">
        <f>(_xlfn.XLOOKUP('Summary Data'!$A35,'Round 1 Data'!$A$10:$A$143,'Round 1 Data'!R$10:R$144,0)+_xlfn.XLOOKUP('Summary Data'!$A35,'Round 2 Data'!$A$10:$A$146,'Round 2 Data'!R$10:R$146,0)+_xlfn.XLOOKUP('Summary Data'!$A35,'Round 3 Data'!$A$10:$A$145,'Round 3 Data'!R$10:R$145,0)+_xlfn.XLOOKUP('Summary Data'!$A35,'Round 4 Data'!$A$10:$A$147,'Round 4 Data'!R$10:R$147,0))/$D35</f>
        <v>#VALUE!</v>
      </c>
      <c r="S35" s="57" t="e">
        <f>(_xlfn.XLOOKUP('Summary Data'!$A35,'Round 1 Data'!$A$10:$A$143,'Round 1 Data'!S$10:S$144,0)+_xlfn.XLOOKUP('Summary Data'!$A35,'Round 2 Data'!$A$10:$A$146,'Round 2 Data'!S$10:S$146,0)+_xlfn.XLOOKUP('Summary Data'!$A35,'Round 3 Data'!$A$10:$A$145,'Round 3 Data'!S$10:S$145,0)+_xlfn.XLOOKUP('Summary Data'!$A35,'Round 4 Data'!$A$10:$A$147,'Round 4 Data'!S$10:S$147,0))/$D35</f>
        <v>#VALUE!</v>
      </c>
      <c r="T35" s="62" t="e">
        <f>(_xlfn.XLOOKUP('Summary Data'!$A35,'Round 1 Data'!$A$10:$A$143,'Round 1 Data'!U$10:U$144,0)+_xlfn.XLOOKUP('Summary Data'!$A35,'Round 2 Data'!$A$10:$A$146,'Round 2 Data'!U$10:U$146,0)+_xlfn.XLOOKUP('Summary Data'!$A35,'Round 3 Data'!$A$10:$A$145,'Round 3 Data'!U$10:U$145,0)+_xlfn.XLOOKUP('Summary Data'!$A35,'Round 4 Data'!$A$10:$A$147,'Round 4 Data'!U$10:U$147,0))</f>
        <v>#VALUE!</v>
      </c>
    </row>
    <row r="36" spans="1:20" ht="16" thickBot="1" x14ac:dyDescent="0.25">
      <c r="A36" s="63" t="s">
        <v>135</v>
      </c>
      <c r="B36" t="s">
        <v>189</v>
      </c>
      <c r="C36" t="s">
        <v>197</v>
      </c>
      <c r="D36" t="e">
        <f>IF(_xlfn.XLOOKUP('Summary Data'!A36,'Round 1 Data'!$A$10:$A$143,'Round 1 Data'!$E$10:$E$144,0)=0,0,1)+IF(_xlfn.XLOOKUP('Summary Data'!A36,'Round 2 Data'!$A$10:$A$146,'Round 2 Data'!$E$10:$E$146,0)=0,0,1)+IF(_xlfn.XLOOKUP('Summary Data'!A36,'Round 3 Data'!$A$10:$A$145,'Round 3 Data'!$E$10:$E$145,0)=0,0,1)+IF(_xlfn.XLOOKUP('Summary Data'!A36,'Round 4 Data'!$A$10:$A$147,'Round 4 Data'!$E$10:$E$147,0)=0,0,1)</f>
        <v>#VALUE!</v>
      </c>
      <c r="E36" s="57" t="e">
        <f>(_xlfn.XLOOKUP('Summary Data'!$A36,'Round 1 Data'!$A$10:$A$143,'Round 1 Data'!E$10:E$144,0)+_xlfn.XLOOKUP('Summary Data'!$A36,'Round 2 Data'!$A$10:$A$146,'Round 2 Data'!E$10:E$146,0)+_xlfn.XLOOKUP('Summary Data'!$A36,'Round 3 Data'!$A$10:$A$145,'Round 3 Data'!E$10:E$145,0)+_xlfn.XLOOKUP('Summary Data'!$A36,'Round 4 Data'!$A$10:$A$147,'Round 4 Data'!E$10:E$147,0))/$D36</f>
        <v>#VALUE!</v>
      </c>
      <c r="F36" s="57" t="e">
        <f>(_xlfn.XLOOKUP('Summary Data'!$A36,'Round 1 Data'!$A$10:$A$143,'Round 1 Data'!F$10:F$144,0)+_xlfn.XLOOKUP('Summary Data'!$A36,'Round 2 Data'!$A$10:$A$146,'Round 2 Data'!F$10:F$146,0)+_xlfn.XLOOKUP('Summary Data'!$A36,'Round 3 Data'!$A$10:$A$145,'Round 3 Data'!F$10:F$145,0)+_xlfn.XLOOKUP('Summary Data'!$A36,'Round 4 Data'!$A$10:$A$147,'Round 4 Data'!F$10:F$147,0))/$D36</f>
        <v>#VALUE!</v>
      </c>
      <c r="G36" s="57" t="e">
        <f>(_xlfn.XLOOKUP('Summary Data'!$A36,'Round 1 Data'!$A$10:$A$143,'Round 1 Data'!G$10:G$144,0)+_xlfn.XLOOKUP('Summary Data'!$A36,'Round 2 Data'!$A$10:$A$146,'Round 2 Data'!G$10:G$146,0)+_xlfn.XLOOKUP('Summary Data'!$A36,'Round 3 Data'!$A$10:$A$145,'Round 3 Data'!G$10:G$145,0)+_xlfn.XLOOKUP('Summary Data'!$A36,'Round 4 Data'!$A$10:$A$147,'Round 4 Data'!G$10:G$147,0))/$D36</f>
        <v>#VALUE!</v>
      </c>
      <c r="H36" s="57" t="e">
        <f>(_xlfn.XLOOKUP('Summary Data'!$A36,'Round 1 Data'!$A$10:$A$143,'Round 1 Data'!H$10:H$144,0)+_xlfn.XLOOKUP('Summary Data'!$A36,'Round 2 Data'!$A$10:$A$146,'Round 2 Data'!H$10:H$146,0)+_xlfn.XLOOKUP('Summary Data'!$A36,'Round 3 Data'!$A$10:$A$145,'Round 3 Data'!H$10:H$145,0)+_xlfn.XLOOKUP('Summary Data'!$A36,'Round 4 Data'!$A$10:$A$147,'Round 4 Data'!H$10:H$147,0))/$D36</f>
        <v>#VALUE!</v>
      </c>
      <c r="I36" s="57" t="e">
        <f>(_xlfn.XLOOKUP('Summary Data'!$A36,'Round 1 Data'!$A$10:$A$143,'Round 1 Data'!I$10:I$144,0)+_xlfn.XLOOKUP('Summary Data'!$A36,'Round 2 Data'!$A$10:$A$146,'Round 2 Data'!I$10:I$146,0)+_xlfn.XLOOKUP('Summary Data'!$A36,'Round 3 Data'!$A$10:$A$145,'Round 3 Data'!I$10:I$145,0)+_xlfn.XLOOKUP('Summary Data'!$A36,'Round 4 Data'!$A$10:$A$147,'Round 4 Data'!I$10:I$147,0))/$D36</f>
        <v>#VALUE!</v>
      </c>
      <c r="J36" s="57" t="e">
        <f>(_xlfn.XLOOKUP('Summary Data'!$A36,'Round 1 Data'!$A$10:$A$143,'Round 1 Data'!J$10:J$144,0)+_xlfn.XLOOKUP('Summary Data'!$A36,'Round 2 Data'!$A$10:$A$146,'Round 2 Data'!J$10:J$146,0)+_xlfn.XLOOKUP('Summary Data'!$A36,'Round 3 Data'!$A$10:$A$145,'Round 3 Data'!J$10:J$145,0)+_xlfn.XLOOKUP('Summary Data'!$A36,'Round 4 Data'!$A$10:$A$147,'Round 4 Data'!J$10:J$147,0))/$D36</f>
        <v>#VALUE!</v>
      </c>
      <c r="K36" s="57" t="e">
        <f>(_xlfn.XLOOKUP('Summary Data'!$A36,'Round 1 Data'!$A$10:$A$143,'Round 1 Data'!K$10:K$144,0)+_xlfn.XLOOKUP('Summary Data'!$A36,'Round 2 Data'!$A$10:$A$146,'Round 2 Data'!K$10:K$146,0)+_xlfn.XLOOKUP('Summary Data'!$A36,'Round 3 Data'!$A$10:$A$145,'Round 3 Data'!K$10:K$145,0)+_xlfn.XLOOKUP('Summary Data'!$A36,'Round 4 Data'!$A$10:$A$147,'Round 4 Data'!K$10:K$147,0))/$D36</f>
        <v>#VALUE!</v>
      </c>
      <c r="L36" s="57" t="e">
        <f>(_xlfn.XLOOKUP('Summary Data'!$A36,'Round 1 Data'!$A$10:$A$143,'Round 1 Data'!L$10:L$144,0)+_xlfn.XLOOKUP('Summary Data'!$A36,'Round 2 Data'!$A$10:$A$146,'Round 2 Data'!L$10:L$146,0)+_xlfn.XLOOKUP('Summary Data'!$A36,'Round 3 Data'!$A$10:$A$145,'Round 3 Data'!L$10:L$145,0)+_xlfn.XLOOKUP('Summary Data'!$A36,'Round 4 Data'!$A$10:$A$147,'Round 4 Data'!L$10:L$147,0))/$D36</f>
        <v>#VALUE!</v>
      </c>
      <c r="M36" s="57" t="e">
        <f>(_xlfn.XLOOKUP('Summary Data'!$A36,'Round 1 Data'!$A$10:$A$143,'Round 1 Data'!M$10:M$144,0)+_xlfn.XLOOKUP('Summary Data'!$A36,'Round 2 Data'!$A$10:$A$146,'Round 2 Data'!M$10:M$146,0)+_xlfn.XLOOKUP('Summary Data'!$A36,'Round 3 Data'!$A$10:$A$145,'Round 3 Data'!M$10:M$145,0)+_xlfn.XLOOKUP('Summary Data'!$A36,'Round 4 Data'!$A$10:$A$147,'Round 4 Data'!M$10:M$147,0))/$D36</f>
        <v>#VALUE!</v>
      </c>
      <c r="N36" s="57" t="e">
        <f>(_xlfn.XLOOKUP('Summary Data'!$A36,'Round 1 Data'!$A$10:$A$143,'Round 1 Data'!N$10:N$144,0)+_xlfn.XLOOKUP('Summary Data'!$A36,'Round 2 Data'!$A$10:$A$146,'Round 2 Data'!N$10:N$146,0)+_xlfn.XLOOKUP('Summary Data'!$A36,'Round 3 Data'!$A$10:$A$145,'Round 3 Data'!N$10:N$145,0)+_xlfn.XLOOKUP('Summary Data'!$A36,'Round 4 Data'!$A$10:$A$147,'Round 4 Data'!N$10:N$147,0))/$D36</f>
        <v>#VALUE!</v>
      </c>
      <c r="O36" s="57" t="e">
        <f>(_xlfn.XLOOKUP('Summary Data'!$A36,'Round 1 Data'!$A$10:$A$143,'Round 1 Data'!O$10:O$144,0)+_xlfn.XLOOKUP('Summary Data'!$A36,'Round 2 Data'!$A$10:$A$146,'Round 2 Data'!O$10:O$146,0)+_xlfn.XLOOKUP('Summary Data'!$A36,'Round 3 Data'!$A$10:$A$145,'Round 3 Data'!O$10:O$145,0)+_xlfn.XLOOKUP('Summary Data'!$A36,'Round 4 Data'!$A$10:$A$147,'Round 4 Data'!O$10:O$147,0))/$D36</f>
        <v>#VALUE!</v>
      </c>
      <c r="P36" s="57" t="e">
        <f>(_xlfn.XLOOKUP('Summary Data'!$A36,'Round 1 Data'!$A$10:$A$143,'Round 1 Data'!P$10:P$144,0)+_xlfn.XLOOKUP('Summary Data'!$A36,'Round 2 Data'!$A$10:$A$146,'Round 2 Data'!P$10:P$146,0)+_xlfn.XLOOKUP('Summary Data'!$A36,'Round 3 Data'!$A$10:$A$145,'Round 3 Data'!P$10:P$145,0)+_xlfn.XLOOKUP('Summary Data'!$A36,'Round 4 Data'!$A$10:$A$147,'Round 4 Data'!P$10:P$147,0))/$D36</f>
        <v>#VALUE!</v>
      </c>
      <c r="Q36" s="57" t="e">
        <f>(_xlfn.XLOOKUP('Summary Data'!$A36,'Round 1 Data'!$A$10:$A$143,'Round 1 Data'!Q$10:Q$144,0)+_xlfn.XLOOKUP('Summary Data'!$A36,'Round 2 Data'!$A$10:$A$146,'Round 2 Data'!Q$10:Q$146,0)+_xlfn.XLOOKUP('Summary Data'!$A36,'Round 3 Data'!$A$10:$A$145,'Round 3 Data'!Q$10:Q$145,0)+_xlfn.XLOOKUP('Summary Data'!$A36,'Round 4 Data'!$A$10:$A$147,'Round 4 Data'!Q$10:Q$147,0))/$D36</f>
        <v>#VALUE!</v>
      </c>
      <c r="R36" s="57" t="e">
        <f>(_xlfn.XLOOKUP('Summary Data'!$A36,'Round 1 Data'!$A$10:$A$143,'Round 1 Data'!R$10:R$144,0)+_xlfn.XLOOKUP('Summary Data'!$A36,'Round 2 Data'!$A$10:$A$146,'Round 2 Data'!R$10:R$146,0)+_xlfn.XLOOKUP('Summary Data'!$A36,'Round 3 Data'!$A$10:$A$145,'Round 3 Data'!R$10:R$145,0)+_xlfn.XLOOKUP('Summary Data'!$A36,'Round 4 Data'!$A$10:$A$147,'Round 4 Data'!R$10:R$147,0))/$D36</f>
        <v>#VALUE!</v>
      </c>
      <c r="S36" s="57" t="e">
        <f>(_xlfn.XLOOKUP('Summary Data'!$A36,'Round 1 Data'!$A$10:$A$143,'Round 1 Data'!S$10:S$144,0)+_xlfn.XLOOKUP('Summary Data'!$A36,'Round 2 Data'!$A$10:$A$146,'Round 2 Data'!S$10:S$146,0)+_xlfn.XLOOKUP('Summary Data'!$A36,'Round 3 Data'!$A$10:$A$145,'Round 3 Data'!S$10:S$145,0)+_xlfn.XLOOKUP('Summary Data'!$A36,'Round 4 Data'!$A$10:$A$147,'Round 4 Data'!S$10:S$147,0))/$D36</f>
        <v>#VALUE!</v>
      </c>
      <c r="T36" s="62" t="e">
        <f>(_xlfn.XLOOKUP('Summary Data'!$A36,'Round 1 Data'!$A$10:$A$143,'Round 1 Data'!U$10:U$144,0)+_xlfn.XLOOKUP('Summary Data'!$A36,'Round 2 Data'!$A$10:$A$146,'Round 2 Data'!U$10:U$146,0)+_xlfn.XLOOKUP('Summary Data'!$A36,'Round 3 Data'!$A$10:$A$145,'Round 3 Data'!U$10:U$145,0)+_xlfn.XLOOKUP('Summary Data'!$A36,'Round 4 Data'!$A$10:$A$147,'Round 4 Data'!U$10:U$147,0))</f>
        <v>#VALUE!</v>
      </c>
    </row>
    <row r="37" spans="1:20" ht="16" thickBot="1" x14ac:dyDescent="0.25">
      <c r="A37" s="61" t="s">
        <v>136</v>
      </c>
      <c r="B37" t="s">
        <v>189</v>
      </c>
      <c r="C37" t="s">
        <v>198</v>
      </c>
      <c r="D37" t="e">
        <f>IF(_xlfn.XLOOKUP('Summary Data'!A37,'Round 1 Data'!$A$10:$A$143,'Round 1 Data'!$E$10:$E$144,0)=0,0,1)+IF(_xlfn.XLOOKUP('Summary Data'!A37,'Round 2 Data'!$A$10:$A$146,'Round 2 Data'!$E$10:$E$146,0)=0,0,1)+IF(_xlfn.XLOOKUP('Summary Data'!A37,'Round 3 Data'!$A$10:$A$145,'Round 3 Data'!$E$10:$E$145,0)=0,0,1)+IF(_xlfn.XLOOKUP('Summary Data'!A37,'Round 4 Data'!$A$10:$A$147,'Round 4 Data'!$E$10:$E$147,0)=0,0,1)</f>
        <v>#VALUE!</v>
      </c>
      <c r="E37" s="57" t="e">
        <f>(_xlfn.XLOOKUP('Summary Data'!$A37,'Round 1 Data'!$A$10:$A$143,'Round 1 Data'!E$10:E$144,0)+_xlfn.XLOOKUP('Summary Data'!$A37,'Round 2 Data'!$A$10:$A$146,'Round 2 Data'!E$10:E$146,0)+_xlfn.XLOOKUP('Summary Data'!$A37,'Round 3 Data'!$A$10:$A$145,'Round 3 Data'!E$10:E$145,0)+_xlfn.XLOOKUP('Summary Data'!$A37,'Round 4 Data'!$A$10:$A$147,'Round 4 Data'!E$10:E$147,0))/$D37</f>
        <v>#VALUE!</v>
      </c>
      <c r="F37" s="57" t="e">
        <f>(_xlfn.XLOOKUP('Summary Data'!$A37,'Round 1 Data'!$A$10:$A$143,'Round 1 Data'!F$10:F$144,0)+_xlfn.XLOOKUP('Summary Data'!$A37,'Round 2 Data'!$A$10:$A$146,'Round 2 Data'!F$10:F$146,0)+_xlfn.XLOOKUP('Summary Data'!$A37,'Round 3 Data'!$A$10:$A$145,'Round 3 Data'!F$10:F$145,0)+_xlfn.XLOOKUP('Summary Data'!$A37,'Round 4 Data'!$A$10:$A$147,'Round 4 Data'!F$10:F$147,0))/$D37</f>
        <v>#VALUE!</v>
      </c>
      <c r="G37" s="57" t="e">
        <f>(_xlfn.XLOOKUP('Summary Data'!$A37,'Round 1 Data'!$A$10:$A$143,'Round 1 Data'!G$10:G$144,0)+_xlfn.XLOOKUP('Summary Data'!$A37,'Round 2 Data'!$A$10:$A$146,'Round 2 Data'!G$10:G$146,0)+_xlfn.XLOOKUP('Summary Data'!$A37,'Round 3 Data'!$A$10:$A$145,'Round 3 Data'!G$10:G$145,0)+_xlfn.XLOOKUP('Summary Data'!$A37,'Round 4 Data'!$A$10:$A$147,'Round 4 Data'!G$10:G$147,0))/$D37</f>
        <v>#VALUE!</v>
      </c>
      <c r="H37" s="57" t="e">
        <f>(_xlfn.XLOOKUP('Summary Data'!$A37,'Round 1 Data'!$A$10:$A$143,'Round 1 Data'!H$10:H$144,0)+_xlfn.XLOOKUP('Summary Data'!$A37,'Round 2 Data'!$A$10:$A$146,'Round 2 Data'!H$10:H$146,0)+_xlfn.XLOOKUP('Summary Data'!$A37,'Round 3 Data'!$A$10:$A$145,'Round 3 Data'!H$10:H$145,0)+_xlfn.XLOOKUP('Summary Data'!$A37,'Round 4 Data'!$A$10:$A$147,'Round 4 Data'!H$10:H$147,0))/$D37</f>
        <v>#VALUE!</v>
      </c>
      <c r="I37" s="57" t="e">
        <f>(_xlfn.XLOOKUP('Summary Data'!$A37,'Round 1 Data'!$A$10:$A$143,'Round 1 Data'!I$10:I$144,0)+_xlfn.XLOOKUP('Summary Data'!$A37,'Round 2 Data'!$A$10:$A$146,'Round 2 Data'!I$10:I$146,0)+_xlfn.XLOOKUP('Summary Data'!$A37,'Round 3 Data'!$A$10:$A$145,'Round 3 Data'!I$10:I$145,0)+_xlfn.XLOOKUP('Summary Data'!$A37,'Round 4 Data'!$A$10:$A$147,'Round 4 Data'!I$10:I$147,0))/$D37</f>
        <v>#VALUE!</v>
      </c>
      <c r="J37" s="57" t="e">
        <f>(_xlfn.XLOOKUP('Summary Data'!$A37,'Round 1 Data'!$A$10:$A$143,'Round 1 Data'!J$10:J$144,0)+_xlfn.XLOOKUP('Summary Data'!$A37,'Round 2 Data'!$A$10:$A$146,'Round 2 Data'!J$10:J$146,0)+_xlfn.XLOOKUP('Summary Data'!$A37,'Round 3 Data'!$A$10:$A$145,'Round 3 Data'!J$10:J$145,0)+_xlfn.XLOOKUP('Summary Data'!$A37,'Round 4 Data'!$A$10:$A$147,'Round 4 Data'!J$10:J$147,0))/$D37</f>
        <v>#VALUE!</v>
      </c>
      <c r="K37" s="57" t="e">
        <f>(_xlfn.XLOOKUP('Summary Data'!$A37,'Round 1 Data'!$A$10:$A$143,'Round 1 Data'!K$10:K$144,0)+_xlfn.XLOOKUP('Summary Data'!$A37,'Round 2 Data'!$A$10:$A$146,'Round 2 Data'!K$10:K$146,0)+_xlfn.XLOOKUP('Summary Data'!$A37,'Round 3 Data'!$A$10:$A$145,'Round 3 Data'!K$10:K$145,0)+_xlfn.XLOOKUP('Summary Data'!$A37,'Round 4 Data'!$A$10:$A$147,'Round 4 Data'!K$10:K$147,0))/$D37</f>
        <v>#VALUE!</v>
      </c>
      <c r="L37" s="57" t="e">
        <f>(_xlfn.XLOOKUP('Summary Data'!$A37,'Round 1 Data'!$A$10:$A$143,'Round 1 Data'!L$10:L$144,0)+_xlfn.XLOOKUP('Summary Data'!$A37,'Round 2 Data'!$A$10:$A$146,'Round 2 Data'!L$10:L$146,0)+_xlfn.XLOOKUP('Summary Data'!$A37,'Round 3 Data'!$A$10:$A$145,'Round 3 Data'!L$10:L$145,0)+_xlfn.XLOOKUP('Summary Data'!$A37,'Round 4 Data'!$A$10:$A$147,'Round 4 Data'!L$10:L$147,0))/$D37</f>
        <v>#VALUE!</v>
      </c>
      <c r="M37" s="57" t="e">
        <f>(_xlfn.XLOOKUP('Summary Data'!$A37,'Round 1 Data'!$A$10:$A$143,'Round 1 Data'!M$10:M$144,0)+_xlfn.XLOOKUP('Summary Data'!$A37,'Round 2 Data'!$A$10:$A$146,'Round 2 Data'!M$10:M$146,0)+_xlfn.XLOOKUP('Summary Data'!$A37,'Round 3 Data'!$A$10:$A$145,'Round 3 Data'!M$10:M$145,0)+_xlfn.XLOOKUP('Summary Data'!$A37,'Round 4 Data'!$A$10:$A$147,'Round 4 Data'!M$10:M$147,0))/$D37</f>
        <v>#VALUE!</v>
      </c>
      <c r="N37" s="57" t="e">
        <f>(_xlfn.XLOOKUP('Summary Data'!$A37,'Round 1 Data'!$A$10:$A$143,'Round 1 Data'!N$10:N$144,0)+_xlfn.XLOOKUP('Summary Data'!$A37,'Round 2 Data'!$A$10:$A$146,'Round 2 Data'!N$10:N$146,0)+_xlfn.XLOOKUP('Summary Data'!$A37,'Round 3 Data'!$A$10:$A$145,'Round 3 Data'!N$10:N$145,0)+_xlfn.XLOOKUP('Summary Data'!$A37,'Round 4 Data'!$A$10:$A$147,'Round 4 Data'!N$10:N$147,0))/$D37</f>
        <v>#VALUE!</v>
      </c>
      <c r="O37" s="57" t="e">
        <f>(_xlfn.XLOOKUP('Summary Data'!$A37,'Round 1 Data'!$A$10:$A$143,'Round 1 Data'!O$10:O$144,0)+_xlfn.XLOOKUP('Summary Data'!$A37,'Round 2 Data'!$A$10:$A$146,'Round 2 Data'!O$10:O$146,0)+_xlfn.XLOOKUP('Summary Data'!$A37,'Round 3 Data'!$A$10:$A$145,'Round 3 Data'!O$10:O$145,0)+_xlfn.XLOOKUP('Summary Data'!$A37,'Round 4 Data'!$A$10:$A$147,'Round 4 Data'!O$10:O$147,0))/$D37</f>
        <v>#VALUE!</v>
      </c>
      <c r="P37" s="57" t="e">
        <f>(_xlfn.XLOOKUP('Summary Data'!$A37,'Round 1 Data'!$A$10:$A$143,'Round 1 Data'!P$10:P$144,0)+_xlfn.XLOOKUP('Summary Data'!$A37,'Round 2 Data'!$A$10:$A$146,'Round 2 Data'!P$10:P$146,0)+_xlfn.XLOOKUP('Summary Data'!$A37,'Round 3 Data'!$A$10:$A$145,'Round 3 Data'!P$10:P$145,0)+_xlfn.XLOOKUP('Summary Data'!$A37,'Round 4 Data'!$A$10:$A$147,'Round 4 Data'!P$10:P$147,0))/$D37</f>
        <v>#VALUE!</v>
      </c>
      <c r="Q37" s="57" t="e">
        <f>(_xlfn.XLOOKUP('Summary Data'!$A37,'Round 1 Data'!$A$10:$A$143,'Round 1 Data'!Q$10:Q$144,0)+_xlfn.XLOOKUP('Summary Data'!$A37,'Round 2 Data'!$A$10:$A$146,'Round 2 Data'!Q$10:Q$146,0)+_xlfn.XLOOKUP('Summary Data'!$A37,'Round 3 Data'!$A$10:$A$145,'Round 3 Data'!Q$10:Q$145,0)+_xlfn.XLOOKUP('Summary Data'!$A37,'Round 4 Data'!$A$10:$A$147,'Round 4 Data'!Q$10:Q$147,0))/$D37</f>
        <v>#VALUE!</v>
      </c>
      <c r="R37" s="57" t="e">
        <f>(_xlfn.XLOOKUP('Summary Data'!$A37,'Round 1 Data'!$A$10:$A$143,'Round 1 Data'!R$10:R$144,0)+_xlfn.XLOOKUP('Summary Data'!$A37,'Round 2 Data'!$A$10:$A$146,'Round 2 Data'!R$10:R$146,0)+_xlfn.XLOOKUP('Summary Data'!$A37,'Round 3 Data'!$A$10:$A$145,'Round 3 Data'!R$10:R$145,0)+_xlfn.XLOOKUP('Summary Data'!$A37,'Round 4 Data'!$A$10:$A$147,'Round 4 Data'!R$10:R$147,0))/$D37</f>
        <v>#VALUE!</v>
      </c>
      <c r="S37" s="57" t="e">
        <f>(_xlfn.XLOOKUP('Summary Data'!$A37,'Round 1 Data'!$A$10:$A$143,'Round 1 Data'!S$10:S$144,0)+_xlfn.XLOOKUP('Summary Data'!$A37,'Round 2 Data'!$A$10:$A$146,'Round 2 Data'!S$10:S$146,0)+_xlfn.XLOOKUP('Summary Data'!$A37,'Round 3 Data'!$A$10:$A$145,'Round 3 Data'!S$10:S$145,0)+_xlfn.XLOOKUP('Summary Data'!$A37,'Round 4 Data'!$A$10:$A$147,'Round 4 Data'!S$10:S$147,0))/$D37</f>
        <v>#VALUE!</v>
      </c>
      <c r="T37" s="62" t="e">
        <f>(_xlfn.XLOOKUP('Summary Data'!$A37,'Round 1 Data'!$A$10:$A$143,'Round 1 Data'!U$10:U$144,0)+_xlfn.XLOOKUP('Summary Data'!$A37,'Round 2 Data'!$A$10:$A$146,'Round 2 Data'!U$10:U$146,0)+_xlfn.XLOOKUP('Summary Data'!$A37,'Round 3 Data'!$A$10:$A$145,'Round 3 Data'!U$10:U$145,0)+_xlfn.XLOOKUP('Summary Data'!$A37,'Round 4 Data'!$A$10:$A$147,'Round 4 Data'!U$10:U$147,0))</f>
        <v>#VALUE!</v>
      </c>
    </row>
    <row r="38" spans="1:20" ht="16" thickBot="1" x14ac:dyDescent="0.25">
      <c r="A38" s="63" t="s">
        <v>137</v>
      </c>
      <c r="B38" t="s">
        <v>189</v>
      </c>
      <c r="C38" t="s">
        <v>198</v>
      </c>
      <c r="D38" t="e">
        <f>IF(_xlfn.XLOOKUP('Summary Data'!A38,'Round 1 Data'!$A$10:$A$143,'Round 1 Data'!$E$10:$E$144,0)=0,0,1)+IF(_xlfn.XLOOKUP('Summary Data'!A38,'Round 2 Data'!$A$10:$A$146,'Round 2 Data'!$E$10:$E$146,0)=0,0,1)+IF(_xlfn.XLOOKUP('Summary Data'!A38,'Round 3 Data'!$A$10:$A$145,'Round 3 Data'!$E$10:$E$145,0)=0,0,1)+IF(_xlfn.XLOOKUP('Summary Data'!A38,'Round 4 Data'!$A$10:$A$147,'Round 4 Data'!$E$10:$E$147,0)=0,0,1)</f>
        <v>#VALUE!</v>
      </c>
      <c r="E38" s="57" t="e">
        <f>(_xlfn.XLOOKUP('Summary Data'!$A38,'Round 1 Data'!$A$10:$A$143,'Round 1 Data'!E$10:E$144,0)+_xlfn.XLOOKUP('Summary Data'!$A38,'Round 2 Data'!$A$10:$A$146,'Round 2 Data'!E$10:E$146,0)+_xlfn.XLOOKUP('Summary Data'!$A38,'Round 3 Data'!$A$10:$A$145,'Round 3 Data'!E$10:E$145,0)+_xlfn.XLOOKUP('Summary Data'!$A38,'Round 4 Data'!$A$10:$A$147,'Round 4 Data'!E$10:E$147,0))/$D38</f>
        <v>#VALUE!</v>
      </c>
      <c r="F38" s="57" t="e">
        <f>(_xlfn.XLOOKUP('Summary Data'!$A38,'Round 1 Data'!$A$10:$A$143,'Round 1 Data'!F$10:F$144,0)+_xlfn.XLOOKUP('Summary Data'!$A38,'Round 2 Data'!$A$10:$A$146,'Round 2 Data'!F$10:F$146,0)+_xlfn.XLOOKUP('Summary Data'!$A38,'Round 3 Data'!$A$10:$A$145,'Round 3 Data'!F$10:F$145,0)+_xlfn.XLOOKUP('Summary Data'!$A38,'Round 4 Data'!$A$10:$A$147,'Round 4 Data'!F$10:F$147,0))/$D38</f>
        <v>#VALUE!</v>
      </c>
      <c r="G38" s="57" t="e">
        <f>(_xlfn.XLOOKUP('Summary Data'!$A38,'Round 1 Data'!$A$10:$A$143,'Round 1 Data'!G$10:G$144,0)+_xlfn.XLOOKUP('Summary Data'!$A38,'Round 2 Data'!$A$10:$A$146,'Round 2 Data'!G$10:G$146,0)+_xlfn.XLOOKUP('Summary Data'!$A38,'Round 3 Data'!$A$10:$A$145,'Round 3 Data'!G$10:G$145,0)+_xlfn.XLOOKUP('Summary Data'!$A38,'Round 4 Data'!$A$10:$A$147,'Round 4 Data'!G$10:G$147,0))/$D38</f>
        <v>#VALUE!</v>
      </c>
      <c r="H38" s="57" t="e">
        <f>(_xlfn.XLOOKUP('Summary Data'!$A38,'Round 1 Data'!$A$10:$A$143,'Round 1 Data'!H$10:H$144,0)+_xlfn.XLOOKUP('Summary Data'!$A38,'Round 2 Data'!$A$10:$A$146,'Round 2 Data'!H$10:H$146,0)+_xlfn.XLOOKUP('Summary Data'!$A38,'Round 3 Data'!$A$10:$A$145,'Round 3 Data'!H$10:H$145,0)+_xlfn.XLOOKUP('Summary Data'!$A38,'Round 4 Data'!$A$10:$A$147,'Round 4 Data'!H$10:H$147,0))/$D38</f>
        <v>#VALUE!</v>
      </c>
      <c r="I38" s="57" t="e">
        <f>(_xlfn.XLOOKUP('Summary Data'!$A38,'Round 1 Data'!$A$10:$A$143,'Round 1 Data'!I$10:I$144,0)+_xlfn.XLOOKUP('Summary Data'!$A38,'Round 2 Data'!$A$10:$A$146,'Round 2 Data'!I$10:I$146,0)+_xlfn.XLOOKUP('Summary Data'!$A38,'Round 3 Data'!$A$10:$A$145,'Round 3 Data'!I$10:I$145,0)+_xlfn.XLOOKUP('Summary Data'!$A38,'Round 4 Data'!$A$10:$A$147,'Round 4 Data'!I$10:I$147,0))/$D38</f>
        <v>#VALUE!</v>
      </c>
      <c r="J38" s="57" t="e">
        <f>(_xlfn.XLOOKUP('Summary Data'!$A38,'Round 1 Data'!$A$10:$A$143,'Round 1 Data'!J$10:J$144,0)+_xlfn.XLOOKUP('Summary Data'!$A38,'Round 2 Data'!$A$10:$A$146,'Round 2 Data'!J$10:J$146,0)+_xlfn.XLOOKUP('Summary Data'!$A38,'Round 3 Data'!$A$10:$A$145,'Round 3 Data'!J$10:J$145,0)+_xlfn.XLOOKUP('Summary Data'!$A38,'Round 4 Data'!$A$10:$A$147,'Round 4 Data'!J$10:J$147,0))/$D38</f>
        <v>#VALUE!</v>
      </c>
      <c r="K38" s="57" t="e">
        <f>(_xlfn.XLOOKUP('Summary Data'!$A38,'Round 1 Data'!$A$10:$A$143,'Round 1 Data'!K$10:K$144,0)+_xlfn.XLOOKUP('Summary Data'!$A38,'Round 2 Data'!$A$10:$A$146,'Round 2 Data'!K$10:K$146,0)+_xlfn.XLOOKUP('Summary Data'!$A38,'Round 3 Data'!$A$10:$A$145,'Round 3 Data'!K$10:K$145,0)+_xlfn.XLOOKUP('Summary Data'!$A38,'Round 4 Data'!$A$10:$A$147,'Round 4 Data'!K$10:K$147,0))/$D38</f>
        <v>#VALUE!</v>
      </c>
      <c r="L38" s="57" t="e">
        <f>(_xlfn.XLOOKUP('Summary Data'!$A38,'Round 1 Data'!$A$10:$A$143,'Round 1 Data'!L$10:L$144,0)+_xlfn.XLOOKUP('Summary Data'!$A38,'Round 2 Data'!$A$10:$A$146,'Round 2 Data'!L$10:L$146,0)+_xlfn.XLOOKUP('Summary Data'!$A38,'Round 3 Data'!$A$10:$A$145,'Round 3 Data'!L$10:L$145,0)+_xlfn.XLOOKUP('Summary Data'!$A38,'Round 4 Data'!$A$10:$A$147,'Round 4 Data'!L$10:L$147,0))/$D38</f>
        <v>#VALUE!</v>
      </c>
      <c r="M38" s="57" t="e">
        <f>(_xlfn.XLOOKUP('Summary Data'!$A38,'Round 1 Data'!$A$10:$A$143,'Round 1 Data'!M$10:M$144,0)+_xlfn.XLOOKUP('Summary Data'!$A38,'Round 2 Data'!$A$10:$A$146,'Round 2 Data'!M$10:M$146,0)+_xlfn.XLOOKUP('Summary Data'!$A38,'Round 3 Data'!$A$10:$A$145,'Round 3 Data'!M$10:M$145,0)+_xlfn.XLOOKUP('Summary Data'!$A38,'Round 4 Data'!$A$10:$A$147,'Round 4 Data'!M$10:M$147,0))/$D38</f>
        <v>#VALUE!</v>
      </c>
      <c r="N38" s="57" t="e">
        <f>(_xlfn.XLOOKUP('Summary Data'!$A38,'Round 1 Data'!$A$10:$A$143,'Round 1 Data'!N$10:N$144,0)+_xlfn.XLOOKUP('Summary Data'!$A38,'Round 2 Data'!$A$10:$A$146,'Round 2 Data'!N$10:N$146,0)+_xlfn.XLOOKUP('Summary Data'!$A38,'Round 3 Data'!$A$10:$A$145,'Round 3 Data'!N$10:N$145,0)+_xlfn.XLOOKUP('Summary Data'!$A38,'Round 4 Data'!$A$10:$A$147,'Round 4 Data'!N$10:N$147,0))/$D38</f>
        <v>#VALUE!</v>
      </c>
      <c r="O38" s="57" t="e">
        <f>(_xlfn.XLOOKUP('Summary Data'!$A38,'Round 1 Data'!$A$10:$A$143,'Round 1 Data'!O$10:O$144,0)+_xlfn.XLOOKUP('Summary Data'!$A38,'Round 2 Data'!$A$10:$A$146,'Round 2 Data'!O$10:O$146,0)+_xlfn.XLOOKUP('Summary Data'!$A38,'Round 3 Data'!$A$10:$A$145,'Round 3 Data'!O$10:O$145,0)+_xlfn.XLOOKUP('Summary Data'!$A38,'Round 4 Data'!$A$10:$A$147,'Round 4 Data'!O$10:O$147,0))/$D38</f>
        <v>#VALUE!</v>
      </c>
      <c r="P38" s="57" t="e">
        <f>(_xlfn.XLOOKUP('Summary Data'!$A38,'Round 1 Data'!$A$10:$A$143,'Round 1 Data'!P$10:P$144,0)+_xlfn.XLOOKUP('Summary Data'!$A38,'Round 2 Data'!$A$10:$A$146,'Round 2 Data'!P$10:P$146,0)+_xlfn.XLOOKUP('Summary Data'!$A38,'Round 3 Data'!$A$10:$A$145,'Round 3 Data'!P$10:P$145,0)+_xlfn.XLOOKUP('Summary Data'!$A38,'Round 4 Data'!$A$10:$A$147,'Round 4 Data'!P$10:P$147,0))/$D38</f>
        <v>#VALUE!</v>
      </c>
      <c r="Q38" s="57" t="e">
        <f>(_xlfn.XLOOKUP('Summary Data'!$A38,'Round 1 Data'!$A$10:$A$143,'Round 1 Data'!Q$10:Q$144,0)+_xlfn.XLOOKUP('Summary Data'!$A38,'Round 2 Data'!$A$10:$A$146,'Round 2 Data'!Q$10:Q$146,0)+_xlfn.XLOOKUP('Summary Data'!$A38,'Round 3 Data'!$A$10:$A$145,'Round 3 Data'!Q$10:Q$145,0)+_xlfn.XLOOKUP('Summary Data'!$A38,'Round 4 Data'!$A$10:$A$147,'Round 4 Data'!Q$10:Q$147,0))/$D38</f>
        <v>#VALUE!</v>
      </c>
      <c r="R38" s="57" t="e">
        <f>(_xlfn.XLOOKUP('Summary Data'!$A38,'Round 1 Data'!$A$10:$A$143,'Round 1 Data'!R$10:R$144,0)+_xlfn.XLOOKUP('Summary Data'!$A38,'Round 2 Data'!$A$10:$A$146,'Round 2 Data'!R$10:R$146,0)+_xlfn.XLOOKUP('Summary Data'!$A38,'Round 3 Data'!$A$10:$A$145,'Round 3 Data'!R$10:R$145,0)+_xlfn.XLOOKUP('Summary Data'!$A38,'Round 4 Data'!$A$10:$A$147,'Round 4 Data'!R$10:R$147,0))/$D38</f>
        <v>#VALUE!</v>
      </c>
      <c r="S38" s="57" t="e">
        <f>(_xlfn.XLOOKUP('Summary Data'!$A38,'Round 1 Data'!$A$10:$A$143,'Round 1 Data'!S$10:S$144,0)+_xlfn.XLOOKUP('Summary Data'!$A38,'Round 2 Data'!$A$10:$A$146,'Round 2 Data'!S$10:S$146,0)+_xlfn.XLOOKUP('Summary Data'!$A38,'Round 3 Data'!$A$10:$A$145,'Round 3 Data'!S$10:S$145,0)+_xlfn.XLOOKUP('Summary Data'!$A38,'Round 4 Data'!$A$10:$A$147,'Round 4 Data'!S$10:S$147,0))/$D38</f>
        <v>#VALUE!</v>
      </c>
      <c r="T38" s="62" t="e">
        <f>(_xlfn.XLOOKUP('Summary Data'!$A38,'Round 1 Data'!$A$10:$A$143,'Round 1 Data'!U$10:U$144,0)+_xlfn.XLOOKUP('Summary Data'!$A38,'Round 2 Data'!$A$10:$A$146,'Round 2 Data'!U$10:U$146,0)+_xlfn.XLOOKUP('Summary Data'!$A38,'Round 3 Data'!$A$10:$A$145,'Round 3 Data'!U$10:U$145,0)+_xlfn.XLOOKUP('Summary Data'!$A38,'Round 4 Data'!$A$10:$A$147,'Round 4 Data'!U$10:U$147,0))</f>
        <v>#VALUE!</v>
      </c>
    </row>
    <row r="39" spans="1:20" ht="16" thickBot="1" x14ac:dyDescent="0.25">
      <c r="A39" s="61" t="s">
        <v>138</v>
      </c>
      <c r="B39" t="s">
        <v>189</v>
      </c>
      <c r="C39" t="s">
        <v>198</v>
      </c>
      <c r="D39" t="e">
        <f>IF(_xlfn.XLOOKUP('Summary Data'!A39,'Round 1 Data'!$A$10:$A$143,'Round 1 Data'!$E$10:$E$144,0)=0,0,1)+IF(_xlfn.XLOOKUP('Summary Data'!A39,'Round 2 Data'!$A$10:$A$146,'Round 2 Data'!$E$10:$E$146,0)=0,0,1)+IF(_xlfn.XLOOKUP('Summary Data'!A39,'Round 3 Data'!$A$10:$A$145,'Round 3 Data'!$E$10:$E$145,0)=0,0,1)+IF(_xlfn.XLOOKUP('Summary Data'!A39,'Round 4 Data'!$A$10:$A$147,'Round 4 Data'!$E$10:$E$147,0)=0,0,1)</f>
        <v>#VALUE!</v>
      </c>
      <c r="E39" s="57" t="e">
        <f>(_xlfn.XLOOKUP('Summary Data'!$A39,'Round 1 Data'!$A$10:$A$143,'Round 1 Data'!E$10:E$144,0)+_xlfn.XLOOKUP('Summary Data'!$A39,'Round 2 Data'!$A$10:$A$146,'Round 2 Data'!E$10:E$146,0)+_xlfn.XLOOKUP('Summary Data'!$A39,'Round 3 Data'!$A$10:$A$145,'Round 3 Data'!E$10:E$145,0)+_xlfn.XLOOKUP('Summary Data'!$A39,'Round 4 Data'!$A$10:$A$147,'Round 4 Data'!E$10:E$147,0))/$D39</f>
        <v>#VALUE!</v>
      </c>
      <c r="F39" s="57" t="e">
        <f>(_xlfn.XLOOKUP('Summary Data'!$A39,'Round 1 Data'!$A$10:$A$143,'Round 1 Data'!F$10:F$144,0)+_xlfn.XLOOKUP('Summary Data'!$A39,'Round 2 Data'!$A$10:$A$146,'Round 2 Data'!F$10:F$146,0)+_xlfn.XLOOKUP('Summary Data'!$A39,'Round 3 Data'!$A$10:$A$145,'Round 3 Data'!F$10:F$145,0)+_xlfn.XLOOKUP('Summary Data'!$A39,'Round 4 Data'!$A$10:$A$147,'Round 4 Data'!F$10:F$147,0))/$D39</f>
        <v>#VALUE!</v>
      </c>
      <c r="G39" s="57" t="e">
        <f>(_xlfn.XLOOKUP('Summary Data'!$A39,'Round 1 Data'!$A$10:$A$143,'Round 1 Data'!G$10:G$144,0)+_xlfn.XLOOKUP('Summary Data'!$A39,'Round 2 Data'!$A$10:$A$146,'Round 2 Data'!G$10:G$146,0)+_xlfn.XLOOKUP('Summary Data'!$A39,'Round 3 Data'!$A$10:$A$145,'Round 3 Data'!G$10:G$145,0)+_xlfn.XLOOKUP('Summary Data'!$A39,'Round 4 Data'!$A$10:$A$147,'Round 4 Data'!G$10:G$147,0))/$D39</f>
        <v>#VALUE!</v>
      </c>
      <c r="H39" s="57" t="e">
        <f>(_xlfn.XLOOKUP('Summary Data'!$A39,'Round 1 Data'!$A$10:$A$143,'Round 1 Data'!H$10:H$144,0)+_xlfn.XLOOKUP('Summary Data'!$A39,'Round 2 Data'!$A$10:$A$146,'Round 2 Data'!H$10:H$146,0)+_xlfn.XLOOKUP('Summary Data'!$A39,'Round 3 Data'!$A$10:$A$145,'Round 3 Data'!H$10:H$145,0)+_xlfn.XLOOKUP('Summary Data'!$A39,'Round 4 Data'!$A$10:$A$147,'Round 4 Data'!H$10:H$147,0))/$D39</f>
        <v>#VALUE!</v>
      </c>
      <c r="I39" s="57" t="e">
        <f>(_xlfn.XLOOKUP('Summary Data'!$A39,'Round 1 Data'!$A$10:$A$143,'Round 1 Data'!I$10:I$144,0)+_xlfn.XLOOKUP('Summary Data'!$A39,'Round 2 Data'!$A$10:$A$146,'Round 2 Data'!I$10:I$146,0)+_xlfn.XLOOKUP('Summary Data'!$A39,'Round 3 Data'!$A$10:$A$145,'Round 3 Data'!I$10:I$145,0)+_xlfn.XLOOKUP('Summary Data'!$A39,'Round 4 Data'!$A$10:$A$147,'Round 4 Data'!I$10:I$147,0))/$D39</f>
        <v>#VALUE!</v>
      </c>
      <c r="J39" s="57" t="e">
        <f>(_xlfn.XLOOKUP('Summary Data'!$A39,'Round 1 Data'!$A$10:$A$143,'Round 1 Data'!J$10:J$144,0)+_xlfn.XLOOKUP('Summary Data'!$A39,'Round 2 Data'!$A$10:$A$146,'Round 2 Data'!J$10:J$146,0)+_xlfn.XLOOKUP('Summary Data'!$A39,'Round 3 Data'!$A$10:$A$145,'Round 3 Data'!J$10:J$145,0)+_xlfn.XLOOKUP('Summary Data'!$A39,'Round 4 Data'!$A$10:$A$147,'Round 4 Data'!J$10:J$147,0))/$D39</f>
        <v>#VALUE!</v>
      </c>
      <c r="K39" s="57" t="e">
        <f>(_xlfn.XLOOKUP('Summary Data'!$A39,'Round 1 Data'!$A$10:$A$143,'Round 1 Data'!K$10:K$144,0)+_xlfn.XLOOKUP('Summary Data'!$A39,'Round 2 Data'!$A$10:$A$146,'Round 2 Data'!K$10:K$146,0)+_xlfn.XLOOKUP('Summary Data'!$A39,'Round 3 Data'!$A$10:$A$145,'Round 3 Data'!K$10:K$145,0)+_xlfn.XLOOKUP('Summary Data'!$A39,'Round 4 Data'!$A$10:$A$147,'Round 4 Data'!K$10:K$147,0))/$D39</f>
        <v>#VALUE!</v>
      </c>
      <c r="L39" s="57" t="e">
        <f>(_xlfn.XLOOKUP('Summary Data'!$A39,'Round 1 Data'!$A$10:$A$143,'Round 1 Data'!L$10:L$144,0)+_xlfn.XLOOKUP('Summary Data'!$A39,'Round 2 Data'!$A$10:$A$146,'Round 2 Data'!L$10:L$146,0)+_xlfn.XLOOKUP('Summary Data'!$A39,'Round 3 Data'!$A$10:$A$145,'Round 3 Data'!L$10:L$145,0)+_xlfn.XLOOKUP('Summary Data'!$A39,'Round 4 Data'!$A$10:$A$147,'Round 4 Data'!L$10:L$147,0))/$D39</f>
        <v>#VALUE!</v>
      </c>
      <c r="M39" s="57" t="e">
        <f>(_xlfn.XLOOKUP('Summary Data'!$A39,'Round 1 Data'!$A$10:$A$143,'Round 1 Data'!M$10:M$144,0)+_xlfn.XLOOKUP('Summary Data'!$A39,'Round 2 Data'!$A$10:$A$146,'Round 2 Data'!M$10:M$146,0)+_xlfn.XLOOKUP('Summary Data'!$A39,'Round 3 Data'!$A$10:$A$145,'Round 3 Data'!M$10:M$145,0)+_xlfn.XLOOKUP('Summary Data'!$A39,'Round 4 Data'!$A$10:$A$147,'Round 4 Data'!M$10:M$147,0))/$D39</f>
        <v>#VALUE!</v>
      </c>
      <c r="N39" s="57" t="e">
        <f>(_xlfn.XLOOKUP('Summary Data'!$A39,'Round 1 Data'!$A$10:$A$143,'Round 1 Data'!N$10:N$144,0)+_xlfn.XLOOKUP('Summary Data'!$A39,'Round 2 Data'!$A$10:$A$146,'Round 2 Data'!N$10:N$146,0)+_xlfn.XLOOKUP('Summary Data'!$A39,'Round 3 Data'!$A$10:$A$145,'Round 3 Data'!N$10:N$145,0)+_xlfn.XLOOKUP('Summary Data'!$A39,'Round 4 Data'!$A$10:$A$147,'Round 4 Data'!N$10:N$147,0))/$D39</f>
        <v>#VALUE!</v>
      </c>
      <c r="O39" s="57" t="e">
        <f>(_xlfn.XLOOKUP('Summary Data'!$A39,'Round 1 Data'!$A$10:$A$143,'Round 1 Data'!O$10:O$144,0)+_xlfn.XLOOKUP('Summary Data'!$A39,'Round 2 Data'!$A$10:$A$146,'Round 2 Data'!O$10:O$146,0)+_xlfn.XLOOKUP('Summary Data'!$A39,'Round 3 Data'!$A$10:$A$145,'Round 3 Data'!O$10:O$145,0)+_xlfn.XLOOKUP('Summary Data'!$A39,'Round 4 Data'!$A$10:$A$147,'Round 4 Data'!O$10:O$147,0))/$D39</f>
        <v>#VALUE!</v>
      </c>
      <c r="P39" s="57" t="e">
        <f>(_xlfn.XLOOKUP('Summary Data'!$A39,'Round 1 Data'!$A$10:$A$143,'Round 1 Data'!P$10:P$144,0)+_xlfn.XLOOKUP('Summary Data'!$A39,'Round 2 Data'!$A$10:$A$146,'Round 2 Data'!P$10:P$146,0)+_xlfn.XLOOKUP('Summary Data'!$A39,'Round 3 Data'!$A$10:$A$145,'Round 3 Data'!P$10:P$145,0)+_xlfn.XLOOKUP('Summary Data'!$A39,'Round 4 Data'!$A$10:$A$147,'Round 4 Data'!P$10:P$147,0))/$D39</f>
        <v>#VALUE!</v>
      </c>
      <c r="Q39" s="57" t="e">
        <f>(_xlfn.XLOOKUP('Summary Data'!$A39,'Round 1 Data'!$A$10:$A$143,'Round 1 Data'!Q$10:Q$144,0)+_xlfn.XLOOKUP('Summary Data'!$A39,'Round 2 Data'!$A$10:$A$146,'Round 2 Data'!Q$10:Q$146,0)+_xlfn.XLOOKUP('Summary Data'!$A39,'Round 3 Data'!$A$10:$A$145,'Round 3 Data'!Q$10:Q$145,0)+_xlfn.XLOOKUP('Summary Data'!$A39,'Round 4 Data'!$A$10:$A$147,'Round 4 Data'!Q$10:Q$147,0))/$D39</f>
        <v>#VALUE!</v>
      </c>
      <c r="R39" s="57" t="e">
        <f>(_xlfn.XLOOKUP('Summary Data'!$A39,'Round 1 Data'!$A$10:$A$143,'Round 1 Data'!R$10:R$144,0)+_xlfn.XLOOKUP('Summary Data'!$A39,'Round 2 Data'!$A$10:$A$146,'Round 2 Data'!R$10:R$146,0)+_xlfn.XLOOKUP('Summary Data'!$A39,'Round 3 Data'!$A$10:$A$145,'Round 3 Data'!R$10:R$145,0)+_xlfn.XLOOKUP('Summary Data'!$A39,'Round 4 Data'!$A$10:$A$147,'Round 4 Data'!R$10:R$147,0))/$D39</f>
        <v>#VALUE!</v>
      </c>
      <c r="S39" s="57" t="e">
        <f>(_xlfn.XLOOKUP('Summary Data'!$A39,'Round 1 Data'!$A$10:$A$143,'Round 1 Data'!S$10:S$144,0)+_xlfn.XLOOKUP('Summary Data'!$A39,'Round 2 Data'!$A$10:$A$146,'Round 2 Data'!S$10:S$146,0)+_xlfn.XLOOKUP('Summary Data'!$A39,'Round 3 Data'!$A$10:$A$145,'Round 3 Data'!S$10:S$145,0)+_xlfn.XLOOKUP('Summary Data'!$A39,'Round 4 Data'!$A$10:$A$147,'Round 4 Data'!S$10:S$147,0))/$D39</f>
        <v>#VALUE!</v>
      </c>
      <c r="T39" s="62" t="e">
        <f>(_xlfn.XLOOKUP('Summary Data'!$A39,'Round 1 Data'!$A$10:$A$143,'Round 1 Data'!U$10:U$144,0)+_xlfn.XLOOKUP('Summary Data'!$A39,'Round 2 Data'!$A$10:$A$146,'Round 2 Data'!U$10:U$146,0)+_xlfn.XLOOKUP('Summary Data'!$A39,'Round 3 Data'!$A$10:$A$145,'Round 3 Data'!U$10:U$145,0)+_xlfn.XLOOKUP('Summary Data'!$A39,'Round 4 Data'!$A$10:$A$147,'Round 4 Data'!U$10:U$147,0))</f>
        <v>#VALUE!</v>
      </c>
    </row>
    <row r="40" spans="1:20" ht="16" thickBot="1" x14ac:dyDescent="0.25">
      <c r="A40" s="63" t="s">
        <v>139</v>
      </c>
      <c r="B40" t="s">
        <v>189</v>
      </c>
      <c r="C40" t="s">
        <v>198</v>
      </c>
      <c r="D40" t="e">
        <f>IF(_xlfn.XLOOKUP('Summary Data'!A40,'Round 1 Data'!$A$10:$A$143,'Round 1 Data'!$E$10:$E$144,0)=0,0,1)+IF(_xlfn.XLOOKUP('Summary Data'!A40,'Round 2 Data'!$A$10:$A$146,'Round 2 Data'!$E$10:$E$146,0)=0,0,1)+IF(_xlfn.XLOOKUP('Summary Data'!A40,'Round 3 Data'!$A$10:$A$145,'Round 3 Data'!$E$10:$E$145,0)=0,0,1)+IF(_xlfn.XLOOKUP('Summary Data'!A40,'Round 4 Data'!$A$10:$A$147,'Round 4 Data'!$E$10:$E$147,0)=0,0,1)</f>
        <v>#VALUE!</v>
      </c>
      <c r="E40" s="57" t="e">
        <f>(_xlfn.XLOOKUP('Summary Data'!$A40,'Round 1 Data'!$A$10:$A$143,'Round 1 Data'!E$10:E$144,0)+_xlfn.XLOOKUP('Summary Data'!$A40,'Round 2 Data'!$A$10:$A$146,'Round 2 Data'!E$10:E$146,0)+_xlfn.XLOOKUP('Summary Data'!$A40,'Round 3 Data'!$A$10:$A$145,'Round 3 Data'!E$10:E$145,0)+_xlfn.XLOOKUP('Summary Data'!$A40,'Round 4 Data'!$A$10:$A$147,'Round 4 Data'!E$10:E$147,0))/$D40</f>
        <v>#VALUE!</v>
      </c>
      <c r="F40" s="57" t="e">
        <f>(_xlfn.XLOOKUP('Summary Data'!$A40,'Round 1 Data'!$A$10:$A$143,'Round 1 Data'!F$10:F$144,0)+_xlfn.XLOOKUP('Summary Data'!$A40,'Round 2 Data'!$A$10:$A$146,'Round 2 Data'!F$10:F$146,0)+_xlfn.XLOOKUP('Summary Data'!$A40,'Round 3 Data'!$A$10:$A$145,'Round 3 Data'!F$10:F$145,0)+_xlfn.XLOOKUP('Summary Data'!$A40,'Round 4 Data'!$A$10:$A$147,'Round 4 Data'!F$10:F$147,0))/$D40</f>
        <v>#VALUE!</v>
      </c>
      <c r="G40" s="57" t="e">
        <f>(_xlfn.XLOOKUP('Summary Data'!$A40,'Round 1 Data'!$A$10:$A$143,'Round 1 Data'!G$10:G$144,0)+_xlfn.XLOOKUP('Summary Data'!$A40,'Round 2 Data'!$A$10:$A$146,'Round 2 Data'!G$10:G$146,0)+_xlfn.XLOOKUP('Summary Data'!$A40,'Round 3 Data'!$A$10:$A$145,'Round 3 Data'!G$10:G$145,0)+_xlfn.XLOOKUP('Summary Data'!$A40,'Round 4 Data'!$A$10:$A$147,'Round 4 Data'!G$10:G$147,0))/$D40</f>
        <v>#VALUE!</v>
      </c>
      <c r="H40" s="57" t="e">
        <f>(_xlfn.XLOOKUP('Summary Data'!$A40,'Round 1 Data'!$A$10:$A$143,'Round 1 Data'!H$10:H$144,0)+_xlfn.XLOOKUP('Summary Data'!$A40,'Round 2 Data'!$A$10:$A$146,'Round 2 Data'!H$10:H$146,0)+_xlfn.XLOOKUP('Summary Data'!$A40,'Round 3 Data'!$A$10:$A$145,'Round 3 Data'!H$10:H$145,0)+_xlfn.XLOOKUP('Summary Data'!$A40,'Round 4 Data'!$A$10:$A$147,'Round 4 Data'!H$10:H$147,0))/$D40</f>
        <v>#VALUE!</v>
      </c>
      <c r="I40" s="57" t="e">
        <f>(_xlfn.XLOOKUP('Summary Data'!$A40,'Round 1 Data'!$A$10:$A$143,'Round 1 Data'!I$10:I$144,0)+_xlfn.XLOOKUP('Summary Data'!$A40,'Round 2 Data'!$A$10:$A$146,'Round 2 Data'!I$10:I$146,0)+_xlfn.XLOOKUP('Summary Data'!$A40,'Round 3 Data'!$A$10:$A$145,'Round 3 Data'!I$10:I$145,0)+_xlfn.XLOOKUP('Summary Data'!$A40,'Round 4 Data'!$A$10:$A$147,'Round 4 Data'!I$10:I$147,0))/$D40</f>
        <v>#VALUE!</v>
      </c>
      <c r="J40" s="57" t="e">
        <f>(_xlfn.XLOOKUP('Summary Data'!$A40,'Round 1 Data'!$A$10:$A$143,'Round 1 Data'!J$10:J$144,0)+_xlfn.XLOOKUP('Summary Data'!$A40,'Round 2 Data'!$A$10:$A$146,'Round 2 Data'!J$10:J$146,0)+_xlfn.XLOOKUP('Summary Data'!$A40,'Round 3 Data'!$A$10:$A$145,'Round 3 Data'!J$10:J$145,0)+_xlfn.XLOOKUP('Summary Data'!$A40,'Round 4 Data'!$A$10:$A$147,'Round 4 Data'!J$10:J$147,0))/$D40</f>
        <v>#VALUE!</v>
      </c>
      <c r="K40" s="57" t="e">
        <f>(_xlfn.XLOOKUP('Summary Data'!$A40,'Round 1 Data'!$A$10:$A$143,'Round 1 Data'!K$10:K$144,0)+_xlfn.XLOOKUP('Summary Data'!$A40,'Round 2 Data'!$A$10:$A$146,'Round 2 Data'!K$10:K$146,0)+_xlfn.XLOOKUP('Summary Data'!$A40,'Round 3 Data'!$A$10:$A$145,'Round 3 Data'!K$10:K$145,0)+_xlfn.XLOOKUP('Summary Data'!$A40,'Round 4 Data'!$A$10:$A$147,'Round 4 Data'!K$10:K$147,0))/$D40</f>
        <v>#VALUE!</v>
      </c>
      <c r="L40" s="57" t="e">
        <f>(_xlfn.XLOOKUP('Summary Data'!$A40,'Round 1 Data'!$A$10:$A$143,'Round 1 Data'!L$10:L$144,0)+_xlfn.XLOOKUP('Summary Data'!$A40,'Round 2 Data'!$A$10:$A$146,'Round 2 Data'!L$10:L$146,0)+_xlfn.XLOOKUP('Summary Data'!$A40,'Round 3 Data'!$A$10:$A$145,'Round 3 Data'!L$10:L$145,0)+_xlfn.XLOOKUP('Summary Data'!$A40,'Round 4 Data'!$A$10:$A$147,'Round 4 Data'!L$10:L$147,0))/$D40</f>
        <v>#VALUE!</v>
      </c>
      <c r="M40" s="57" t="e">
        <f>(_xlfn.XLOOKUP('Summary Data'!$A40,'Round 1 Data'!$A$10:$A$143,'Round 1 Data'!M$10:M$144,0)+_xlfn.XLOOKUP('Summary Data'!$A40,'Round 2 Data'!$A$10:$A$146,'Round 2 Data'!M$10:M$146,0)+_xlfn.XLOOKUP('Summary Data'!$A40,'Round 3 Data'!$A$10:$A$145,'Round 3 Data'!M$10:M$145,0)+_xlfn.XLOOKUP('Summary Data'!$A40,'Round 4 Data'!$A$10:$A$147,'Round 4 Data'!M$10:M$147,0))/$D40</f>
        <v>#VALUE!</v>
      </c>
      <c r="N40" s="57" t="e">
        <f>(_xlfn.XLOOKUP('Summary Data'!$A40,'Round 1 Data'!$A$10:$A$143,'Round 1 Data'!N$10:N$144,0)+_xlfn.XLOOKUP('Summary Data'!$A40,'Round 2 Data'!$A$10:$A$146,'Round 2 Data'!N$10:N$146,0)+_xlfn.XLOOKUP('Summary Data'!$A40,'Round 3 Data'!$A$10:$A$145,'Round 3 Data'!N$10:N$145,0)+_xlfn.XLOOKUP('Summary Data'!$A40,'Round 4 Data'!$A$10:$A$147,'Round 4 Data'!N$10:N$147,0))/$D40</f>
        <v>#VALUE!</v>
      </c>
      <c r="O40" s="57" t="e">
        <f>(_xlfn.XLOOKUP('Summary Data'!$A40,'Round 1 Data'!$A$10:$A$143,'Round 1 Data'!O$10:O$144,0)+_xlfn.XLOOKUP('Summary Data'!$A40,'Round 2 Data'!$A$10:$A$146,'Round 2 Data'!O$10:O$146,0)+_xlfn.XLOOKUP('Summary Data'!$A40,'Round 3 Data'!$A$10:$A$145,'Round 3 Data'!O$10:O$145,0)+_xlfn.XLOOKUP('Summary Data'!$A40,'Round 4 Data'!$A$10:$A$147,'Round 4 Data'!O$10:O$147,0))/$D40</f>
        <v>#VALUE!</v>
      </c>
      <c r="P40" s="57" t="e">
        <f>(_xlfn.XLOOKUP('Summary Data'!$A40,'Round 1 Data'!$A$10:$A$143,'Round 1 Data'!P$10:P$144,0)+_xlfn.XLOOKUP('Summary Data'!$A40,'Round 2 Data'!$A$10:$A$146,'Round 2 Data'!P$10:P$146,0)+_xlfn.XLOOKUP('Summary Data'!$A40,'Round 3 Data'!$A$10:$A$145,'Round 3 Data'!P$10:P$145,0)+_xlfn.XLOOKUP('Summary Data'!$A40,'Round 4 Data'!$A$10:$A$147,'Round 4 Data'!P$10:P$147,0))/$D40</f>
        <v>#VALUE!</v>
      </c>
      <c r="Q40" s="57" t="e">
        <f>(_xlfn.XLOOKUP('Summary Data'!$A40,'Round 1 Data'!$A$10:$A$143,'Round 1 Data'!Q$10:Q$144,0)+_xlfn.XLOOKUP('Summary Data'!$A40,'Round 2 Data'!$A$10:$A$146,'Round 2 Data'!Q$10:Q$146,0)+_xlfn.XLOOKUP('Summary Data'!$A40,'Round 3 Data'!$A$10:$A$145,'Round 3 Data'!Q$10:Q$145,0)+_xlfn.XLOOKUP('Summary Data'!$A40,'Round 4 Data'!$A$10:$A$147,'Round 4 Data'!Q$10:Q$147,0))/$D40</f>
        <v>#VALUE!</v>
      </c>
      <c r="R40" s="57" t="e">
        <f>(_xlfn.XLOOKUP('Summary Data'!$A40,'Round 1 Data'!$A$10:$A$143,'Round 1 Data'!R$10:R$144,0)+_xlfn.XLOOKUP('Summary Data'!$A40,'Round 2 Data'!$A$10:$A$146,'Round 2 Data'!R$10:R$146,0)+_xlfn.XLOOKUP('Summary Data'!$A40,'Round 3 Data'!$A$10:$A$145,'Round 3 Data'!R$10:R$145,0)+_xlfn.XLOOKUP('Summary Data'!$A40,'Round 4 Data'!$A$10:$A$147,'Round 4 Data'!R$10:R$147,0))/$D40</f>
        <v>#VALUE!</v>
      </c>
      <c r="S40" s="57" t="e">
        <f>(_xlfn.XLOOKUP('Summary Data'!$A40,'Round 1 Data'!$A$10:$A$143,'Round 1 Data'!S$10:S$144,0)+_xlfn.XLOOKUP('Summary Data'!$A40,'Round 2 Data'!$A$10:$A$146,'Round 2 Data'!S$10:S$146,0)+_xlfn.XLOOKUP('Summary Data'!$A40,'Round 3 Data'!$A$10:$A$145,'Round 3 Data'!S$10:S$145,0)+_xlfn.XLOOKUP('Summary Data'!$A40,'Round 4 Data'!$A$10:$A$147,'Round 4 Data'!S$10:S$147,0))/$D40</f>
        <v>#VALUE!</v>
      </c>
      <c r="T40" s="62" t="e">
        <f>(_xlfn.XLOOKUP('Summary Data'!$A40,'Round 1 Data'!$A$10:$A$143,'Round 1 Data'!U$10:U$144,0)+_xlfn.XLOOKUP('Summary Data'!$A40,'Round 2 Data'!$A$10:$A$146,'Round 2 Data'!U$10:U$146,0)+_xlfn.XLOOKUP('Summary Data'!$A40,'Round 3 Data'!$A$10:$A$145,'Round 3 Data'!U$10:U$145,0)+_xlfn.XLOOKUP('Summary Data'!$A40,'Round 4 Data'!$A$10:$A$147,'Round 4 Data'!U$10:U$147,0))</f>
        <v>#VALUE!</v>
      </c>
    </row>
    <row r="41" spans="1:20" ht="16" thickBot="1" x14ac:dyDescent="0.25">
      <c r="A41" s="61" t="s">
        <v>140</v>
      </c>
      <c r="B41" t="s">
        <v>189</v>
      </c>
      <c r="C41" t="s">
        <v>199</v>
      </c>
      <c r="D41" t="e">
        <f>IF(_xlfn.XLOOKUP('Summary Data'!A41,'Round 1 Data'!$A$10:$A$143,'Round 1 Data'!$E$10:$E$144,0)=0,0,1)+IF(_xlfn.XLOOKUP('Summary Data'!A41,'Round 2 Data'!$A$10:$A$146,'Round 2 Data'!$E$10:$E$146,0)=0,0,1)+IF(_xlfn.XLOOKUP('Summary Data'!A41,'Round 3 Data'!$A$10:$A$145,'Round 3 Data'!$E$10:$E$145,0)=0,0,1)+IF(_xlfn.XLOOKUP('Summary Data'!A41,'Round 4 Data'!$A$10:$A$147,'Round 4 Data'!$E$10:$E$147,0)=0,0,1)</f>
        <v>#VALUE!</v>
      </c>
      <c r="E41" s="57" t="e">
        <f>(_xlfn.XLOOKUP('Summary Data'!$A41,'Round 1 Data'!$A$10:$A$143,'Round 1 Data'!E$10:E$144,0)+_xlfn.XLOOKUP('Summary Data'!$A41,'Round 2 Data'!$A$10:$A$146,'Round 2 Data'!E$10:E$146,0)+_xlfn.XLOOKUP('Summary Data'!$A41,'Round 3 Data'!$A$10:$A$145,'Round 3 Data'!E$10:E$145,0)+_xlfn.XLOOKUP('Summary Data'!$A41,'Round 4 Data'!$A$10:$A$147,'Round 4 Data'!E$10:E$147,0))/$D41</f>
        <v>#VALUE!</v>
      </c>
      <c r="F41" s="57" t="e">
        <f>(_xlfn.XLOOKUP('Summary Data'!$A41,'Round 1 Data'!$A$10:$A$143,'Round 1 Data'!F$10:F$144,0)+_xlfn.XLOOKUP('Summary Data'!$A41,'Round 2 Data'!$A$10:$A$146,'Round 2 Data'!F$10:F$146,0)+_xlfn.XLOOKUP('Summary Data'!$A41,'Round 3 Data'!$A$10:$A$145,'Round 3 Data'!F$10:F$145,0)+_xlfn.XLOOKUP('Summary Data'!$A41,'Round 4 Data'!$A$10:$A$147,'Round 4 Data'!F$10:F$147,0))/$D41</f>
        <v>#VALUE!</v>
      </c>
      <c r="G41" s="57" t="e">
        <f>(_xlfn.XLOOKUP('Summary Data'!$A41,'Round 1 Data'!$A$10:$A$143,'Round 1 Data'!G$10:G$144,0)+_xlfn.XLOOKUP('Summary Data'!$A41,'Round 2 Data'!$A$10:$A$146,'Round 2 Data'!G$10:G$146,0)+_xlfn.XLOOKUP('Summary Data'!$A41,'Round 3 Data'!$A$10:$A$145,'Round 3 Data'!G$10:G$145,0)+_xlfn.XLOOKUP('Summary Data'!$A41,'Round 4 Data'!$A$10:$A$147,'Round 4 Data'!G$10:G$147,0))/$D41</f>
        <v>#VALUE!</v>
      </c>
      <c r="H41" s="57" t="e">
        <f>(_xlfn.XLOOKUP('Summary Data'!$A41,'Round 1 Data'!$A$10:$A$143,'Round 1 Data'!H$10:H$144,0)+_xlfn.XLOOKUP('Summary Data'!$A41,'Round 2 Data'!$A$10:$A$146,'Round 2 Data'!H$10:H$146,0)+_xlfn.XLOOKUP('Summary Data'!$A41,'Round 3 Data'!$A$10:$A$145,'Round 3 Data'!H$10:H$145,0)+_xlfn.XLOOKUP('Summary Data'!$A41,'Round 4 Data'!$A$10:$A$147,'Round 4 Data'!H$10:H$147,0))/$D41</f>
        <v>#VALUE!</v>
      </c>
      <c r="I41" s="57" t="e">
        <f>(_xlfn.XLOOKUP('Summary Data'!$A41,'Round 1 Data'!$A$10:$A$143,'Round 1 Data'!I$10:I$144,0)+_xlfn.XLOOKUP('Summary Data'!$A41,'Round 2 Data'!$A$10:$A$146,'Round 2 Data'!I$10:I$146,0)+_xlfn.XLOOKUP('Summary Data'!$A41,'Round 3 Data'!$A$10:$A$145,'Round 3 Data'!I$10:I$145,0)+_xlfn.XLOOKUP('Summary Data'!$A41,'Round 4 Data'!$A$10:$A$147,'Round 4 Data'!I$10:I$147,0))/$D41</f>
        <v>#VALUE!</v>
      </c>
      <c r="J41" s="57" t="e">
        <f>(_xlfn.XLOOKUP('Summary Data'!$A41,'Round 1 Data'!$A$10:$A$143,'Round 1 Data'!J$10:J$144,0)+_xlfn.XLOOKUP('Summary Data'!$A41,'Round 2 Data'!$A$10:$A$146,'Round 2 Data'!J$10:J$146,0)+_xlfn.XLOOKUP('Summary Data'!$A41,'Round 3 Data'!$A$10:$A$145,'Round 3 Data'!J$10:J$145,0)+_xlfn.XLOOKUP('Summary Data'!$A41,'Round 4 Data'!$A$10:$A$147,'Round 4 Data'!J$10:J$147,0))/$D41</f>
        <v>#VALUE!</v>
      </c>
      <c r="K41" s="57" t="e">
        <f>(_xlfn.XLOOKUP('Summary Data'!$A41,'Round 1 Data'!$A$10:$A$143,'Round 1 Data'!K$10:K$144,0)+_xlfn.XLOOKUP('Summary Data'!$A41,'Round 2 Data'!$A$10:$A$146,'Round 2 Data'!K$10:K$146,0)+_xlfn.XLOOKUP('Summary Data'!$A41,'Round 3 Data'!$A$10:$A$145,'Round 3 Data'!K$10:K$145,0)+_xlfn.XLOOKUP('Summary Data'!$A41,'Round 4 Data'!$A$10:$A$147,'Round 4 Data'!K$10:K$147,0))/$D41</f>
        <v>#VALUE!</v>
      </c>
      <c r="L41" s="57" t="e">
        <f>(_xlfn.XLOOKUP('Summary Data'!$A41,'Round 1 Data'!$A$10:$A$143,'Round 1 Data'!L$10:L$144,0)+_xlfn.XLOOKUP('Summary Data'!$A41,'Round 2 Data'!$A$10:$A$146,'Round 2 Data'!L$10:L$146,0)+_xlfn.XLOOKUP('Summary Data'!$A41,'Round 3 Data'!$A$10:$A$145,'Round 3 Data'!L$10:L$145,0)+_xlfn.XLOOKUP('Summary Data'!$A41,'Round 4 Data'!$A$10:$A$147,'Round 4 Data'!L$10:L$147,0))/$D41</f>
        <v>#VALUE!</v>
      </c>
      <c r="M41" s="57" t="e">
        <f>(_xlfn.XLOOKUP('Summary Data'!$A41,'Round 1 Data'!$A$10:$A$143,'Round 1 Data'!M$10:M$144,0)+_xlfn.XLOOKUP('Summary Data'!$A41,'Round 2 Data'!$A$10:$A$146,'Round 2 Data'!M$10:M$146,0)+_xlfn.XLOOKUP('Summary Data'!$A41,'Round 3 Data'!$A$10:$A$145,'Round 3 Data'!M$10:M$145,0)+_xlfn.XLOOKUP('Summary Data'!$A41,'Round 4 Data'!$A$10:$A$147,'Round 4 Data'!M$10:M$147,0))/$D41</f>
        <v>#VALUE!</v>
      </c>
      <c r="N41" s="57" t="e">
        <f>(_xlfn.XLOOKUP('Summary Data'!$A41,'Round 1 Data'!$A$10:$A$143,'Round 1 Data'!N$10:N$144,0)+_xlfn.XLOOKUP('Summary Data'!$A41,'Round 2 Data'!$A$10:$A$146,'Round 2 Data'!N$10:N$146,0)+_xlfn.XLOOKUP('Summary Data'!$A41,'Round 3 Data'!$A$10:$A$145,'Round 3 Data'!N$10:N$145,0)+_xlfn.XLOOKUP('Summary Data'!$A41,'Round 4 Data'!$A$10:$A$147,'Round 4 Data'!N$10:N$147,0))/$D41</f>
        <v>#VALUE!</v>
      </c>
      <c r="O41" s="57" t="e">
        <f>(_xlfn.XLOOKUP('Summary Data'!$A41,'Round 1 Data'!$A$10:$A$143,'Round 1 Data'!O$10:O$144,0)+_xlfn.XLOOKUP('Summary Data'!$A41,'Round 2 Data'!$A$10:$A$146,'Round 2 Data'!O$10:O$146,0)+_xlfn.XLOOKUP('Summary Data'!$A41,'Round 3 Data'!$A$10:$A$145,'Round 3 Data'!O$10:O$145,0)+_xlfn.XLOOKUP('Summary Data'!$A41,'Round 4 Data'!$A$10:$A$147,'Round 4 Data'!O$10:O$147,0))/$D41</f>
        <v>#VALUE!</v>
      </c>
      <c r="P41" s="57" t="e">
        <f>(_xlfn.XLOOKUP('Summary Data'!$A41,'Round 1 Data'!$A$10:$A$143,'Round 1 Data'!P$10:P$144,0)+_xlfn.XLOOKUP('Summary Data'!$A41,'Round 2 Data'!$A$10:$A$146,'Round 2 Data'!P$10:P$146,0)+_xlfn.XLOOKUP('Summary Data'!$A41,'Round 3 Data'!$A$10:$A$145,'Round 3 Data'!P$10:P$145,0)+_xlfn.XLOOKUP('Summary Data'!$A41,'Round 4 Data'!$A$10:$A$147,'Round 4 Data'!P$10:P$147,0))/$D41</f>
        <v>#VALUE!</v>
      </c>
      <c r="Q41" s="57" t="e">
        <f>(_xlfn.XLOOKUP('Summary Data'!$A41,'Round 1 Data'!$A$10:$A$143,'Round 1 Data'!Q$10:Q$144,0)+_xlfn.XLOOKUP('Summary Data'!$A41,'Round 2 Data'!$A$10:$A$146,'Round 2 Data'!Q$10:Q$146,0)+_xlfn.XLOOKUP('Summary Data'!$A41,'Round 3 Data'!$A$10:$A$145,'Round 3 Data'!Q$10:Q$145,0)+_xlfn.XLOOKUP('Summary Data'!$A41,'Round 4 Data'!$A$10:$A$147,'Round 4 Data'!Q$10:Q$147,0))/$D41</f>
        <v>#VALUE!</v>
      </c>
      <c r="R41" s="57" t="e">
        <f>(_xlfn.XLOOKUP('Summary Data'!$A41,'Round 1 Data'!$A$10:$A$143,'Round 1 Data'!R$10:R$144,0)+_xlfn.XLOOKUP('Summary Data'!$A41,'Round 2 Data'!$A$10:$A$146,'Round 2 Data'!R$10:R$146,0)+_xlfn.XLOOKUP('Summary Data'!$A41,'Round 3 Data'!$A$10:$A$145,'Round 3 Data'!R$10:R$145,0)+_xlfn.XLOOKUP('Summary Data'!$A41,'Round 4 Data'!$A$10:$A$147,'Round 4 Data'!R$10:R$147,0))/$D41</f>
        <v>#VALUE!</v>
      </c>
      <c r="S41" s="57" t="e">
        <f>(_xlfn.XLOOKUP('Summary Data'!$A41,'Round 1 Data'!$A$10:$A$143,'Round 1 Data'!S$10:S$144,0)+_xlfn.XLOOKUP('Summary Data'!$A41,'Round 2 Data'!$A$10:$A$146,'Round 2 Data'!S$10:S$146,0)+_xlfn.XLOOKUP('Summary Data'!$A41,'Round 3 Data'!$A$10:$A$145,'Round 3 Data'!S$10:S$145,0)+_xlfn.XLOOKUP('Summary Data'!$A41,'Round 4 Data'!$A$10:$A$147,'Round 4 Data'!S$10:S$147,0))/$D41</f>
        <v>#VALUE!</v>
      </c>
      <c r="T41" s="62" t="e">
        <f>(_xlfn.XLOOKUP('Summary Data'!$A41,'Round 1 Data'!$A$10:$A$143,'Round 1 Data'!U$10:U$144,0)+_xlfn.XLOOKUP('Summary Data'!$A41,'Round 2 Data'!$A$10:$A$146,'Round 2 Data'!U$10:U$146,0)+_xlfn.XLOOKUP('Summary Data'!$A41,'Round 3 Data'!$A$10:$A$145,'Round 3 Data'!U$10:U$145,0)+_xlfn.XLOOKUP('Summary Data'!$A41,'Round 4 Data'!$A$10:$A$147,'Round 4 Data'!U$10:U$147,0))</f>
        <v>#VALUE!</v>
      </c>
    </row>
    <row r="42" spans="1:20" ht="16" thickBot="1" x14ac:dyDescent="0.25">
      <c r="A42" s="63" t="s">
        <v>141</v>
      </c>
      <c r="B42" t="s">
        <v>189</v>
      </c>
      <c r="C42" t="s">
        <v>199</v>
      </c>
      <c r="D42" t="e">
        <f>IF(_xlfn.XLOOKUP('Summary Data'!A42,'Round 1 Data'!$A$10:$A$143,'Round 1 Data'!$E$10:$E$144,0)=0,0,1)+IF(_xlfn.XLOOKUP('Summary Data'!A42,'Round 2 Data'!$A$10:$A$146,'Round 2 Data'!$E$10:$E$146,0)=0,0,1)+IF(_xlfn.XLOOKUP('Summary Data'!A42,'Round 3 Data'!$A$10:$A$145,'Round 3 Data'!$E$10:$E$145,0)=0,0,1)+IF(_xlfn.XLOOKUP('Summary Data'!A42,'Round 4 Data'!$A$10:$A$147,'Round 4 Data'!$E$10:$E$147,0)=0,0,1)</f>
        <v>#VALUE!</v>
      </c>
      <c r="E42" s="57" t="e">
        <f>(_xlfn.XLOOKUP('Summary Data'!$A42,'Round 1 Data'!$A$10:$A$143,'Round 1 Data'!E$10:E$144,0)+_xlfn.XLOOKUP('Summary Data'!$A42,'Round 2 Data'!$A$10:$A$146,'Round 2 Data'!E$10:E$146,0)+_xlfn.XLOOKUP('Summary Data'!$A42,'Round 3 Data'!$A$10:$A$145,'Round 3 Data'!E$10:E$145,0)+_xlfn.XLOOKUP('Summary Data'!$A42,'Round 4 Data'!$A$10:$A$147,'Round 4 Data'!E$10:E$147,0))/$D42</f>
        <v>#VALUE!</v>
      </c>
      <c r="F42" s="57" t="e">
        <f>(_xlfn.XLOOKUP('Summary Data'!$A42,'Round 1 Data'!$A$10:$A$143,'Round 1 Data'!F$10:F$144,0)+_xlfn.XLOOKUP('Summary Data'!$A42,'Round 2 Data'!$A$10:$A$146,'Round 2 Data'!F$10:F$146,0)+_xlfn.XLOOKUP('Summary Data'!$A42,'Round 3 Data'!$A$10:$A$145,'Round 3 Data'!F$10:F$145,0)+_xlfn.XLOOKUP('Summary Data'!$A42,'Round 4 Data'!$A$10:$A$147,'Round 4 Data'!F$10:F$147,0))/$D42</f>
        <v>#VALUE!</v>
      </c>
      <c r="G42" s="57" t="e">
        <f>(_xlfn.XLOOKUP('Summary Data'!$A42,'Round 1 Data'!$A$10:$A$143,'Round 1 Data'!G$10:G$144,0)+_xlfn.XLOOKUP('Summary Data'!$A42,'Round 2 Data'!$A$10:$A$146,'Round 2 Data'!G$10:G$146,0)+_xlfn.XLOOKUP('Summary Data'!$A42,'Round 3 Data'!$A$10:$A$145,'Round 3 Data'!G$10:G$145,0)+_xlfn.XLOOKUP('Summary Data'!$A42,'Round 4 Data'!$A$10:$A$147,'Round 4 Data'!G$10:G$147,0))/$D42</f>
        <v>#VALUE!</v>
      </c>
      <c r="H42" s="57" t="e">
        <f>(_xlfn.XLOOKUP('Summary Data'!$A42,'Round 1 Data'!$A$10:$A$143,'Round 1 Data'!H$10:H$144,0)+_xlfn.XLOOKUP('Summary Data'!$A42,'Round 2 Data'!$A$10:$A$146,'Round 2 Data'!H$10:H$146,0)+_xlfn.XLOOKUP('Summary Data'!$A42,'Round 3 Data'!$A$10:$A$145,'Round 3 Data'!H$10:H$145,0)+_xlfn.XLOOKUP('Summary Data'!$A42,'Round 4 Data'!$A$10:$A$147,'Round 4 Data'!H$10:H$147,0))/$D42</f>
        <v>#VALUE!</v>
      </c>
      <c r="I42" s="57" t="e">
        <f>(_xlfn.XLOOKUP('Summary Data'!$A42,'Round 1 Data'!$A$10:$A$143,'Round 1 Data'!I$10:I$144,0)+_xlfn.XLOOKUP('Summary Data'!$A42,'Round 2 Data'!$A$10:$A$146,'Round 2 Data'!I$10:I$146,0)+_xlfn.XLOOKUP('Summary Data'!$A42,'Round 3 Data'!$A$10:$A$145,'Round 3 Data'!I$10:I$145,0)+_xlfn.XLOOKUP('Summary Data'!$A42,'Round 4 Data'!$A$10:$A$147,'Round 4 Data'!I$10:I$147,0))/$D42</f>
        <v>#VALUE!</v>
      </c>
      <c r="J42" s="57" t="e">
        <f>(_xlfn.XLOOKUP('Summary Data'!$A42,'Round 1 Data'!$A$10:$A$143,'Round 1 Data'!J$10:J$144,0)+_xlfn.XLOOKUP('Summary Data'!$A42,'Round 2 Data'!$A$10:$A$146,'Round 2 Data'!J$10:J$146,0)+_xlfn.XLOOKUP('Summary Data'!$A42,'Round 3 Data'!$A$10:$A$145,'Round 3 Data'!J$10:J$145,0)+_xlfn.XLOOKUP('Summary Data'!$A42,'Round 4 Data'!$A$10:$A$147,'Round 4 Data'!J$10:J$147,0))/$D42</f>
        <v>#VALUE!</v>
      </c>
      <c r="K42" s="57" t="e">
        <f>(_xlfn.XLOOKUP('Summary Data'!$A42,'Round 1 Data'!$A$10:$A$143,'Round 1 Data'!K$10:K$144,0)+_xlfn.XLOOKUP('Summary Data'!$A42,'Round 2 Data'!$A$10:$A$146,'Round 2 Data'!K$10:K$146,0)+_xlfn.XLOOKUP('Summary Data'!$A42,'Round 3 Data'!$A$10:$A$145,'Round 3 Data'!K$10:K$145,0)+_xlfn.XLOOKUP('Summary Data'!$A42,'Round 4 Data'!$A$10:$A$147,'Round 4 Data'!K$10:K$147,0))/$D42</f>
        <v>#VALUE!</v>
      </c>
      <c r="L42" s="57" t="e">
        <f>(_xlfn.XLOOKUP('Summary Data'!$A42,'Round 1 Data'!$A$10:$A$143,'Round 1 Data'!L$10:L$144,0)+_xlfn.XLOOKUP('Summary Data'!$A42,'Round 2 Data'!$A$10:$A$146,'Round 2 Data'!L$10:L$146,0)+_xlfn.XLOOKUP('Summary Data'!$A42,'Round 3 Data'!$A$10:$A$145,'Round 3 Data'!L$10:L$145,0)+_xlfn.XLOOKUP('Summary Data'!$A42,'Round 4 Data'!$A$10:$A$147,'Round 4 Data'!L$10:L$147,0))/$D42</f>
        <v>#VALUE!</v>
      </c>
      <c r="M42" s="57" t="e">
        <f>(_xlfn.XLOOKUP('Summary Data'!$A42,'Round 1 Data'!$A$10:$A$143,'Round 1 Data'!M$10:M$144,0)+_xlfn.XLOOKUP('Summary Data'!$A42,'Round 2 Data'!$A$10:$A$146,'Round 2 Data'!M$10:M$146,0)+_xlfn.XLOOKUP('Summary Data'!$A42,'Round 3 Data'!$A$10:$A$145,'Round 3 Data'!M$10:M$145,0)+_xlfn.XLOOKUP('Summary Data'!$A42,'Round 4 Data'!$A$10:$A$147,'Round 4 Data'!M$10:M$147,0))/$D42</f>
        <v>#VALUE!</v>
      </c>
      <c r="N42" s="57" t="e">
        <f>(_xlfn.XLOOKUP('Summary Data'!$A42,'Round 1 Data'!$A$10:$A$143,'Round 1 Data'!N$10:N$144,0)+_xlfn.XLOOKUP('Summary Data'!$A42,'Round 2 Data'!$A$10:$A$146,'Round 2 Data'!N$10:N$146,0)+_xlfn.XLOOKUP('Summary Data'!$A42,'Round 3 Data'!$A$10:$A$145,'Round 3 Data'!N$10:N$145,0)+_xlfn.XLOOKUP('Summary Data'!$A42,'Round 4 Data'!$A$10:$A$147,'Round 4 Data'!N$10:N$147,0))/$D42</f>
        <v>#VALUE!</v>
      </c>
      <c r="O42" s="57" t="e">
        <f>(_xlfn.XLOOKUP('Summary Data'!$A42,'Round 1 Data'!$A$10:$A$143,'Round 1 Data'!O$10:O$144,0)+_xlfn.XLOOKUP('Summary Data'!$A42,'Round 2 Data'!$A$10:$A$146,'Round 2 Data'!O$10:O$146,0)+_xlfn.XLOOKUP('Summary Data'!$A42,'Round 3 Data'!$A$10:$A$145,'Round 3 Data'!O$10:O$145,0)+_xlfn.XLOOKUP('Summary Data'!$A42,'Round 4 Data'!$A$10:$A$147,'Round 4 Data'!O$10:O$147,0))/$D42</f>
        <v>#VALUE!</v>
      </c>
      <c r="P42" s="57" t="e">
        <f>(_xlfn.XLOOKUP('Summary Data'!$A42,'Round 1 Data'!$A$10:$A$143,'Round 1 Data'!P$10:P$144,0)+_xlfn.XLOOKUP('Summary Data'!$A42,'Round 2 Data'!$A$10:$A$146,'Round 2 Data'!P$10:P$146,0)+_xlfn.XLOOKUP('Summary Data'!$A42,'Round 3 Data'!$A$10:$A$145,'Round 3 Data'!P$10:P$145,0)+_xlfn.XLOOKUP('Summary Data'!$A42,'Round 4 Data'!$A$10:$A$147,'Round 4 Data'!P$10:P$147,0))/$D42</f>
        <v>#VALUE!</v>
      </c>
      <c r="Q42" s="57" t="e">
        <f>(_xlfn.XLOOKUP('Summary Data'!$A42,'Round 1 Data'!$A$10:$A$143,'Round 1 Data'!Q$10:Q$144,0)+_xlfn.XLOOKUP('Summary Data'!$A42,'Round 2 Data'!$A$10:$A$146,'Round 2 Data'!Q$10:Q$146,0)+_xlfn.XLOOKUP('Summary Data'!$A42,'Round 3 Data'!$A$10:$A$145,'Round 3 Data'!Q$10:Q$145,0)+_xlfn.XLOOKUP('Summary Data'!$A42,'Round 4 Data'!$A$10:$A$147,'Round 4 Data'!Q$10:Q$147,0))/$D42</f>
        <v>#VALUE!</v>
      </c>
      <c r="R42" s="57" t="e">
        <f>(_xlfn.XLOOKUP('Summary Data'!$A42,'Round 1 Data'!$A$10:$A$143,'Round 1 Data'!R$10:R$144,0)+_xlfn.XLOOKUP('Summary Data'!$A42,'Round 2 Data'!$A$10:$A$146,'Round 2 Data'!R$10:R$146,0)+_xlfn.XLOOKUP('Summary Data'!$A42,'Round 3 Data'!$A$10:$A$145,'Round 3 Data'!R$10:R$145,0)+_xlfn.XLOOKUP('Summary Data'!$A42,'Round 4 Data'!$A$10:$A$147,'Round 4 Data'!R$10:R$147,0))/$D42</f>
        <v>#VALUE!</v>
      </c>
      <c r="S42" s="57" t="e">
        <f>(_xlfn.XLOOKUP('Summary Data'!$A42,'Round 1 Data'!$A$10:$A$143,'Round 1 Data'!S$10:S$144,0)+_xlfn.XLOOKUP('Summary Data'!$A42,'Round 2 Data'!$A$10:$A$146,'Round 2 Data'!S$10:S$146,0)+_xlfn.XLOOKUP('Summary Data'!$A42,'Round 3 Data'!$A$10:$A$145,'Round 3 Data'!S$10:S$145,0)+_xlfn.XLOOKUP('Summary Data'!$A42,'Round 4 Data'!$A$10:$A$147,'Round 4 Data'!S$10:S$147,0))/$D42</f>
        <v>#VALUE!</v>
      </c>
      <c r="T42" s="62" t="e">
        <f>(_xlfn.XLOOKUP('Summary Data'!$A42,'Round 1 Data'!$A$10:$A$143,'Round 1 Data'!U$10:U$144,0)+_xlfn.XLOOKUP('Summary Data'!$A42,'Round 2 Data'!$A$10:$A$146,'Round 2 Data'!U$10:U$146,0)+_xlfn.XLOOKUP('Summary Data'!$A42,'Round 3 Data'!$A$10:$A$145,'Round 3 Data'!U$10:U$145,0)+_xlfn.XLOOKUP('Summary Data'!$A42,'Round 4 Data'!$A$10:$A$147,'Round 4 Data'!U$10:U$147,0))</f>
        <v>#VALUE!</v>
      </c>
    </row>
    <row r="43" spans="1:20" ht="16" thickBot="1" x14ac:dyDescent="0.25">
      <c r="A43" s="61" t="s">
        <v>142</v>
      </c>
      <c r="B43" t="s">
        <v>189</v>
      </c>
      <c r="C43" t="s">
        <v>199</v>
      </c>
      <c r="D43" t="e">
        <f>IF(_xlfn.XLOOKUP('Summary Data'!A43,'Round 1 Data'!$A$10:$A$143,'Round 1 Data'!$E$10:$E$144,0)=0,0,1)+IF(_xlfn.XLOOKUP('Summary Data'!A43,'Round 2 Data'!$A$10:$A$146,'Round 2 Data'!$E$10:$E$146,0)=0,0,1)+IF(_xlfn.XLOOKUP('Summary Data'!A43,'Round 3 Data'!$A$10:$A$145,'Round 3 Data'!$E$10:$E$145,0)=0,0,1)+IF(_xlfn.XLOOKUP('Summary Data'!A43,'Round 4 Data'!$A$10:$A$147,'Round 4 Data'!$E$10:$E$147,0)=0,0,1)</f>
        <v>#VALUE!</v>
      </c>
      <c r="E43" s="57" t="e">
        <f>(_xlfn.XLOOKUP('Summary Data'!$A43,'Round 1 Data'!$A$10:$A$143,'Round 1 Data'!E$10:E$144,0)+_xlfn.XLOOKUP('Summary Data'!$A43,'Round 2 Data'!$A$10:$A$146,'Round 2 Data'!E$10:E$146,0)+_xlfn.XLOOKUP('Summary Data'!$A43,'Round 3 Data'!$A$10:$A$145,'Round 3 Data'!E$10:E$145,0)+_xlfn.XLOOKUP('Summary Data'!$A43,'Round 4 Data'!$A$10:$A$147,'Round 4 Data'!E$10:E$147,0))/$D43</f>
        <v>#VALUE!</v>
      </c>
      <c r="F43" s="57" t="e">
        <f>(_xlfn.XLOOKUP('Summary Data'!$A43,'Round 1 Data'!$A$10:$A$143,'Round 1 Data'!F$10:F$144,0)+_xlfn.XLOOKUP('Summary Data'!$A43,'Round 2 Data'!$A$10:$A$146,'Round 2 Data'!F$10:F$146,0)+_xlfn.XLOOKUP('Summary Data'!$A43,'Round 3 Data'!$A$10:$A$145,'Round 3 Data'!F$10:F$145,0)+_xlfn.XLOOKUP('Summary Data'!$A43,'Round 4 Data'!$A$10:$A$147,'Round 4 Data'!F$10:F$147,0))/$D43</f>
        <v>#VALUE!</v>
      </c>
      <c r="G43" s="57" t="e">
        <f>(_xlfn.XLOOKUP('Summary Data'!$A43,'Round 1 Data'!$A$10:$A$143,'Round 1 Data'!G$10:G$144,0)+_xlfn.XLOOKUP('Summary Data'!$A43,'Round 2 Data'!$A$10:$A$146,'Round 2 Data'!G$10:G$146,0)+_xlfn.XLOOKUP('Summary Data'!$A43,'Round 3 Data'!$A$10:$A$145,'Round 3 Data'!G$10:G$145,0)+_xlfn.XLOOKUP('Summary Data'!$A43,'Round 4 Data'!$A$10:$A$147,'Round 4 Data'!G$10:G$147,0))/$D43</f>
        <v>#VALUE!</v>
      </c>
      <c r="H43" s="57" t="e">
        <f>(_xlfn.XLOOKUP('Summary Data'!$A43,'Round 1 Data'!$A$10:$A$143,'Round 1 Data'!H$10:H$144,0)+_xlfn.XLOOKUP('Summary Data'!$A43,'Round 2 Data'!$A$10:$A$146,'Round 2 Data'!H$10:H$146,0)+_xlfn.XLOOKUP('Summary Data'!$A43,'Round 3 Data'!$A$10:$A$145,'Round 3 Data'!H$10:H$145,0)+_xlfn.XLOOKUP('Summary Data'!$A43,'Round 4 Data'!$A$10:$A$147,'Round 4 Data'!H$10:H$147,0))/$D43</f>
        <v>#VALUE!</v>
      </c>
      <c r="I43" s="57" t="e">
        <f>(_xlfn.XLOOKUP('Summary Data'!$A43,'Round 1 Data'!$A$10:$A$143,'Round 1 Data'!I$10:I$144,0)+_xlfn.XLOOKUP('Summary Data'!$A43,'Round 2 Data'!$A$10:$A$146,'Round 2 Data'!I$10:I$146,0)+_xlfn.XLOOKUP('Summary Data'!$A43,'Round 3 Data'!$A$10:$A$145,'Round 3 Data'!I$10:I$145,0)+_xlfn.XLOOKUP('Summary Data'!$A43,'Round 4 Data'!$A$10:$A$147,'Round 4 Data'!I$10:I$147,0))/$D43</f>
        <v>#VALUE!</v>
      </c>
      <c r="J43" s="57" t="e">
        <f>(_xlfn.XLOOKUP('Summary Data'!$A43,'Round 1 Data'!$A$10:$A$143,'Round 1 Data'!J$10:J$144,0)+_xlfn.XLOOKUP('Summary Data'!$A43,'Round 2 Data'!$A$10:$A$146,'Round 2 Data'!J$10:J$146,0)+_xlfn.XLOOKUP('Summary Data'!$A43,'Round 3 Data'!$A$10:$A$145,'Round 3 Data'!J$10:J$145,0)+_xlfn.XLOOKUP('Summary Data'!$A43,'Round 4 Data'!$A$10:$A$147,'Round 4 Data'!J$10:J$147,0))/$D43</f>
        <v>#VALUE!</v>
      </c>
      <c r="K43" s="57" t="e">
        <f>(_xlfn.XLOOKUP('Summary Data'!$A43,'Round 1 Data'!$A$10:$A$143,'Round 1 Data'!K$10:K$144,0)+_xlfn.XLOOKUP('Summary Data'!$A43,'Round 2 Data'!$A$10:$A$146,'Round 2 Data'!K$10:K$146,0)+_xlfn.XLOOKUP('Summary Data'!$A43,'Round 3 Data'!$A$10:$A$145,'Round 3 Data'!K$10:K$145,0)+_xlfn.XLOOKUP('Summary Data'!$A43,'Round 4 Data'!$A$10:$A$147,'Round 4 Data'!K$10:K$147,0))/$D43</f>
        <v>#VALUE!</v>
      </c>
      <c r="L43" s="57" t="e">
        <f>(_xlfn.XLOOKUP('Summary Data'!$A43,'Round 1 Data'!$A$10:$A$143,'Round 1 Data'!L$10:L$144,0)+_xlfn.XLOOKUP('Summary Data'!$A43,'Round 2 Data'!$A$10:$A$146,'Round 2 Data'!L$10:L$146,0)+_xlfn.XLOOKUP('Summary Data'!$A43,'Round 3 Data'!$A$10:$A$145,'Round 3 Data'!L$10:L$145,0)+_xlfn.XLOOKUP('Summary Data'!$A43,'Round 4 Data'!$A$10:$A$147,'Round 4 Data'!L$10:L$147,0))/$D43</f>
        <v>#VALUE!</v>
      </c>
      <c r="M43" s="57" t="e">
        <f>(_xlfn.XLOOKUP('Summary Data'!$A43,'Round 1 Data'!$A$10:$A$143,'Round 1 Data'!M$10:M$144,0)+_xlfn.XLOOKUP('Summary Data'!$A43,'Round 2 Data'!$A$10:$A$146,'Round 2 Data'!M$10:M$146,0)+_xlfn.XLOOKUP('Summary Data'!$A43,'Round 3 Data'!$A$10:$A$145,'Round 3 Data'!M$10:M$145,0)+_xlfn.XLOOKUP('Summary Data'!$A43,'Round 4 Data'!$A$10:$A$147,'Round 4 Data'!M$10:M$147,0))/$D43</f>
        <v>#VALUE!</v>
      </c>
      <c r="N43" s="57" t="e">
        <f>(_xlfn.XLOOKUP('Summary Data'!$A43,'Round 1 Data'!$A$10:$A$143,'Round 1 Data'!N$10:N$144,0)+_xlfn.XLOOKUP('Summary Data'!$A43,'Round 2 Data'!$A$10:$A$146,'Round 2 Data'!N$10:N$146,0)+_xlfn.XLOOKUP('Summary Data'!$A43,'Round 3 Data'!$A$10:$A$145,'Round 3 Data'!N$10:N$145,0)+_xlfn.XLOOKUP('Summary Data'!$A43,'Round 4 Data'!$A$10:$A$147,'Round 4 Data'!N$10:N$147,0))/$D43</f>
        <v>#VALUE!</v>
      </c>
      <c r="O43" s="57" t="e">
        <f>(_xlfn.XLOOKUP('Summary Data'!$A43,'Round 1 Data'!$A$10:$A$143,'Round 1 Data'!O$10:O$144,0)+_xlfn.XLOOKUP('Summary Data'!$A43,'Round 2 Data'!$A$10:$A$146,'Round 2 Data'!O$10:O$146,0)+_xlfn.XLOOKUP('Summary Data'!$A43,'Round 3 Data'!$A$10:$A$145,'Round 3 Data'!O$10:O$145,0)+_xlfn.XLOOKUP('Summary Data'!$A43,'Round 4 Data'!$A$10:$A$147,'Round 4 Data'!O$10:O$147,0))/$D43</f>
        <v>#VALUE!</v>
      </c>
      <c r="P43" s="57" t="e">
        <f>(_xlfn.XLOOKUP('Summary Data'!$A43,'Round 1 Data'!$A$10:$A$143,'Round 1 Data'!P$10:P$144,0)+_xlfn.XLOOKUP('Summary Data'!$A43,'Round 2 Data'!$A$10:$A$146,'Round 2 Data'!P$10:P$146,0)+_xlfn.XLOOKUP('Summary Data'!$A43,'Round 3 Data'!$A$10:$A$145,'Round 3 Data'!P$10:P$145,0)+_xlfn.XLOOKUP('Summary Data'!$A43,'Round 4 Data'!$A$10:$A$147,'Round 4 Data'!P$10:P$147,0))/$D43</f>
        <v>#VALUE!</v>
      </c>
      <c r="Q43" s="57" t="e">
        <f>(_xlfn.XLOOKUP('Summary Data'!$A43,'Round 1 Data'!$A$10:$A$143,'Round 1 Data'!Q$10:Q$144,0)+_xlfn.XLOOKUP('Summary Data'!$A43,'Round 2 Data'!$A$10:$A$146,'Round 2 Data'!Q$10:Q$146,0)+_xlfn.XLOOKUP('Summary Data'!$A43,'Round 3 Data'!$A$10:$A$145,'Round 3 Data'!Q$10:Q$145,0)+_xlfn.XLOOKUP('Summary Data'!$A43,'Round 4 Data'!$A$10:$A$147,'Round 4 Data'!Q$10:Q$147,0))/$D43</f>
        <v>#VALUE!</v>
      </c>
      <c r="R43" s="57" t="e">
        <f>(_xlfn.XLOOKUP('Summary Data'!$A43,'Round 1 Data'!$A$10:$A$143,'Round 1 Data'!R$10:R$144,0)+_xlfn.XLOOKUP('Summary Data'!$A43,'Round 2 Data'!$A$10:$A$146,'Round 2 Data'!R$10:R$146,0)+_xlfn.XLOOKUP('Summary Data'!$A43,'Round 3 Data'!$A$10:$A$145,'Round 3 Data'!R$10:R$145,0)+_xlfn.XLOOKUP('Summary Data'!$A43,'Round 4 Data'!$A$10:$A$147,'Round 4 Data'!R$10:R$147,0))/$D43</f>
        <v>#VALUE!</v>
      </c>
      <c r="S43" s="57" t="e">
        <f>(_xlfn.XLOOKUP('Summary Data'!$A43,'Round 1 Data'!$A$10:$A$143,'Round 1 Data'!S$10:S$144,0)+_xlfn.XLOOKUP('Summary Data'!$A43,'Round 2 Data'!$A$10:$A$146,'Round 2 Data'!S$10:S$146,0)+_xlfn.XLOOKUP('Summary Data'!$A43,'Round 3 Data'!$A$10:$A$145,'Round 3 Data'!S$10:S$145,0)+_xlfn.XLOOKUP('Summary Data'!$A43,'Round 4 Data'!$A$10:$A$147,'Round 4 Data'!S$10:S$147,0))/$D43</f>
        <v>#VALUE!</v>
      </c>
      <c r="T43" s="62" t="e">
        <f>(_xlfn.XLOOKUP('Summary Data'!$A43,'Round 1 Data'!$A$10:$A$143,'Round 1 Data'!U$10:U$144,0)+_xlfn.XLOOKUP('Summary Data'!$A43,'Round 2 Data'!$A$10:$A$146,'Round 2 Data'!U$10:U$146,0)+_xlfn.XLOOKUP('Summary Data'!$A43,'Round 3 Data'!$A$10:$A$145,'Round 3 Data'!U$10:U$145,0)+_xlfn.XLOOKUP('Summary Data'!$A43,'Round 4 Data'!$A$10:$A$147,'Round 4 Data'!U$10:U$147,0))</f>
        <v>#VALUE!</v>
      </c>
    </row>
    <row r="44" spans="1:20" ht="16" thickBot="1" x14ac:dyDescent="0.25">
      <c r="A44" s="63" t="s">
        <v>143</v>
      </c>
      <c r="B44" t="s">
        <v>189</v>
      </c>
      <c r="C44" t="s">
        <v>200</v>
      </c>
      <c r="D44" t="e">
        <f>IF(_xlfn.XLOOKUP('Summary Data'!A44,'Round 1 Data'!$A$10:$A$143,'Round 1 Data'!$E$10:$E$144,0)=0,0,1)+IF(_xlfn.XLOOKUP('Summary Data'!A44,'Round 2 Data'!$A$10:$A$146,'Round 2 Data'!$E$10:$E$146,0)=0,0,1)+IF(_xlfn.XLOOKUP('Summary Data'!A44,'Round 3 Data'!$A$10:$A$145,'Round 3 Data'!$E$10:$E$145,0)=0,0,1)+IF(_xlfn.XLOOKUP('Summary Data'!A44,'Round 4 Data'!$A$10:$A$147,'Round 4 Data'!$E$10:$E$147,0)=0,0,1)</f>
        <v>#VALUE!</v>
      </c>
      <c r="E44" s="57" t="e">
        <f>(_xlfn.XLOOKUP('Summary Data'!$A44,'Round 1 Data'!$A$10:$A$143,'Round 1 Data'!E$10:E$144,0)+_xlfn.XLOOKUP('Summary Data'!$A44,'Round 2 Data'!$A$10:$A$146,'Round 2 Data'!E$10:E$146,0)+_xlfn.XLOOKUP('Summary Data'!$A44,'Round 3 Data'!$A$10:$A$145,'Round 3 Data'!E$10:E$145,0)+_xlfn.XLOOKUP('Summary Data'!$A44,'Round 4 Data'!$A$10:$A$147,'Round 4 Data'!E$10:E$147,0))/$D44</f>
        <v>#VALUE!</v>
      </c>
      <c r="F44" s="57" t="e">
        <f>(_xlfn.XLOOKUP('Summary Data'!$A44,'Round 1 Data'!$A$10:$A$143,'Round 1 Data'!F$10:F$144,0)+_xlfn.XLOOKUP('Summary Data'!$A44,'Round 2 Data'!$A$10:$A$146,'Round 2 Data'!F$10:F$146,0)+_xlfn.XLOOKUP('Summary Data'!$A44,'Round 3 Data'!$A$10:$A$145,'Round 3 Data'!F$10:F$145,0)+_xlfn.XLOOKUP('Summary Data'!$A44,'Round 4 Data'!$A$10:$A$147,'Round 4 Data'!F$10:F$147,0))/$D44</f>
        <v>#VALUE!</v>
      </c>
      <c r="G44" s="57" t="e">
        <f>(_xlfn.XLOOKUP('Summary Data'!$A44,'Round 1 Data'!$A$10:$A$143,'Round 1 Data'!G$10:G$144,0)+_xlfn.XLOOKUP('Summary Data'!$A44,'Round 2 Data'!$A$10:$A$146,'Round 2 Data'!G$10:G$146,0)+_xlfn.XLOOKUP('Summary Data'!$A44,'Round 3 Data'!$A$10:$A$145,'Round 3 Data'!G$10:G$145,0)+_xlfn.XLOOKUP('Summary Data'!$A44,'Round 4 Data'!$A$10:$A$147,'Round 4 Data'!G$10:G$147,0))/$D44</f>
        <v>#VALUE!</v>
      </c>
      <c r="H44" s="57" t="e">
        <f>(_xlfn.XLOOKUP('Summary Data'!$A44,'Round 1 Data'!$A$10:$A$143,'Round 1 Data'!H$10:H$144,0)+_xlfn.XLOOKUP('Summary Data'!$A44,'Round 2 Data'!$A$10:$A$146,'Round 2 Data'!H$10:H$146,0)+_xlfn.XLOOKUP('Summary Data'!$A44,'Round 3 Data'!$A$10:$A$145,'Round 3 Data'!H$10:H$145,0)+_xlfn.XLOOKUP('Summary Data'!$A44,'Round 4 Data'!$A$10:$A$147,'Round 4 Data'!H$10:H$147,0))/$D44</f>
        <v>#VALUE!</v>
      </c>
      <c r="I44" s="57" t="e">
        <f>(_xlfn.XLOOKUP('Summary Data'!$A44,'Round 1 Data'!$A$10:$A$143,'Round 1 Data'!I$10:I$144,0)+_xlfn.XLOOKUP('Summary Data'!$A44,'Round 2 Data'!$A$10:$A$146,'Round 2 Data'!I$10:I$146,0)+_xlfn.XLOOKUP('Summary Data'!$A44,'Round 3 Data'!$A$10:$A$145,'Round 3 Data'!I$10:I$145,0)+_xlfn.XLOOKUP('Summary Data'!$A44,'Round 4 Data'!$A$10:$A$147,'Round 4 Data'!I$10:I$147,0))/$D44</f>
        <v>#VALUE!</v>
      </c>
      <c r="J44" s="57" t="e">
        <f>(_xlfn.XLOOKUP('Summary Data'!$A44,'Round 1 Data'!$A$10:$A$143,'Round 1 Data'!J$10:J$144,0)+_xlfn.XLOOKUP('Summary Data'!$A44,'Round 2 Data'!$A$10:$A$146,'Round 2 Data'!J$10:J$146,0)+_xlfn.XLOOKUP('Summary Data'!$A44,'Round 3 Data'!$A$10:$A$145,'Round 3 Data'!J$10:J$145,0)+_xlfn.XLOOKUP('Summary Data'!$A44,'Round 4 Data'!$A$10:$A$147,'Round 4 Data'!J$10:J$147,0))/$D44</f>
        <v>#VALUE!</v>
      </c>
      <c r="K44" s="57" t="e">
        <f>(_xlfn.XLOOKUP('Summary Data'!$A44,'Round 1 Data'!$A$10:$A$143,'Round 1 Data'!K$10:K$144,0)+_xlfn.XLOOKUP('Summary Data'!$A44,'Round 2 Data'!$A$10:$A$146,'Round 2 Data'!K$10:K$146,0)+_xlfn.XLOOKUP('Summary Data'!$A44,'Round 3 Data'!$A$10:$A$145,'Round 3 Data'!K$10:K$145,0)+_xlfn.XLOOKUP('Summary Data'!$A44,'Round 4 Data'!$A$10:$A$147,'Round 4 Data'!K$10:K$147,0))/$D44</f>
        <v>#VALUE!</v>
      </c>
      <c r="L44" s="57" t="e">
        <f>(_xlfn.XLOOKUP('Summary Data'!$A44,'Round 1 Data'!$A$10:$A$143,'Round 1 Data'!L$10:L$144,0)+_xlfn.XLOOKUP('Summary Data'!$A44,'Round 2 Data'!$A$10:$A$146,'Round 2 Data'!L$10:L$146,0)+_xlfn.XLOOKUP('Summary Data'!$A44,'Round 3 Data'!$A$10:$A$145,'Round 3 Data'!L$10:L$145,0)+_xlfn.XLOOKUP('Summary Data'!$A44,'Round 4 Data'!$A$10:$A$147,'Round 4 Data'!L$10:L$147,0))/$D44</f>
        <v>#VALUE!</v>
      </c>
      <c r="M44" s="57" t="e">
        <f>(_xlfn.XLOOKUP('Summary Data'!$A44,'Round 1 Data'!$A$10:$A$143,'Round 1 Data'!M$10:M$144,0)+_xlfn.XLOOKUP('Summary Data'!$A44,'Round 2 Data'!$A$10:$A$146,'Round 2 Data'!M$10:M$146,0)+_xlfn.XLOOKUP('Summary Data'!$A44,'Round 3 Data'!$A$10:$A$145,'Round 3 Data'!M$10:M$145,0)+_xlfn.XLOOKUP('Summary Data'!$A44,'Round 4 Data'!$A$10:$A$147,'Round 4 Data'!M$10:M$147,0))/$D44</f>
        <v>#VALUE!</v>
      </c>
      <c r="N44" s="57" t="e">
        <f>(_xlfn.XLOOKUP('Summary Data'!$A44,'Round 1 Data'!$A$10:$A$143,'Round 1 Data'!N$10:N$144,0)+_xlfn.XLOOKUP('Summary Data'!$A44,'Round 2 Data'!$A$10:$A$146,'Round 2 Data'!N$10:N$146,0)+_xlfn.XLOOKUP('Summary Data'!$A44,'Round 3 Data'!$A$10:$A$145,'Round 3 Data'!N$10:N$145,0)+_xlfn.XLOOKUP('Summary Data'!$A44,'Round 4 Data'!$A$10:$A$147,'Round 4 Data'!N$10:N$147,0))/$D44</f>
        <v>#VALUE!</v>
      </c>
      <c r="O44" s="57" t="e">
        <f>(_xlfn.XLOOKUP('Summary Data'!$A44,'Round 1 Data'!$A$10:$A$143,'Round 1 Data'!O$10:O$144,0)+_xlfn.XLOOKUP('Summary Data'!$A44,'Round 2 Data'!$A$10:$A$146,'Round 2 Data'!O$10:O$146,0)+_xlfn.XLOOKUP('Summary Data'!$A44,'Round 3 Data'!$A$10:$A$145,'Round 3 Data'!O$10:O$145,0)+_xlfn.XLOOKUP('Summary Data'!$A44,'Round 4 Data'!$A$10:$A$147,'Round 4 Data'!O$10:O$147,0))/$D44</f>
        <v>#VALUE!</v>
      </c>
      <c r="P44" s="57" t="e">
        <f>(_xlfn.XLOOKUP('Summary Data'!$A44,'Round 1 Data'!$A$10:$A$143,'Round 1 Data'!P$10:P$144,0)+_xlfn.XLOOKUP('Summary Data'!$A44,'Round 2 Data'!$A$10:$A$146,'Round 2 Data'!P$10:P$146,0)+_xlfn.XLOOKUP('Summary Data'!$A44,'Round 3 Data'!$A$10:$A$145,'Round 3 Data'!P$10:P$145,0)+_xlfn.XLOOKUP('Summary Data'!$A44,'Round 4 Data'!$A$10:$A$147,'Round 4 Data'!P$10:P$147,0))/$D44</f>
        <v>#VALUE!</v>
      </c>
      <c r="Q44" s="57" t="e">
        <f>(_xlfn.XLOOKUP('Summary Data'!$A44,'Round 1 Data'!$A$10:$A$143,'Round 1 Data'!Q$10:Q$144,0)+_xlfn.XLOOKUP('Summary Data'!$A44,'Round 2 Data'!$A$10:$A$146,'Round 2 Data'!Q$10:Q$146,0)+_xlfn.XLOOKUP('Summary Data'!$A44,'Round 3 Data'!$A$10:$A$145,'Round 3 Data'!Q$10:Q$145,0)+_xlfn.XLOOKUP('Summary Data'!$A44,'Round 4 Data'!$A$10:$A$147,'Round 4 Data'!Q$10:Q$147,0))/$D44</f>
        <v>#VALUE!</v>
      </c>
      <c r="R44" s="57" t="e">
        <f>(_xlfn.XLOOKUP('Summary Data'!$A44,'Round 1 Data'!$A$10:$A$143,'Round 1 Data'!R$10:R$144,0)+_xlfn.XLOOKUP('Summary Data'!$A44,'Round 2 Data'!$A$10:$A$146,'Round 2 Data'!R$10:R$146,0)+_xlfn.XLOOKUP('Summary Data'!$A44,'Round 3 Data'!$A$10:$A$145,'Round 3 Data'!R$10:R$145,0)+_xlfn.XLOOKUP('Summary Data'!$A44,'Round 4 Data'!$A$10:$A$147,'Round 4 Data'!R$10:R$147,0))/$D44</f>
        <v>#VALUE!</v>
      </c>
      <c r="S44" s="57" t="e">
        <f>(_xlfn.XLOOKUP('Summary Data'!$A44,'Round 1 Data'!$A$10:$A$143,'Round 1 Data'!S$10:S$144,0)+_xlfn.XLOOKUP('Summary Data'!$A44,'Round 2 Data'!$A$10:$A$146,'Round 2 Data'!S$10:S$146,0)+_xlfn.XLOOKUP('Summary Data'!$A44,'Round 3 Data'!$A$10:$A$145,'Round 3 Data'!S$10:S$145,0)+_xlfn.XLOOKUP('Summary Data'!$A44,'Round 4 Data'!$A$10:$A$147,'Round 4 Data'!S$10:S$147,0))/$D44</f>
        <v>#VALUE!</v>
      </c>
      <c r="T44" s="62" t="e">
        <f>(_xlfn.XLOOKUP('Summary Data'!$A44,'Round 1 Data'!$A$10:$A$143,'Round 1 Data'!U$10:U$144,0)+_xlfn.XLOOKUP('Summary Data'!$A44,'Round 2 Data'!$A$10:$A$146,'Round 2 Data'!U$10:U$146,0)+_xlfn.XLOOKUP('Summary Data'!$A44,'Round 3 Data'!$A$10:$A$145,'Round 3 Data'!U$10:U$145,0)+_xlfn.XLOOKUP('Summary Data'!$A44,'Round 4 Data'!$A$10:$A$147,'Round 4 Data'!U$10:U$147,0))</f>
        <v>#VALUE!</v>
      </c>
    </row>
    <row r="45" spans="1:20" ht="16" thickBot="1" x14ac:dyDescent="0.25">
      <c r="A45" s="61" t="s">
        <v>144</v>
      </c>
      <c r="B45" t="s">
        <v>189</v>
      </c>
      <c r="C45" t="s">
        <v>200</v>
      </c>
      <c r="D45" t="e">
        <f>IF(_xlfn.XLOOKUP('Summary Data'!A45,'Round 1 Data'!$A$10:$A$143,'Round 1 Data'!$E$10:$E$144,0)=0,0,1)+IF(_xlfn.XLOOKUP('Summary Data'!A45,'Round 2 Data'!$A$10:$A$146,'Round 2 Data'!$E$10:$E$146,0)=0,0,1)+IF(_xlfn.XLOOKUP('Summary Data'!A45,'Round 3 Data'!$A$10:$A$145,'Round 3 Data'!$E$10:$E$145,0)=0,0,1)+IF(_xlfn.XLOOKUP('Summary Data'!A45,'Round 4 Data'!$A$10:$A$147,'Round 4 Data'!$E$10:$E$147,0)=0,0,1)</f>
        <v>#VALUE!</v>
      </c>
      <c r="E45" s="57" t="e">
        <f>(_xlfn.XLOOKUP('Summary Data'!$A45,'Round 1 Data'!$A$10:$A$143,'Round 1 Data'!E$10:E$144,0)+_xlfn.XLOOKUP('Summary Data'!$A45,'Round 2 Data'!$A$10:$A$146,'Round 2 Data'!E$10:E$146,0)+_xlfn.XLOOKUP('Summary Data'!$A45,'Round 3 Data'!$A$10:$A$145,'Round 3 Data'!E$10:E$145,0)+_xlfn.XLOOKUP('Summary Data'!$A45,'Round 4 Data'!$A$10:$A$147,'Round 4 Data'!E$10:E$147,0))/$D45</f>
        <v>#VALUE!</v>
      </c>
      <c r="F45" s="57" t="e">
        <f>(_xlfn.XLOOKUP('Summary Data'!$A45,'Round 1 Data'!$A$10:$A$143,'Round 1 Data'!F$10:F$144,0)+_xlfn.XLOOKUP('Summary Data'!$A45,'Round 2 Data'!$A$10:$A$146,'Round 2 Data'!F$10:F$146,0)+_xlfn.XLOOKUP('Summary Data'!$A45,'Round 3 Data'!$A$10:$A$145,'Round 3 Data'!F$10:F$145,0)+_xlfn.XLOOKUP('Summary Data'!$A45,'Round 4 Data'!$A$10:$A$147,'Round 4 Data'!F$10:F$147,0))/$D45</f>
        <v>#VALUE!</v>
      </c>
      <c r="G45" s="57" t="e">
        <f>(_xlfn.XLOOKUP('Summary Data'!$A45,'Round 1 Data'!$A$10:$A$143,'Round 1 Data'!G$10:G$144,0)+_xlfn.XLOOKUP('Summary Data'!$A45,'Round 2 Data'!$A$10:$A$146,'Round 2 Data'!G$10:G$146,0)+_xlfn.XLOOKUP('Summary Data'!$A45,'Round 3 Data'!$A$10:$A$145,'Round 3 Data'!G$10:G$145,0)+_xlfn.XLOOKUP('Summary Data'!$A45,'Round 4 Data'!$A$10:$A$147,'Round 4 Data'!G$10:G$147,0))/$D45</f>
        <v>#VALUE!</v>
      </c>
      <c r="H45" s="57" t="e">
        <f>(_xlfn.XLOOKUP('Summary Data'!$A45,'Round 1 Data'!$A$10:$A$143,'Round 1 Data'!H$10:H$144,0)+_xlfn.XLOOKUP('Summary Data'!$A45,'Round 2 Data'!$A$10:$A$146,'Round 2 Data'!H$10:H$146,0)+_xlfn.XLOOKUP('Summary Data'!$A45,'Round 3 Data'!$A$10:$A$145,'Round 3 Data'!H$10:H$145,0)+_xlfn.XLOOKUP('Summary Data'!$A45,'Round 4 Data'!$A$10:$A$147,'Round 4 Data'!H$10:H$147,0))/$D45</f>
        <v>#VALUE!</v>
      </c>
      <c r="I45" s="57" t="e">
        <f>(_xlfn.XLOOKUP('Summary Data'!$A45,'Round 1 Data'!$A$10:$A$143,'Round 1 Data'!I$10:I$144,0)+_xlfn.XLOOKUP('Summary Data'!$A45,'Round 2 Data'!$A$10:$A$146,'Round 2 Data'!I$10:I$146,0)+_xlfn.XLOOKUP('Summary Data'!$A45,'Round 3 Data'!$A$10:$A$145,'Round 3 Data'!I$10:I$145,0)+_xlfn.XLOOKUP('Summary Data'!$A45,'Round 4 Data'!$A$10:$A$147,'Round 4 Data'!I$10:I$147,0))/$D45</f>
        <v>#VALUE!</v>
      </c>
      <c r="J45" s="57" t="e">
        <f>(_xlfn.XLOOKUP('Summary Data'!$A45,'Round 1 Data'!$A$10:$A$143,'Round 1 Data'!J$10:J$144,0)+_xlfn.XLOOKUP('Summary Data'!$A45,'Round 2 Data'!$A$10:$A$146,'Round 2 Data'!J$10:J$146,0)+_xlfn.XLOOKUP('Summary Data'!$A45,'Round 3 Data'!$A$10:$A$145,'Round 3 Data'!J$10:J$145,0)+_xlfn.XLOOKUP('Summary Data'!$A45,'Round 4 Data'!$A$10:$A$147,'Round 4 Data'!J$10:J$147,0))/$D45</f>
        <v>#VALUE!</v>
      </c>
      <c r="K45" s="57" t="e">
        <f>(_xlfn.XLOOKUP('Summary Data'!$A45,'Round 1 Data'!$A$10:$A$143,'Round 1 Data'!K$10:K$144,0)+_xlfn.XLOOKUP('Summary Data'!$A45,'Round 2 Data'!$A$10:$A$146,'Round 2 Data'!K$10:K$146,0)+_xlfn.XLOOKUP('Summary Data'!$A45,'Round 3 Data'!$A$10:$A$145,'Round 3 Data'!K$10:K$145,0)+_xlfn.XLOOKUP('Summary Data'!$A45,'Round 4 Data'!$A$10:$A$147,'Round 4 Data'!K$10:K$147,0))/$D45</f>
        <v>#VALUE!</v>
      </c>
      <c r="L45" s="57" t="e">
        <f>(_xlfn.XLOOKUP('Summary Data'!$A45,'Round 1 Data'!$A$10:$A$143,'Round 1 Data'!L$10:L$144,0)+_xlfn.XLOOKUP('Summary Data'!$A45,'Round 2 Data'!$A$10:$A$146,'Round 2 Data'!L$10:L$146,0)+_xlfn.XLOOKUP('Summary Data'!$A45,'Round 3 Data'!$A$10:$A$145,'Round 3 Data'!L$10:L$145,0)+_xlfn.XLOOKUP('Summary Data'!$A45,'Round 4 Data'!$A$10:$A$147,'Round 4 Data'!L$10:L$147,0))/$D45</f>
        <v>#VALUE!</v>
      </c>
      <c r="M45" s="57" t="e">
        <f>(_xlfn.XLOOKUP('Summary Data'!$A45,'Round 1 Data'!$A$10:$A$143,'Round 1 Data'!M$10:M$144,0)+_xlfn.XLOOKUP('Summary Data'!$A45,'Round 2 Data'!$A$10:$A$146,'Round 2 Data'!M$10:M$146,0)+_xlfn.XLOOKUP('Summary Data'!$A45,'Round 3 Data'!$A$10:$A$145,'Round 3 Data'!M$10:M$145,0)+_xlfn.XLOOKUP('Summary Data'!$A45,'Round 4 Data'!$A$10:$A$147,'Round 4 Data'!M$10:M$147,0))/$D45</f>
        <v>#VALUE!</v>
      </c>
      <c r="N45" s="57" t="e">
        <f>(_xlfn.XLOOKUP('Summary Data'!$A45,'Round 1 Data'!$A$10:$A$143,'Round 1 Data'!N$10:N$144,0)+_xlfn.XLOOKUP('Summary Data'!$A45,'Round 2 Data'!$A$10:$A$146,'Round 2 Data'!N$10:N$146,0)+_xlfn.XLOOKUP('Summary Data'!$A45,'Round 3 Data'!$A$10:$A$145,'Round 3 Data'!N$10:N$145,0)+_xlfn.XLOOKUP('Summary Data'!$A45,'Round 4 Data'!$A$10:$A$147,'Round 4 Data'!N$10:N$147,0))/$D45</f>
        <v>#VALUE!</v>
      </c>
      <c r="O45" s="57" t="e">
        <f>(_xlfn.XLOOKUP('Summary Data'!$A45,'Round 1 Data'!$A$10:$A$143,'Round 1 Data'!O$10:O$144,0)+_xlfn.XLOOKUP('Summary Data'!$A45,'Round 2 Data'!$A$10:$A$146,'Round 2 Data'!O$10:O$146,0)+_xlfn.XLOOKUP('Summary Data'!$A45,'Round 3 Data'!$A$10:$A$145,'Round 3 Data'!O$10:O$145,0)+_xlfn.XLOOKUP('Summary Data'!$A45,'Round 4 Data'!$A$10:$A$147,'Round 4 Data'!O$10:O$147,0))/$D45</f>
        <v>#VALUE!</v>
      </c>
      <c r="P45" s="57" t="e">
        <f>(_xlfn.XLOOKUP('Summary Data'!$A45,'Round 1 Data'!$A$10:$A$143,'Round 1 Data'!P$10:P$144,0)+_xlfn.XLOOKUP('Summary Data'!$A45,'Round 2 Data'!$A$10:$A$146,'Round 2 Data'!P$10:P$146,0)+_xlfn.XLOOKUP('Summary Data'!$A45,'Round 3 Data'!$A$10:$A$145,'Round 3 Data'!P$10:P$145,0)+_xlfn.XLOOKUP('Summary Data'!$A45,'Round 4 Data'!$A$10:$A$147,'Round 4 Data'!P$10:P$147,0))/$D45</f>
        <v>#VALUE!</v>
      </c>
      <c r="Q45" s="57" t="e">
        <f>(_xlfn.XLOOKUP('Summary Data'!$A45,'Round 1 Data'!$A$10:$A$143,'Round 1 Data'!Q$10:Q$144,0)+_xlfn.XLOOKUP('Summary Data'!$A45,'Round 2 Data'!$A$10:$A$146,'Round 2 Data'!Q$10:Q$146,0)+_xlfn.XLOOKUP('Summary Data'!$A45,'Round 3 Data'!$A$10:$A$145,'Round 3 Data'!Q$10:Q$145,0)+_xlfn.XLOOKUP('Summary Data'!$A45,'Round 4 Data'!$A$10:$A$147,'Round 4 Data'!Q$10:Q$147,0))/$D45</f>
        <v>#VALUE!</v>
      </c>
      <c r="R45" s="57" t="e">
        <f>(_xlfn.XLOOKUP('Summary Data'!$A45,'Round 1 Data'!$A$10:$A$143,'Round 1 Data'!R$10:R$144,0)+_xlfn.XLOOKUP('Summary Data'!$A45,'Round 2 Data'!$A$10:$A$146,'Round 2 Data'!R$10:R$146,0)+_xlfn.XLOOKUP('Summary Data'!$A45,'Round 3 Data'!$A$10:$A$145,'Round 3 Data'!R$10:R$145,0)+_xlfn.XLOOKUP('Summary Data'!$A45,'Round 4 Data'!$A$10:$A$147,'Round 4 Data'!R$10:R$147,0))/$D45</f>
        <v>#VALUE!</v>
      </c>
      <c r="S45" s="57" t="e">
        <f>(_xlfn.XLOOKUP('Summary Data'!$A45,'Round 1 Data'!$A$10:$A$143,'Round 1 Data'!S$10:S$144,0)+_xlfn.XLOOKUP('Summary Data'!$A45,'Round 2 Data'!$A$10:$A$146,'Round 2 Data'!S$10:S$146,0)+_xlfn.XLOOKUP('Summary Data'!$A45,'Round 3 Data'!$A$10:$A$145,'Round 3 Data'!S$10:S$145,0)+_xlfn.XLOOKUP('Summary Data'!$A45,'Round 4 Data'!$A$10:$A$147,'Round 4 Data'!S$10:S$147,0))/$D45</f>
        <v>#VALUE!</v>
      </c>
      <c r="T45" s="62" t="e">
        <f>(_xlfn.XLOOKUP('Summary Data'!$A45,'Round 1 Data'!$A$10:$A$143,'Round 1 Data'!U$10:U$144,0)+_xlfn.XLOOKUP('Summary Data'!$A45,'Round 2 Data'!$A$10:$A$146,'Round 2 Data'!U$10:U$146,0)+_xlfn.XLOOKUP('Summary Data'!$A45,'Round 3 Data'!$A$10:$A$145,'Round 3 Data'!U$10:U$145,0)+_xlfn.XLOOKUP('Summary Data'!$A45,'Round 4 Data'!$A$10:$A$147,'Round 4 Data'!U$10:U$147,0))</f>
        <v>#VALUE!</v>
      </c>
    </row>
    <row r="46" spans="1:20" ht="16" thickBot="1" x14ac:dyDescent="0.25">
      <c r="A46" s="63" t="s">
        <v>145</v>
      </c>
      <c r="B46" t="s">
        <v>189</v>
      </c>
      <c r="C46" t="s">
        <v>200</v>
      </c>
      <c r="D46" t="e">
        <f>IF(_xlfn.XLOOKUP('Summary Data'!A46,'Round 1 Data'!$A$10:$A$143,'Round 1 Data'!$E$10:$E$144,0)=0,0,1)+IF(_xlfn.XLOOKUP('Summary Data'!A46,'Round 2 Data'!$A$10:$A$146,'Round 2 Data'!$E$10:$E$146,0)=0,0,1)+IF(_xlfn.XLOOKUP('Summary Data'!A46,'Round 3 Data'!$A$10:$A$145,'Round 3 Data'!$E$10:$E$145,0)=0,0,1)+IF(_xlfn.XLOOKUP('Summary Data'!A46,'Round 4 Data'!$A$10:$A$147,'Round 4 Data'!$E$10:$E$147,0)=0,0,1)</f>
        <v>#VALUE!</v>
      </c>
      <c r="E46" s="57" t="e">
        <f>(_xlfn.XLOOKUP('Summary Data'!$A46,'Round 1 Data'!$A$10:$A$143,'Round 1 Data'!E$10:E$144,0)+_xlfn.XLOOKUP('Summary Data'!$A46,'Round 2 Data'!$A$10:$A$146,'Round 2 Data'!E$10:E$146,0)+_xlfn.XLOOKUP('Summary Data'!$A46,'Round 3 Data'!$A$10:$A$145,'Round 3 Data'!E$10:E$145,0)+_xlfn.XLOOKUP('Summary Data'!$A46,'Round 4 Data'!$A$10:$A$147,'Round 4 Data'!E$10:E$147,0))/$D46</f>
        <v>#VALUE!</v>
      </c>
      <c r="F46" s="57" t="e">
        <f>(_xlfn.XLOOKUP('Summary Data'!$A46,'Round 1 Data'!$A$10:$A$143,'Round 1 Data'!F$10:F$144,0)+_xlfn.XLOOKUP('Summary Data'!$A46,'Round 2 Data'!$A$10:$A$146,'Round 2 Data'!F$10:F$146,0)+_xlfn.XLOOKUP('Summary Data'!$A46,'Round 3 Data'!$A$10:$A$145,'Round 3 Data'!F$10:F$145,0)+_xlfn.XLOOKUP('Summary Data'!$A46,'Round 4 Data'!$A$10:$A$147,'Round 4 Data'!F$10:F$147,0))/$D46</f>
        <v>#VALUE!</v>
      </c>
      <c r="G46" s="57" t="e">
        <f>(_xlfn.XLOOKUP('Summary Data'!$A46,'Round 1 Data'!$A$10:$A$143,'Round 1 Data'!G$10:G$144,0)+_xlfn.XLOOKUP('Summary Data'!$A46,'Round 2 Data'!$A$10:$A$146,'Round 2 Data'!G$10:G$146,0)+_xlfn.XLOOKUP('Summary Data'!$A46,'Round 3 Data'!$A$10:$A$145,'Round 3 Data'!G$10:G$145,0)+_xlfn.XLOOKUP('Summary Data'!$A46,'Round 4 Data'!$A$10:$A$147,'Round 4 Data'!G$10:G$147,0))/$D46</f>
        <v>#VALUE!</v>
      </c>
      <c r="H46" s="57" t="e">
        <f>(_xlfn.XLOOKUP('Summary Data'!$A46,'Round 1 Data'!$A$10:$A$143,'Round 1 Data'!H$10:H$144,0)+_xlfn.XLOOKUP('Summary Data'!$A46,'Round 2 Data'!$A$10:$A$146,'Round 2 Data'!H$10:H$146,0)+_xlfn.XLOOKUP('Summary Data'!$A46,'Round 3 Data'!$A$10:$A$145,'Round 3 Data'!H$10:H$145,0)+_xlfn.XLOOKUP('Summary Data'!$A46,'Round 4 Data'!$A$10:$A$147,'Round 4 Data'!H$10:H$147,0))/$D46</f>
        <v>#VALUE!</v>
      </c>
      <c r="I46" s="57" t="e">
        <f>(_xlfn.XLOOKUP('Summary Data'!$A46,'Round 1 Data'!$A$10:$A$143,'Round 1 Data'!I$10:I$144,0)+_xlfn.XLOOKUP('Summary Data'!$A46,'Round 2 Data'!$A$10:$A$146,'Round 2 Data'!I$10:I$146,0)+_xlfn.XLOOKUP('Summary Data'!$A46,'Round 3 Data'!$A$10:$A$145,'Round 3 Data'!I$10:I$145,0)+_xlfn.XLOOKUP('Summary Data'!$A46,'Round 4 Data'!$A$10:$A$147,'Round 4 Data'!I$10:I$147,0))/$D46</f>
        <v>#VALUE!</v>
      </c>
      <c r="J46" s="57" t="e">
        <f>(_xlfn.XLOOKUP('Summary Data'!$A46,'Round 1 Data'!$A$10:$A$143,'Round 1 Data'!J$10:J$144,0)+_xlfn.XLOOKUP('Summary Data'!$A46,'Round 2 Data'!$A$10:$A$146,'Round 2 Data'!J$10:J$146,0)+_xlfn.XLOOKUP('Summary Data'!$A46,'Round 3 Data'!$A$10:$A$145,'Round 3 Data'!J$10:J$145,0)+_xlfn.XLOOKUP('Summary Data'!$A46,'Round 4 Data'!$A$10:$A$147,'Round 4 Data'!J$10:J$147,0))/$D46</f>
        <v>#VALUE!</v>
      </c>
      <c r="K46" s="57" t="e">
        <f>(_xlfn.XLOOKUP('Summary Data'!$A46,'Round 1 Data'!$A$10:$A$143,'Round 1 Data'!K$10:K$144,0)+_xlfn.XLOOKUP('Summary Data'!$A46,'Round 2 Data'!$A$10:$A$146,'Round 2 Data'!K$10:K$146,0)+_xlfn.XLOOKUP('Summary Data'!$A46,'Round 3 Data'!$A$10:$A$145,'Round 3 Data'!K$10:K$145,0)+_xlfn.XLOOKUP('Summary Data'!$A46,'Round 4 Data'!$A$10:$A$147,'Round 4 Data'!K$10:K$147,0))/$D46</f>
        <v>#VALUE!</v>
      </c>
      <c r="L46" s="57" t="e">
        <f>(_xlfn.XLOOKUP('Summary Data'!$A46,'Round 1 Data'!$A$10:$A$143,'Round 1 Data'!L$10:L$144,0)+_xlfn.XLOOKUP('Summary Data'!$A46,'Round 2 Data'!$A$10:$A$146,'Round 2 Data'!L$10:L$146,0)+_xlfn.XLOOKUP('Summary Data'!$A46,'Round 3 Data'!$A$10:$A$145,'Round 3 Data'!L$10:L$145,0)+_xlfn.XLOOKUP('Summary Data'!$A46,'Round 4 Data'!$A$10:$A$147,'Round 4 Data'!L$10:L$147,0))/$D46</f>
        <v>#VALUE!</v>
      </c>
      <c r="M46" s="57" t="e">
        <f>(_xlfn.XLOOKUP('Summary Data'!$A46,'Round 1 Data'!$A$10:$A$143,'Round 1 Data'!M$10:M$144,0)+_xlfn.XLOOKUP('Summary Data'!$A46,'Round 2 Data'!$A$10:$A$146,'Round 2 Data'!M$10:M$146,0)+_xlfn.XLOOKUP('Summary Data'!$A46,'Round 3 Data'!$A$10:$A$145,'Round 3 Data'!M$10:M$145,0)+_xlfn.XLOOKUP('Summary Data'!$A46,'Round 4 Data'!$A$10:$A$147,'Round 4 Data'!M$10:M$147,0))/$D46</f>
        <v>#VALUE!</v>
      </c>
      <c r="N46" s="57" t="e">
        <f>(_xlfn.XLOOKUP('Summary Data'!$A46,'Round 1 Data'!$A$10:$A$143,'Round 1 Data'!N$10:N$144,0)+_xlfn.XLOOKUP('Summary Data'!$A46,'Round 2 Data'!$A$10:$A$146,'Round 2 Data'!N$10:N$146,0)+_xlfn.XLOOKUP('Summary Data'!$A46,'Round 3 Data'!$A$10:$A$145,'Round 3 Data'!N$10:N$145,0)+_xlfn.XLOOKUP('Summary Data'!$A46,'Round 4 Data'!$A$10:$A$147,'Round 4 Data'!N$10:N$147,0))/$D46</f>
        <v>#VALUE!</v>
      </c>
      <c r="O46" s="57" t="e">
        <f>(_xlfn.XLOOKUP('Summary Data'!$A46,'Round 1 Data'!$A$10:$A$143,'Round 1 Data'!O$10:O$144,0)+_xlfn.XLOOKUP('Summary Data'!$A46,'Round 2 Data'!$A$10:$A$146,'Round 2 Data'!O$10:O$146,0)+_xlfn.XLOOKUP('Summary Data'!$A46,'Round 3 Data'!$A$10:$A$145,'Round 3 Data'!O$10:O$145,0)+_xlfn.XLOOKUP('Summary Data'!$A46,'Round 4 Data'!$A$10:$A$147,'Round 4 Data'!O$10:O$147,0))/$D46</f>
        <v>#VALUE!</v>
      </c>
      <c r="P46" s="57" t="e">
        <f>(_xlfn.XLOOKUP('Summary Data'!$A46,'Round 1 Data'!$A$10:$A$143,'Round 1 Data'!P$10:P$144,0)+_xlfn.XLOOKUP('Summary Data'!$A46,'Round 2 Data'!$A$10:$A$146,'Round 2 Data'!P$10:P$146,0)+_xlfn.XLOOKUP('Summary Data'!$A46,'Round 3 Data'!$A$10:$A$145,'Round 3 Data'!P$10:P$145,0)+_xlfn.XLOOKUP('Summary Data'!$A46,'Round 4 Data'!$A$10:$A$147,'Round 4 Data'!P$10:P$147,0))/$D46</f>
        <v>#VALUE!</v>
      </c>
      <c r="Q46" s="57" t="e">
        <f>(_xlfn.XLOOKUP('Summary Data'!$A46,'Round 1 Data'!$A$10:$A$143,'Round 1 Data'!Q$10:Q$144,0)+_xlfn.XLOOKUP('Summary Data'!$A46,'Round 2 Data'!$A$10:$A$146,'Round 2 Data'!Q$10:Q$146,0)+_xlfn.XLOOKUP('Summary Data'!$A46,'Round 3 Data'!$A$10:$A$145,'Round 3 Data'!Q$10:Q$145,0)+_xlfn.XLOOKUP('Summary Data'!$A46,'Round 4 Data'!$A$10:$A$147,'Round 4 Data'!Q$10:Q$147,0))/$D46</f>
        <v>#VALUE!</v>
      </c>
      <c r="R46" s="57" t="e">
        <f>(_xlfn.XLOOKUP('Summary Data'!$A46,'Round 1 Data'!$A$10:$A$143,'Round 1 Data'!R$10:R$144,0)+_xlfn.XLOOKUP('Summary Data'!$A46,'Round 2 Data'!$A$10:$A$146,'Round 2 Data'!R$10:R$146,0)+_xlfn.XLOOKUP('Summary Data'!$A46,'Round 3 Data'!$A$10:$A$145,'Round 3 Data'!R$10:R$145,0)+_xlfn.XLOOKUP('Summary Data'!$A46,'Round 4 Data'!$A$10:$A$147,'Round 4 Data'!R$10:R$147,0))/$D46</f>
        <v>#VALUE!</v>
      </c>
      <c r="S46" s="57" t="e">
        <f>(_xlfn.XLOOKUP('Summary Data'!$A46,'Round 1 Data'!$A$10:$A$143,'Round 1 Data'!S$10:S$144,0)+_xlfn.XLOOKUP('Summary Data'!$A46,'Round 2 Data'!$A$10:$A$146,'Round 2 Data'!S$10:S$146,0)+_xlfn.XLOOKUP('Summary Data'!$A46,'Round 3 Data'!$A$10:$A$145,'Round 3 Data'!S$10:S$145,0)+_xlfn.XLOOKUP('Summary Data'!$A46,'Round 4 Data'!$A$10:$A$147,'Round 4 Data'!S$10:S$147,0))/$D46</f>
        <v>#VALUE!</v>
      </c>
      <c r="T46" s="62" t="e">
        <f>(_xlfn.XLOOKUP('Summary Data'!$A46,'Round 1 Data'!$A$10:$A$143,'Round 1 Data'!U$10:U$144,0)+_xlfn.XLOOKUP('Summary Data'!$A46,'Round 2 Data'!$A$10:$A$146,'Round 2 Data'!U$10:U$146,0)+_xlfn.XLOOKUP('Summary Data'!$A46,'Round 3 Data'!$A$10:$A$145,'Round 3 Data'!U$10:U$145,0)+_xlfn.XLOOKUP('Summary Data'!$A46,'Round 4 Data'!$A$10:$A$147,'Round 4 Data'!U$10:U$147,0))</f>
        <v>#VALUE!</v>
      </c>
    </row>
    <row r="47" spans="1:20" ht="16" thickBot="1" x14ac:dyDescent="0.25">
      <c r="A47" s="61" t="s">
        <v>146</v>
      </c>
      <c r="B47" t="s">
        <v>189</v>
      </c>
      <c r="C47" t="s">
        <v>200</v>
      </c>
      <c r="D47" t="e">
        <f>IF(_xlfn.XLOOKUP('Summary Data'!A47,'Round 1 Data'!$A$10:$A$143,'Round 1 Data'!$E$10:$E$144,0)=0,0,1)+IF(_xlfn.XLOOKUP('Summary Data'!A47,'Round 2 Data'!$A$10:$A$146,'Round 2 Data'!$E$10:$E$146,0)=0,0,1)+IF(_xlfn.XLOOKUP('Summary Data'!A47,'Round 3 Data'!$A$10:$A$145,'Round 3 Data'!$E$10:$E$145,0)=0,0,1)+IF(_xlfn.XLOOKUP('Summary Data'!A47,'Round 4 Data'!$A$10:$A$147,'Round 4 Data'!$E$10:$E$147,0)=0,0,1)</f>
        <v>#VALUE!</v>
      </c>
      <c r="E47" s="57" t="e">
        <f>(_xlfn.XLOOKUP('Summary Data'!$A47,'Round 1 Data'!$A$10:$A$143,'Round 1 Data'!E$10:E$144,0)+_xlfn.XLOOKUP('Summary Data'!$A47,'Round 2 Data'!$A$10:$A$146,'Round 2 Data'!E$10:E$146,0)+_xlfn.XLOOKUP('Summary Data'!$A47,'Round 3 Data'!$A$10:$A$145,'Round 3 Data'!E$10:E$145,0)+_xlfn.XLOOKUP('Summary Data'!$A47,'Round 4 Data'!$A$10:$A$147,'Round 4 Data'!E$10:E$147,0))/$D47</f>
        <v>#VALUE!</v>
      </c>
      <c r="F47" s="57" t="e">
        <f>(_xlfn.XLOOKUP('Summary Data'!$A47,'Round 1 Data'!$A$10:$A$143,'Round 1 Data'!F$10:F$144,0)+_xlfn.XLOOKUP('Summary Data'!$A47,'Round 2 Data'!$A$10:$A$146,'Round 2 Data'!F$10:F$146,0)+_xlfn.XLOOKUP('Summary Data'!$A47,'Round 3 Data'!$A$10:$A$145,'Round 3 Data'!F$10:F$145,0)+_xlfn.XLOOKUP('Summary Data'!$A47,'Round 4 Data'!$A$10:$A$147,'Round 4 Data'!F$10:F$147,0))/$D47</f>
        <v>#VALUE!</v>
      </c>
      <c r="G47" s="57" t="e">
        <f>(_xlfn.XLOOKUP('Summary Data'!$A47,'Round 1 Data'!$A$10:$A$143,'Round 1 Data'!G$10:G$144,0)+_xlfn.XLOOKUP('Summary Data'!$A47,'Round 2 Data'!$A$10:$A$146,'Round 2 Data'!G$10:G$146,0)+_xlfn.XLOOKUP('Summary Data'!$A47,'Round 3 Data'!$A$10:$A$145,'Round 3 Data'!G$10:G$145,0)+_xlfn.XLOOKUP('Summary Data'!$A47,'Round 4 Data'!$A$10:$A$147,'Round 4 Data'!G$10:G$147,0))/$D47</f>
        <v>#VALUE!</v>
      </c>
      <c r="H47" s="57" t="e">
        <f>(_xlfn.XLOOKUP('Summary Data'!$A47,'Round 1 Data'!$A$10:$A$143,'Round 1 Data'!H$10:H$144,0)+_xlfn.XLOOKUP('Summary Data'!$A47,'Round 2 Data'!$A$10:$A$146,'Round 2 Data'!H$10:H$146,0)+_xlfn.XLOOKUP('Summary Data'!$A47,'Round 3 Data'!$A$10:$A$145,'Round 3 Data'!H$10:H$145,0)+_xlfn.XLOOKUP('Summary Data'!$A47,'Round 4 Data'!$A$10:$A$147,'Round 4 Data'!H$10:H$147,0))/$D47</f>
        <v>#VALUE!</v>
      </c>
      <c r="I47" s="57" t="e">
        <f>(_xlfn.XLOOKUP('Summary Data'!$A47,'Round 1 Data'!$A$10:$A$143,'Round 1 Data'!I$10:I$144,0)+_xlfn.XLOOKUP('Summary Data'!$A47,'Round 2 Data'!$A$10:$A$146,'Round 2 Data'!I$10:I$146,0)+_xlfn.XLOOKUP('Summary Data'!$A47,'Round 3 Data'!$A$10:$A$145,'Round 3 Data'!I$10:I$145,0)+_xlfn.XLOOKUP('Summary Data'!$A47,'Round 4 Data'!$A$10:$A$147,'Round 4 Data'!I$10:I$147,0))/$D47</f>
        <v>#VALUE!</v>
      </c>
      <c r="J47" s="57" t="e">
        <f>(_xlfn.XLOOKUP('Summary Data'!$A47,'Round 1 Data'!$A$10:$A$143,'Round 1 Data'!J$10:J$144,0)+_xlfn.XLOOKUP('Summary Data'!$A47,'Round 2 Data'!$A$10:$A$146,'Round 2 Data'!J$10:J$146,0)+_xlfn.XLOOKUP('Summary Data'!$A47,'Round 3 Data'!$A$10:$A$145,'Round 3 Data'!J$10:J$145,0)+_xlfn.XLOOKUP('Summary Data'!$A47,'Round 4 Data'!$A$10:$A$147,'Round 4 Data'!J$10:J$147,0))/$D47</f>
        <v>#VALUE!</v>
      </c>
      <c r="K47" s="57" t="e">
        <f>(_xlfn.XLOOKUP('Summary Data'!$A47,'Round 1 Data'!$A$10:$A$143,'Round 1 Data'!K$10:K$144,0)+_xlfn.XLOOKUP('Summary Data'!$A47,'Round 2 Data'!$A$10:$A$146,'Round 2 Data'!K$10:K$146,0)+_xlfn.XLOOKUP('Summary Data'!$A47,'Round 3 Data'!$A$10:$A$145,'Round 3 Data'!K$10:K$145,0)+_xlfn.XLOOKUP('Summary Data'!$A47,'Round 4 Data'!$A$10:$A$147,'Round 4 Data'!K$10:K$147,0))/$D47</f>
        <v>#VALUE!</v>
      </c>
      <c r="L47" s="57" t="e">
        <f>(_xlfn.XLOOKUP('Summary Data'!$A47,'Round 1 Data'!$A$10:$A$143,'Round 1 Data'!L$10:L$144,0)+_xlfn.XLOOKUP('Summary Data'!$A47,'Round 2 Data'!$A$10:$A$146,'Round 2 Data'!L$10:L$146,0)+_xlfn.XLOOKUP('Summary Data'!$A47,'Round 3 Data'!$A$10:$A$145,'Round 3 Data'!L$10:L$145,0)+_xlfn.XLOOKUP('Summary Data'!$A47,'Round 4 Data'!$A$10:$A$147,'Round 4 Data'!L$10:L$147,0))/$D47</f>
        <v>#VALUE!</v>
      </c>
      <c r="M47" s="57" t="e">
        <f>(_xlfn.XLOOKUP('Summary Data'!$A47,'Round 1 Data'!$A$10:$A$143,'Round 1 Data'!M$10:M$144,0)+_xlfn.XLOOKUP('Summary Data'!$A47,'Round 2 Data'!$A$10:$A$146,'Round 2 Data'!M$10:M$146,0)+_xlfn.XLOOKUP('Summary Data'!$A47,'Round 3 Data'!$A$10:$A$145,'Round 3 Data'!M$10:M$145,0)+_xlfn.XLOOKUP('Summary Data'!$A47,'Round 4 Data'!$A$10:$A$147,'Round 4 Data'!M$10:M$147,0))/$D47</f>
        <v>#VALUE!</v>
      </c>
      <c r="N47" s="57" t="e">
        <f>(_xlfn.XLOOKUP('Summary Data'!$A47,'Round 1 Data'!$A$10:$A$143,'Round 1 Data'!N$10:N$144,0)+_xlfn.XLOOKUP('Summary Data'!$A47,'Round 2 Data'!$A$10:$A$146,'Round 2 Data'!N$10:N$146,0)+_xlfn.XLOOKUP('Summary Data'!$A47,'Round 3 Data'!$A$10:$A$145,'Round 3 Data'!N$10:N$145,0)+_xlfn.XLOOKUP('Summary Data'!$A47,'Round 4 Data'!$A$10:$A$147,'Round 4 Data'!N$10:N$147,0))/$D47</f>
        <v>#VALUE!</v>
      </c>
      <c r="O47" s="57" t="e">
        <f>(_xlfn.XLOOKUP('Summary Data'!$A47,'Round 1 Data'!$A$10:$A$143,'Round 1 Data'!O$10:O$144,0)+_xlfn.XLOOKUP('Summary Data'!$A47,'Round 2 Data'!$A$10:$A$146,'Round 2 Data'!O$10:O$146,0)+_xlfn.XLOOKUP('Summary Data'!$A47,'Round 3 Data'!$A$10:$A$145,'Round 3 Data'!O$10:O$145,0)+_xlfn.XLOOKUP('Summary Data'!$A47,'Round 4 Data'!$A$10:$A$147,'Round 4 Data'!O$10:O$147,0))/$D47</f>
        <v>#VALUE!</v>
      </c>
      <c r="P47" s="57" t="e">
        <f>(_xlfn.XLOOKUP('Summary Data'!$A47,'Round 1 Data'!$A$10:$A$143,'Round 1 Data'!P$10:P$144,0)+_xlfn.XLOOKUP('Summary Data'!$A47,'Round 2 Data'!$A$10:$A$146,'Round 2 Data'!P$10:P$146,0)+_xlfn.XLOOKUP('Summary Data'!$A47,'Round 3 Data'!$A$10:$A$145,'Round 3 Data'!P$10:P$145,0)+_xlfn.XLOOKUP('Summary Data'!$A47,'Round 4 Data'!$A$10:$A$147,'Round 4 Data'!P$10:P$147,0))/$D47</f>
        <v>#VALUE!</v>
      </c>
      <c r="Q47" s="57" t="e">
        <f>(_xlfn.XLOOKUP('Summary Data'!$A47,'Round 1 Data'!$A$10:$A$143,'Round 1 Data'!Q$10:Q$144,0)+_xlfn.XLOOKUP('Summary Data'!$A47,'Round 2 Data'!$A$10:$A$146,'Round 2 Data'!Q$10:Q$146,0)+_xlfn.XLOOKUP('Summary Data'!$A47,'Round 3 Data'!$A$10:$A$145,'Round 3 Data'!Q$10:Q$145,0)+_xlfn.XLOOKUP('Summary Data'!$A47,'Round 4 Data'!$A$10:$A$147,'Round 4 Data'!Q$10:Q$147,0))/$D47</f>
        <v>#VALUE!</v>
      </c>
      <c r="R47" s="57" t="e">
        <f>(_xlfn.XLOOKUP('Summary Data'!$A47,'Round 1 Data'!$A$10:$A$143,'Round 1 Data'!R$10:R$144,0)+_xlfn.XLOOKUP('Summary Data'!$A47,'Round 2 Data'!$A$10:$A$146,'Round 2 Data'!R$10:R$146,0)+_xlfn.XLOOKUP('Summary Data'!$A47,'Round 3 Data'!$A$10:$A$145,'Round 3 Data'!R$10:R$145,0)+_xlfn.XLOOKUP('Summary Data'!$A47,'Round 4 Data'!$A$10:$A$147,'Round 4 Data'!R$10:R$147,0))/$D47</f>
        <v>#VALUE!</v>
      </c>
      <c r="S47" s="57" t="e">
        <f>(_xlfn.XLOOKUP('Summary Data'!$A47,'Round 1 Data'!$A$10:$A$143,'Round 1 Data'!S$10:S$144,0)+_xlfn.XLOOKUP('Summary Data'!$A47,'Round 2 Data'!$A$10:$A$146,'Round 2 Data'!S$10:S$146,0)+_xlfn.XLOOKUP('Summary Data'!$A47,'Round 3 Data'!$A$10:$A$145,'Round 3 Data'!S$10:S$145,0)+_xlfn.XLOOKUP('Summary Data'!$A47,'Round 4 Data'!$A$10:$A$147,'Round 4 Data'!S$10:S$147,0))/$D47</f>
        <v>#VALUE!</v>
      </c>
      <c r="T47" s="62" t="e">
        <f>(_xlfn.XLOOKUP('Summary Data'!$A47,'Round 1 Data'!$A$10:$A$143,'Round 1 Data'!U$10:U$144,0)+_xlfn.XLOOKUP('Summary Data'!$A47,'Round 2 Data'!$A$10:$A$146,'Round 2 Data'!U$10:U$146,0)+_xlfn.XLOOKUP('Summary Data'!$A47,'Round 3 Data'!$A$10:$A$145,'Round 3 Data'!U$10:U$145,0)+_xlfn.XLOOKUP('Summary Data'!$A47,'Round 4 Data'!$A$10:$A$147,'Round 4 Data'!U$10:U$147,0))</f>
        <v>#VALUE!</v>
      </c>
    </row>
    <row r="48" spans="1:20" ht="16" thickBot="1" x14ac:dyDescent="0.25">
      <c r="A48" s="63" t="s">
        <v>147</v>
      </c>
      <c r="B48" t="s">
        <v>189</v>
      </c>
      <c r="C48" t="s">
        <v>201</v>
      </c>
      <c r="D48" t="e">
        <f>IF(_xlfn.XLOOKUP('Summary Data'!A48,'Round 1 Data'!$A$10:$A$143,'Round 1 Data'!$E$10:$E$144,0)=0,0,1)+IF(_xlfn.XLOOKUP('Summary Data'!A48,'Round 2 Data'!$A$10:$A$146,'Round 2 Data'!$E$10:$E$146,0)=0,0,1)+IF(_xlfn.XLOOKUP('Summary Data'!A48,'Round 3 Data'!$A$10:$A$145,'Round 3 Data'!$E$10:$E$145,0)=0,0,1)+IF(_xlfn.XLOOKUP('Summary Data'!A48,'Round 4 Data'!$A$10:$A$147,'Round 4 Data'!$E$10:$E$147,0)=0,0,1)</f>
        <v>#VALUE!</v>
      </c>
      <c r="E48" s="57" t="e">
        <f>(_xlfn.XLOOKUP('Summary Data'!$A48,'Round 1 Data'!$A$10:$A$143,'Round 1 Data'!E$10:E$144,0)+_xlfn.XLOOKUP('Summary Data'!$A48,'Round 2 Data'!$A$10:$A$146,'Round 2 Data'!E$10:E$146,0)+_xlfn.XLOOKUP('Summary Data'!$A48,'Round 3 Data'!$A$10:$A$145,'Round 3 Data'!E$10:E$145,0)+_xlfn.XLOOKUP('Summary Data'!$A48,'Round 4 Data'!$A$10:$A$147,'Round 4 Data'!E$10:E$147,0))/$D48</f>
        <v>#VALUE!</v>
      </c>
      <c r="F48" s="57" t="e">
        <f>(_xlfn.XLOOKUP('Summary Data'!$A48,'Round 1 Data'!$A$10:$A$143,'Round 1 Data'!F$10:F$144,0)+_xlfn.XLOOKUP('Summary Data'!$A48,'Round 2 Data'!$A$10:$A$146,'Round 2 Data'!F$10:F$146,0)+_xlfn.XLOOKUP('Summary Data'!$A48,'Round 3 Data'!$A$10:$A$145,'Round 3 Data'!F$10:F$145,0)+_xlfn.XLOOKUP('Summary Data'!$A48,'Round 4 Data'!$A$10:$A$147,'Round 4 Data'!F$10:F$147,0))/$D48</f>
        <v>#VALUE!</v>
      </c>
      <c r="G48" s="57" t="e">
        <f>(_xlfn.XLOOKUP('Summary Data'!$A48,'Round 1 Data'!$A$10:$A$143,'Round 1 Data'!G$10:G$144,0)+_xlfn.XLOOKUP('Summary Data'!$A48,'Round 2 Data'!$A$10:$A$146,'Round 2 Data'!G$10:G$146,0)+_xlfn.XLOOKUP('Summary Data'!$A48,'Round 3 Data'!$A$10:$A$145,'Round 3 Data'!G$10:G$145,0)+_xlfn.XLOOKUP('Summary Data'!$A48,'Round 4 Data'!$A$10:$A$147,'Round 4 Data'!G$10:G$147,0))/$D48</f>
        <v>#VALUE!</v>
      </c>
      <c r="H48" s="57" t="e">
        <f>(_xlfn.XLOOKUP('Summary Data'!$A48,'Round 1 Data'!$A$10:$A$143,'Round 1 Data'!H$10:H$144,0)+_xlfn.XLOOKUP('Summary Data'!$A48,'Round 2 Data'!$A$10:$A$146,'Round 2 Data'!H$10:H$146,0)+_xlfn.XLOOKUP('Summary Data'!$A48,'Round 3 Data'!$A$10:$A$145,'Round 3 Data'!H$10:H$145,0)+_xlfn.XLOOKUP('Summary Data'!$A48,'Round 4 Data'!$A$10:$A$147,'Round 4 Data'!H$10:H$147,0))/$D48</f>
        <v>#VALUE!</v>
      </c>
      <c r="I48" s="57" t="e">
        <f>(_xlfn.XLOOKUP('Summary Data'!$A48,'Round 1 Data'!$A$10:$A$143,'Round 1 Data'!I$10:I$144,0)+_xlfn.XLOOKUP('Summary Data'!$A48,'Round 2 Data'!$A$10:$A$146,'Round 2 Data'!I$10:I$146,0)+_xlfn.XLOOKUP('Summary Data'!$A48,'Round 3 Data'!$A$10:$A$145,'Round 3 Data'!I$10:I$145,0)+_xlfn.XLOOKUP('Summary Data'!$A48,'Round 4 Data'!$A$10:$A$147,'Round 4 Data'!I$10:I$147,0))/$D48</f>
        <v>#VALUE!</v>
      </c>
      <c r="J48" s="57" t="e">
        <f>(_xlfn.XLOOKUP('Summary Data'!$A48,'Round 1 Data'!$A$10:$A$143,'Round 1 Data'!J$10:J$144,0)+_xlfn.XLOOKUP('Summary Data'!$A48,'Round 2 Data'!$A$10:$A$146,'Round 2 Data'!J$10:J$146,0)+_xlfn.XLOOKUP('Summary Data'!$A48,'Round 3 Data'!$A$10:$A$145,'Round 3 Data'!J$10:J$145,0)+_xlfn.XLOOKUP('Summary Data'!$A48,'Round 4 Data'!$A$10:$A$147,'Round 4 Data'!J$10:J$147,0))/$D48</f>
        <v>#VALUE!</v>
      </c>
      <c r="K48" s="57" t="e">
        <f>(_xlfn.XLOOKUP('Summary Data'!$A48,'Round 1 Data'!$A$10:$A$143,'Round 1 Data'!K$10:K$144,0)+_xlfn.XLOOKUP('Summary Data'!$A48,'Round 2 Data'!$A$10:$A$146,'Round 2 Data'!K$10:K$146,0)+_xlfn.XLOOKUP('Summary Data'!$A48,'Round 3 Data'!$A$10:$A$145,'Round 3 Data'!K$10:K$145,0)+_xlfn.XLOOKUP('Summary Data'!$A48,'Round 4 Data'!$A$10:$A$147,'Round 4 Data'!K$10:K$147,0))/$D48</f>
        <v>#VALUE!</v>
      </c>
      <c r="L48" s="57" t="e">
        <f>(_xlfn.XLOOKUP('Summary Data'!$A48,'Round 1 Data'!$A$10:$A$143,'Round 1 Data'!L$10:L$144,0)+_xlfn.XLOOKUP('Summary Data'!$A48,'Round 2 Data'!$A$10:$A$146,'Round 2 Data'!L$10:L$146,0)+_xlfn.XLOOKUP('Summary Data'!$A48,'Round 3 Data'!$A$10:$A$145,'Round 3 Data'!L$10:L$145,0)+_xlfn.XLOOKUP('Summary Data'!$A48,'Round 4 Data'!$A$10:$A$147,'Round 4 Data'!L$10:L$147,0))/$D48</f>
        <v>#VALUE!</v>
      </c>
      <c r="M48" s="57" t="e">
        <f>(_xlfn.XLOOKUP('Summary Data'!$A48,'Round 1 Data'!$A$10:$A$143,'Round 1 Data'!M$10:M$144,0)+_xlfn.XLOOKUP('Summary Data'!$A48,'Round 2 Data'!$A$10:$A$146,'Round 2 Data'!M$10:M$146,0)+_xlfn.XLOOKUP('Summary Data'!$A48,'Round 3 Data'!$A$10:$A$145,'Round 3 Data'!M$10:M$145,0)+_xlfn.XLOOKUP('Summary Data'!$A48,'Round 4 Data'!$A$10:$A$147,'Round 4 Data'!M$10:M$147,0))/$D48</f>
        <v>#VALUE!</v>
      </c>
      <c r="N48" s="57" t="e">
        <f>(_xlfn.XLOOKUP('Summary Data'!$A48,'Round 1 Data'!$A$10:$A$143,'Round 1 Data'!N$10:N$144,0)+_xlfn.XLOOKUP('Summary Data'!$A48,'Round 2 Data'!$A$10:$A$146,'Round 2 Data'!N$10:N$146,0)+_xlfn.XLOOKUP('Summary Data'!$A48,'Round 3 Data'!$A$10:$A$145,'Round 3 Data'!N$10:N$145,0)+_xlfn.XLOOKUP('Summary Data'!$A48,'Round 4 Data'!$A$10:$A$147,'Round 4 Data'!N$10:N$147,0))/$D48</f>
        <v>#VALUE!</v>
      </c>
      <c r="O48" s="57" t="e">
        <f>(_xlfn.XLOOKUP('Summary Data'!$A48,'Round 1 Data'!$A$10:$A$143,'Round 1 Data'!O$10:O$144,0)+_xlfn.XLOOKUP('Summary Data'!$A48,'Round 2 Data'!$A$10:$A$146,'Round 2 Data'!O$10:O$146,0)+_xlfn.XLOOKUP('Summary Data'!$A48,'Round 3 Data'!$A$10:$A$145,'Round 3 Data'!O$10:O$145,0)+_xlfn.XLOOKUP('Summary Data'!$A48,'Round 4 Data'!$A$10:$A$147,'Round 4 Data'!O$10:O$147,0))/$D48</f>
        <v>#VALUE!</v>
      </c>
      <c r="P48" s="57" t="e">
        <f>(_xlfn.XLOOKUP('Summary Data'!$A48,'Round 1 Data'!$A$10:$A$143,'Round 1 Data'!P$10:P$144,0)+_xlfn.XLOOKUP('Summary Data'!$A48,'Round 2 Data'!$A$10:$A$146,'Round 2 Data'!P$10:P$146,0)+_xlfn.XLOOKUP('Summary Data'!$A48,'Round 3 Data'!$A$10:$A$145,'Round 3 Data'!P$10:P$145,0)+_xlfn.XLOOKUP('Summary Data'!$A48,'Round 4 Data'!$A$10:$A$147,'Round 4 Data'!P$10:P$147,0))/$D48</f>
        <v>#VALUE!</v>
      </c>
      <c r="Q48" s="57" t="e">
        <f>(_xlfn.XLOOKUP('Summary Data'!$A48,'Round 1 Data'!$A$10:$A$143,'Round 1 Data'!Q$10:Q$144,0)+_xlfn.XLOOKUP('Summary Data'!$A48,'Round 2 Data'!$A$10:$A$146,'Round 2 Data'!Q$10:Q$146,0)+_xlfn.XLOOKUP('Summary Data'!$A48,'Round 3 Data'!$A$10:$A$145,'Round 3 Data'!Q$10:Q$145,0)+_xlfn.XLOOKUP('Summary Data'!$A48,'Round 4 Data'!$A$10:$A$147,'Round 4 Data'!Q$10:Q$147,0))/$D48</f>
        <v>#VALUE!</v>
      </c>
      <c r="R48" s="57" t="e">
        <f>(_xlfn.XLOOKUP('Summary Data'!$A48,'Round 1 Data'!$A$10:$A$143,'Round 1 Data'!R$10:R$144,0)+_xlfn.XLOOKUP('Summary Data'!$A48,'Round 2 Data'!$A$10:$A$146,'Round 2 Data'!R$10:R$146,0)+_xlfn.XLOOKUP('Summary Data'!$A48,'Round 3 Data'!$A$10:$A$145,'Round 3 Data'!R$10:R$145,0)+_xlfn.XLOOKUP('Summary Data'!$A48,'Round 4 Data'!$A$10:$A$147,'Round 4 Data'!R$10:R$147,0))/$D48</f>
        <v>#VALUE!</v>
      </c>
      <c r="S48" s="57" t="e">
        <f>(_xlfn.XLOOKUP('Summary Data'!$A48,'Round 1 Data'!$A$10:$A$143,'Round 1 Data'!S$10:S$144,0)+_xlfn.XLOOKUP('Summary Data'!$A48,'Round 2 Data'!$A$10:$A$146,'Round 2 Data'!S$10:S$146,0)+_xlfn.XLOOKUP('Summary Data'!$A48,'Round 3 Data'!$A$10:$A$145,'Round 3 Data'!S$10:S$145,0)+_xlfn.XLOOKUP('Summary Data'!$A48,'Round 4 Data'!$A$10:$A$147,'Round 4 Data'!S$10:S$147,0))/$D48</f>
        <v>#VALUE!</v>
      </c>
      <c r="T48" s="62" t="e">
        <f>(_xlfn.XLOOKUP('Summary Data'!$A48,'Round 1 Data'!$A$10:$A$143,'Round 1 Data'!U$10:U$144,0)+_xlfn.XLOOKUP('Summary Data'!$A48,'Round 2 Data'!$A$10:$A$146,'Round 2 Data'!U$10:U$146,0)+_xlfn.XLOOKUP('Summary Data'!$A48,'Round 3 Data'!$A$10:$A$145,'Round 3 Data'!U$10:U$145,0)+_xlfn.XLOOKUP('Summary Data'!$A48,'Round 4 Data'!$A$10:$A$147,'Round 4 Data'!U$10:U$147,0))</f>
        <v>#VALUE!</v>
      </c>
    </row>
    <row r="49" spans="1:20" ht="16" thickBot="1" x14ac:dyDescent="0.25">
      <c r="A49" s="61" t="s">
        <v>152</v>
      </c>
      <c r="B49" t="s">
        <v>189</v>
      </c>
      <c r="C49" t="s">
        <v>201</v>
      </c>
      <c r="D49" t="e">
        <f>IF(_xlfn.XLOOKUP('Summary Data'!A49,'Round 1 Data'!$A$10:$A$143,'Round 1 Data'!$E$10:$E$144,0)=0,0,1)+IF(_xlfn.XLOOKUP('Summary Data'!A49,'Round 2 Data'!$A$10:$A$146,'Round 2 Data'!$E$10:$E$146,0)=0,0,1)+IF(_xlfn.XLOOKUP('Summary Data'!A49,'Round 3 Data'!$A$10:$A$145,'Round 3 Data'!$E$10:$E$145,0)=0,0,1)+IF(_xlfn.XLOOKUP('Summary Data'!A49,'Round 4 Data'!$A$10:$A$147,'Round 4 Data'!$E$10:$E$147,0)=0,0,1)</f>
        <v>#VALUE!</v>
      </c>
      <c r="E49" s="57" t="e">
        <f>(_xlfn.XLOOKUP('Summary Data'!$A49,'Round 1 Data'!$A$10:$A$143,'Round 1 Data'!E$10:E$144,0)+_xlfn.XLOOKUP('Summary Data'!$A49,'Round 2 Data'!$A$10:$A$146,'Round 2 Data'!E$10:E$146,0)+_xlfn.XLOOKUP('Summary Data'!$A49,'Round 3 Data'!$A$10:$A$145,'Round 3 Data'!E$10:E$145,0)+_xlfn.XLOOKUP('Summary Data'!$A49,'Round 4 Data'!$A$10:$A$147,'Round 4 Data'!E$10:E$147,0))/$D49</f>
        <v>#VALUE!</v>
      </c>
      <c r="F49" s="57" t="e">
        <f>(_xlfn.XLOOKUP('Summary Data'!$A49,'Round 1 Data'!$A$10:$A$143,'Round 1 Data'!F$10:F$144,0)+_xlfn.XLOOKUP('Summary Data'!$A49,'Round 2 Data'!$A$10:$A$146,'Round 2 Data'!F$10:F$146,0)+_xlfn.XLOOKUP('Summary Data'!$A49,'Round 3 Data'!$A$10:$A$145,'Round 3 Data'!F$10:F$145,0)+_xlfn.XLOOKUP('Summary Data'!$A49,'Round 4 Data'!$A$10:$A$147,'Round 4 Data'!F$10:F$147,0))/$D49</f>
        <v>#VALUE!</v>
      </c>
      <c r="G49" s="57" t="e">
        <f>(_xlfn.XLOOKUP('Summary Data'!$A49,'Round 1 Data'!$A$10:$A$143,'Round 1 Data'!G$10:G$144,0)+_xlfn.XLOOKUP('Summary Data'!$A49,'Round 2 Data'!$A$10:$A$146,'Round 2 Data'!G$10:G$146,0)+_xlfn.XLOOKUP('Summary Data'!$A49,'Round 3 Data'!$A$10:$A$145,'Round 3 Data'!G$10:G$145,0)+_xlfn.XLOOKUP('Summary Data'!$A49,'Round 4 Data'!$A$10:$A$147,'Round 4 Data'!G$10:G$147,0))/$D49</f>
        <v>#VALUE!</v>
      </c>
      <c r="H49" s="57" t="e">
        <f>(_xlfn.XLOOKUP('Summary Data'!$A49,'Round 1 Data'!$A$10:$A$143,'Round 1 Data'!H$10:H$144,0)+_xlfn.XLOOKUP('Summary Data'!$A49,'Round 2 Data'!$A$10:$A$146,'Round 2 Data'!H$10:H$146,0)+_xlfn.XLOOKUP('Summary Data'!$A49,'Round 3 Data'!$A$10:$A$145,'Round 3 Data'!H$10:H$145,0)+_xlfn.XLOOKUP('Summary Data'!$A49,'Round 4 Data'!$A$10:$A$147,'Round 4 Data'!H$10:H$147,0))/$D49</f>
        <v>#VALUE!</v>
      </c>
      <c r="I49" s="57" t="e">
        <f>(_xlfn.XLOOKUP('Summary Data'!$A49,'Round 1 Data'!$A$10:$A$143,'Round 1 Data'!I$10:I$144,0)+_xlfn.XLOOKUP('Summary Data'!$A49,'Round 2 Data'!$A$10:$A$146,'Round 2 Data'!I$10:I$146,0)+_xlfn.XLOOKUP('Summary Data'!$A49,'Round 3 Data'!$A$10:$A$145,'Round 3 Data'!I$10:I$145,0)+_xlfn.XLOOKUP('Summary Data'!$A49,'Round 4 Data'!$A$10:$A$147,'Round 4 Data'!I$10:I$147,0))/$D49</f>
        <v>#VALUE!</v>
      </c>
      <c r="J49" s="57" t="e">
        <f>(_xlfn.XLOOKUP('Summary Data'!$A49,'Round 1 Data'!$A$10:$A$143,'Round 1 Data'!J$10:J$144,0)+_xlfn.XLOOKUP('Summary Data'!$A49,'Round 2 Data'!$A$10:$A$146,'Round 2 Data'!J$10:J$146,0)+_xlfn.XLOOKUP('Summary Data'!$A49,'Round 3 Data'!$A$10:$A$145,'Round 3 Data'!J$10:J$145,0)+_xlfn.XLOOKUP('Summary Data'!$A49,'Round 4 Data'!$A$10:$A$147,'Round 4 Data'!J$10:J$147,0))/$D49</f>
        <v>#VALUE!</v>
      </c>
      <c r="K49" s="57" t="e">
        <f>(_xlfn.XLOOKUP('Summary Data'!$A49,'Round 1 Data'!$A$10:$A$143,'Round 1 Data'!K$10:K$144,0)+_xlfn.XLOOKUP('Summary Data'!$A49,'Round 2 Data'!$A$10:$A$146,'Round 2 Data'!K$10:K$146,0)+_xlfn.XLOOKUP('Summary Data'!$A49,'Round 3 Data'!$A$10:$A$145,'Round 3 Data'!K$10:K$145,0)+_xlfn.XLOOKUP('Summary Data'!$A49,'Round 4 Data'!$A$10:$A$147,'Round 4 Data'!K$10:K$147,0))/$D49</f>
        <v>#VALUE!</v>
      </c>
      <c r="L49" s="57" t="e">
        <f>(_xlfn.XLOOKUP('Summary Data'!$A49,'Round 1 Data'!$A$10:$A$143,'Round 1 Data'!L$10:L$144,0)+_xlfn.XLOOKUP('Summary Data'!$A49,'Round 2 Data'!$A$10:$A$146,'Round 2 Data'!L$10:L$146,0)+_xlfn.XLOOKUP('Summary Data'!$A49,'Round 3 Data'!$A$10:$A$145,'Round 3 Data'!L$10:L$145,0)+_xlfn.XLOOKUP('Summary Data'!$A49,'Round 4 Data'!$A$10:$A$147,'Round 4 Data'!L$10:L$147,0))/$D49</f>
        <v>#VALUE!</v>
      </c>
      <c r="M49" s="57" t="e">
        <f>(_xlfn.XLOOKUP('Summary Data'!$A49,'Round 1 Data'!$A$10:$A$143,'Round 1 Data'!M$10:M$144,0)+_xlfn.XLOOKUP('Summary Data'!$A49,'Round 2 Data'!$A$10:$A$146,'Round 2 Data'!M$10:M$146,0)+_xlfn.XLOOKUP('Summary Data'!$A49,'Round 3 Data'!$A$10:$A$145,'Round 3 Data'!M$10:M$145,0)+_xlfn.XLOOKUP('Summary Data'!$A49,'Round 4 Data'!$A$10:$A$147,'Round 4 Data'!M$10:M$147,0))/$D49</f>
        <v>#VALUE!</v>
      </c>
      <c r="N49" s="57" t="e">
        <f>(_xlfn.XLOOKUP('Summary Data'!$A49,'Round 1 Data'!$A$10:$A$143,'Round 1 Data'!N$10:N$144,0)+_xlfn.XLOOKUP('Summary Data'!$A49,'Round 2 Data'!$A$10:$A$146,'Round 2 Data'!N$10:N$146,0)+_xlfn.XLOOKUP('Summary Data'!$A49,'Round 3 Data'!$A$10:$A$145,'Round 3 Data'!N$10:N$145,0)+_xlfn.XLOOKUP('Summary Data'!$A49,'Round 4 Data'!$A$10:$A$147,'Round 4 Data'!N$10:N$147,0))/$D49</f>
        <v>#VALUE!</v>
      </c>
      <c r="O49" s="57" t="e">
        <f>(_xlfn.XLOOKUP('Summary Data'!$A49,'Round 1 Data'!$A$10:$A$143,'Round 1 Data'!O$10:O$144,0)+_xlfn.XLOOKUP('Summary Data'!$A49,'Round 2 Data'!$A$10:$A$146,'Round 2 Data'!O$10:O$146,0)+_xlfn.XLOOKUP('Summary Data'!$A49,'Round 3 Data'!$A$10:$A$145,'Round 3 Data'!O$10:O$145,0)+_xlfn.XLOOKUP('Summary Data'!$A49,'Round 4 Data'!$A$10:$A$147,'Round 4 Data'!O$10:O$147,0))/$D49</f>
        <v>#VALUE!</v>
      </c>
      <c r="P49" s="57" t="e">
        <f>(_xlfn.XLOOKUP('Summary Data'!$A49,'Round 1 Data'!$A$10:$A$143,'Round 1 Data'!P$10:P$144,0)+_xlfn.XLOOKUP('Summary Data'!$A49,'Round 2 Data'!$A$10:$A$146,'Round 2 Data'!P$10:P$146,0)+_xlfn.XLOOKUP('Summary Data'!$A49,'Round 3 Data'!$A$10:$A$145,'Round 3 Data'!P$10:P$145,0)+_xlfn.XLOOKUP('Summary Data'!$A49,'Round 4 Data'!$A$10:$A$147,'Round 4 Data'!P$10:P$147,0))/$D49</f>
        <v>#VALUE!</v>
      </c>
      <c r="Q49" s="57" t="e">
        <f>(_xlfn.XLOOKUP('Summary Data'!$A49,'Round 1 Data'!$A$10:$A$143,'Round 1 Data'!Q$10:Q$144,0)+_xlfn.XLOOKUP('Summary Data'!$A49,'Round 2 Data'!$A$10:$A$146,'Round 2 Data'!Q$10:Q$146,0)+_xlfn.XLOOKUP('Summary Data'!$A49,'Round 3 Data'!$A$10:$A$145,'Round 3 Data'!Q$10:Q$145,0)+_xlfn.XLOOKUP('Summary Data'!$A49,'Round 4 Data'!$A$10:$A$147,'Round 4 Data'!Q$10:Q$147,0))/$D49</f>
        <v>#VALUE!</v>
      </c>
      <c r="R49" s="57" t="e">
        <f>(_xlfn.XLOOKUP('Summary Data'!$A49,'Round 1 Data'!$A$10:$A$143,'Round 1 Data'!R$10:R$144,0)+_xlfn.XLOOKUP('Summary Data'!$A49,'Round 2 Data'!$A$10:$A$146,'Round 2 Data'!R$10:R$146,0)+_xlfn.XLOOKUP('Summary Data'!$A49,'Round 3 Data'!$A$10:$A$145,'Round 3 Data'!R$10:R$145,0)+_xlfn.XLOOKUP('Summary Data'!$A49,'Round 4 Data'!$A$10:$A$147,'Round 4 Data'!R$10:R$147,0))/$D49</f>
        <v>#VALUE!</v>
      </c>
      <c r="S49" s="57" t="e">
        <f>(_xlfn.XLOOKUP('Summary Data'!$A49,'Round 1 Data'!$A$10:$A$143,'Round 1 Data'!S$10:S$144,0)+_xlfn.XLOOKUP('Summary Data'!$A49,'Round 2 Data'!$A$10:$A$146,'Round 2 Data'!S$10:S$146,0)+_xlfn.XLOOKUP('Summary Data'!$A49,'Round 3 Data'!$A$10:$A$145,'Round 3 Data'!S$10:S$145,0)+_xlfn.XLOOKUP('Summary Data'!$A49,'Round 4 Data'!$A$10:$A$147,'Round 4 Data'!S$10:S$147,0))/$D49</f>
        <v>#VALUE!</v>
      </c>
      <c r="T49" s="62" t="e">
        <f>(_xlfn.XLOOKUP('Summary Data'!$A49,'Round 1 Data'!$A$10:$A$143,'Round 1 Data'!U$10:U$144,0)+_xlfn.XLOOKUP('Summary Data'!$A49,'Round 2 Data'!$A$10:$A$146,'Round 2 Data'!U$10:U$146,0)+_xlfn.XLOOKUP('Summary Data'!$A49,'Round 3 Data'!$A$10:$A$145,'Round 3 Data'!U$10:U$145,0)+_xlfn.XLOOKUP('Summary Data'!$A49,'Round 4 Data'!$A$10:$A$147,'Round 4 Data'!U$10:U$147,0))</f>
        <v>#VALUE!</v>
      </c>
    </row>
    <row r="50" spans="1:20" ht="16" thickBot="1" x14ac:dyDescent="0.25">
      <c r="A50" s="61" t="s">
        <v>81</v>
      </c>
      <c r="B50" t="s">
        <v>190</v>
      </c>
      <c r="C50" t="s">
        <v>194</v>
      </c>
      <c r="D50" t="e">
        <f>IF(_xlfn.XLOOKUP('Summary Data'!A50,'Round 1 Data'!$A$10:$A$143,'Round 1 Data'!$E$10:$E$144,0)=0,0,1)+IF(_xlfn.XLOOKUP('Summary Data'!A50,'Round 2 Data'!$A$10:$A$146,'Round 2 Data'!$E$10:$E$146,0)=0,0,1)+IF(_xlfn.XLOOKUP('Summary Data'!A50,'Round 3 Data'!$A$10:$A$145,'Round 3 Data'!$E$10:$E$145,0)=0,0,1)+IF(_xlfn.XLOOKUP('Summary Data'!A50,'Round 4 Data'!$A$10:$A$147,'Round 4 Data'!$E$10:$E$147,0)=0,0,1)</f>
        <v>#VALUE!</v>
      </c>
      <c r="E50" s="57" t="e">
        <f>(_xlfn.XLOOKUP('Summary Data'!$A50,'Round 1 Data'!$A$10:$A$143,'Round 1 Data'!E$10:E$144,0)+_xlfn.XLOOKUP('Summary Data'!$A50,'Round 2 Data'!$A$10:$A$146,'Round 2 Data'!E$10:E$146,0)+_xlfn.XLOOKUP('Summary Data'!$A50,'Round 3 Data'!$A$10:$A$145,'Round 3 Data'!E$10:E$145,0)+_xlfn.XLOOKUP('Summary Data'!$A50,'Round 4 Data'!$A$10:$A$147,'Round 4 Data'!E$10:E$147,0))/$D50</f>
        <v>#VALUE!</v>
      </c>
      <c r="F50" s="57" t="e">
        <f>(_xlfn.XLOOKUP('Summary Data'!$A50,'Round 1 Data'!$A$10:$A$143,'Round 1 Data'!F$10:F$144,0)+_xlfn.XLOOKUP('Summary Data'!$A50,'Round 2 Data'!$A$10:$A$146,'Round 2 Data'!F$10:F$146,0)+_xlfn.XLOOKUP('Summary Data'!$A50,'Round 3 Data'!$A$10:$A$145,'Round 3 Data'!F$10:F$145,0)+_xlfn.XLOOKUP('Summary Data'!$A50,'Round 4 Data'!$A$10:$A$147,'Round 4 Data'!F$10:F$147,0))/$D50</f>
        <v>#VALUE!</v>
      </c>
      <c r="G50" s="57" t="e">
        <f>(_xlfn.XLOOKUP('Summary Data'!$A50,'Round 1 Data'!$A$10:$A$143,'Round 1 Data'!G$10:G$144,0)+_xlfn.XLOOKUP('Summary Data'!$A50,'Round 2 Data'!$A$10:$A$146,'Round 2 Data'!G$10:G$146,0)+_xlfn.XLOOKUP('Summary Data'!$A50,'Round 3 Data'!$A$10:$A$145,'Round 3 Data'!G$10:G$145,0)+_xlfn.XLOOKUP('Summary Data'!$A50,'Round 4 Data'!$A$10:$A$147,'Round 4 Data'!G$10:G$147,0))/$D50</f>
        <v>#VALUE!</v>
      </c>
      <c r="H50" s="57" t="e">
        <f>(_xlfn.XLOOKUP('Summary Data'!$A50,'Round 1 Data'!$A$10:$A$143,'Round 1 Data'!H$10:H$144,0)+_xlfn.XLOOKUP('Summary Data'!$A50,'Round 2 Data'!$A$10:$A$146,'Round 2 Data'!H$10:H$146,0)+_xlfn.XLOOKUP('Summary Data'!$A50,'Round 3 Data'!$A$10:$A$145,'Round 3 Data'!H$10:H$145,0)+_xlfn.XLOOKUP('Summary Data'!$A50,'Round 4 Data'!$A$10:$A$147,'Round 4 Data'!H$10:H$147,0))/$D50</f>
        <v>#VALUE!</v>
      </c>
      <c r="I50" s="57" t="e">
        <f>(_xlfn.XLOOKUP('Summary Data'!$A50,'Round 1 Data'!$A$10:$A$143,'Round 1 Data'!I$10:I$144,0)+_xlfn.XLOOKUP('Summary Data'!$A50,'Round 2 Data'!$A$10:$A$146,'Round 2 Data'!I$10:I$146,0)+_xlfn.XLOOKUP('Summary Data'!$A50,'Round 3 Data'!$A$10:$A$145,'Round 3 Data'!I$10:I$145,0)+_xlfn.XLOOKUP('Summary Data'!$A50,'Round 4 Data'!$A$10:$A$147,'Round 4 Data'!I$10:I$147,0))/$D50</f>
        <v>#VALUE!</v>
      </c>
      <c r="J50" s="57" t="e">
        <f>(_xlfn.XLOOKUP('Summary Data'!$A50,'Round 1 Data'!$A$10:$A$143,'Round 1 Data'!J$10:J$144,0)+_xlfn.XLOOKUP('Summary Data'!$A50,'Round 2 Data'!$A$10:$A$146,'Round 2 Data'!J$10:J$146,0)+_xlfn.XLOOKUP('Summary Data'!$A50,'Round 3 Data'!$A$10:$A$145,'Round 3 Data'!J$10:J$145,0)+_xlfn.XLOOKUP('Summary Data'!$A50,'Round 4 Data'!$A$10:$A$147,'Round 4 Data'!J$10:J$147,0))/$D50</f>
        <v>#VALUE!</v>
      </c>
      <c r="K50" s="57" t="e">
        <f>(_xlfn.XLOOKUP('Summary Data'!$A50,'Round 1 Data'!$A$10:$A$143,'Round 1 Data'!K$10:K$144,0)+_xlfn.XLOOKUP('Summary Data'!$A50,'Round 2 Data'!$A$10:$A$146,'Round 2 Data'!K$10:K$146,0)+_xlfn.XLOOKUP('Summary Data'!$A50,'Round 3 Data'!$A$10:$A$145,'Round 3 Data'!K$10:K$145,0)+_xlfn.XLOOKUP('Summary Data'!$A50,'Round 4 Data'!$A$10:$A$147,'Round 4 Data'!K$10:K$147,0))/$D50</f>
        <v>#VALUE!</v>
      </c>
      <c r="L50" s="57" t="e">
        <f>(_xlfn.XLOOKUP('Summary Data'!$A50,'Round 1 Data'!$A$10:$A$143,'Round 1 Data'!L$10:L$144,0)+_xlfn.XLOOKUP('Summary Data'!$A50,'Round 2 Data'!$A$10:$A$146,'Round 2 Data'!L$10:L$146,0)+_xlfn.XLOOKUP('Summary Data'!$A50,'Round 3 Data'!$A$10:$A$145,'Round 3 Data'!L$10:L$145,0)+_xlfn.XLOOKUP('Summary Data'!$A50,'Round 4 Data'!$A$10:$A$147,'Round 4 Data'!L$10:L$147,0))/$D50</f>
        <v>#VALUE!</v>
      </c>
      <c r="M50" s="57" t="e">
        <f>(_xlfn.XLOOKUP('Summary Data'!$A50,'Round 1 Data'!$A$10:$A$143,'Round 1 Data'!M$10:M$144,0)+_xlfn.XLOOKUP('Summary Data'!$A50,'Round 2 Data'!$A$10:$A$146,'Round 2 Data'!M$10:M$146,0)+_xlfn.XLOOKUP('Summary Data'!$A50,'Round 3 Data'!$A$10:$A$145,'Round 3 Data'!M$10:M$145,0)+_xlfn.XLOOKUP('Summary Data'!$A50,'Round 4 Data'!$A$10:$A$147,'Round 4 Data'!M$10:M$147,0))/$D50</f>
        <v>#VALUE!</v>
      </c>
      <c r="N50" s="57" t="e">
        <f>(_xlfn.XLOOKUP('Summary Data'!$A50,'Round 1 Data'!$A$10:$A$143,'Round 1 Data'!N$10:N$144,0)+_xlfn.XLOOKUP('Summary Data'!$A50,'Round 2 Data'!$A$10:$A$146,'Round 2 Data'!N$10:N$146,0)+_xlfn.XLOOKUP('Summary Data'!$A50,'Round 3 Data'!$A$10:$A$145,'Round 3 Data'!N$10:N$145,0)+_xlfn.XLOOKUP('Summary Data'!$A50,'Round 4 Data'!$A$10:$A$147,'Round 4 Data'!N$10:N$147,0))/$D50</f>
        <v>#VALUE!</v>
      </c>
      <c r="O50" s="57" t="e">
        <f>(_xlfn.XLOOKUP('Summary Data'!$A50,'Round 1 Data'!$A$10:$A$143,'Round 1 Data'!O$10:O$144,0)+_xlfn.XLOOKUP('Summary Data'!$A50,'Round 2 Data'!$A$10:$A$146,'Round 2 Data'!O$10:O$146,0)+_xlfn.XLOOKUP('Summary Data'!$A50,'Round 3 Data'!$A$10:$A$145,'Round 3 Data'!O$10:O$145,0)+_xlfn.XLOOKUP('Summary Data'!$A50,'Round 4 Data'!$A$10:$A$147,'Round 4 Data'!O$10:O$147,0))/$D50</f>
        <v>#VALUE!</v>
      </c>
      <c r="P50" s="57" t="e">
        <f>(_xlfn.XLOOKUP('Summary Data'!$A50,'Round 1 Data'!$A$10:$A$143,'Round 1 Data'!P$10:P$144,0)+_xlfn.XLOOKUP('Summary Data'!$A50,'Round 2 Data'!$A$10:$A$146,'Round 2 Data'!P$10:P$146,0)+_xlfn.XLOOKUP('Summary Data'!$A50,'Round 3 Data'!$A$10:$A$145,'Round 3 Data'!P$10:P$145,0)+_xlfn.XLOOKUP('Summary Data'!$A50,'Round 4 Data'!$A$10:$A$147,'Round 4 Data'!P$10:P$147,0))/$D50</f>
        <v>#VALUE!</v>
      </c>
      <c r="Q50" s="57" t="e">
        <f>(_xlfn.XLOOKUP('Summary Data'!$A50,'Round 1 Data'!$A$10:$A$143,'Round 1 Data'!Q$10:Q$144,0)+_xlfn.XLOOKUP('Summary Data'!$A50,'Round 2 Data'!$A$10:$A$146,'Round 2 Data'!Q$10:Q$146,0)+_xlfn.XLOOKUP('Summary Data'!$A50,'Round 3 Data'!$A$10:$A$145,'Round 3 Data'!Q$10:Q$145,0)+_xlfn.XLOOKUP('Summary Data'!$A50,'Round 4 Data'!$A$10:$A$147,'Round 4 Data'!Q$10:Q$147,0))/$D50</f>
        <v>#VALUE!</v>
      </c>
      <c r="R50" s="57" t="e">
        <f>(_xlfn.XLOOKUP('Summary Data'!$A50,'Round 1 Data'!$A$10:$A$143,'Round 1 Data'!R$10:R$144,0)+_xlfn.XLOOKUP('Summary Data'!$A50,'Round 2 Data'!$A$10:$A$146,'Round 2 Data'!R$10:R$146,0)+_xlfn.XLOOKUP('Summary Data'!$A50,'Round 3 Data'!$A$10:$A$145,'Round 3 Data'!R$10:R$145,0)+_xlfn.XLOOKUP('Summary Data'!$A50,'Round 4 Data'!$A$10:$A$147,'Round 4 Data'!R$10:R$147,0))/$D50</f>
        <v>#VALUE!</v>
      </c>
      <c r="S50" s="57" t="e">
        <f>(_xlfn.XLOOKUP('Summary Data'!$A50,'Round 1 Data'!$A$10:$A$143,'Round 1 Data'!S$10:S$144,0)+_xlfn.XLOOKUP('Summary Data'!$A50,'Round 2 Data'!$A$10:$A$146,'Round 2 Data'!S$10:S$146,0)+_xlfn.XLOOKUP('Summary Data'!$A50,'Round 3 Data'!$A$10:$A$145,'Round 3 Data'!S$10:S$145,0)+_xlfn.XLOOKUP('Summary Data'!$A50,'Round 4 Data'!$A$10:$A$147,'Round 4 Data'!S$10:S$147,0))/$D50</f>
        <v>#VALUE!</v>
      </c>
      <c r="T50" s="62" t="e">
        <f>(_xlfn.XLOOKUP('Summary Data'!$A50,'Round 1 Data'!$A$10:$A$143,'Round 1 Data'!U$10:U$144,0)+_xlfn.XLOOKUP('Summary Data'!$A50,'Round 2 Data'!$A$10:$A$146,'Round 2 Data'!U$10:U$146,0)+_xlfn.XLOOKUP('Summary Data'!$A50,'Round 3 Data'!$A$10:$A$145,'Round 3 Data'!U$10:U$145,0)+_xlfn.XLOOKUP('Summary Data'!$A50,'Round 4 Data'!$A$10:$A$147,'Round 4 Data'!U$10:U$147,0))</f>
        <v>#VALUE!</v>
      </c>
    </row>
    <row r="51" spans="1:20" ht="16" thickBot="1" x14ac:dyDescent="0.25">
      <c r="A51" s="63" t="s">
        <v>82</v>
      </c>
      <c r="B51" t="s">
        <v>190</v>
      </c>
      <c r="C51" t="s">
        <v>194</v>
      </c>
      <c r="D51" t="e">
        <f>IF(_xlfn.XLOOKUP('Summary Data'!A51,'Round 1 Data'!$A$10:$A$143,'Round 1 Data'!$E$10:$E$144,0)=0,0,1)+IF(_xlfn.XLOOKUP('Summary Data'!A51,'Round 2 Data'!$A$10:$A$146,'Round 2 Data'!$E$10:$E$146,0)=0,0,1)+IF(_xlfn.XLOOKUP('Summary Data'!A51,'Round 3 Data'!$A$10:$A$145,'Round 3 Data'!$E$10:$E$145,0)=0,0,1)+IF(_xlfn.XLOOKUP('Summary Data'!A51,'Round 4 Data'!$A$10:$A$147,'Round 4 Data'!$E$10:$E$147,0)=0,0,1)</f>
        <v>#VALUE!</v>
      </c>
      <c r="E51" s="57" t="e">
        <f>(_xlfn.XLOOKUP('Summary Data'!$A51,'Round 1 Data'!$A$10:$A$143,'Round 1 Data'!E$10:E$144,0)+_xlfn.XLOOKUP('Summary Data'!$A51,'Round 2 Data'!$A$10:$A$146,'Round 2 Data'!E$10:E$146,0)+_xlfn.XLOOKUP('Summary Data'!$A51,'Round 3 Data'!$A$10:$A$145,'Round 3 Data'!E$10:E$145,0)+_xlfn.XLOOKUP('Summary Data'!$A51,'Round 4 Data'!$A$10:$A$147,'Round 4 Data'!E$10:E$147,0))/$D51</f>
        <v>#VALUE!</v>
      </c>
      <c r="F51" s="57" t="e">
        <f>(_xlfn.XLOOKUP('Summary Data'!$A51,'Round 1 Data'!$A$10:$A$143,'Round 1 Data'!F$10:F$144,0)+_xlfn.XLOOKUP('Summary Data'!$A51,'Round 2 Data'!$A$10:$A$146,'Round 2 Data'!F$10:F$146,0)+_xlfn.XLOOKUP('Summary Data'!$A51,'Round 3 Data'!$A$10:$A$145,'Round 3 Data'!F$10:F$145,0)+_xlfn.XLOOKUP('Summary Data'!$A51,'Round 4 Data'!$A$10:$A$147,'Round 4 Data'!F$10:F$147,0))/$D51</f>
        <v>#VALUE!</v>
      </c>
      <c r="G51" s="57" t="e">
        <f>(_xlfn.XLOOKUP('Summary Data'!$A51,'Round 1 Data'!$A$10:$A$143,'Round 1 Data'!G$10:G$144,0)+_xlfn.XLOOKUP('Summary Data'!$A51,'Round 2 Data'!$A$10:$A$146,'Round 2 Data'!G$10:G$146,0)+_xlfn.XLOOKUP('Summary Data'!$A51,'Round 3 Data'!$A$10:$A$145,'Round 3 Data'!G$10:G$145,0)+_xlfn.XLOOKUP('Summary Data'!$A51,'Round 4 Data'!$A$10:$A$147,'Round 4 Data'!G$10:G$147,0))/$D51</f>
        <v>#VALUE!</v>
      </c>
      <c r="H51" s="57" t="e">
        <f>(_xlfn.XLOOKUP('Summary Data'!$A51,'Round 1 Data'!$A$10:$A$143,'Round 1 Data'!H$10:H$144,0)+_xlfn.XLOOKUP('Summary Data'!$A51,'Round 2 Data'!$A$10:$A$146,'Round 2 Data'!H$10:H$146,0)+_xlfn.XLOOKUP('Summary Data'!$A51,'Round 3 Data'!$A$10:$A$145,'Round 3 Data'!H$10:H$145,0)+_xlfn.XLOOKUP('Summary Data'!$A51,'Round 4 Data'!$A$10:$A$147,'Round 4 Data'!H$10:H$147,0))/$D51</f>
        <v>#VALUE!</v>
      </c>
      <c r="I51" s="57" t="e">
        <f>(_xlfn.XLOOKUP('Summary Data'!$A51,'Round 1 Data'!$A$10:$A$143,'Round 1 Data'!I$10:I$144,0)+_xlfn.XLOOKUP('Summary Data'!$A51,'Round 2 Data'!$A$10:$A$146,'Round 2 Data'!I$10:I$146,0)+_xlfn.XLOOKUP('Summary Data'!$A51,'Round 3 Data'!$A$10:$A$145,'Round 3 Data'!I$10:I$145,0)+_xlfn.XLOOKUP('Summary Data'!$A51,'Round 4 Data'!$A$10:$A$147,'Round 4 Data'!I$10:I$147,0))/$D51</f>
        <v>#VALUE!</v>
      </c>
      <c r="J51" s="57" t="e">
        <f>(_xlfn.XLOOKUP('Summary Data'!$A51,'Round 1 Data'!$A$10:$A$143,'Round 1 Data'!J$10:J$144,0)+_xlfn.XLOOKUP('Summary Data'!$A51,'Round 2 Data'!$A$10:$A$146,'Round 2 Data'!J$10:J$146,0)+_xlfn.XLOOKUP('Summary Data'!$A51,'Round 3 Data'!$A$10:$A$145,'Round 3 Data'!J$10:J$145,0)+_xlfn.XLOOKUP('Summary Data'!$A51,'Round 4 Data'!$A$10:$A$147,'Round 4 Data'!J$10:J$147,0))/$D51</f>
        <v>#VALUE!</v>
      </c>
      <c r="K51" s="57" t="e">
        <f>(_xlfn.XLOOKUP('Summary Data'!$A51,'Round 1 Data'!$A$10:$A$143,'Round 1 Data'!K$10:K$144,0)+_xlfn.XLOOKUP('Summary Data'!$A51,'Round 2 Data'!$A$10:$A$146,'Round 2 Data'!K$10:K$146,0)+_xlfn.XLOOKUP('Summary Data'!$A51,'Round 3 Data'!$A$10:$A$145,'Round 3 Data'!K$10:K$145,0)+_xlfn.XLOOKUP('Summary Data'!$A51,'Round 4 Data'!$A$10:$A$147,'Round 4 Data'!K$10:K$147,0))/$D51</f>
        <v>#VALUE!</v>
      </c>
      <c r="L51" s="57" t="e">
        <f>(_xlfn.XLOOKUP('Summary Data'!$A51,'Round 1 Data'!$A$10:$A$143,'Round 1 Data'!L$10:L$144,0)+_xlfn.XLOOKUP('Summary Data'!$A51,'Round 2 Data'!$A$10:$A$146,'Round 2 Data'!L$10:L$146,0)+_xlfn.XLOOKUP('Summary Data'!$A51,'Round 3 Data'!$A$10:$A$145,'Round 3 Data'!L$10:L$145,0)+_xlfn.XLOOKUP('Summary Data'!$A51,'Round 4 Data'!$A$10:$A$147,'Round 4 Data'!L$10:L$147,0))/$D51</f>
        <v>#VALUE!</v>
      </c>
      <c r="M51" s="57" t="e">
        <f>(_xlfn.XLOOKUP('Summary Data'!$A51,'Round 1 Data'!$A$10:$A$143,'Round 1 Data'!M$10:M$144,0)+_xlfn.XLOOKUP('Summary Data'!$A51,'Round 2 Data'!$A$10:$A$146,'Round 2 Data'!M$10:M$146,0)+_xlfn.XLOOKUP('Summary Data'!$A51,'Round 3 Data'!$A$10:$A$145,'Round 3 Data'!M$10:M$145,0)+_xlfn.XLOOKUP('Summary Data'!$A51,'Round 4 Data'!$A$10:$A$147,'Round 4 Data'!M$10:M$147,0))/$D51</f>
        <v>#VALUE!</v>
      </c>
      <c r="N51" s="57" t="e">
        <f>(_xlfn.XLOOKUP('Summary Data'!$A51,'Round 1 Data'!$A$10:$A$143,'Round 1 Data'!N$10:N$144,0)+_xlfn.XLOOKUP('Summary Data'!$A51,'Round 2 Data'!$A$10:$A$146,'Round 2 Data'!N$10:N$146,0)+_xlfn.XLOOKUP('Summary Data'!$A51,'Round 3 Data'!$A$10:$A$145,'Round 3 Data'!N$10:N$145,0)+_xlfn.XLOOKUP('Summary Data'!$A51,'Round 4 Data'!$A$10:$A$147,'Round 4 Data'!N$10:N$147,0))/$D51</f>
        <v>#VALUE!</v>
      </c>
      <c r="O51" s="57" t="e">
        <f>(_xlfn.XLOOKUP('Summary Data'!$A51,'Round 1 Data'!$A$10:$A$143,'Round 1 Data'!O$10:O$144,0)+_xlfn.XLOOKUP('Summary Data'!$A51,'Round 2 Data'!$A$10:$A$146,'Round 2 Data'!O$10:O$146,0)+_xlfn.XLOOKUP('Summary Data'!$A51,'Round 3 Data'!$A$10:$A$145,'Round 3 Data'!O$10:O$145,0)+_xlfn.XLOOKUP('Summary Data'!$A51,'Round 4 Data'!$A$10:$A$147,'Round 4 Data'!O$10:O$147,0))/$D51</f>
        <v>#VALUE!</v>
      </c>
      <c r="P51" s="57" t="e">
        <f>(_xlfn.XLOOKUP('Summary Data'!$A51,'Round 1 Data'!$A$10:$A$143,'Round 1 Data'!P$10:P$144,0)+_xlfn.XLOOKUP('Summary Data'!$A51,'Round 2 Data'!$A$10:$A$146,'Round 2 Data'!P$10:P$146,0)+_xlfn.XLOOKUP('Summary Data'!$A51,'Round 3 Data'!$A$10:$A$145,'Round 3 Data'!P$10:P$145,0)+_xlfn.XLOOKUP('Summary Data'!$A51,'Round 4 Data'!$A$10:$A$147,'Round 4 Data'!P$10:P$147,0))/$D51</f>
        <v>#VALUE!</v>
      </c>
      <c r="Q51" s="57" t="e">
        <f>(_xlfn.XLOOKUP('Summary Data'!$A51,'Round 1 Data'!$A$10:$A$143,'Round 1 Data'!Q$10:Q$144,0)+_xlfn.XLOOKUP('Summary Data'!$A51,'Round 2 Data'!$A$10:$A$146,'Round 2 Data'!Q$10:Q$146,0)+_xlfn.XLOOKUP('Summary Data'!$A51,'Round 3 Data'!$A$10:$A$145,'Round 3 Data'!Q$10:Q$145,0)+_xlfn.XLOOKUP('Summary Data'!$A51,'Round 4 Data'!$A$10:$A$147,'Round 4 Data'!Q$10:Q$147,0))/$D51</f>
        <v>#VALUE!</v>
      </c>
      <c r="R51" s="57" t="e">
        <f>(_xlfn.XLOOKUP('Summary Data'!$A51,'Round 1 Data'!$A$10:$A$143,'Round 1 Data'!R$10:R$144,0)+_xlfn.XLOOKUP('Summary Data'!$A51,'Round 2 Data'!$A$10:$A$146,'Round 2 Data'!R$10:R$146,0)+_xlfn.XLOOKUP('Summary Data'!$A51,'Round 3 Data'!$A$10:$A$145,'Round 3 Data'!R$10:R$145,0)+_xlfn.XLOOKUP('Summary Data'!$A51,'Round 4 Data'!$A$10:$A$147,'Round 4 Data'!R$10:R$147,0))/$D51</f>
        <v>#VALUE!</v>
      </c>
      <c r="S51" s="57" t="e">
        <f>(_xlfn.XLOOKUP('Summary Data'!$A51,'Round 1 Data'!$A$10:$A$143,'Round 1 Data'!S$10:S$144,0)+_xlfn.XLOOKUP('Summary Data'!$A51,'Round 2 Data'!$A$10:$A$146,'Round 2 Data'!S$10:S$146,0)+_xlfn.XLOOKUP('Summary Data'!$A51,'Round 3 Data'!$A$10:$A$145,'Round 3 Data'!S$10:S$145,0)+_xlfn.XLOOKUP('Summary Data'!$A51,'Round 4 Data'!$A$10:$A$147,'Round 4 Data'!S$10:S$147,0))/$D51</f>
        <v>#VALUE!</v>
      </c>
      <c r="T51" s="62" t="e">
        <f>(_xlfn.XLOOKUP('Summary Data'!$A51,'Round 1 Data'!$A$10:$A$143,'Round 1 Data'!U$10:U$144,0)+_xlfn.XLOOKUP('Summary Data'!$A51,'Round 2 Data'!$A$10:$A$146,'Round 2 Data'!U$10:U$146,0)+_xlfn.XLOOKUP('Summary Data'!$A51,'Round 3 Data'!$A$10:$A$145,'Round 3 Data'!U$10:U$145,0)+_xlfn.XLOOKUP('Summary Data'!$A51,'Round 4 Data'!$A$10:$A$147,'Round 4 Data'!U$10:U$147,0))</f>
        <v>#VALUE!</v>
      </c>
    </row>
    <row r="52" spans="1:20" ht="16" thickBot="1" x14ac:dyDescent="0.25">
      <c r="A52" s="61" t="s">
        <v>83</v>
      </c>
      <c r="B52" t="s">
        <v>190</v>
      </c>
      <c r="C52" t="s">
        <v>194</v>
      </c>
      <c r="D52" t="e">
        <f>IF(_xlfn.XLOOKUP('Summary Data'!A52,'Round 1 Data'!$A$10:$A$143,'Round 1 Data'!$E$10:$E$144,0)=0,0,1)+IF(_xlfn.XLOOKUP('Summary Data'!A52,'Round 2 Data'!$A$10:$A$146,'Round 2 Data'!$E$10:$E$146,0)=0,0,1)+IF(_xlfn.XLOOKUP('Summary Data'!A52,'Round 3 Data'!$A$10:$A$145,'Round 3 Data'!$E$10:$E$145,0)=0,0,1)+IF(_xlfn.XLOOKUP('Summary Data'!A52,'Round 4 Data'!$A$10:$A$147,'Round 4 Data'!$E$10:$E$147,0)=0,0,1)</f>
        <v>#VALUE!</v>
      </c>
      <c r="E52" s="57" t="e">
        <f>(_xlfn.XLOOKUP('Summary Data'!$A52,'Round 1 Data'!$A$10:$A$143,'Round 1 Data'!E$10:E$144,0)+_xlfn.XLOOKUP('Summary Data'!$A52,'Round 2 Data'!$A$10:$A$146,'Round 2 Data'!E$10:E$146,0)+_xlfn.XLOOKUP('Summary Data'!$A52,'Round 3 Data'!$A$10:$A$145,'Round 3 Data'!E$10:E$145,0)+_xlfn.XLOOKUP('Summary Data'!$A52,'Round 4 Data'!$A$10:$A$147,'Round 4 Data'!E$10:E$147,0))/$D52</f>
        <v>#VALUE!</v>
      </c>
      <c r="F52" s="57" t="e">
        <f>(_xlfn.XLOOKUP('Summary Data'!$A52,'Round 1 Data'!$A$10:$A$143,'Round 1 Data'!F$10:F$144,0)+_xlfn.XLOOKUP('Summary Data'!$A52,'Round 2 Data'!$A$10:$A$146,'Round 2 Data'!F$10:F$146,0)+_xlfn.XLOOKUP('Summary Data'!$A52,'Round 3 Data'!$A$10:$A$145,'Round 3 Data'!F$10:F$145,0)+_xlfn.XLOOKUP('Summary Data'!$A52,'Round 4 Data'!$A$10:$A$147,'Round 4 Data'!F$10:F$147,0))/$D52</f>
        <v>#VALUE!</v>
      </c>
      <c r="G52" s="57" t="e">
        <f>(_xlfn.XLOOKUP('Summary Data'!$A52,'Round 1 Data'!$A$10:$A$143,'Round 1 Data'!G$10:G$144,0)+_xlfn.XLOOKUP('Summary Data'!$A52,'Round 2 Data'!$A$10:$A$146,'Round 2 Data'!G$10:G$146,0)+_xlfn.XLOOKUP('Summary Data'!$A52,'Round 3 Data'!$A$10:$A$145,'Round 3 Data'!G$10:G$145,0)+_xlfn.XLOOKUP('Summary Data'!$A52,'Round 4 Data'!$A$10:$A$147,'Round 4 Data'!G$10:G$147,0))/$D52</f>
        <v>#VALUE!</v>
      </c>
      <c r="H52" s="57" t="e">
        <f>(_xlfn.XLOOKUP('Summary Data'!$A52,'Round 1 Data'!$A$10:$A$143,'Round 1 Data'!H$10:H$144,0)+_xlfn.XLOOKUP('Summary Data'!$A52,'Round 2 Data'!$A$10:$A$146,'Round 2 Data'!H$10:H$146,0)+_xlfn.XLOOKUP('Summary Data'!$A52,'Round 3 Data'!$A$10:$A$145,'Round 3 Data'!H$10:H$145,0)+_xlfn.XLOOKUP('Summary Data'!$A52,'Round 4 Data'!$A$10:$A$147,'Round 4 Data'!H$10:H$147,0))/$D52</f>
        <v>#VALUE!</v>
      </c>
      <c r="I52" s="57" t="e">
        <f>(_xlfn.XLOOKUP('Summary Data'!$A52,'Round 1 Data'!$A$10:$A$143,'Round 1 Data'!I$10:I$144,0)+_xlfn.XLOOKUP('Summary Data'!$A52,'Round 2 Data'!$A$10:$A$146,'Round 2 Data'!I$10:I$146,0)+_xlfn.XLOOKUP('Summary Data'!$A52,'Round 3 Data'!$A$10:$A$145,'Round 3 Data'!I$10:I$145,0)+_xlfn.XLOOKUP('Summary Data'!$A52,'Round 4 Data'!$A$10:$A$147,'Round 4 Data'!I$10:I$147,0))/$D52</f>
        <v>#VALUE!</v>
      </c>
      <c r="J52" s="57" t="e">
        <f>(_xlfn.XLOOKUP('Summary Data'!$A52,'Round 1 Data'!$A$10:$A$143,'Round 1 Data'!J$10:J$144,0)+_xlfn.XLOOKUP('Summary Data'!$A52,'Round 2 Data'!$A$10:$A$146,'Round 2 Data'!J$10:J$146,0)+_xlfn.XLOOKUP('Summary Data'!$A52,'Round 3 Data'!$A$10:$A$145,'Round 3 Data'!J$10:J$145,0)+_xlfn.XLOOKUP('Summary Data'!$A52,'Round 4 Data'!$A$10:$A$147,'Round 4 Data'!J$10:J$147,0))/$D52</f>
        <v>#VALUE!</v>
      </c>
      <c r="K52" s="57" t="e">
        <f>(_xlfn.XLOOKUP('Summary Data'!$A52,'Round 1 Data'!$A$10:$A$143,'Round 1 Data'!K$10:K$144,0)+_xlfn.XLOOKUP('Summary Data'!$A52,'Round 2 Data'!$A$10:$A$146,'Round 2 Data'!K$10:K$146,0)+_xlfn.XLOOKUP('Summary Data'!$A52,'Round 3 Data'!$A$10:$A$145,'Round 3 Data'!K$10:K$145,0)+_xlfn.XLOOKUP('Summary Data'!$A52,'Round 4 Data'!$A$10:$A$147,'Round 4 Data'!K$10:K$147,0))/$D52</f>
        <v>#VALUE!</v>
      </c>
      <c r="L52" s="57" t="e">
        <f>(_xlfn.XLOOKUP('Summary Data'!$A52,'Round 1 Data'!$A$10:$A$143,'Round 1 Data'!L$10:L$144,0)+_xlfn.XLOOKUP('Summary Data'!$A52,'Round 2 Data'!$A$10:$A$146,'Round 2 Data'!L$10:L$146,0)+_xlfn.XLOOKUP('Summary Data'!$A52,'Round 3 Data'!$A$10:$A$145,'Round 3 Data'!L$10:L$145,0)+_xlfn.XLOOKUP('Summary Data'!$A52,'Round 4 Data'!$A$10:$A$147,'Round 4 Data'!L$10:L$147,0))/$D52</f>
        <v>#VALUE!</v>
      </c>
      <c r="M52" s="57" t="e">
        <f>(_xlfn.XLOOKUP('Summary Data'!$A52,'Round 1 Data'!$A$10:$A$143,'Round 1 Data'!M$10:M$144,0)+_xlfn.XLOOKUP('Summary Data'!$A52,'Round 2 Data'!$A$10:$A$146,'Round 2 Data'!M$10:M$146,0)+_xlfn.XLOOKUP('Summary Data'!$A52,'Round 3 Data'!$A$10:$A$145,'Round 3 Data'!M$10:M$145,0)+_xlfn.XLOOKUP('Summary Data'!$A52,'Round 4 Data'!$A$10:$A$147,'Round 4 Data'!M$10:M$147,0))/$D52</f>
        <v>#VALUE!</v>
      </c>
      <c r="N52" s="57" t="e">
        <f>(_xlfn.XLOOKUP('Summary Data'!$A52,'Round 1 Data'!$A$10:$A$143,'Round 1 Data'!N$10:N$144,0)+_xlfn.XLOOKUP('Summary Data'!$A52,'Round 2 Data'!$A$10:$A$146,'Round 2 Data'!N$10:N$146,0)+_xlfn.XLOOKUP('Summary Data'!$A52,'Round 3 Data'!$A$10:$A$145,'Round 3 Data'!N$10:N$145,0)+_xlfn.XLOOKUP('Summary Data'!$A52,'Round 4 Data'!$A$10:$A$147,'Round 4 Data'!N$10:N$147,0))/$D52</f>
        <v>#VALUE!</v>
      </c>
      <c r="O52" s="57" t="e">
        <f>(_xlfn.XLOOKUP('Summary Data'!$A52,'Round 1 Data'!$A$10:$A$143,'Round 1 Data'!O$10:O$144,0)+_xlfn.XLOOKUP('Summary Data'!$A52,'Round 2 Data'!$A$10:$A$146,'Round 2 Data'!O$10:O$146,0)+_xlfn.XLOOKUP('Summary Data'!$A52,'Round 3 Data'!$A$10:$A$145,'Round 3 Data'!O$10:O$145,0)+_xlfn.XLOOKUP('Summary Data'!$A52,'Round 4 Data'!$A$10:$A$147,'Round 4 Data'!O$10:O$147,0))/$D52</f>
        <v>#VALUE!</v>
      </c>
      <c r="P52" s="57" t="e">
        <f>(_xlfn.XLOOKUP('Summary Data'!$A52,'Round 1 Data'!$A$10:$A$143,'Round 1 Data'!P$10:P$144,0)+_xlfn.XLOOKUP('Summary Data'!$A52,'Round 2 Data'!$A$10:$A$146,'Round 2 Data'!P$10:P$146,0)+_xlfn.XLOOKUP('Summary Data'!$A52,'Round 3 Data'!$A$10:$A$145,'Round 3 Data'!P$10:P$145,0)+_xlfn.XLOOKUP('Summary Data'!$A52,'Round 4 Data'!$A$10:$A$147,'Round 4 Data'!P$10:P$147,0))/$D52</f>
        <v>#VALUE!</v>
      </c>
      <c r="Q52" s="57" t="e">
        <f>(_xlfn.XLOOKUP('Summary Data'!$A52,'Round 1 Data'!$A$10:$A$143,'Round 1 Data'!Q$10:Q$144,0)+_xlfn.XLOOKUP('Summary Data'!$A52,'Round 2 Data'!$A$10:$A$146,'Round 2 Data'!Q$10:Q$146,0)+_xlfn.XLOOKUP('Summary Data'!$A52,'Round 3 Data'!$A$10:$A$145,'Round 3 Data'!Q$10:Q$145,0)+_xlfn.XLOOKUP('Summary Data'!$A52,'Round 4 Data'!$A$10:$A$147,'Round 4 Data'!Q$10:Q$147,0))/$D52</f>
        <v>#VALUE!</v>
      </c>
      <c r="R52" s="57" t="e">
        <f>(_xlfn.XLOOKUP('Summary Data'!$A52,'Round 1 Data'!$A$10:$A$143,'Round 1 Data'!R$10:R$144,0)+_xlfn.XLOOKUP('Summary Data'!$A52,'Round 2 Data'!$A$10:$A$146,'Round 2 Data'!R$10:R$146,0)+_xlfn.XLOOKUP('Summary Data'!$A52,'Round 3 Data'!$A$10:$A$145,'Round 3 Data'!R$10:R$145,0)+_xlfn.XLOOKUP('Summary Data'!$A52,'Round 4 Data'!$A$10:$A$147,'Round 4 Data'!R$10:R$147,0))/$D52</f>
        <v>#VALUE!</v>
      </c>
      <c r="S52" s="57" t="e">
        <f>(_xlfn.XLOOKUP('Summary Data'!$A52,'Round 1 Data'!$A$10:$A$143,'Round 1 Data'!S$10:S$144,0)+_xlfn.XLOOKUP('Summary Data'!$A52,'Round 2 Data'!$A$10:$A$146,'Round 2 Data'!S$10:S$146,0)+_xlfn.XLOOKUP('Summary Data'!$A52,'Round 3 Data'!$A$10:$A$145,'Round 3 Data'!S$10:S$145,0)+_xlfn.XLOOKUP('Summary Data'!$A52,'Round 4 Data'!$A$10:$A$147,'Round 4 Data'!S$10:S$147,0))/$D52</f>
        <v>#VALUE!</v>
      </c>
      <c r="T52" s="62" t="e">
        <f>(_xlfn.XLOOKUP('Summary Data'!$A52,'Round 1 Data'!$A$10:$A$143,'Round 1 Data'!U$10:U$144,0)+_xlfn.XLOOKUP('Summary Data'!$A52,'Round 2 Data'!$A$10:$A$146,'Round 2 Data'!U$10:U$146,0)+_xlfn.XLOOKUP('Summary Data'!$A52,'Round 3 Data'!$A$10:$A$145,'Round 3 Data'!U$10:U$145,0)+_xlfn.XLOOKUP('Summary Data'!$A52,'Round 4 Data'!$A$10:$A$147,'Round 4 Data'!U$10:U$147,0))</f>
        <v>#VALUE!</v>
      </c>
    </row>
    <row r="53" spans="1:20" ht="16" thickBot="1" x14ac:dyDescent="0.25">
      <c r="A53" s="63" t="s">
        <v>166</v>
      </c>
      <c r="B53" t="s">
        <v>190</v>
      </c>
      <c r="C53" t="s">
        <v>194</v>
      </c>
      <c r="D53" t="e">
        <f>IF(_xlfn.XLOOKUP('Summary Data'!A53,'Round 1 Data'!$A$10:$A$143,'Round 1 Data'!$E$10:$E$144,0)=0,0,1)+IF(_xlfn.XLOOKUP('Summary Data'!A53,'Round 2 Data'!$A$10:$A$146,'Round 2 Data'!$E$10:$E$146,0)=0,0,1)+IF(_xlfn.XLOOKUP('Summary Data'!A53,'Round 3 Data'!$A$10:$A$145,'Round 3 Data'!$E$10:$E$145,0)=0,0,1)+IF(_xlfn.XLOOKUP('Summary Data'!A53,'Round 4 Data'!$A$10:$A$147,'Round 4 Data'!$E$10:$E$147,0)=0,0,1)</f>
        <v>#VALUE!</v>
      </c>
      <c r="E53" s="57" t="e">
        <f>(_xlfn.XLOOKUP('Summary Data'!$A53,'Round 1 Data'!$A$10:$A$143,'Round 1 Data'!E$10:E$144,0)+_xlfn.XLOOKUP('Summary Data'!$A53,'Round 2 Data'!$A$10:$A$146,'Round 2 Data'!E$10:E$146,0)+_xlfn.XLOOKUP('Summary Data'!$A53,'Round 3 Data'!$A$10:$A$145,'Round 3 Data'!E$10:E$145,0)+_xlfn.XLOOKUP('Summary Data'!$A53,'Round 4 Data'!$A$10:$A$147,'Round 4 Data'!E$10:E$147,0))/$D53</f>
        <v>#VALUE!</v>
      </c>
      <c r="F53" s="57" t="e">
        <f>(_xlfn.XLOOKUP('Summary Data'!$A53,'Round 1 Data'!$A$10:$A$143,'Round 1 Data'!F$10:F$144,0)+_xlfn.XLOOKUP('Summary Data'!$A53,'Round 2 Data'!$A$10:$A$146,'Round 2 Data'!F$10:F$146,0)+_xlfn.XLOOKUP('Summary Data'!$A53,'Round 3 Data'!$A$10:$A$145,'Round 3 Data'!F$10:F$145,0)+_xlfn.XLOOKUP('Summary Data'!$A53,'Round 4 Data'!$A$10:$A$147,'Round 4 Data'!F$10:F$147,0))/$D53</f>
        <v>#VALUE!</v>
      </c>
      <c r="G53" s="57" t="e">
        <f>(_xlfn.XLOOKUP('Summary Data'!$A53,'Round 1 Data'!$A$10:$A$143,'Round 1 Data'!G$10:G$144,0)+_xlfn.XLOOKUP('Summary Data'!$A53,'Round 2 Data'!$A$10:$A$146,'Round 2 Data'!G$10:G$146,0)+_xlfn.XLOOKUP('Summary Data'!$A53,'Round 3 Data'!$A$10:$A$145,'Round 3 Data'!G$10:G$145,0)+_xlfn.XLOOKUP('Summary Data'!$A53,'Round 4 Data'!$A$10:$A$147,'Round 4 Data'!G$10:G$147,0))/$D53</f>
        <v>#VALUE!</v>
      </c>
      <c r="H53" s="57" t="e">
        <f>(_xlfn.XLOOKUP('Summary Data'!$A53,'Round 1 Data'!$A$10:$A$143,'Round 1 Data'!H$10:H$144,0)+_xlfn.XLOOKUP('Summary Data'!$A53,'Round 2 Data'!$A$10:$A$146,'Round 2 Data'!H$10:H$146,0)+_xlfn.XLOOKUP('Summary Data'!$A53,'Round 3 Data'!$A$10:$A$145,'Round 3 Data'!H$10:H$145,0)+_xlfn.XLOOKUP('Summary Data'!$A53,'Round 4 Data'!$A$10:$A$147,'Round 4 Data'!H$10:H$147,0))/$D53</f>
        <v>#VALUE!</v>
      </c>
      <c r="I53" s="57" t="e">
        <f>(_xlfn.XLOOKUP('Summary Data'!$A53,'Round 1 Data'!$A$10:$A$143,'Round 1 Data'!I$10:I$144,0)+_xlfn.XLOOKUP('Summary Data'!$A53,'Round 2 Data'!$A$10:$A$146,'Round 2 Data'!I$10:I$146,0)+_xlfn.XLOOKUP('Summary Data'!$A53,'Round 3 Data'!$A$10:$A$145,'Round 3 Data'!I$10:I$145,0)+_xlfn.XLOOKUP('Summary Data'!$A53,'Round 4 Data'!$A$10:$A$147,'Round 4 Data'!I$10:I$147,0))/$D53</f>
        <v>#VALUE!</v>
      </c>
      <c r="J53" s="57" t="e">
        <f>(_xlfn.XLOOKUP('Summary Data'!$A53,'Round 1 Data'!$A$10:$A$143,'Round 1 Data'!J$10:J$144,0)+_xlfn.XLOOKUP('Summary Data'!$A53,'Round 2 Data'!$A$10:$A$146,'Round 2 Data'!J$10:J$146,0)+_xlfn.XLOOKUP('Summary Data'!$A53,'Round 3 Data'!$A$10:$A$145,'Round 3 Data'!J$10:J$145,0)+_xlfn.XLOOKUP('Summary Data'!$A53,'Round 4 Data'!$A$10:$A$147,'Round 4 Data'!J$10:J$147,0))/$D53</f>
        <v>#VALUE!</v>
      </c>
      <c r="K53" s="57" t="e">
        <f>(_xlfn.XLOOKUP('Summary Data'!$A53,'Round 1 Data'!$A$10:$A$143,'Round 1 Data'!K$10:K$144,0)+_xlfn.XLOOKUP('Summary Data'!$A53,'Round 2 Data'!$A$10:$A$146,'Round 2 Data'!K$10:K$146,0)+_xlfn.XLOOKUP('Summary Data'!$A53,'Round 3 Data'!$A$10:$A$145,'Round 3 Data'!K$10:K$145,0)+_xlfn.XLOOKUP('Summary Data'!$A53,'Round 4 Data'!$A$10:$A$147,'Round 4 Data'!K$10:K$147,0))/$D53</f>
        <v>#VALUE!</v>
      </c>
      <c r="L53" s="57" t="e">
        <f>(_xlfn.XLOOKUP('Summary Data'!$A53,'Round 1 Data'!$A$10:$A$143,'Round 1 Data'!L$10:L$144,0)+_xlfn.XLOOKUP('Summary Data'!$A53,'Round 2 Data'!$A$10:$A$146,'Round 2 Data'!L$10:L$146,0)+_xlfn.XLOOKUP('Summary Data'!$A53,'Round 3 Data'!$A$10:$A$145,'Round 3 Data'!L$10:L$145,0)+_xlfn.XLOOKUP('Summary Data'!$A53,'Round 4 Data'!$A$10:$A$147,'Round 4 Data'!L$10:L$147,0))/$D53</f>
        <v>#VALUE!</v>
      </c>
      <c r="M53" s="57" t="e">
        <f>(_xlfn.XLOOKUP('Summary Data'!$A53,'Round 1 Data'!$A$10:$A$143,'Round 1 Data'!M$10:M$144,0)+_xlfn.XLOOKUP('Summary Data'!$A53,'Round 2 Data'!$A$10:$A$146,'Round 2 Data'!M$10:M$146,0)+_xlfn.XLOOKUP('Summary Data'!$A53,'Round 3 Data'!$A$10:$A$145,'Round 3 Data'!M$10:M$145,0)+_xlfn.XLOOKUP('Summary Data'!$A53,'Round 4 Data'!$A$10:$A$147,'Round 4 Data'!M$10:M$147,0))/$D53</f>
        <v>#VALUE!</v>
      </c>
      <c r="N53" s="57" t="e">
        <f>(_xlfn.XLOOKUP('Summary Data'!$A53,'Round 1 Data'!$A$10:$A$143,'Round 1 Data'!N$10:N$144,0)+_xlfn.XLOOKUP('Summary Data'!$A53,'Round 2 Data'!$A$10:$A$146,'Round 2 Data'!N$10:N$146,0)+_xlfn.XLOOKUP('Summary Data'!$A53,'Round 3 Data'!$A$10:$A$145,'Round 3 Data'!N$10:N$145,0)+_xlfn.XLOOKUP('Summary Data'!$A53,'Round 4 Data'!$A$10:$A$147,'Round 4 Data'!N$10:N$147,0))/$D53</f>
        <v>#VALUE!</v>
      </c>
      <c r="O53" s="57" t="e">
        <f>(_xlfn.XLOOKUP('Summary Data'!$A53,'Round 1 Data'!$A$10:$A$143,'Round 1 Data'!O$10:O$144,0)+_xlfn.XLOOKUP('Summary Data'!$A53,'Round 2 Data'!$A$10:$A$146,'Round 2 Data'!O$10:O$146,0)+_xlfn.XLOOKUP('Summary Data'!$A53,'Round 3 Data'!$A$10:$A$145,'Round 3 Data'!O$10:O$145,0)+_xlfn.XLOOKUP('Summary Data'!$A53,'Round 4 Data'!$A$10:$A$147,'Round 4 Data'!O$10:O$147,0))/$D53</f>
        <v>#VALUE!</v>
      </c>
      <c r="P53" s="57" t="e">
        <f>(_xlfn.XLOOKUP('Summary Data'!$A53,'Round 1 Data'!$A$10:$A$143,'Round 1 Data'!P$10:P$144,0)+_xlfn.XLOOKUP('Summary Data'!$A53,'Round 2 Data'!$A$10:$A$146,'Round 2 Data'!P$10:P$146,0)+_xlfn.XLOOKUP('Summary Data'!$A53,'Round 3 Data'!$A$10:$A$145,'Round 3 Data'!P$10:P$145,0)+_xlfn.XLOOKUP('Summary Data'!$A53,'Round 4 Data'!$A$10:$A$147,'Round 4 Data'!P$10:P$147,0))/$D53</f>
        <v>#VALUE!</v>
      </c>
      <c r="Q53" s="57" t="e">
        <f>(_xlfn.XLOOKUP('Summary Data'!$A53,'Round 1 Data'!$A$10:$A$143,'Round 1 Data'!Q$10:Q$144,0)+_xlfn.XLOOKUP('Summary Data'!$A53,'Round 2 Data'!$A$10:$A$146,'Round 2 Data'!Q$10:Q$146,0)+_xlfn.XLOOKUP('Summary Data'!$A53,'Round 3 Data'!$A$10:$A$145,'Round 3 Data'!Q$10:Q$145,0)+_xlfn.XLOOKUP('Summary Data'!$A53,'Round 4 Data'!$A$10:$A$147,'Round 4 Data'!Q$10:Q$147,0))/$D53</f>
        <v>#VALUE!</v>
      </c>
      <c r="R53" s="57" t="e">
        <f>(_xlfn.XLOOKUP('Summary Data'!$A53,'Round 1 Data'!$A$10:$A$143,'Round 1 Data'!R$10:R$144,0)+_xlfn.XLOOKUP('Summary Data'!$A53,'Round 2 Data'!$A$10:$A$146,'Round 2 Data'!R$10:R$146,0)+_xlfn.XLOOKUP('Summary Data'!$A53,'Round 3 Data'!$A$10:$A$145,'Round 3 Data'!R$10:R$145,0)+_xlfn.XLOOKUP('Summary Data'!$A53,'Round 4 Data'!$A$10:$A$147,'Round 4 Data'!R$10:R$147,0))/$D53</f>
        <v>#VALUE!</v>
      </c>
      <c r="S53" s="57" t="e">
        <f>(_xlfn.XLOOKUP('Summary Data'!$A53,'Round 1 Data'!$A$10:$A$143,'Round 1 Data'!S$10:S$144,0)+_xlfn.XLOOKUP('Summary Data'!$A53,'Round 2 Data'!$A$10:$A$146,'Round 2 Data'!S$10:S$146,0)+_xlfn.XLOOKUP('Summary Data'!$A53,'Round 3 Data'!$A$10:$A$145,'Round 3 Data'!S$10:S$145,0)+_xlfn.XLOOKUP('Summary Data'!$A53,'Round 4 Data'!$A$10:$A$147,'Round 4 Data'!S$10:S$147,0))/$D53</f>
        <v>#VALUE!</v>
      </c>
      <c r="T53" s="62" t="e">
        <f>(_xlfn.XLOOKUP('Summary Data'!$A53,'Round 1 Data'!$A$10:$A$143,'Round 1 Data'!U$10:U$144,0)+_xlfn.XLOOKUP('Summary Data'!$A53,'Round 2 Data'!$A$10:$A$146,'Round 2 Data'!U$10:U$146,0)+_xlfn.XLOOKUP('Summary Data'!$A53,'Round 3 Data'!$A$10:$A$145,'Round 3 Data'!U$10:U$145,0)+_xlfn.XLOOKUP('Summary Data'!$A53,'Round 4 Data'!$A$10:$A$147,'Round 4 Data'!U$10:U$147,0))</f>
        <v>#VALUE!</v>
      </c>
    </row>
    <row r="54" spans="1:20" ht="16" thickBot="1" x14ac:dyDescent="0.25">
      <c r="A54" s="61" t="s">
        <v>84</v>
      </c>
      <c r="B54" t="s">
        <v>190</v>
      </c>
      <c r="C54" t="s">
        <v>195</v>
      </c>
      <c r="D54" t="e">
        <f>IF(_xlfn.XLOOKUP('Summary Data'!A54,'Round 1 Data'!$A$10:$A$143,'Round 1 Data'!$E$10:$E$144,0)=0,0,1)+IF(_xlfn.XLOOKUP('Summary Data'!A54,'Round 2 Data'!$A$10:$A$146,'Round 2 Data'!$E$10:$E$146,0)=0,0,1)+IF(_xlfn.XLOOKUP('Summary Data'!A54,'Round 3 Data'!$A$10:$A$145,'Round 3 Data'!$E$10:$E$145,0)=0,0,1)+IF(_xlfn.XLOOKUP('Summary Data'!A54,'Round 4 Data'!$A$10:$A$147,'Round 4 Data'!$E$10:$E$147,0)=0,0,1)</f>
        <v>#VALUE!</v>
      </c>
      <c r="E54" s="57" t="e">
        <f>(_xlfn.XLOOKUP('Summary Data'!$A54,'Round 1 Data'!$A$10:$A$143,'Round 1 Data'!E$10:E$144,0)+_xlfn.XLOOKUP('Summary Data'!$A54,'Round 2 Data'!$A$10:$A$146,'Round 2 Data'!E$10:E$146,0)+_xlfn.XLOOKUP('Summary Data'!$A54,'Round 3 Data'!$A$10:$A$145,'Round 3 Data'!E$10:E$145,0)+_xlfn.XLOOKUP('Summary Data'!$A54,'Round 4 Data'!$A$10:$A$147,'Round 4 Data'!E$10:E$147,0))/$D54</f>
        <v>#VALUE!</v>
      </c>
      <c r="F54" s="57" t="e">
        <f>(_xlfn.XLOOKUP('Summary Data'!$A54,'Round 1 Data'!$A$10:$A$143,'Round 1 Data'!F$10:F$144,0)+_xlfn.XLOOKUP('Summary Data'!$A54,'Round 2 Data'!$A$10:$A$146,'Round 2 Data'!F$10:F$146,0)+_xlfn.XLOOKUP('Summary Data'!$A54,'Round 3 Data'!$A$10:$A$145,'Round 3 Data'!F$10:F$145,0)+_xlfn.XLOOKUP('Summary Data'!$A54,'Round 4 Data'!$A$10:$A$147,'Round 4 Data'!F$10:F$147,0))/$D54</f>
        <v>#VALUE!</v>
      </c>
      <c r="G54" s="57" t="e">
        <f>(_xlfn.XLOOKUP('Summary Data'!$A54,'Round 1 Data'!$A$10:$A$143,'Round 1 Data'!G$10:G$144,0)+_xlfn.XLOOKUP('Summary Data'!$A54,'Round 2 Data'!$A$10:$A$146,'Round 2 Data'!G$10:G$146,0)+_xlfn.XLOOKUP('Summary Data'!$A54,'Round 3 Data'!$A$10:$A$145,'Round 3 Data'!G$10:G$145,0)+_xlfn.XLOOKUP('Summary Data'!$A54,'Round 4 Data'!$A$10:$A$147,'Round 4 Data'!G$10:G$147,0))/$D54</f>
        <v>#VALUE!</v>
      </c>
      <c r="H54" s="57" t="e">
        <f>(_xlfn.XLOOKUP('Summary Data'!$A54,'Round 1 Data'!$A$10:$A$143,'Round 1 Data'!H$10:H$144,0)+_xlfn.XLOOKUP('Summary Data'!$A54,'Round 2 Data'!$A$10:$A$146,'Round 2 Data'!H$10:H$146,0)+_xlfn.XLOOKUP('Summary Data'!$A54,'Round 3 Data'!$A$10:$A$145,'Round 3 Data'!H$10:H$145,0)+_xlfn.XLOOKUP('Summary Data'!$A54,'Round 4 Data'!$A$10:$A$147,'Round 4 Data'!H$10:H$147,0))/$D54</f>
        <v>#VALUE!</v>
      </c>
      <c r="I54" s="57" t="e">
        <f>(_xlfn.XLOOKUP('Summary Data'!$A54,'Round 1 Data'!$A$10:$A$143,'Round 1 Data'!I$10:I$144,0)+_xlfn.XLOOKUP('Summary Data'!$A54,'Round 2 Data'!$A$10:$A$146,'Round 2 Data'!I$10:I$146,0)+_xlfn.XLOOKUP('Summary Data'!$A54,'Round 3 Data'!$A$10:$A$145,'Round 3 Data'!I$10:I$145,0)+_xlfn.XLOOKUP('Summary Data'!$A54,'Round 4 Data'!$A$10:$A$147,'Round 4 Data'!I$10:I$147,0))/$D54</f>
        <v>#VALUE!</v>
      </c>
      <c r="J54" s="57" t="e">
        <f>(_xlfn.XLOOKUP('Summary Data'!$A54,'Round 1 Data'!$A$10:$A$143,'Round 1 Data'!J$10:J$144,0)+_xlfn.XLOOKUP('Summary Data'!$A54,'Round 2 Data'!$A$10:$A$146,'Round 2 Data'!J$10:J$146,0)+_xlfn.XLOOKUP('Summary Data'!$A54,'Round 3 Data'!$A$10:$A$145,'Round 3 Data'!J$10:J$145,0)+_xlfn.XLOOKUP('Summary Data'!$A54,'Round 4 Data'!$A$10:$A$147,'Round 4 Data'!J$10:J$147,0))/$D54</f>
        <v>#VALUE!</v>
      </c>
      <c r="K54" s="57" t="e">
        <f>(_xlfn.XLOOKUP('Summary Data'!$A54,'Round 1 Data'!$A$10:$A$143,'Round 1 Data'!K$10:K$144,0)+_xlfn.XLOOKUP('Summary Data'!$A54,'Round 2 Data'!$A$10:$A$146,'Round 2 Data'!K$10:K$146,0)+_xlfn.XLOOKUP('Summary Data'!$A54,'Round 3 Data'!$A$10:$A$145,'Round 3 Data'!K$10:K$145,0)+_xlfn.XLOOKUP('Summary Data'!$A54,'Round 4 Data'!$A$10:$A$147,'Round 4 Data'!K$10:K$147,0))/$D54</f>
        <v>#VALUE!</v>
      </c>
      <c r="L54" s="57" t="e">
        <f>(_xlfn.XLOOKUP('Summary Data'!$A54,'Round 1 Data'!$A$10:$A$143,'Round 1 Data'!L$10:L$144,0)+_xlfn.XLOOKUP('Summary Data'!$A54,'Round 2 Data'!$A$10:$A$146,'Round 2 Data'!L$10:L$146,0)+_xlfn.XLOOKUP('Summary Data'!$A54,'Round 3 Data'!$A$10:$A$145,'Round 3 Data'!L$10:L$145,0)+_xlfn.XLOOKUP('Summary Data'!$A54,'Round 4 Data'!$A$10:$A$147,'Round 4 Data'!L$10:L$147,0))/$D54</f>
        <v>#VALUE!</v>
      </c>
      <c r="M54" s="57" t="e">
        <f>(_xlfn.XLOOKUP('Summary Data'!$A54,'Round 1 Data'!$A$10:$A$143,'Round 1 Data'!M$10:M$144,0)+_xlfn.XLOOKUP('Summary Data'!$A54,'Round 2 Data'!$A$10:$A$146,'Round 2 Data'!M$10:M$146,0)+_xlfn.XLOOKUP('Summary Data'!$A54,'Round 3 Data'!$A$10:$A$145,'Round 3 Data'!M$10:M$145,0)+_xlfn.XLOOKUP('Summary Data'!$A54,'Round 4 Data'!$A$10:$A$147,'Round 4 Data'!M$10:M$147,0))/$D54</f>
        <v>#VALUE!</v>
      </c>
      <c r="N54" s="57" t="e">
        <f>(_xlfn.XLOOKUP('Summary Data'!$A54,'Round 1 Data'!$A$10:$A$143,'Round 1 Data'!N$10:N$144,0)+_xlfn.XLOOKUP('Summary Data'!$A54,'Round 2 Data'!$A$10:$A$146,'Round 2 Data'!N$10:N$146,0)+_xlfn.XLOOKUP('Summary Data'!$A54,'Round 3 Data'!$A$10:$A$145,'Round 3 Data'!N$10:N$145,0)+_xlfn.XLOOKUP('Summary Data'!$A54,'Round 4 Data'!$A$10:$A$147,'Round 4 Data'!N$10:N$147,0))/$D54</f>
        <v>#VALUE!</v>
      </c>
      <c r="O54" s="57" t="e">
        <f>(_xlfn.XLOOKUP('Summary Data'!$A54,'Round 1 Data'!$A$10:$A$143,'Round 1 Data'!O$10:O$144,0)+_xlfn.XLOOKUP('Summary Data'!$A54,'Round 2 Data'!$A$10:$A$146,'Round 2 Data'!O$10:O$146,0)+_xlfn.XLOOKUP('Summary Data'!$A54,'Round 3 Data'!$A$10:$A$145,'Round 3 Data'!O$10:O$145,0)+_xlfn.XLOOKUP('Summary Data'!$A54,'Round 4 Data'!$A$10:$A$147,'Round 4 Data'!O$10:O$147,0))/$D54</f>
        <v>#VALUE!</v>
      </c>
      <c r="P54" s="57" t="e">
        <f>(_xlfn.XLOOKUP('Summary Data'!$A54,'Round 1 Data'!$A$10:$A$143,'Round 1 Data'!P$10:P$144,0)+_xlfn.XLOOKUP('Summary Data'!$A54,'Round 2 Data'!$A$10:$A$146,'Round 2 Data'!P$10:P$146,0)+_xlfn.XLOOKUP('Summary Data'!$A54,'Round 3 Data'!$A$10:$A$145,'Round 3 Data'!P$10:P$145,0)+_xlfn.XLOOKUP('Summary Data'!$A54,'Round 4 Data'!$A$10:$A$147,'Round 4 Data'!P$10:P$147,0))/$D54</f>
        <v>#VALUE!</v>
      </c>
      <c r="Q54" s="57" t="e">
        <f>(_xlfn.XLOOKUP('Summary Data'!$A54,'Round 1 Data'!$A$10:$A$143,'Round 1 Data'!Q$10:Q$144,0)+_xlfn.XLOOKUP('Summary Data'!$A54,'Round 2 Data'!$A$10:$A$146,'Round 2 Data'!Q$10:Q$146,0)+_xlfn.XLOOKUP('Summary Data'!$A54,'Round 3 Data'!$A$10:$A$145,'Round 3 Data'!Q$10:Q$145,0)+_xlfn.XLOOKUP('Summary Data'!$A54,'Round 4 Data'!$A$10:$A$147,'Round 4 Data'!Q$10:Q$147,0))/$D54</f>
        <v>#VALUE!</v>
      </c>
      <c r="R54" s="57" t="e">
        <f>(_xlfn.XLOOKUP('Summary Data'!$A54,'Round 1 Data'!$A$10:$A$143,'Round 1 Data'!R$10:R$144,0)+_xlfn.XLOOKUP('Summary Data'!$A54,'Round 2 Data'!$A$10:$A$146,'Round 2 Data'!R$10:R$146,0)+_xlfn.XLOOKUP('Summary Data'!$A54,'Round 3 Data'!$A$10:$A$145,'Round 3 Data'!R$10:R$145,0)+_xlfn.XLOOKUP('Summary Data'!$A54,'Round 4 Data'!$A$10:$A$147,'Round 4 Data'!R$10:R$147,0))/$D54</f>
        <v>#VALUE!</v>
      </c>
      <c r="S54" s="57" t="e">
        <f>(_xlfn.XLOOKUP('Summary Data'!$A54,'Round 1 Data'!$A$10:$A$143,'Round 1 Data'!S$10:S$144,0)+_xlfn.XLOOKUP('Summary Data'!$A54,'Round 2 Data'!$A$10:$A$146,'Round 2 Data'!S$10:S$146,0)+_xlfn.XLOOKUP('Summary Data'!$A54,'Round 3 Data'!$A$10:$A$145,'Round 3 Data'!S$10:S$145,0)+_xlfn.XLOOKUP('Summary Data'!$A54,'Round 4 Data'!$A$10:$A$147,'Round 4 Data'!S$10:S$147,0))/$D54</f>
        <v>#VALUE!</v>
      </c>
      <c r="T54" s="62" t="e">
        <f>(_xlfn.XLOOKUP('Summary Data'!$A54,'Round 1 Data'!$A$10:$A$143,'Round 1 Data'!U$10:U$144,0)+_xlfn.XLOOKUP('Summary Data'!$A54,'Round 2 Data'!$A$10:$A$146,'Round 2 Data'!U$10:U$146,0)+_xlfn.XLOOKUP('Summary Data'!$A54,'Round 3 Data'!$A$10:$A$145,'Round 3 Data'!U$10:U$145,0)+_xlfn.XLOOKUP('Summary Data'!$A54,'Round 4 Data'!$A$10:$A$147,'Round 4 Data'!U$10:U$147,0))</f>
        <v>#VALUE!</v>
      </c>
    </row>
    <row r="55" spans="1:20" ht="16" thickBot="1" x14ac:dyDescent="0.25">
      <c r="A55" s="63" t="s">
        <v>85</v>
      </c>
      <c r="B55" t="s">
        <v>190</v>
      </c>
      <c r="C55" t="s">
        <v>195</v>
      </c>
      <c r="D55" t="e">
        <f>IF(_xlfn.XLOOKUP('Summary Data'!A55,'Round 1 Data'!$A$10:$A$143,'Round 1 Data'!$E$10:$E$144,0)=0,0,1)+IF(_xlfn.XLOOKUP('Summary Data'!A55,'Round 2 Data'!$A$10:$A$146,'Round 2 Data'!$E$10:$E$146,0)=0,0,1)+IF(_xlfn.XLOOKUP('Summary Data'!A55,'Round 3 Data'!$A$10:$A$145,'Round 3 Data'!$E$10:$E$145,0)=0,0,1)+IF(_xlfn.XLOOKUP('Summary Data'!A55,'Round 4 Data'!$A$10:$A$147,'Round 4 Data'!$E$10:$E$147,0)=0,0,1)</f>
        <v>#VALUE!</v>
      </c>
      <c r="E55" s="57" t="e">
        <f>(_xlfn.XLOOKUP('Summary Data'!$A55,'Round 1 Data'!$A$10:$A$143,'Round 1 Data'!E$10:E$144,0)+_xlfn.XLOOKUP('Summary Data'!$A55,'Round 2 Data'!$A$10:$A$146,'Round 2 Data'!E$10:E$146,0)+_xlfn.XLOOKUP('Summary Data'!$A55,'Round 3 Data'!$A$10:$A$145,'Round 3 Data'!E$10:E$145,0)+_xlfn.XLOOKUP('Summary Data'!$A55,'Round 4 Data'!$A$10:$A$147,'Round 4 Data'!E$10:E$147,0))/$D55</f>
        <v>#VALUE!</v>
      </c>
      <c r="F55" s="57" t="e">
        <f>(_xlfn.XLOOKUP('Summary Data'!$A55,'Round 1 Data'!$A$10:$A$143,'Round 1 Data'!F$10:F$144,0)+_xlfn.XLOOKUP('Summary Data'!$A55,'Round 2 Data'!$A$10:$A$146,'Round 2 Data'!F$10:F$146,0)+_xlfn.XLOOKUP('Summary Data'!$A55,'Round 3 Data'!$A$10:$A$145,'Round 3 Data'!F$10:F$145,0)+_xlfn.XLOOKUP('Summary Data'!$A55,'Round 4 Data'!$A$10:$A$147,'Round 4 Data'!F$10:F$147,0))/$D55</f>
        <v>#VALUE!</v>
      </c>
      <c r="G55" s="57" t="e">
        <f>(_xlfn.XLOOKUP('Summary Data'!$A55,'Round 1 Data'!$A$10:$A$143,'Round 1 Data'!G$10:G$144,0)+_xlfn.XLOOKUP('Summary Data'!$A55,'Round 2 Data'!$A$10:$A$146,'Round 2 Data'!G$10:G$146,0)+_xlfn.XLOOKUP('Summary Data'!$A55,'Round 3 Data'!$A$10:$A$145,'Round 3 Data'!G$10:G$145,0)+_xlfn.XLOOKUP('Summary Data'!$A55,'Round 4 Data'!$A$10:$A$147,'Round 4 Data'!G$10:G$147,0))/$D55</f>
        <v>#VALUE!</v>
      </c>
      <c r="H55" s="57" t="e">
        <f>(_xlfn.XLOOKUP('Summary Data'!$A55,'Round 1 Data'!$A$10:$A$143,'Round 1 Data'!H$10:H$144,0)+_xlfn.XLOOKUP('Summary Data'!$A55,'Round 2 Data'!$A$10:$A$146,'Round 2 Data'!H$10:H$146,0)+_xlfn.XLOOKUP('Summary Data'!$A55,'Round 3 Data'!$A$10:$A$145,'Round 3 Data'!H$10:H$145,0)+_xlfn.XLOOKUP('Summary Data'!$A55,'Round 4 Data'!$A$10:$A$147,'Round 4 Data'!H$10:H$147,0))/$D55</f>
        <v>#VALUE!</v>
      </c>
      <c r="I55" s="57" t="e">
        <f>(_xlfn.XLOOKUP('Summary Data'!$A55,'Round 1 Data'!$A$10:$A$143,'Round 1 Data'!I$10:I$144,0)+_xlfn.XLOOKUP('Summary Data'!$A55,'Round 2 Data'!$A$10:$A$146,'Round 2 Data'!I$10:I$146,0)+_xlfn.XLOOKUP('Summary Data'!$A55,'Round 3 Data'!$A$10:$A$145,'Round 3 Data'!I$10:I$145,0)+_xlfn.XLOOKUP('Summary Data'!$A55,'Round 4 Data'!$A$10:$A$147,'Round 4 Data'!I$10:I$147,0))/$D55</f>
        <v>#VALUE!</v>
      </c>
      <c r="J55" s="57" t="e">
        <f>(_xlfn.XLOOKUP('Summary Data'!$A55,'Round 1 Data'!$A$10:$A$143,'Round 1 Data'!J$10:J$144,0)+_xlfn.XLOOKUP('Summary Data'!$A55,'Round 2 Data'!$A$10:$A$146,'Round 2 Data'!J$10:J$146,0)+_xlfn.XLOOKUP('Summary Data'!$A55,'Round 3 Data'!$A$10:$A$145,'Round 3 Data'!J$10:J$145,0)+_xlfn.XLOOKUP('Summary Data'!$A55,'Round 4 Data'!$A$10:$A$147,'Round 4 Data'!J$10:J$147,0))/$D55</f>
        <v>#VALUE!</v>
      </c>
      <c r="K55" s="57" t="e">
        <f>(_xlfn.XLOOKUP('Summary Data'!$A55,'Round 1 Data'!$A$10:$A$143,'Round 1 Data'!K$10:K$144,0)+_xlfn.XLOOKUP('Summary Data'!$A55,'Round 2 Data'!$A$10:$A$146,'Round 2 Data'!K$10:K$146,0)+_xlfn.XLOOKUP('Summary Data'!$A55,'Round 3 Data'!$A$10:$A$145,'Round 3 Data'!K$10:K$145,0)+_xlfn.XLOOKUP('Summary Data'!$A55,'Round 4 Data'!$A$10:$A$147,'Round 4 Data'!K$10:K$147,0))/$D55</f>
        <v>#VALUE!</v>
      </c>
      <c r="L55" s="57" t="e">
        <f>(_xlfn.XLOOKUP('Summary Data'!$A55,'Round 1 Data'!$A$10:$A$143,'Round 1 Data'!L$10:L$144,0)+_xlfn.XLOOKUP('Summary Data'!$A55,'Round 2 Data'!$A$10:$A$146,'Round 2 Data'!L$10:L$146,0)+_xlfn.XLOOKUP('Summary Data'!$A55,'Round 3 Data'!$A$10:$A$145,'Round 3 Data'!L$10:L$145,0)+_xlfn.XLOOKUP('Summary Data'!$A55,'Round 4 Data'!$A$10:$A$147,'Round 4 Data'!L$10:L$147,0))/$D55</f>
        <v>#VALUE!</v>
      </c>
      <c r="M55" s="57" t="e">
        <f>(_xlfn.XLOOKUP('Summary Data'!$A55,'Round 1 Data'!$A$10:$A$143,'Round 1 Data'!M$10:M$144,0)+_xlfn.XLOOKUP('Summary Data'!$A55,'Round 2 Data'!$A$10:$A$146,'Round 2 Data'!M$10:M$146,0)+_xlfn.XLOOKUP('Summary Data'!$A55,'Round 3 Data'!$A$10:$A$145,'Round 3 Data'!M$10:M$145,0)+_xlfn.XLOOKUP('Summary Data'!$A55,'Round 4 Data'!$A$10:$A$147,'Round 4 Data'!M$10:M$147,0))/$D55</f>
        <v>#VALUE!</v>
      </c>
      <c r="N55" s="57" t="e">
        <f>(_xlfn.XLOOKUP('Summary Data'!$A55,'Round 1 Data'!$A$10:$A$143,'Round 1 Data'!N$10:N$144,0)+_xlfn.XLOOKUP('Summary Data'!$A55,'Round 2 Data'!$A$10:$A$146,'Round 2 Data'!N$10:N$146,0)+_xlfn.XLOOKUP('Summary Data'!$A55,'Round 3 Data'!$A$10:$A$145,'Round 3 Data'!N$10:N$145,0)+_xlfn.XLOOKUP('Summary Data'!$A55,'Round 4 Data'!$A$10:$A$147,'Round 4 Data'!N$10:N$147,0))/$D55</f>
        <v>#VALUE!</v>
      </c>
      <c r="O55" s="57" t="e">
        <f>(_xlfn.XLOOKUP('Summary Data'!$A55,'Round 1 Data'!$A$10:$A$143,'Round 1 Data'!O$10:O$144,0)+_xlfn.XLOOKUP('Summary Data'!$A55,'Round 2 Data'!$A$10:$A$146,'Round 2 Data'!O$10:O$146,0)+_xlfn.XLOOKUP('Summary Data'!$A55,'Round 3 Data'!$A$10:$A$145,'Round 3 Data'!O$10:O$145,0)+_xlfn.XLOOKUP('Summary Data'!$A55,'Round 4 Data'!$A$10:$A$147,'Round 4 Data'!O$10:O$147,0))/$D55</f>
        <v>#VALUE!</v>
      </c>
      <c r="P55" s="57" t="e">
        <f>(_xlfn.XLOOKUP('Summary Data'!$A55,'Round 1 Data'!$A$10:$A$143,'Round 1 Data'!P$10:P$144,0)+_xlfn.XLOOKUP('Summary Data'!$A55,'Round 2 Data'!$A$10:$A$146,'Round 2 Data'!P$10:P$146,0)+_xlfn.XLOOKUP('Summary Data'!$A55,'Round 3 Data'!$A$10:$A$145,'Round 3 Data'!P$10:P$145,0)+_xlfn.XLOOKUP('Summary Data'!$A55,'Round 4 Data'!$A$10:$A$147,'Round 4 Data'!P$10:P$147,0))/$D55</f>
        <v>#VALUE!</v>
      </c>
      <c r="Q55" s="57" t="e">
        <f>(_xlfn.XLOOKUP('Summary Data'!$A55,'Round 1 Data'!$A$10:$A$143,'Round 1 Data'!Q$10:Q$144,0)+_xlfn.XLOOKUP('Summary Data'!$A55,'Round 2 Data'!$A$10:$A$146,'Round 2 Data'!Q$10:Q$146,0)+_xlfn.XLOOKUP('Summary Data'!$A55,'Round 3 Data'!$A$10:$A$145,'Round 3 Data'!Q$10:Q$145,0)+_xlfn.XLOOKUP('Summary Data'!$A55,'Round 4 Data'!$A$10:$A$147,'Round 4 Data'!Q$10:Q$147,0))/$D55</f>
        <v>#VALUE!</v>
      </c>
      <c r="R55" s="57" t="e">
        <f>(_xlfn.XLOOKUP('Summary Data'!$A55,'Round 1 Data'!$A$10:$A$143,'Round 1 Data'!R$10:R$144,0)+_xlfn.XLOOKUP('Summary Data'!$A55,'Round 2 Data'!$A$10:$A$146,'Round 2 Data'!R$10:R$146,0)+_xlfn.XLOOKUP('Summary Data'!$A55,'Round 3 Data'!$A$10:$A$145,'Round 3 Data'!R$10:R$145,0)+_xlfn.XLOOKUP('Summary Data'!$A55,'Round 4 Data'!$A$10:$A$147,'Round 4 Data'!R$10:R$147,0))/$D55</f>
        <v>#VALUE!</v>
      </c>
      <c r="S55" s="57" t="e">
        <f>(_xlfn.XLOOKUP('Summary Data'!$A55,'Round 1 Data'!$A$10:$A$143,'Round 1 Data'!S$10:S$144,0)+_xlfn.XLOOKUP('Summary Data'!$A55,'Round 2 Data'!$A$10:$A$146,'Round 2 Data'!S$10:S$146,0)+_xlfn.XLOOKUP('Summary Data'!$A55,'Round 3 Data'!$A$10:$A$145,'Round 3 Data'!S$10:S$145,0)+_xlfn.XLOOKUP('Summary Data'!$A55,'Round 4 Data'!$A$10:$A$147,'Round 4 Data'!S$10:S$147,0))/$D55</f>
        <v>#VALUE!</v>
      </c>
      <c r="T55" s="62" t="e">
        <f>(_xlfn.XLOOKUP('Summary Data'!$A55,'Round 1 Data'!$A$10:$A$143,'Round 1 Data'!U$10:U$144,0)+_xlfn.XLOOKUP('Summary Data'!$A55,'Round 2 Data'!$A$10:$A$146,'Round 2 Data'!U$10:U$146,0)+_xlfn.XLOOKUP('Summary Data'!$A55,'Round 3 Data'!$A$10:$A$145,'Round 3 Data'!U$10:U$145,0)+_xlfn.XLOOKUP('Summary Data'!$A55,'Round 4 Data'!$A$10:$A$147,'Round 4 Data'!U$10:U$147,0))</f>
        <v>#VALUE!</v>
      </c>
    </row>
    <row r="56" spans="1:20" ht="16" thickBot="1" x14ac:dyDescent="0.25">
      <c r="A56" s="61" t="s">
        <v>185</v>
      </c>
      <c r="B56" t="s">
        <v>190</v>
      </c>
      <c r="C56" t="s">
        <v>195</v>
      </c>
      <c r="D56" t="e">
        <f>IF(_xlfn.XLOOKUP('Summary Data'!A56,'Round 1 Data'!$A$10:$A$143,'Round 1 Data'!$E$10:$E$144,0)=0,0,1)+IF(_xlfn.XLOOKUP('Summary Data'!A56,'Round 2 Data'!$A$10:$A$146,'Round 2 Data'!$E$10:$E$146,0)=0,0,1)+IF(_xlfn.XLOOKUP('Summary Data'!A56,'Round 3 Data'!$A$10:$A$145,'Round 3 Data'!$E$10:$E$145,0)=0,0,1)+IF(_xlfn.XLOOKUP('Summary Data'!A56,'Round 4 Data'!$A$10:$A$147,'Round 4 Data'!$E$10:$E$147,0)=0,0,1)</f>
        <v>#VALUE!</v>
      </c>
      <c r="E56" s="57" t="e">
        <f>(_xlfn.XLOOKUP('Summary Data'!$A56,'Round 1 Data'!$A$10:$A$143,'Round 1 Data'!E$10:E$144,0)+_xlfn.XLOOKUP('Summary Data'!$A56,'Round 2 Data'!$A$10:$A$146,'Round 2 Data'!E$10:E$146,0)+_xlfn.XLOOKUP('Summary Data'!$A56,'Round 3 Data'!$A$10:$A$145,'Round 3 Data'!E$10:E$145,0)+_xlfn.XLOOKUP('Summary Data'!$A56,'Round 4 Data'!$A$10:$A$147,'Round 4 Data'!E$10:E$147,0))/$D56</f>
        <v>#VALUE!</v>
      </c>
      <c r="F56" s="57" t="e">
        <f>(_xlfn.XLOOKUP('Summary Data'!$A56,'Round 1 Data'!$A$10:$A$143,'Round 1 Data'!F$10:F$144,0)+_xlfn.XLOOKUP('Summary Data'!$A56,'Round 2 Data'!$A$10:$A$146,'Round 2 Data'!F$10:F$146,0)+_xlfn.XLOOKUP('Summary Data'!$A56,'Round 3 Data'!$A$10:$A$145,'Round 3 Data'!F$10:F$145,0)+_xlfn.XLOOKUP('Summary Data'!$A56,'Round 4 Data'!$A$10:$A$147,'Round 4 Data'!F$10:F$147,0))/$D56</f>
        <v>#VALUE!</v>
      </c>
      <c r="G56" s="57" t="e">
        <f>(_xlfn.XLOOKUP('Summary Data'!$A56,'Round 1 Data'!$A$10:$A$143,'Round 1 Data'!G$10:G$144,0)+_xlfn.XLOOKUP('Summary Data'!$A56,'Round 2 Data'!$A$10:$A$146,'Round 2 Data'!G$10:G$146,0)+_xlfn.XLOOKUP('Summary Data'!$A56,'Round 3 Data'!$A$10:$A$145,'Round 3 Data'!G$10:G$145,0)+_xlfn.XLOOKUP('Summary Data'!$A56,'Round 4 Data'!$A$10:$A$147,'Round 4 Data'!G$10:G$147,0))/$D56</f>
        <v>#VALUE!</v>
      </c>
      <c r="H56" s="57" t="e">
        <f>(_xlfn.XLOOKUP('Summary Data'!$A56,'Round 1 Data'!$A$10:$A$143,'Round 1 Data'!H$10:H$144,0)+_xlfn.XLOOKUP('Summary Data'!$A56,'Round 2 Data'!$A$10:$A$146,'Round 2 Data'!H$10:H$146,0)+_xlfn.XLOOKUP('Summary Data'!$A56,'Round 3 Data'!$A$10:$A$145,'Round 3 Data'!H$10:H$145,0)+_xlfn.XLOOKUP('Summary Data'!$A56,'Round 4 Data'!$A$10:$A$147,'Round 4 Data'!H$10:H$147,0))/$D56</f>
        <v>#VALUE!</v>
      </c>
      <c r="I56" s="57" t="e">
        <f>(_xlfn.XLOOKUP('Summary Data'!$A56,'Round 1 Data'!$A$10:$A$143,'Round 1 Data'!I$10:I$144,0)+_xlfn.XLOOKUP('Summary Data'!$A56,'Round 2 Data'!$A$10:$A$146,'Round 2 Data'!I$10:I$146,0)+_xlfn.XLOOKUP('Summary Data'!$A56,'Round 3 Data'!$A$10:$A$145,'Round 3 Data'!I$10:I$145,0)+_xlfn.XLOOKUP('Summary Data'!$A56,'Round 4 Data'!$A$10:$A$147,'Round 4 Data'!I$10:I$147,0))/$D56</f>
        <v>#VALUE!</v>
      </c>
      <c r="J56" s="57" t="e">
        <f>(_xlfn.XLOOKUP('Summary Data'!$A56,'Round 1 Data'!$A$10:$A$143,'Round 1 Data'!J$10:J$144,0)+_xlfn.XLOOKUP('Summary Data'!$A56,'Round 2 Data'!$A$10:$A$146,'Round 2 Data'!J$10:J$146,0)+_xlfn.XLOOKUP('Summary Data'!$A56,'Round 3 Data'!$A$10:$A$145,'Round 3 Data'!J$10:J$145,0)+_xlfn.XLOOKUP('Summary Data'!$A56,'Round 4 Data'!$A$10:$A$147,'Round 4 Data'!J$10:J$147,0))/$D56</f>
        <v>#VALUE!</v>
      </c>
      <c r="K56" s="57" t="e">
        <f>(_xlfn.XLOOKUP('Summary Data'!$A56,'Round 1 Data'!$A$10:$A$143,'Round 1 Data'!K$10:K$144,0)+_xlfn.XLOOKUP('Summary Data'!$A56,'Round 2 Data'!$A$10:$A$146,'Round 2 Data'!K$10:K$146,0)+_xlfn.XLOOKUP('Summary Data'!$A56,'Round 3 Data'!$A$10:$A$145,'Round 3 Data'!K$10:K$145,0)+_xlfn.XLOOKUP('Summary Data'!$A56,'Round 4 Data'!$A$10:$A$147,'Round 4 Data'!K$10:K$147,0))/$D56</f>
        <v>#VALUE!</v>
      </c>
      <c r="L56" s="57" t="e">
        <f>(_xlfn.XLOOKUP('Summary Data'!$A56,'Round 1 Data'!$A$10:$A$143,'Round 1 Data'!L$10:L$144,0)+_xlfn.XLOOKUP('Summary Data'!$A56,'Round 2 Data'!$A$10:$A$146,'Round 2 Data'!L$10:L$146,0)+_xlfn.XLOOKUP('Summary Data'!$A56,'Round 3 Data'!$A$10:$A$145,'Round 3 Data'!L$10:L$145,0)+_xlfn.XLOOKUP('Summary Data'!$A56,'Round 4 Data'!$A$10:$A$147,'Round 4 Data'!L$10:L$147,0))/$D56</f>
        <v>#VALUE!</v>
      </c>
      <c r="M56" s="57" t="e">
        <f>(_xlfn.XLOOKUP('Summary Data'!$A56,'Round 1 Data'!$A$10:$A$143,'Round 1 Data'!M$10:M$144,0)+_xlfn.XLOOKUP('Summary Data'!$A56,'Round 2 Data'!$A$10:$A$146,'Round 2 Data'!M$10:M$146,0)+_xlfn.XLOOKUP('Summary Data'!$A56,'Round 3 Data'!$A$10:$A$145,'Round 3 Data'!M$10:M$145,0)+_xlfn.XLOOKUP('Summary Data'!$A56,'Round 4 Data'!$A$10:$A$147,'Round 4 Data'!M$10:M$147,0))/$D56</f>
        <v>#VALUE!</v>
      </c>
      <c r="N56" s="57" t="e">
        <f>(_xlfn.XLOOKUP('Summary Data'!$A56,'Round 1 Data'!$A$10:$A$143,'Round 1 Data'!N$10:N$144,0)+_xlfn.XLOOKUP('Summary Data'!$A56,'Round 2 Data'!$A$10:$A$146,'Round 2 Data'!N$10:N$146,0)+_xlfn.XLOOKUP('Summary Data'!$A56,'Round 3 Data'!$A$10:$A$145,'Round 3 Data'!N$10:N$145,0)+_xlfn.XLOOKUP('Summary Data'!$A56,'Round 4 Data'!$A$10:$A$147,'Round 4 Data'!N$10:N$147,0))/$D56</f>
        <v>#VALUE!</v>
      </c>
      <c r="O56" s="57" t="e">
        <f>(_xlfn.XLOOKUP('Summary Data'!$A56,'Round 1 Data'!$A$10:$A$143,'Round 1 Data'!O$10:O$144,0)+_xlfn.XLOOKUP('Summary Data'!$A56,'Round 2 Data'!$A$10:$A$146,'Round 2 Data'!O$10:O$146,0)+_xlfn.XLOOKUP('Summary Data'!$A56,'Round 3 Data'!$A$10:$A$145,'Round 3 Data'!O$10:O$145,0)+_xlfn.XLOOKUP('Summary Data'!$A56,'Round 4 Data'!$A$10:$A$147,'Round 4 Data'!O$10:O$147,0))/$D56</f>
        <v>#VALUE!</v>
      </c>
      <c r="P56" s="57" t="e">
        <f>(_xlfn.XLOOKUP('Summary Data'!$A56,'Round 1 Data'!$A$10:$A$143,'Round 1 Data'!P$10:P$144,0)+_xlfn.XLOOKUP('Summary Data'!$A56,'Round 2 Data'!$A$10:$A$146,'Round 2 Data'!P$10:P$146,0)+_xlfn.XLOOKUP('Summary Data'!$A56,'Round 3 Data'!$A$10:$A$145,'Round 3 Data'!P$10:P$145,0)+_xlfn.XLOOKUP('Summary Data'!$A56,'Round 4 Data'!$A$10:$A$147,'Round 4 Data'!P$10:P$147,0))/$D56</f>
        <v>#VALUE!</v>
      </c>
      <c r="Q56" s="57" t="e">
        <f>(_xlfn.XLOOKUP('Summary Data'!$A56,'Round 1 Data'!$A$10:$A$143,'Round 1 Data'!Q$10:Q$144,0)+_xlfn.XLOOKUP('Summary Data'!$A56,'Round 2 Data'!$A$10:$A$146,'Round 2 Data'!Q$10:Q$146,0)+_xlfn.XLOOKUP('Summary Data'!$A56,'Round 3 Data'!$A$10:$A$145,'Round 3 Data'!Q$10:Q$145,0)+_xlfn.XLOOKUP('Summary Data'!$A56,'Round 4 Data'!$A$10:$A$147,'Round 4 Data'!Q$10:Q$147,0))/$D56</f>
        <v>#VALUE!</v>
      </c>
      <c r="R56" s="57" t="e">
        <f>(_xlfn.XLOOKUP('Summary Data'!$A56,'Round 1 Data'!$A$10:$A$143,'Round 1 Data'!R$10:R$144,0)+_xlfn.XLOOKUP('Summary Data'!$A56,'Round 2 Data'!$A$10:$A$146,'Round 2 Data'!R$10:R$146,0)+_xlfn.XLOOKUP('Summary Data'!$A56,'Round 3 Data'!$A$10:$A$145,'Round 3 Data'!R$10:R$145,0)+_xlfn.XLOOKUP('Summary Data'!$A56,'Round 4 Data'!$A$10:$A$147,'Round 4 Data'!R$10:R$147,0))/$D56</f>
        <v>#VALUE!</v>
      </c>
      <c r="S56" s="57" t="e">
        <f>(_xlfn.XLOOKUP('Summary Data'!$A56,'Round 1 Data'!$A$10:$A$143,'Round 1 Data'!S$10:S$144,0)+_xlfn.XLOOKUP('Summary Data'!$A56,'Round 2 Data'!$A$10:$A$146,'Round 2 Data'!S$10:S$146,0)+_xlfn.XLOOKUP('Summary Data'!$A56,'Round 3 Data'!$A$10:$A$145,'Round 3 Data'!S$10:S$145,0)+_xlfn.XLOOKUP('Summary Data'!$A56,'Round 4 Data'!$A$10:$A$147,'Round 4 Data'!S$10:S$147,0))/$D56</f>
        <v>#VALUE!</v>
      </c>
      <c r="T56" s="62" t="e">
        <f>(_xlfn.XLOOKUP('Summary Data'!$A56,'Round 1 Data'!$A$10:$A$143,'Round 1 Data'!U$10:U$144,0)+_xlfn.XLOOKUP('Summary Data'!$A56,'Round 2 Data'!$A$10:$A$146,'Round 2 Data'!U$10:U$146,0)+_xlfn.XLOOKUP('Summary Data'!$A56,'Round 3 Data'!$A$10:$A$145,'Round 3 Data'!U$10:U$145,0)+_xlfn.XLOOKUP('Summary Data'!$A56,'Round 4 Data'!$A$10:$A$147,'Round 4 Data'!U$10:U$147,0))</f>
        <v>#VALUE!</v>
      </c>
    </row>
    <row r="57" spans="1:20" ht="16" thickBot="1" x14ac:dyDescent="0.25">
      <c r="A57" s="63" t="s">
        <v>87</v>
      </c>
      <c r="B57" t="s">
        <v>190</v>
      </c>
      <c r="C57" t="s">
        <v>196</v>
      </c>
      <c r="D57" t="e">
        <f>IF(_xlfn.XLOOKUP('Summary Data'!A57,'Round 1 Data'!$A$10:$A$143,'Round 1 Data'!$E$10:$E$144,0)=0,0,1)+IF(_xlfn.XLOOKUP('Summary Data'!A57,'Round 2 Data'!$A$10:$A$146,'Round 2 Data'!$E$10:$E$146,0)=0,0,1)+IF(_xlfn.XLOOKUP('Summary Data'!A57,'Round 3 Data'!$A$10:$A$145,'Round 3 Data'!$E$10:$E$145,0)=0,0,1)+IF(_xlfn.XLOOKUP('Summary Data'!A57,'Round 4 Data'!$A$10:$A$147,'Round 4 Data'!$E$10:$E$147,0)=0,0,1)</f>
        <v>#VALUE!</v>
      </c>
      <c r="E57" s="57" t="e">
        <f>(_xlfn.XLOOKUP('Summary Data'!$A57,'Round 1 Data'!$A$10:$A$143,'Round 1 Data'!E$10:E$144,0)+_xlfn.XLOOKUP('Summary Data'!$A57,'Round 2 Data'!$A$10:$A$146,'Round 2 Data'!E$10:E$146,0)+_xlfn.XLOOKUP('Summary Data'!$A57,'Round 3 Data'!$A$10:$A$145,'Round 3 Data'!E$10:E$145,0)+_xlfn.XLOOKUP('Summary Data'!$A57,'Round 4 Data'!$A$10:$A$147,'Round 4 Data'!E$10:E$147,0))/$D57</f>
        <v>#VALUE!</v>
      </c>
      <c r="F57" s="57" t="e">
        <f>(_xlfn.XLOOKUP('Summary Data'!$A57,'Round 1 Data'!$A$10:$A$143,'Round 1 Data'!F$10:F$144,0)+_xlfn.XLOOKUP('Summary Data'!$A57,'Round 2 Data'!$A$10:$A$146,'Round 2 Data'!F$10:F$146,0)+_xlfn.XLOOKUP('Summary Data'!$A57,'Round 3 Data'!$A$10:$A$145,'Round 3 Data'!F$10:F$145,0)+_xlfn.XLOOKUP('Summary Data'!$A57,'Round 4 Data'!$A$10:$A$147,'Round 4 Data'!F$10:F$147,0))/$D57</f>
        <v>#VALUE!</v>
      </c>
      <c r="G57" s="57" t="e">
        <f>(_xlfn.XLOOKUP('Summary Data'!$A57,'Round 1 Data'!$A$10:$A$143,'Round 1 Data'!G$10:G$144,0)+_xlfn.XLOOKUP('Summary Data'!$A57,'Round 2 Data'!$A$10:$A$146,'Round 2 Data'!G$10:G$146,0)+_xlfn.XLOOKUP('Summary Data'!$A57,'Round 3 Data'!$A$10:$A$145,'Round 3 Data'!G$10:G$145,0)+_xlfn.XLOOKUP('Summary Data'!$A57,'Round 4 Data'!$A$10:$A$147,'Round 4 Data'!G$10:G$147,0))/$D57</f>
        <v>#VALUE!</v>
      </c>
      <c r="H57" s="57" t="e">
        <f>(_xlfn.XLOOKUP('Summary Data'!$A57,'Round 1 Data'!$A$10:$A$143,'Round 1 Data'!H$10:H$144,0)+_xlfn.XLOOKUP('Summary Data'!$A57,'Round 2 Data'!$A$10:$A$146,'Round 2 Data'!H$10:H$146,0)+_xlfn.XLOOKUP('Summary Data'!$A57,'Round 3 Data'!$A$10:$A$145,'Round 3 Data'!H$10:H$145,0)+_xlfn.XLOOKUP('Summary Data'!$A57,'Round 4 Data'!$A$10:$A$147,'Round 4 Data'!H$10:H$147,0))/$D57</f>
        <v>#VALUE!</v>
      </c>
      <c r="I57" s="57" t="e">
        <f>(_xlfn.XLOOKUP('Summary Data'!$A57,'Round 1 Data'!$A$10:$A$143,'Round 1 Data'!I$10:I$144,0)+_xlfn.XLOOKUP('Summary Data'!$A57,'Round 2 Data'!$A$10:$A$146,'Round 2 Data'!I$10:I$146,0)+_xlfn.XLOOKUP('Summary Data'!$A57,'Round 3 Data'!$A$10:$A$145,'Round 3 Data'!I$10:I$145,0)+_xlfn.XLOOKUP('Summary Data'!$A57,'Round 4 Data'!$A$10:$A$147,'Round 4 Data'!I$10:I$147,0))/$D57</f>
        <v>#VALUE!</v>
      </c>
      <c r="J57" s="57" t="e">
        <f>(_xlfn.XLOOKUP('Summary Data'!$A57,'Round 1 Data'!$A$10:$A$143,'Round 1 Data'!J$10:J$144,0)+_xlfn.XLOOKUP('Summary Data'!$A57,'Round 2 Data'!$A$10:$A$146,'Round 2 Data'!J$10:J$146,0)+_xlfn.XLOOKUP('Summary Data'!$A57,'Round 3 Data'!$A$10:$A$145,'Round 3 Data'!J$10:J$145,0)+_xlfn.XLOOKUP('Summary Data'!$A57,'Round 4 Data'!$A$10:$A$147,'Round 4 Data'!J$10:J$147,0))/$D57</f>
        <v>#VALUE!</v>
      </c>
      <c r="K57" s="57" t="e">
        <f>(_xlfn.XLOOKUP('Summary Data'!$A57,'Round 1 Data'!$A$10:$A$143,'Round 1 Data'!K$10:K$144,0)+_xlfn.XLOOKUP('Summary Data'!$A57,'Round 2 Data'!$A$10:$A$146,'Round 2 Data'!K$10:K$146,0)+_xlfn.XLOOKUP('Summary Data'!$A57,'Round 3 Data'!$A$10:$A$145,'Round 3 Data'!K$10:K$145,0)+_xlfn.XLOOKUP('Summary Data'!$A57,'Round 4 Data'!$A$10:$A$147,'Round 4 Data'!K$10:K$147,0))/$D57</f>
        <v>#VALUE!</v>
      </c>
      <c r="L57" s="57" t="e">
        <f>(_xlfn.XLOOKUP('Summary Data'!$A57,'Round 1 Data'!$A$10:$A$143,'Round 1 Data'!L$10:L$144,0)+_xlfn.XLOOKUP('Summary Data'!$A57,'Round 2 Data'!$A$10:$A$146,'Round 2 Data'!L$10:L$146,0)+_xlfn.XLOOKUP('Summary Data'!$A57,'Round 3 Data'!$A$10:$A$145,'Round 3 Data'!L$10:L$145,0)+_xlfn.XLOOKUP('Summary Data'!$A57,'Round 4 Data'!$A$10:$A$147,'Round 4 Data'!L$10:L$147,0))/$D57</f>
        <v>#VALUE!</v>
      </c>
      <c r="M57" s="57" t="e">
        <f>(_xlfn.XLOOKUP('Summary Data'!$A57,'Round 1 Data'!$A$10:$A$143,'Round 1 Data'!M$10:M$144,0)+_xlfn.XLOOKUP('Summary Data'!$A57,'Round 2 Data'!$A$10:$A$146,'Round 2 Data'!M$10:M$146,0)+_xlfn.XLOOKUP('Summary Data'!$A57,'Round 3 Data'!$A$10:$A$145,'Round 3 Data'!M$10:M$145,0)+_xlfn.XLOOKUP('Summary Data'!$A57,'Round 4 Data'!$A$10:$A$147,'Round 4 Data'!M$10:M$147,0))/$D57</f>
        <v>#VALUE!</v>
      </c>
      <c r="N57" s="57" t="e">
        <f>(_xlfn.XLOOKUP('Summary Data'!$A57,'Round 1 Data'!$A$10:$A$143,'Round 1 Data'!N$10:N$144,0)+_xlfn.XLOOKUP('Summary Data'!$A57,'Round 2 Data'!$A$10:$A$146,'Round 2 Data'!N$10:N$146,0)+_xlfn.XLOOKUP('Summary Data'!$A57,'Round 3 Data'!$A$10:$A$145,'Round 3 Data'!N$10:N$145,0)+_xlfn.XLOOKUP('Summary Data'!$A57,'Round 4 Data'!$A$10:$A$147,'Round 4 Data'!N$10:N$147,0))/$D57</f>
        <v>#VALUE!</v>
      </c>
      <c r="O57" s="57" t="e">
        <f>(_xlfn.XLOOKUP('Summary Data'!$A57,'Round 1 Data'!$A$10:$A$143,'Round 1 Data'!O$10:O$144,0)+_xlfn.XLOOKUP('Summary Data'!$A57,'Round 2 Data'!$A$10:$A$146,'Round 2 Data'!O$10:O$146,0)+_xlfn.XLOOKUP('Summary Data'!$A57,'Round 3 Data'!$A$10:$A$145,'Round 3 Data'!O$10:O$145,0)+_xlfn.XLOOKUP('Summary Data'!$A57,'Round 4 Data'!$A$10:$A$147,'Round 4 Data'!O$10:O$147,0))/$D57</f>
        <v>#VALUE!</v>
      </c>
      <c r="P57" s="57" t="e">
        <f>(_xlfn.XLOOKUP('Summary Data'!$A57,'Round 1 Data'!$A$10:$A$143,'Round 1 Data'!P$10:P$144,0)+_xlfn.XLOOKUP('Summary Data'!$A57,'Round 2 Data'!$A$10:$A$146,'Round 2 Data'!P$10:P$146,0)+_xlfn.XLOOKUP('Summary Data'!$A57,'Round 3 Data'!$A$10:$A$145,'Round 3 Data'!P$10:P$145,0)+_xlfn.XLOOKUP('Summary Data'!$A57,'Round 4 Data'!$A$10:$A$147,'Round 4 Data'!P$10:P$147,0))/$D57</f>
        <v>#VALUE!</v>
      </c>
      <c r="Q57" s="57" t="e">
        <f>(_xlfn.XLOOKUP('Summary Data'!$A57,'Round 1 Data'!$A$10:$A$143,'Round 1 Data'!Q$10:Q$144,0)+_xlfn.XLOOKUP('Summary Data'!$A57,'Round 2 Data'!$A$10:$A$146,'Round 2 Data'!Q$10:Q$146,0)+_xlfn.XLOOKUP('Summary Data'!$A57,'Round 3 Data'!$A$10:$A$145,'Round 3 Data'!Q$10:Q$145,0)+_xlfn.XLOOKUP('Summary Data'!$A57,'Round 4 Data'!$A$10:$A$147,'Round 4 Data'!Q$10:Q$147,0))/$D57</f>
        <v>#VALUE!</v>
      </c>
      <c r="R57" s="57" t="e">
        <f>(_xlfn.XLOOKUP('Summary Data'!$A57,'Round 1 Data'!$A$10:$A$143,'Round 1 Data'!R$10:R$144,0)+_xlfn.XLOOKUP('Summary Data'!$A57,'Round 2 Data'!$A$10:$A$146,'Round 2 Data'!R$10:R$146,0)+_xlfn.XLOOKUP('Summary Data'!$A57,'Round 3 Data'!$A$10:$A$145,'Round 3 Data'!R$10:R$145,0)+_xlfn.XLOOKUP('Summary Data'!$A57,'Round 4 Data'!$A$10:$A$147,'Round 4 Data'!R$10:R$147,0))/$D57</f>
        <v>#VALUE!</v>
      </c>
      <c r="S57" s="57" t="e">
        <f>(_xlfn.XLOOKUP('Summary Data'!$A57,'Round 1 Data'!$A$10:$A$143,'Round 1 Data'!S$10:S$144,0)+_xlfn.XLOOKUP('Summary Data'!$A57,'Round 2 Data'!$A$10:$A$146,'Round 2 Data'!S$10:S$146,0)+_xlfn.XLOOKUP('Summary Data'!$A57,'Round 3 Data'!$A$10:$A$145,'Round 3 Data'!S$10:S$145,0)+_xlfn.XLOOKUP('Summary Data'!$A57,'Round 4 Data'!$A$10:$A$147,'Round 4 Data'!S$10:S$147,0))/$D57</f>
        <v>#VALUE!</v>
      </c>
      <c r="T57" s="62" t="e">
        <f>(_xlfn.XLOOKUP('Summary Data'!$A57,'Round 1 Data'!$A$10:$A$143,'Round 1 Data'!U$10:U$144,0)+_xlfn.XLOOKUP('Summary Data'!$A57,'Round 2 Data'!$A$10:$A$146,'Round 2 Data'!U$10:U$146,0)+_xlfn.XLOOKUP('Summary Data'!$A57,'Round 3 Data'!$A$10:$A$145,'Round 3 Data'!U$10:U$145,0)+_xlfn.XLOOKUP('Summary Data'!$A57,'Round 4 Data'!$A$10:$A$147,'Round 4 Data'!U$10:U$147,0))</f>
        <v>#VALUE!</v>
      </c>
    </row>
    <row r="58" spans="1:20" ht="16" thickBot="1" x14ac:dyDescent="0.25">
      <c r="A58" s="61" t="s">
        <v>89</v>
      </c>
      <c r="B58" t="s">
        <v>190</v>
      </c>
      <c r="C58" t="s">
        <v>197</v>
      </c>
      <c r="D58" t="e">
        <f>IF(_xlfn.XLOOKUP('Summary Data'!A58,'Round 1 Data'!$A$10:$A$143,'Round 1 Data'!$E$10:$E$144,0)=0,0,1)+IF(_xlfn.XLOOKUP('Summary Data'!A58,'Round 2 Data'!$A$10:$A$146,'Round 2 Data'!$E$10:$E$146,0)=0,0,1)+IF(_xlfn.XLOOKUP('Summary Data'!A58,'Round 3 Data'!$A$10:$A$145,'Round 3 Data'!$E$10:$E$145,0)=0,0,1)+IF(_xlfn.XLOOKUP('Summary Data'!A58,'Round 4 Data'!$A$10:$A$147,'Round 4 Data'!$E$10:$E$147,0)=0,0,1)</f>
        <v>#VALUE!</v>
      </c>
      <c r="E58" s="57" t="e">
        <f>(_xlfn.XLOOKUP('Summary Data'!$A58,'Round 1 Data'!$A$10:$A$143,'Round 1 Data'!E$10:E$144,0)+_xlfn.XLOOKUP('Summary Data'!$A58,'Round 2 Data'!$A$10:$A$146,'Round 2 Data'!E$10:E$146,0)+_xlfn.XLOOKUP('Summary Data'!$A58,'Round 3 Data'!$A$10:$A$145,'Round 3 Data'!E$10:E$145,0)+_xlfn.XLOOKUP('Summary Data'!$A58,'Round 4 Data'!$A$10:$A$147,'Round 4 Data'!E$10:E$147,0))/$D58</f>
        <v>#VALUE!</v>
      </c>
      <c r="F58" s="57" t="e">
        <f>(_xlfn.XLOOKUP('Summary Data'!$A58,'Round 1 Data'!$A$10:$A$143,'Round 1 Data'!F$10:F$144,0)+_xlfn.XLOOKUP('Summary Data'!$A58,'Round 2 Data'!$A$10:$A$146,'Round 2 Data'!F$10:F$146,0)+_xlfn.XLOOKUP('Summary Data'!$A58,'Round 3 Data'!$A$10:$A$145,'Round 3 Data'!F$10:F$145,0)+_xlfn.XLOOKUP('Summary Data'!$A58,'Round 4 Data'!$A$10:$A$147,'Round 4 Data'!F$10:F$147,0))/$D58</f>
        <v>#VALUE!</v>
      </c>
      <c r="G58" s="57" t="e">
        <f>(_xlfn.XLOOKUP('Summary Data'!$A58,'Round 1 Data'!$A$10:$A$143,'Round 1 Data'!G$10:G$144,0)+_xlfn.XLOOKUP('Summary Data'!$A58,'Round 2 Data'!$A$10:$A$146,'Round 2 Data'!G$10:G$146,0)+_xlfn.XLOOKUP('Summary Data'!$A58,'Round 3 Data'!$A$10:$A$145,'Round 3 Data'!G$10:G$145,0)+_xlfn.XLOOKUP('Summary Data'!$A58,'Round 4 Data'!$A$10:$A$147,'Round 4 Data'!G$10:G$147,0))/$D58</f>
        <v>#VALUE!</v>
      </c>
      <c r="H58" s="57" t="e">
        <f>(_xlfn.XLOOKUP('Summary Data'!$A58,'Round 1 Data'!$A$10:$A$143,'Round 1 Data'!H$10:H$144,0)+_xlfn.XLOOKUP('Summary Data'!$A58,'Round 2 Data'!$A$10:$A$146,'Round 2 Data'!H$10:H$146,0)+_xlfn.XLOOKUP('Summary Data'!$A58,'Round 3 Data'!$A$10:$A$145,'Round 3 Data'!H$10:H$145,0)+_xlfn.XLOOKUP('Summary Data'!$A58,'Round 4 Data'!$A$10:$A$147,'Round 4 Data'!H$10:H$147,0))/$D58</f>
        <v>#VALUE!</v>
      </c>
      <c r="I58" s="57" t="e">
        <f>(_xlfn.XLOOKUP('Summary Data'!$A58,'Round 1 Data'!$A$10:$A$143,'Round 1 Data'!I$10:I$144,0)+_xlfn.XLOOKUP('Summary Data'!$A58,'Round 2 Data'!$A$10:$A$146,'Round 2 Data'!I$10:I$146,0)+_xlfn.XLOOKUP('Summary Data'!$A58,'Round 3 Data'!$A$10:$A$145,'Round 3 Data'!I$10:I$145,0)+_xlfn.XLOOKUP('Summary Data'!$A58,'Round 4 Data'!$A$10:$A$147,'Round 4 Data'!I$10:I$147,0))/$D58</f>
        <v>#VALUE!</v>
      </c>
      <c r="J58" s="57" t="e">
        <f>(_xlfn.XLOOKUP('Summary Data'!$A58,'Round 1 Data'!$A$10:$A$143,'Round 1 Data'!J$10:J$144,0)+_xlfn.XLOOKUP('Summary Data'!$A58,'Round 2 Data'!$A$10:$A$146,'Round 2 Data'!J$10:J$146,0)+_xlfn.XLOOKUP('Summary Data'!$A58,'Round 3 Data'!$A$10:$A$145,'Round 3 Data'!J$10:J$145,0)+_xlfn.XLOOKUP('Summary Data'!$A58,'Round 4 Data'!$A$10:$A$147,'Round 4 Data'!J$10:J$147,0))/$D58</f>
        <v>#VALUE!</v>
      </c>
      <c r="K58" s="57" t="e">
        <f>(_xlfn.XLOOKUP('Summary Data'!$A58,'Round 1 Data'!$A$10:$A$143,'Round 1 Data'!K$10:K$144,0)+_xlfn.XLOOKUP('Summary Data'!$A58,'Round 2 Data'!$A$10:$A$146,'Round 2 Data'!K$10:K$146,0)+_xlfn.XLOOKUP('Summary Data'!$A58,'Round 3 Data'!$A$10:$A$145,'Round 3 Data'!K$10:K$145,0)+_xlfn.XLOOKUP('Summary Data'!$A58,'Round 4 Data'!$A$10:$A$147,'Round 4 Data'!K$10:K$147,0))/$D58</f>
        <v>#VALUE!</v>
      </c>
      <c r="L58" s="57" t="e">
        <f>(_xlfn.XLOOKUP('Summary Data'!$A58,'Round 1 Data'!$A$10:$A$143,'Round 1 Data'!L$10:L$144,0)+_xlfn.XLOOKUP('Summary Data'!$A58,'Round 2 Data'!$A$10:$A$146,'Round 2 Data'!L$10:L$146,0)+_xlfn.XLOOKUP('Summary Data'!$A58,'Round 3 Data'!$A$10:$A$145,'Round 3 Data'!L$10:L$145,0)+_xlfn.XLOOKUP('Summary Data'!$A58,'Round 4 Data'!$A$10:$A$147,'Round 4 Data'!L$10:L$147,0))/$D58</f>
        <v>#VALUE!</v>
      </c>
      <c r="M58" s="57" t="e">
        <f>(_xlfn.XLOOKUP('Summary Data'!$A58,'Round 1 Data'!$A$10:$A$143,'Round 1 Data'!M$10:M$144,0)+_xlfn.XLOOKUP('Summary Data'!$A58,'Round 2 Data'!$A$10:$A$146,'Round 2 Data'!M$10:M$146,0)+_xlfn.XLOOKUP('Summary Data'!$A58,'Round 3 Data'!$A$10:$A$145,'Round 3 Data'!M$10:M$145,0)+_xlfn.XLOOKUP('Summary Data'!$A58,'Round 4 Data'!$A$10:$A$147,'Round 4 Data'!M$10:M$147,0))/$D58</f>
        <v>#VALUE!</v>
      </c>
      <c r="N58" s="57" t="e">
        <f>(_xlfn.XLOOKUP('Summary Data'!$A58,'Round 1 Data'!$A$10:$A$143,'Round 1 Data'!N$10:N$144,0)+_xlfn.XLOOKUP('Summary Data'!$A58,'Round 2 Data'!$A$10:$A$146,'Round 2 Data'!N$10:N$146,0)+_xlfn.XLOOKUP('Summary Data'!$A58,'Round 3 Data'!$A$10:$A$145,'Round 3 Data'!N$10:N$145,0)+_xlfn.XLOOKUP('Summary Data'!$A58,'Round 4 Data'!$A$10:$A$147,'Round 4 Data'!N$10:N$147,0))/$D58</f>
        <v>#VALUE!</v>
      </c>
      <c r="O58" s="57" t="e">
        <f>(_xlfn.XLOOKUP('Summary Data'!$A58,'Round 1 Data'!$A$10:$A$143,'Round 1 Data'!O$10:O$144,0)+_xlfn.XLOOKUP('Summary Data'!$A58,'Round 2 Data'!$A$10:$A$146,'Round 2 Data'!O$10:O$146,0)+_xlfn.XLOOKUP('Summary Data'!$A58,'Round 3 Data'!$A$10:$A$145,'Round 3 Data'!O$10:O$145,0)+_xlfn.XLOOKUP('Summary Data'!$A58,'Round 4 Data'!$A$10:$A$147,'Round 4 Data'!O$10:O$147,0))/$D58</f>
        <v>#VALUE!</v>
      </c>
      <c r="P58" s="57" t="e">
        <f>(_xlfn.XLOOKUP('Summary Data'!$A58,'Round 1 Data'!$A$10:$A$143,'Round 1 Data'!P$10:P$144,0)+_xlfn.XLOOKUP('Summary Data'!$A58,'Round 2 Data'!$A$10:$A$146,'Round 2 Data'!P$10:P$146,0)+_xlfn.XLOOKUP('Summary Data'!$A58,'Round 3 Data'!$A$10:$A$145,'Round 3 Data'!P$10:P$145,0)+_xlfn.XLOOKUP('Summary Data'!$A58,'Round 4 Data'!$A$10:$A$147,'Round 4 Data'!P$10:P$147,0))/$D58</f>
        <v>#VALUE!</v>
      </c>
      <c r="Q58" s="57" t="e">
        <f>(_xlfn.XLOOKUP('Summary Data'!$A58,'Round 1 Data'!$A$10:$A$143,'Round 1 Data'!Q$10:Q$144,0)+_xlfn.XLOOKUP('Summary Data'!$A58,'Round 2 Data'!$A$10:$A$146,'Round 2 Data'!Q$10:Q$146,0)+_xlfn.XLOOKUP('Summary Data'!$A58,'Round 3 Data'!$A$10:$A$145,'Round 3 Data'!Q$10:Q$145,0)+_xlfn.XLOOKUP('Summary Data'!$A58,'Round 4 Data'!$A$10:$A$147,'Round 4 Data'!Q$10:Q$147,0))/$D58</f>
        <v>#VALUE!</v>
      </c>
      <c r="R58" s="57" t="e">
        <f>(_xlfn.XLOOKUP('Summary Data'!$A58,'Round 1 Data'!$A$10:$A$143,'Round 1 Data'!R$10:R$144,0)+_xlfn.XLOOKUP('Summary Data'!$A58,'Round 2 Data'!$A$10:$A$146,'Round 2 Data'!R$10:R$146,0)+_xlfn.XLOOKUP('Summary Data'!$A58,'Round 3 Data'!$A$10:$A$145,'Round 3 Data'!R$10:R$145,0)+_xlfn.XLOOKUP('Summary Data'!$A58,'Round 4 Data'!$A$10:$A$147,'Round 4 Data'!R$10:R$147,0))/$D58</f>
        <v>#VALUE!</v>
      </c>
      <c r="S58" s="57" t="e">
        <f>(_xlfn.XLOOKUP('Summary Data'!$A58,'Round 1 Data'!$A$10:$A$143,'Round 1 Data'!S$10:S$144,0)+_xlfn.XLOOKUP('Summary Data'!$A58,'Round 2 Data'!$A$10:$A$146,'Round 2 Data'!S$10:S$146,0)+_xlfn.XLOOKUP('Summary Data'!$A58,'Round 3 Data'!$A$10:$A$145,'Round 3 Data'!S$10:S$145,0)+_xlfn.XLOOKUP('Summary Data'!$A58,'Round 4 Data'!$A$10:$A$147,'Round 4 Data'!S$10:S$147,0))/$D58</f>
        <v>#VALUE!</v>
      </c>
      <c r="T58" s="62" t="e">
        <f>(_xlfn.XLOOKUP('Summary Data'!$A58,'Round 1 Data'!$A$10:$A$143,'Round 1 Data'!U$10:U$144,0)+_xlfn.XLOOKUP('Summary Data'!$A58,'Round 2 Data'!$A$10:$A$146,'Round 2 Data'!U$10:U$146,0)+_xlfn.XLOOKUP('Summary Data'!$A58,'Round 3 Data'!$A$10:$A$145,'Round 3 Data'!U$10:U$145,0)+_xlfn.XLOOKUP('Summary Data'!$A58,'Round 4 Data'!$A$10:$A$147,'Round 4 Data'!U$10:U$147,0))</f>
        <v>#VALUE!</v>
      </c>
    </row>
    <row r="59" spans="1:20" ht="16" thickBot="1" x14ac:dyDescent="0.25">
      <c r="A59" s="63" t="s">
        <v>186</v>
      </c>
      <c r="B59" t="s">
        <v>190</v>
      </c>
      <c r="C59" t="s">
        <v>197</v>
      </c>
      <c r="D59" t="e">
        <f>IF(_xlfn.XLOOKUP('Summary Data'!A59,'Round 1 Data'!$A$10:$A$143,'Round 1 Data'!$E$10:$E$144,0)=0,0,1)+IF(_xlfn.XLOOKUP('Summary Data'!A59,'Round 2 Data'!$A$10:$A$146,'Round 2 Data'!$E$10:$E$146,0)=0,0,1)+IF(_xlfn.XLOOKUP('Summary Data'!A59,'Round 3 Data'!$A$10:$A$145,'Round 3 Data'!$E$10:$E$145,0)=0,0,1)+IF(_xlfn.XLOOKUP('Summary Data'!A59,'Round 4 Data'!$A$10:$A$147,'Round 4 Data'!$E$10:$E$147,0)=0,0,1)</f>
        <v>#VALUE!</v>
      </c>
      <c r="E59" s="57" t="e">
        <f>(_xlfn.XLOOKUP('Summary Data'!$A59,'Round 1 Data'!$A$10:$A$143,'Round 1 Data'!E$10:E$144,0)+_xlfn.XLOOKUP('Summary Data'!$A59,'Round 2 Data'!$A$10:$A$146,'Round 2 Data'!E$10:E$146,0)+_xlfn.XLOOKUP('Summary Data'!$A59,'Round 3 Data'!$A$10:$A$145,'Round 3 Data'!E$10:E$145,0)+_xlfn.XLOOKUP('Summary Data'!$A59,'Round 4 Data'!$A$10:$A$147,'Round 4 Data'!E$10:E$147,0))/$D59</f>
        <v>#VALUE!</v>
      </c>
      <c r="F59" s="57" t="e">
        <f>(_xlfn.XLOOKUP('Summary Data'!$A59,'Round 1 Data'!$A$10:$A$143,'Round 1 Data'!F$10:F$144,0)+_xlfn.XLOOKUP('Summary Data'!$A59,'Round 2 Data'!$A$10:$A$146,'Round 2 Data'!F$10:F$146,0)+_xlfn.XLOOKUP('Summary Data'!$A59,'Round 3 Data'!$A$10:$A$145,'Round 3 Data'!F$10:F$145,0)+_xlfn.XLOOKUP('Summary Data'!$A59,'Round 4 Data'!$A$10:$A$147,'Round 4 Data'!F$10:F$147,0))/$D59</f>
        <v>#VALUE!</v>
      </c>
      <c r="G59" s="57" t="e">
        <f>(_xlfn.XLOOKUP('Summary Data'!$A59,'Round 1 Data'!$A$10:$A$143,'Round 1 Data'!G$10:G$144,0)+_xlfn.XLOOKUP('Summary Data'!$A59,'Round 2 Data'!$A$10:$A$146,'Round 2 Data'!G$10:G$146,0)+_xlfn.XLOOKUP('Summary Data'!$A59,'Round 3 Data'!$A$10:$A$145,'Round 3 Data'!G$10:G$145,0)+_xlfn.XLOOKUP('Summary Data'!$A59,'Round 4 Data'!$A$10:$A$147,'Round 4 Data'!G$10:G$147,0))/$D59</f>
        <v>#VALUE!</v>
      </c>
      <c r="H59" s="57" t="e">
        <f>(_xlfn.XLOOKUP('Summary Data'!$A59,'Round 1 Data'!$A$10:$A$143,'Round 1 Data'!H$10:H$144,0)+_xlfn.XLOOKUP('Summary Data'!$A59,'Round 2 Data'!$A$10:$A$146,'Round 2 Data'!H$10:H$146,0)+_xlfn.XLOOKUP('Summary Data'!$A59,'Round 3 Data'!$A$10:$A$145,'Round 3 Data'!H$10:H$145,0)+_xlfn.XLOOKUP('Summary Data'!$A59,'Round 4 Data'!$A$10:$A$147,'Round 4 Data'!H$10:H$147,0))/$D59</f>
        <v>#VALUE!</v>
      </c>
      <c r="I59" s="57" t="e">
        <f>(_xlfn.XLOOKUP('Summary Data'!$A59,'Round 1 Data'!$A$10:$A$143,'Round 1 Data'!I$10:I$144,0)+_xlfn.XLOOKUP('Summary Data'!$A59,'Round 2 Data'!$A$10:$A$146,'Round 2 Data'!I$10:I$146,0)+_xlfn.XLOOKUP('Summary Data'!$A59,'Round 3 Data'!$A$10:$A$145,'Round 3 Data'!I$10:I$145,0)+_xlfn.XLOOKUP('Summary Data'!$A59,'Round 4 Data'!$A$10:$A$147,'Round 4 Data'!I$10:I$147,0))/$D59</f>
        <v>#VALUE!</v>
      </c>
      <c r="J59" s="57" t="e">
        <f>(_xlfn.XLOOKUP('Summary Data'!$A59,'Round 1 Data'!$A$10:$A$143,'Round 1 Data'!J$10:J$144,0)+_xlfn.XLOOKUP('Summary Data'!$A59,'Round 2 Data'!$A$10:$A$146,'Round 2 Data'!J$10:J$146,0)+_xlfn.XLOOKUP('Summary Data'!$A59,'Round 3 Data'!$A$10:$A$145,'Round 3 Data'!J$10:J$145,0)+_xlfn.XLOOKUP('Summary Data'!$A59,'Round 4 Data'!$A$10:$A$147,'Round 4 Data'!J$10:J$147,0))/$D59</f>
        <v>#VALUE!</v>
      </c>
      <c r="K59" s="57" t="e">
        <f>(_xlfn.XLOOKUP('Summary Data'!$A59,'Round 1 Data'!$A$10:$A$143,'Round 1 Data'!K$10:K$144,0)+_xlfn.XLOOKUP('Summary Data'!$A59,'Round 2 Data'!$A$10:$A$146,'Round 2 Data'!K$10:K$146,0)+_xlfn.XLOOKUP('Summary Data'!$A59,'Round 3 Data'!$A$10:$A$145,'Round 3 Data'!K$10:K$145,0)+_xlfn.XLOOKUP('Summary Data'!$A59,'Round 4 Data'!$A$10:$A$147,'Round 4 Data'!K$10:K$147,0))/$D59</f>
        <v>#VALUE!</v>
      </c>
      <c r="L59" s="57" t="e">
        <f>(_xlfn.XLOOKUP('Summary Data'!$A59,'Round 1 Data'!$A$10:$A$143,'Round 1 Data'!L$10:L$144,0)+_xlfn.XLOOKUP('Summary Data'!$A59,'Round 2 Data'!$A$10:$A$146,'Round 2 Data'!L$10:L$146,0)+_xlfn.XLOOKUP('Summary Data'!$A59,'Round 3 Data'!$A$10:$A$145,'Round 3 Data'!L$10:L$145,0)+_xlfn.XLOOKUP('Summary Data'!$A59,'Round 4 Data'!$A$10:$A$147,'Round 4 Data'!L$10:L$147,0))/$D59</f>
        <v>#VALUE!</v>
      </c>
      <c r="M59" s="57" t="e">
        <f>(_xlfn.XLOOKUP('Summary Data'!$A59,'Round 1 Data'!$A$10:$A$143,'Round 1 Data'!M$10:M$144,0)+_xlfn.XLOOKUP('Summary Data'!$A59,'Round 2 Data'!$A$10:$A$146,'Round 2 Data'!M$10:M$146,0)+_xlfn.XLOOKUP('Summary Data'!$A59,'Round 3 Data'!$A$10:$A$145,'Round 3 Data'!M$10:M$145,0)+_xlfn.XLOOKUP('Summary Data'!$A59,'Round 4 Data'!$A$10:$A$147,'Round 4 Data'!M$10:M$147,0))/$D59</f>
        <v>#VALUE!</v>
      </c>
      <c r="N59" s="57" t="e">
        <f>(_xlfn.XLOOKUP('Summary Data'!$A59,'Round 1 Data'!$A$10:$A$143,'Round 1 Data'!N$10:N$144,0)+_xlfn.XLOOKUP('Summary Data'!$A59,'Round 2 Data'!$A$10:$A$146,'Round 2 Data'!N$10:N$146,0)+_xlfn.XLOOKUP('Summary Data'!$A59,'Round 3 Data'!$A$10:$A$145,'Round 3 Data'!N$10:N$145,0)+_xlfn.XLOOKUP('Summary Data'!$A59,'Round 4 Data'!$A$10:$A$147,'Round 4 Data'!N$10:N$147,0))/$D59</f>
        <v>#VALUE!</v>
      </c>
      <c r="O59" s="57" t="e">
        <f>(_xlfn.XLOOKUP('Summary Data'!$A59,'Round 1 Data'!$A$10:$A$143,'Round 1 Data'!O$10:O$144,0)+_xlfn.XLOOKUP('Summary Data'!$A59,'Round 2 Data'!$A$10:$A$146,'Round 2 Data'!O$10:O$146,0)+_xlfn.XLOOKUP('Summary Data'!$A59,'Round 3 Data'!$A$10:$A$145,'Round 3 Data'!O$10:O$145,0)+_xlfn.XLOOKUP('Summary Data'!$A59,'Round 4 Data'!$A$10:$A$147,'Round 4 Data'!O$10:O$147,0))/$D59</f>
        <v>#VALUE!</v>
      </c>
      <c r="P59" s="57" t="e">
        <f>(_xlfn.XLOOKUP('Summary Data'!$A59,'Round 1 Data'!$A$10:$A$143,'Round 1 Data'!P$10:P$144,0)+_xlfn.XLOOKUP('Summary Data'!$A59,'Round 2 Data'!$A$10:$A$146,'Round 2 Data'!P$10:P$146,0)+_xlfn.XLOOKUP('Summary Data'!$A59,'Round 3 Data'!$A$10:$A$145,'Round 3 Data'!P$10:P$145,0)+_xlfn.XLOOKUP('Summary Data'!$A59,'Round 4 Data'!$A$10:$A$147,'Round 4 Data'!P$10:P$147,0))/$D59</f>
        <v>#VALUE!</v>
      </c>
      <c r="Q59" s="57" t="e">
        <f>(_xlfn.XLOOKUP('Summary Data'!$A59,'Round 1 Data'!$A$10:$A$143,'Round 1 Data'!Q$10:Q$144,0)+_xlfn.XLOOKUP('Summary Data'!$A59,'Round 2 Data'!$A$10:$A$146,'Round 2 Data'!Q$10:Q$146,0)+_xlfn.XLOOKUP('Summary Data'!$A59,'Round 3 Data'!$A$10:$A$145,'Round 3 Data'!Q$10:Q$145,0)+_xlfn.XLOOKUP('Summary Data'!$A59,'Round 4 Data'!$A$10:$A$147,'Round 4 Data'!Q$10:Q$147,0))/$D59</f>
        <v>#VALUE!</v>
      </c>
      <c r="R59" s="57" t="e">
        <f>(_xlfn.XLOOKUP('Summary Data'!$A59,'Round 1 Data'!$A$10:$A$143,'Round 1 Data'!R$10:R$144,0)+_xlfn.XLOOKUP('Summary Data'!$A59,'Round 2 Data'!$A$10:$A$146,'Round 2 Data'!R$10:R$146,0)+_xlfn.XLOOKUP('Summary Data'!$A59,'Round 3 Data'!$A$10:$A$145,'Round 3 Data'!R$10:R$145,0)+_xlfn.XLOOKUP('Summary Data'!$A59,'Round 4 Data'!$A$10:$A$147,'Round 4 Data'!R$10:R$147,0))/$D59</f>
        <v>#VALUE!</v>
      </c>
      <c r="S59" s="57" t="e">
        <f>(_xlfn.XLOOKUP('Summary Data'!$A59,'Round 1 Data'!$A$10:$A$143,'Round 1 Data'!S$10:S$144,0)+_xlfn.XLOOKUP('Summary Data'!$A59,'Round 2 Data'!$A$10:$A$146,'Round 2 Data'!S$10:S$146,0)+_xlfn.XLOOKUP('Summary Data'!$A59,'Round 3 Data'!$A$10:$A$145,'Round 3 Data'!S$10:S$145,0)+_xlfn.XLOOKUP('Summary Data'!$A59,'Round 4 Data'!$A$10:$A$147,'Round 4 Data'!S$10:S$147,0))/$D59</f>
        <v>#VALUE!</v>
      </c>
      <c r="T59" s="62" t="e">
        <f>(_xlfn.XLOOKUP('Summary Data'!$A59,'Round 1 Data'!$A$10:$A$143,'Round 1 Data'!U$10:U$144,0)+_xlfn.XLOOKUP('Summary Data'!$A59,'Round 2 Data'!$A$10:$A$146,'Round 2 Data'!U$10:U$146,0)+_xlfn.XLOOKUP('Summary Data'!$A59,'Round 3 Data'!$A$10:$A$145,'Round 3 Data'!U$10:U$145,0)+_xlfn.XLOOKUP('Summary Data'!$A59,'Round 4 Data'!$A$10:$A$147,'Round 4 Data'!U$10:U$147,0))</f>
        <v>#VALUE!</v>
      </c>
    </row>
    <row r="60" spans="1:20" ht="16" thickBot="1" x14ac:dyDescent="0.25">
      <c r="A60" s="61" t="s">
        <v>167</v>
      </c>
      <c r="B60" t="s">
        <v>190</v>
      </c>
      <c r="C60" t="s">
        <v>198</v>
      </c>
      <c r="D60" t="e">
        <f>IF(_xlfn.XLOOKUP('Summary Data'!A60,'Round 1 Data'!$A$10:$A$143,'Round 1 Data'!$E$10:$E$144,0)=0,0,1)+IF(_xlfn.XLOOKUP('Summary Data'!A60,'Round 2 Data'!$A$10:$A$146,'Round 2 Data'!$E$10:$E$146,0)=0,0,1)+IF(_xlfn.XLOOKUP('Summary Data'!A60,'Round 3 Data'!$A$10:$A$145,'Round 3 Data'!$E$10:$E$145,0)=0,0,1)+IF(_xlfn.XLOOKUP('Summary Data'!A60,'Round 4 Data'!$A$10:$A$147,'Round 4 Data'!$E$10:$E$147,0)=0,0,1)</f>
        <v>#VALUE!</v>
      </c>
      <c r="E60" s="57" t="e">
        <f>(_xlfn.XLOOKUP('Summary Data'!$A60,'Round 1 Data'!$A$10:$A$143,'Round 1 Data'!E$10:E$144,0)+_xlfn.XLOOKUP('Summary Data'!$A60,'Round 2 Data'!$A$10:$A$146,'Round 2 Data'!E$10:E$146,0)+_xlfn.XLOOKUP('Summary Data'!$A60,'Round 3 Data'!$A$10:$A$145,'Round 3 Data'!E$10:E$145,0)+_xlfn.XLOOKUP('Summary Data'!$A60,'Round 4 Data'!$A$10:$A$147,'Round 4 Data'!E$10:E$147,0))/$D60</f>
        <v>#VALUE!</v>
      </c>
      <c r="F60" s="57" t="e">
        <f>(_xlfn.XLOOKUP('Summary Data'!$A60,'Round 1 Data'!$A$10:$A$143,'Round 1 Data'!F$10:F$144,0)+_xlfn.XLOOKUP('Summary Data'!$A60,'Round 2 Data'!$A$10:$A$146,'Round 2 Data'!F$10:F$146,0)+_xlfn.XLOOKUP('Summary Data'!$A60,'Round 3 Data'!$A$10:$A$145,'Round 3 Data'!F$10:F$145,0)+_xlfn.XLOOKUP('Summary Data'!$A60,'Round 4 Data'!$A$10:$A$147,'Round 4 Data'!F$10:F$147,0))/$D60</f>
        <v>#VALUE!</v>
      </c>
      <c r="G60" s="57" t="e">
        <f>(_xlfn.XLOOKUP('Summary Data'!$A60,'Round 1 Data'!$A$10:$A$143,'Round 1 Data'!G$10:G$144,0)+_xlfn.XLOOKUP('Summary Data'!$A60,'Round 2 Data'!$A$10:$A$146,'Round 2 Data'!G$10:G$146,0)+_xlfn.XLOOKUP('Summary Data'!$A60,'Round 3 Data'!$A$10:$A$145,'Round 3 Data'!G$10:G$145,0)+_xlfn.XLOOKUP('Summary Data'!$A60,'Round 4 Data'!$A$10:$A$147,'Round 4 Data'!G$10:G$147,0))/$D60</f>
        <v>#VALUE!</v>
      </c>
      <c r="H60" s="57" t="e">
        <f>(_xlfn.XLOOKUP('Summary Data'!$A60,'Round 1 Data'!$A$10:$A$143,'Round 1 Data'!H$10:H$144,0)+_xlfn.XLOOKUP('Summary Data'!$A60,'Round 2 Data'!$A$10:$A$146,'Round 2 Data'!H$10:H$146,0)+_xlfn.XLOOKUP('Summary Data'!$A60,'Round 3 Data'!$A$10:$A$145,'Round 3 Data'!H$10:H$145,0)+_xlfn.XLOOKUP('Summary Data'!$A60,'Round 4 Data'!$A$10:$A$147,'Round 4 Data'!H$10:H$147,0))/$D60</f>
        <v>#VALUE!</v>
      </c>
      <c r="I60" s="57" t="e">
        <f>(_xlfn.XLOOKUP('Summary Data'!$A60,'Round 1 Data'!$A$10:$A$143,'Round 1 Data'!I$10:I$144,0)+_xlfn.XLOOKUP('Summary Data'!$A60,'Round 2 Data'!$A$10:$A$146,'Round 2 Data'!I$10:I$146,0)+_xlfn.XLOOKUP('Summary Data'!$A60,'Round 3 Data'!$A$10:$A$145,'Round 3 Data'!I$10:I$145,0)+_xlfn.XLOOKUP('Summary Data'!$A60,'Round 4 Data'!$A$10:$A$147,'Round 4 Data'!I$10:I$147,0))/$D60</f>
        <v>#VALUE!</v>
      </c>
      <c r="J60" s="57" t="e">
        <f>(_xlfn.XLOOKUP('Summary Data'!$A60,'Round 1 Data'!$A$10:$A$143,'Round 1 Data'!J$10:J$144,0)+_xlfn.XLOOKUP('Summary Data'!$A60,'Round 2 Data'!$A$10:$A$146,'Round 2 Data'!J$10:J$146,0)+_xlfn.XLOOKUP('Summary Data'!$A60,'Round 3 Data'!$A$10:$A$145,'Round 3 Data'!J$10:J$145,0)+_xlfn.XLOOKUP('Summary Data'!$A60,'Round 4 Data'!$A$10:$A$147,'Round 4 Data'!J$10:J$147,0))/$D60</f>
        <v>#VALUE!</v>
      </c>
      <c r="K60" s="57" t="e">
        <f>(_xlfn.XLOOKUP('Summary Data'!$A60,'Round 1 Data'!$A$10:$A$143,'Round 1 Data'!K$10:K$144,0)+_xlfn.XLOOKUP('Summary Data'!$A60,'Round 2 Data'!$A$10:$A$146,'Round 2 Data'!K$10:K$146,0)+_xlfn.XLOOKUP('Summary Data'!$A60,'Round 3 Data'!$A$10:$A$145,'Round 3 Data'!K$10:K$145,0)+_xlfn.XLOOKUP('Summary Data'!$A60,'Round 4 Data'!$A$10:$A$147,'Round 4 Data'!K$10:K$147,0))/$D60</f>
        <v>#VALUE!</v>
      </c>
      <c r="L60" s="57" t="e">
        <f>(_xlfn.XLOOKUP('Summary Data'!$A60,'Round 1 Data'!$A$10:$A$143,'Round 1 Data'!L$10:L$144,0)+_xlfn.XLOOKUP('Summary Data'!$A60,'Round 2 Data'!$A$10:$A$146,'Round 2 Data'!L$10:L$146,0)+_xlfn.XLOOKUP('Summary Data'!$A60,'Round 3 Data'!$A$10:$A$145,'Round 3 Data'!L$10:L$145,0)+_xlfn.XLOOKUP('Summary Data'!$A60,'Round 4 Data'!$A$10:$A$147,'Round 4 Data'!L$10:L$147,0))/$D60</f>
        <v>#VALUE!</v>
      </c>
      <c r="M60" s="57" t="e">
        <f>(_xlfn.XLOOKUP('Summary Data'!$A60,'Round 1 Data'!$A$10:$A$143,'Round 1 Data'!M$10:M$144,0)+_xlfn.XLOOKUP('Summary Data'!$A60,'Round 2 Data'!$A$10:$A$146,'Round 2 Data'!M$10:M$146,0)+_xlfn.XLOOKUP('Summary Data'!$A60,'Round 3 Data'!$A$10:$A$145,'Round 3 Data'!M$10:M$145,0)+_xlfn.XLOOKUP('Summary Data'!$A60,'Round 4 Data'!$A$10:$A$147,'Round 4 Data'!M$10:M$147,0))/$D60</f>
        <v>#VALUE!</v>
      </c>
      <c r="N60" s="57" t="e">
        <f>(_xlfn.XLOOKUP('Summary Data'!$A60,'Round 1 Data'!$A$10:$A$143,'Round 1 Data'!N$10:N$144,0)+_xlfn.XLOOKUP('Summary Data'!$A60,'Round 2 Data'!$A$10:$A$146,'Round 2 Data'!N$10:N$146,0)+_xlfn.XLOOKUP('Summary Data'!$A60,'Round 3 Data'!$A$10:$A$145,'Round 3 Data'!N$10:N$145,0)+_xlfn.XLOOKUP('Summary Data'!$A60,'Round 4 Data'!$A$10:$A$147,'Round 4 Data'!N$10:N$147,0))/$D60</f>
        <v>#VALUE!</v>
      </c>
      <c r="O60" s="57" t="e">
        <f>(_xlfn.XLOOKUP('Summary Data'!$A60,'Round 1 Data'!$A$10:$A$143,'Round 1 Data'!O$10:O$144,0)+_xlfn.XLOOKUP('Summary Data'!$A60,'Round 2 Data'!$A$10:$A$146,'Round 2 Data'!O$10:O$146,0)+_xlfn.XLOOKUP('Summary Data'!$A60,'Round 3 Data'!$A$10:$A$145,'Round 3 Data'!O$10:O$145,0)+_xlfn.XLOOKUP('Summary Data'!$A60,'Round 4 Data'!$A$10:$A$147,'Round 4 Data'!O$10:O$147,0))/$D60</f>
        <v>#VALUE!</v>
      </c>
      <c r="P60" s="57" t="e">
        <f>(_xlfn.XLOOKUP('Summary Data'!$A60,'Round 1 Data'!$A$10:$A$143,'Round 1 Data'!P$10:P$144,0)+_xlfn.XLOOKUP('Summary Data'!$A60,'Round 2 Data'!$A$10:$A$146,'Round 2 Data'!P$10:P$146,0)+_xlfn.XLOOKUP('Summary Data'!$A60,'Round 3 Data'!$A$10:$A$145,'Round 3 Data'!P$10:P$145,0)+_xlfn.XLOOKUP('Summary Data'!$A60,'Round 4 Data'!$A$10:$A$147,'Round 4 Data'!P$10:P$147,0))/$D60</f>
        <v>#VALUE!</v>
      </c>
      <c r="Q60" s="57" t="e">
        <f>(_xlfn.XLOOKUP('Summary Data'!$A60,'Round 1 Data'!$A$10:$A$143,'Round 1 Data'!Q$10:Q$144,0)+_xlfn.XLOOKUP('Summary Data'!$A60,'Round 2 Data'!$A$10:$A$146,'Round 2 Data'!Q$10:Q$146,0)+_xlfn.XLOOKUP('Summary Data'!$A60,'Round 3 Data'!$A$10:$A$145,'Round 3 Data'!Q$10:Q$145,0)+_xlfn.XLOOKUP('Summary Data'!$A60,'Round 4 Data'!$A$10:$A$147,'Round 4 Data'!Q$10:Q$147,0))/$D60</f>
        <v>#VALUE!</v>
      </c>
      <c r="R60" s="57" t="e">
        <f>(_xlfn.XLOOKUP('Summary Data'!$A60,'Round 1 Data'!$A$10:$A$143,'Round 1 Data'!R$10:R$144,0)+_xlfn.XLOOKUP('Summary Data'!$A60,'Round 2 Data'!$A$10:$A$146,'Round 2 Data'!R$10:R$146,0)+_xlfn.XLOOKUP('Summary Data'!$A60,'Round 3 Data'!$A$10:$A$145,'Round 3 Data'!R$10:R$145,0)+_xlfn.XLOOKUP('Summary Data'!$A60,'Round 4 Data'!$A$10:$A$147,'Round 4 Data'!R$10:R$147,0))/$D60</f>
        <v>#VALUE!</v>
      </c>
      <c r="S60" s="57" t="e">
        <f>(_xlfn.XLOOKUP('Summary Data'!$A60,'Round 1 Data'!$A$10:$A$143,'Round 1 Data'!S$10:S$144,0)+_xlfn.XLOOKUP('Summary Data'!$A60,'Round 2 Data'!$A$10:$A$146,'Round 2 Data'!S$10:S$146,0)+_xlfn.XLOOKUP('Summary Data'!$A60,'Round 3 Data'!$A$10:$A$145,'Round 3 Data'!S$10:S$145,0)+_xlfn.XLOOKUP('Summary Data'!$A60,'Round 4 Data'!$A$10:$A$147,'Round 4 Data'!S$10:S$147,0))/$D60</f>
        <v>#VALUE!</v>
      </c>
      <c r="T60" s="62" t="e">
        <f>(_xlfn.XLOOKUP('Summary Data'!$A60,'Round 1 Data'!$A$10:$A$143,'Round 1 Data'!U$10:U$144,0)+_xlfn.XLOOKUP('Summary Data'!$A60,'Round 2 Data'!$A$10:$A$146,'Round 2 Data'!U$10:U$146,0)+_xlfn.XLOOKUP('Summary Data'!$A60,'Round 3 Data'!$A$10:$A$145,'Round 3 Data'!U$10:U$145,0)+_xlfn.XLOOKUP('Summary Data'!$A60,'Round 4 Data'!$A$10:$A$147,'Round 4 Data'!U$10:U$147,0))</f>
        <v>#VALUE!</v>
      </c>
    </row>
    <row r="61" spans="1:20" ht="16" thickBot="1" x14ac:dyDescent="0.25">
      <c r="A61" s="63" t="s">
        <v>90</v>
      </c>
      <c r="B61" t="s">
        <v>190</v>
      </c>
      <c r="C61" t="s">
        <v>198</v>
      </c>
      <c r="D61" t="e">
        <f>IF(_xlfn.XLOOKUP('Summary Data'!A61,'Round 1 Data'!$A$10:$A$143,'Round 1 Data'!$E$10:$E$144,0)=0,0,1)+IF(_xlfn.XLOOKUP('Summary Data'!A61,'Round 2 Data'!$A$10:$A$146,'Round 2 Data'!$E$10:$E$146,0)=0,0,1)+IF(_xlfn.XLOOKUP('Summary Data'!A61,'Round 3 Data'!$A$10:$A$145,'Round 3 Data'!$E$10:$E$145,0)=0,0,1)+IF(_xlfn.XLOOKUP('Summary Data'!A61,'Round 4 Data'!$A$10:$A$147,'Round 4 Data'!$E$10:$E$147,0)=0,0,1)</f>
        <v>#VALUE!</v>
      </c>
      <c r="E61" s="57" t="e">
        <f>(_xlfn.XLOOKUP('Summary Data'!$A61,'Round 1 Data'!$A$10:$A$143,'Round 1 Data'!E$10:E$144,0)+_xlfn.XLOOKUP('Summary Data'!$A61,'Round 2 Data'!$A$10:$A$146,'Round 2 Data'!E$10:E$146,0)+_xlfn.XLOOKUP('Summary Data'!$A61,'Round 3 Data'!$A$10:$A$145,'Round 3 Data'!E$10:E$145,0)+_xlfn.XLOOKUP('Summary Data'!$A61,'Round 4 Data'!$A$10:$A$147,'Round 4 Data'!E$10:E$147,0))/$D61</f>
        <v>#VALUE!</v>
      </c>
      <c r="F61" s="57" t="e">
        <f>(_xlfn.XLOOKUP('Summary Data'!$A61,'Round 1 Data'!$A$10:$A$143,'Round 1 Data'!F$10:F$144,0)+_xlfn.XLOOKUP('Summary Data'!$A61,'Round 2 Data'!$A$10:$A$146,'Round 2 Data'!F$10:F$146,0)+_xlfn.XLOOKUP('Summary Data'!$A61,'Round 3 Data'!$A$10:$A$145,'Round 3 Data'!F$10:F$145,0)+_xlfn.XLOOKUP('Summary Data'!$A61,'Round 4 Data'!$A$10:$A$147,'Round 4 Data'!F$10:F$147,0))/$D61</f>
        <v>#VALUE!</v>
      </c>
      <c r="G61" s="57" t="e">
        <f>(_xlfn.XLOOKUP('Summary Data'!$A61,'Round 1 Data'!$A$10:$A$143,'Round 1 Data'!G$10:G$144,0)+_xlfn.XLOOKUP('Summary Data'!$A61,'Round 2 Data'!$A$10:$A$146,'Round 2 Data'!G$10:G$146,0)+_xlfn.XLOOKUP('Summary Data'!$A61,'Round 3 Data'!$A$10:$A$145,'Round 3 Data'!G$10:G$145,0)+_xlfn.XLOOKUP('Summary Data'!$A61,'Round 4 Data'!$A$10:$A$147,'Round 4 Data'!G$10:G$147,0))/$D61</f>
        <v>#VALUE!</v>
      </c>
      <c r="H61" s="57" t="e">
        <f>(_xlfn.XLOOKUP('Summary Data'!$A61,'Round 1 Data'!$A$10:$A$143,'Round 1 Data'!H$10:H$144,0)+_xlfn.XLOOKUP('Summary Data'!$A61,'Round 2 Data'!$A$10:$A$146,'Round 2 Data'!H$10:H$146,0)+_xlfn.XLOOKUP('Summary Data'!$A61,'Round 3 Data'!$A$10:$A$145,'Round 3 Data'!H$10:H$145,0)+_xlfn.XLOOKUP('Summary Data'!$A61,'Round 4 Data'!$A$10:$A$147,'Round 4 Data'!H$10:H$147,0))/$D61</f>
        <v>#VALUE!</v>
      </c>
      <c r="I61" s="57" t="e">
        <f>(_xlfn.XLOOKUP('Summary Data'!$A61,'Round 1 Data'!$A$10:$A$143,'Round 1 Data'!I$10:I$144,0)+_xlfn.XLOOKUP('Summary Data'!$A61,'Round 2 Data'!$A$10:$A$146,'Round 2 Data'!I$10:I$146,0)+_xlfn.XLOOKUP('Summary Data'!$A61,'Round 3 Data'!$A$10:$A$145,'Round 3 Data'!I$10:I$145,0)+_xlfn.XLOOKUP('Summary Data'!$A61,'Round 4 Data'!$A$10:$A$147,'Round 4 Data'!I$10:I$147,0))/$D61</f>
        <v>#VALUE!</v>
      </c>
      <c r="J61" s="57" t="e">
        <f>(_xlfn.XLOOKUP('Summary Data'!$A61,'Round 1 Data'!$A$10:$A$143,'Round 1 Data'!J$10:J$144,0)+_xlfn.XLOOKUP('Summary Data'!$A61,'Round 2 Data'!$A$10:$A$146,'Round 2 Data'!J$10:J$146,0)+_xlfn.XLOOKUP('Summary Data'!$A61,'Round 3 Data'!$A$10:$A$145,'Round 3 Data'!J$10:J$145,0)+_xlfn.XLOOKUP('Summary Data'!$A61,'Round 4 Data'!$A$10:$A$147,'Round 4 Data'!J$10:J$147,0))/$D61</f>
        <v>#VALUE!</v>
      </c>
      <c r="K61" s="57" t="e">
        <f>(_xlfn.XLOOKUP('Summary Data'!$A61,'Round 1 Data'!$A$10:$A$143,'Round 1 Data'!K$10:K$144,0)+_xlfn.XLOOKUP('Summary Data'!$A61,'Round 2 Data'!$A$10:$A$146,'Round 2 Data'!K$10:K$146,0)+_xlfn.XLOOKUP('Summary Data'!$A61,'Round 3 Data'!$A$10:$A$145,'Round 3 Data'!K$10:K$145,0)+_xlfn.XLOOKUP('Summary Data'!$A61,'Round 4 Data'!$A$10:$A$147,'Round 4 Data'!K$10:K$147,0))/$D61</f>
        <v>#VALUE!</v>
      </c>
      <c r="L61" s="57" t="e">
        <f>(_xlfn.XLOOKUP('Summary Data'!$A61,'Round 1 Data'!$A$10:$A$143,'Round 1 Data'!L$10:L$144,0)+_xlfn.XLOOKUP('Summary Data'!$A61,'Round 2 Data'!$A$10:$A$146,'Round 2 Data'!L$10:L$146,0)+_xlfn.XLOOKUP('Summary Data'!$A61,'Round 3 Data'!$A$10:$A$145,'Round 3 Data'!L$10:L$145,0)+_xlfn.XLOOKUP('Summary Data'!$A61,'Round 4 Data'!$A$10:$A$147,'Round 4 Data'!L$10:L$147,0))/$D61</f>
        <v>#VALUE!</v>
      </c>
      <c r="M61" s="57" t="e">
        <f>(_xlfn.XLOOKUP('Summary Data'!$A61,'Round 1 Data'!$A$10:$A$143,'Round 1 Data'!M$10:M$144,0)+_xlfn.XLOOKUP('Summary Data'!$A61,'Round 2 Data'!$A$10:$A$146,'Round 2 Data'!M$10:M$146,0)+_xlfn.XLOOKUP('Summary Data'!$A61,'Round 3 Data'!$A$10:$A$145,'Round 3 Data'!M$10:M$145,0)+_xlfn.XLOOKUP('Summary Data'!$A61,'Round 4 Data'!$A$10:$A$147,'Round 4 Data'!M$10:M$147,0))/$D61</f>
        <v>#VALUE!</v>
      </c>
      <c r="N61" s="57" t="e">
        <f>(_xlfn.XLOOKUP('Summary Data'!$A61,'Round 1 Data'!$A$10:$A$143,'Round 1 Data'!N$10:N$144,0)+_xlfn.XLOOKUP('Summary Data'!$A61,'Round 2 Data'!$A$10:$A$146,'Round 2 Data'!N$10:N$146,0)+_xlfn.XLOOKUP('Summary Data'!$A61,'Round 3 Data'!$A$10:$A$145,'Round 3 Data'!N$10:N$145,0)+_xlfn.XLOOKUP('Summary Data'!$A61,'Round 4 Data'!$A$10:$A$147,'Round 4 Data'!N$10:N$147,0))/$D61</f>
        <v>#VALUE!</v>
      </c>
      <c r="O61" s="57" t="e">
        <f>(_xlfn.XLOOKUP('Summary Data'!$A61,'Round 1 Data'!$A$10:$A$143,'Round 1 Data'!O$10:O$144,0)+_xlfn.XLOOKUP('Summary Data'!$A61,'Round 2 Data'!$A$10:$A$146,'Round 2 Data'!O$10:O$146,0)+_xlfn.XLOOKUP('Summary Data'!$A61,'Round 3 Data'!$A$10:$A$145,'Round 3 Data'!O$10:O$145,0)+_xlfn.XLOOKUP('Summary Data'!$A61,'Round 4 Data'!$A$10:$A$147,'Round 4 Data'!O$10:O$147,0))/$D61</f>
        <v>#VALUE!</v>
      </c>
      <c r="P61" s="57" t="e">
        <f>(_xlfn.XLOOKUP('Summary Data'!$A61,'Round 1 Data'!$A$10:$A$143,'Round 1 Data'!P$10:P$144,0)+_xlfn.XLOOKUP('Summary Data'!$A61,'Round 2 Data'!$A$10:$A$146,'Round 2 Data'!P$10:P$146,0)+_xlfn.XLOOKUP('Summary Data'!$A61,'Round 3 Data'!$A$10:$A$145,'Round 3 Data'!P$10:P$145,0)+_xlfn.XLOOKUP('Summary Data'!$A61,'Round 4 Data'!$A$10:$A$147,'Round 4 Data'!P$10:P$147,0))/$D61</f>
        <v>#VALUE!</v>
      </c>
      <c r="Q61" s="57" t="e">
        <f>(_xlfn.XLOOKUP('Summary Data'!$A61,'Round 1 Data'!$A$10:$A$143,'Round 1 Data'!Q$10:Q$144,0)+_xlfn.XLOOKUP('Summary Data'!$A61,'Round 2 Data'!$A$10:$A$146,'Round 2 Data'!Q$10:Q$146,0)+_xlfn.XLOOKUP('Summary Data'!$A61,'Round 3 Data'!$A$10:$A$145,'Round 3 Data'!Q$10:Q$145,0)+_xlfn.XLOOKUP('Summary Data'!$A61,'Round 4 Data'!$A$10:$A$147,'Round 4 Data'!Q$10:Q$147,0))/$D61</f>
        <v>#VALUE!</v>
      </c>
      <c r="R61" s="57" t="e">
        <f>(_xlfn.XLOOKUP('Summary Data'!$A61,'Round 1 Data'!$A$10:$A$143,'Round 1 Data'!R$10:R$144,0)+_xlfn.XLOOKUP('Summary Data'!$A61,'Round 2 Data'!$A$10:$A$146,'Round 2 Data'!R$10:R$146,0)+_xlfn.XLOOKUP('Summary Data'!$A61,'Round 3 Data'!$A$10:$A$145,'Round 3 Data'!R$10:R$145,0)+_xlfn.XLOOKUP('Summary Data'!$A61,'Round 4 Data'!$A$10:$A$147,'Round 4 Data'!R$10:R$147,0))/$D61</f>
        <v>#VALUE!</v>
      </c>
      <c r="S61" s="57" t="e">
        <f>(_xlfn.XLOOKUP('Summary Data'!$A61,'Round 1 Data'!$A$10:$A$143,'Round 1 Data'!S$10:S$144,0)+_xlfn.XLOOKUP('Summary Data'!$A61,'Round 2 Data'!$A$10:$A$146,'Round 2 Data'!S$10:S$146,0)+_xlfn.XLOOKUP('Summary Data'!$A61,'Round 3 Data'!$A$10:$A$145,'Round 3 Data'!S$10:S$145,0)+_xlfn.XLOOKUP('Summary Data'!$A61,'Round 4 Data'!$A$10:$A$147,'Round 4 Data'!S$10:S$147,0))/$D61</f>
        <v>#VALUE!</v>
      </c>
      <c r="T61" s="62" t="e">
        <f>(_xlfn.XLOOKUP('Summary Data'!$A61,'Round 1 Data'!$A$10:$A$143,'Round 1 Data'!U$10:U$144,0)+_xlfn.XLOOKUP('Summary Data'!$A61,'Round 2 Data'!$A$10:$A$146,'Round 2 Data'!U$10:U$146,0)+_xlfn.XLOOKUP('Summary Data'!$A61,'Round 3 Data'!$A$10:$A$145,'Round 3 Data'!U$10:U$145,0)+_xlfn.XLOOKUP('Summary Data'!$A61,'Round 4 Data'!$A$10:$A$147,'Round 4 Data'!U$10:U$147,0))</f>
        <v>#VALUE!</v>
      </c>
    </row>
    <row r="62" spans="1:20" ht="16" thickBot="1" x14ac:dyDescent="0.25">
      <c r="A62" s="61" t="s">
        <v>91</v>
      </c>
      <c r="B62" t="s">
        <v>190</v>
      </c>
      <c r="C62" t="s">
        <v>198</v>
      </c>
      <c r="D62" t="e">
        <f>IF(_xlfn.XLOOKUP('Summary Data'!A62,'Round 1 Data'!$A$10:$A$143,'Round 1 Data'!$E$10:$E$144,0)=0,0,1)+IF(_xlfn.XLOOKUP('Summary Data'!A62,'Round 2 Data'!$A$10:$A$146,'Round 2 Data'!$E$10:$E$146,0)=0,0,1)+IF(_xlfn.XLOOKUP('Summary Data'!A62,'Round 3 Data'!$A$10:$A$145,'Round 3 Data'!$E$10:$E$145,0)=0,0,1)+IF(_xlfn.XLOOKUP('Summary Data'!A62,'Round 4 Data'!$A$10:$A$147,'Round 4 Data'!$E$10:$E$147,0)=0,0,1)</f>
        <v>#VALUE!</v>
      </c>
      <c r="E62" s="57" t="e">
        <f>(_xlfn.XLOOKUP('Summary Data'!$A62,'Round 1 Data'!$A$10:$A$143,'Round 1 Data'!E$10:E$144,0)+_xlfn.XLOOKUP('Summary Data'!$A62,'Round 2 Data'!$A$10:$A$146,'Round 2 Data'!E$10:E$146,0)+_xlfn.XLOOKUP('Summary Data'!$A62,'Round 3 Data'!$A$10:$A$145,'Round 3 Data'!E$10:E$145,0)+_xlfn.XLOOKUP('Summary Data'!$A62,'Round 4 Data'!$A$10:$A$147,'Round 4 Data'!E$10:E$147,0))/$D62</f>
        <v>#VALUE!</v>
      </c>
      <c r="F62" s="57" t="e">
        <f>(_xlfn.XLOOKUP('Summary Data'!$A62,'Round 1 Data'!$A$10:$A$143,'Round 1 Data'!F$10:F$144,0)+_xlfn.XLOOKUP('Summary Data'!$A62,'Round 2 Data'!$A$10:$A$146,'Round 2 Data'!F$10:F$146,0)+_xlfn.XLOOKUP('Summary Data'!$A62,'Round 3 Data'!$A$10:$A$145,'Round 3 Data'!F$10:F$145,0)+_xlfn.XLOOKUP('Summary Data'!$A62,'Round 4 Data'!$A$10:$A$147,'Round 4 Data'!F$10:F$147,0))/$D62</f>
        <v>#VALUE!</v>
      </c>
      <c r="G62" s="57" t="e">
        <f>(_xlfn.XLOOKUP('Summary Data'!$A62,'Round 1 Data'!$A$10:$A$143,'Round 1 Data'!G$10:G$144,0)+_xlfn.XLOOKUP('Summary Data'!$A62,'Round 2 Data'!$A$10:$A$146,'Round 2 Data'!G$10:G$146,0)+_xlfn.XLOOKUP('Summary Data'!$A62,'Round 3 Data'!$A$10:$A$145,'Round 3 Data'!G$10:G$145,0)+_xlfn.XLOOKUP('Summary Data'!$A62,'Round 4 Data'!$A$10:$A$147,'Round 4 Data'!G$10:G$147,0))/$D62</f>
        <v>#VALUE!</v>
      </c>
      <c r="H62" s="57" t="e">
        <f>(_xlfn.XLOOKUP('Summary Data'!$A62,'Round 1 Data'!$A$10:$A$143,'Round 1 Data'!H$10:H$144,0)+_xlfn.XLOOKUP('Summary Data'!$A62,'Round 2 Data'!$A$10:$A$146,'Round 2 Data'!H$10:H$146,0)+_xlfn.XLOOKUP('Summary Data'!$A62,'Round 3 Data'!$A$10:$A$145,'Round 3 Data'!H$10:H$145,0)+_xlfn.XLOOKUP('Summary Data'!$A62,'Round 4 Data'!$A$10:$A$147,'Round 4 Data'!H$10:H$147,0))/$D62</f>
        <v>#VALUE!</v>
      </c>
      <c r="I62" s="57" t="e">
        <f>(_xlfn.XLOOKUP('Summary Data'!$A62,'Round 1 Data'!$A$10:$A$143,'Round 1 Data'!I$10:I$144,0)+_xlfn.XLOOKUP('Summary Data'!$A62,'Round 2 Data'!$A$10:$A$146,'Round 2 Data'!I$10:I$146,0)+_xlfn.XLOOKUP('Summary Data'!$A62,'Round 3 Data'!$A$10:$A$145,'Round 3 Data'!I$10:I$145,0)+_xlfn.XLOOKUP('Summary Data'!$A62,'Round 4 Data'!$A$10:$A$147,'Round 4 Data'!I$10:I$147,0))/$D62</f>
        <v>#VALUE!</v>
      </c>
      <c r="J62" s="57" t="e">
        <f>(_xlfn.XLOOKUP('Summary Data'!$A62,'Round 1 Data'!$A$10:$A$143,'Round 1 Data'!J$10:J$144,0)+_xlfn.XLOOKUP('Summary Data'!$A62,'Round 2 Data'!$A$10:$A$146,'Round 2 Data'!J$10:J$146,0)+_xlfn.XLOOKUP('Summary Data'!$A62,'Round 3 Data'!$A$10:$A$145,'Round 3 Data'!J$10:J$145,0)+_xlfn.XLOOKUP('Summary Data'!$A62,'Round 4 Data'!$A$10:$A$147,'Round 4 Data'!J$10:J$147,0))/$D62</f>
        <v>#VALUE!</v>
      </c>
      <c r="K62" s="57" t="e">
        <f>(_xlfn.XLOOKUP('Summary Data'!$A62,'Round 1 Data'!$A$10:$A$143,'Round 1 Data'!K$10:K$144,0)+_xlfn.XLOOKUP('Summary Data'!$A62,'Round 2 Data'!$A$10:$A$146,'Round 2 Data'!K$10:K$146,0)+_xlfn.XLOOKUP('Summary Data'!$A62,'Round 3 Data'!$A$10:$A$145,'Round 3 Data'!K$10:K$145,0)+_xlfn.XLOOKUP('Summary Data'!$A62,'Round 4 Data'!$A$10:$A$147,'Round 4 Data'!K$10:K$147,0))/$D62</f>
        <v>#VALUE!</v>
      </c>
      <c r="L62" s="57" t="e">
        <f>(_xlfn.XLOOKUP('Summary Data'!$A62,'Round 1 Data'!$A$10:$A$143,'Round 1 Data'!L$10:L$144,0)+_xlfn.XLOOKUP('Summary Data'!$A62,'Round 2 Data'!$A$10:$A$146,'Round 2 Data'!L$10:L$146,0)+_xlfn.XLOOKUP('Summary Data'!$A62,'Round 3 Data'!$A$10:$A$145,'Round 3 Data'!L$10:L$145,0)+_xlfn.XLOOKUP('Summary Data'!$A62,'Round 4 Data'!$A$10:$A$147,'Round 4 Data'!L$10:L$147,0))/$D62</f>
        <v>#VALUE!</v>
      </c>
      <c r="M62" s="57" t="e">
        <f>(_xlfn.XLOOKUP('Summary Data'!$A62,'Round 1 Data'!$A$10:$A$143,'Round 1 Data'!M$10:M$144,0)+_xlfn.XLOOKUP('Summary Data'!$A62,'Round 2 Data'!$A$10:$A$146,'Round 2 Data'!M$10:M$146,0)+_xlfn.XLOOKUP('Summary Data'!$A62,'Round 3 Data'!$A$10:$A$145,'Round 3 Data'!M$10:M$145,0)+_xlfn.XLOOKUP('Summary Data'!$A62,'Round 4 Data'!$A$10:$A$147,'Round 4 Data'!M$10:M$147,0))/$D62</f>
        <v>#VALUE!</v>
      </c>
      <c r="N62" s="57" t="e">
        <f>(_xlfn.XLOOKUP('Summary Data'!$A62,'Round 1 Data'!$A$10:$A$143,'Round 1 Data'!N$10:N$144,0)+_xlfn.XLOOKUP('Summary Data'!$A62,'Round 2 Data'!$A$10:$A$146,'Round 2 Data'!N$10:N$146,0)+_xlfn.XLOOKUP('Summary Data'!$A62,'Round 3 Data'!$A$10:$A$145,'Round 3 Data'!N$10:N$145,0)+_xlfn.XLOOKUP('Summary Data'!$A62,'Round 4 Data'!$A$10:$A$147,'Round 4 Data'!N$10:N$147,0))/$D62</f>
        <v>#VALUE!</v>
      </c>
      <c r="O62" s="57" t="e">
        <f>(_xlfn.XLOOKUP('Summary Data'!$A62,'Round 1 Data'!$A$10:$A$143,'Round 1 Data'!O$10:O$144,0)+_xlfn.XLOOKUP('Summary Data'!$A62,'Round 2 Data'!$A$10:$A$146,'Round 2 Data'!O$10:O$146,0)+_xlfn.XLOOKUP('Summary Data'!$A62,'Round 3 Data'!$A$10:$A$145,'Round 3 Data'!O$10:O$145,0)+_xlfn.XLOOKUP('Summary Data'!$A62,'Round 4 Data'!$A$10:$A$147,'Round 4 Data'!O$10:O$147,0))/$D62</f>
        <v>#VALUE!</v>
      </c>
      <c r="P62" s="57" t="e">
        <f>(_xlfn.XLOOKUP('Summary Data'!$A62,'Round 1 Data'!$A$10:$A$143,'Round 1 Data'!P$10:P$144,0)+_xlfn.XLOOKUP('Summary Data'!$A62,'Round 2 Data'!$A$10:$A$146,'Round 2 Data'!P$10:P$146,0)+_xlfn.XLOOKUP('Summary Data'!$A62,'Round 3 Data'!$A$10:$A$145,'Round 3 Data'!P$10:P$145,0)+_xlfn.XLOOKUP('Summary Data'!$A62,'Round 4 Data'!$A$10:$A$147,'Round 4 Data'!P$10:P$147,0))/$D62</f>
        <v>#VALUE!</v>
      </c>
      <c r="Q62" s="57" t="e">
        <f>(_xlfn.XLOOKUP('Summary Data'!$A62,'Round 1 Data'!$A$10:$A$143,'Round 1 Data'!Q$10:Q$144,0)+_xlfn.XLOOKUP('Summary Data'!$A62,'Round 2 Data'!$A$10:$A$146,'Round 2 Data'!Q$10:Q$146,0)+_xlfn.XLOOKUP('Summary Data'!$A62,'Round 3 Data'!$A$10:$A$145,'Round 3 Data'!Q$10:Q$145,0)+_xlfn.XLOOKUP('Summary Data'!$A62,'Round 4 Data'!$A$10:$A$147,'Round 4 Data'!Q$10:Q$147,0))/$D62</f>
        <v>#VALUE!</v>
      </c>
      <c r="R62" s="57" t="e">
        <f>(_xlfn.XLOOKUP('Summary Data'!$A62,'Round 1 Data'!$A$10:$A$143,'Round 1 Data'!R$10:R$144,0)+_xlfn.XLOOKUP('Summary Data'!$A62,'Round 2 Data'!$A$10:$A$146,'Round 2 Data'!R$10:R$146,0)+_xlfn.XLOOKUP('Summary Data'!$A62,'Round 3 Data'!$A$10:$A$145,'Round 3 Data'!R$10:R$145,0)+_xlfn.XLOOKUP('Summary Data'!$A62,'Round 4 Data'!$A$10:$A$147,'Round 4 Data'!R$10:R$147,0))/$D62</f>
        <v>#VALUE!</v>
      </c>
      <c r="S62" s="57" t="e">
        <f>(_xlfn.XLOOKUP('Summary Data'!$A62,'Round 1 Data'!$A$10:$A$143,'Round 1 Data'!S$10:S$144,0)+_xlfn.XLOOKUP('Summary Data'!$A62,'Round 2 Data'!$A$10:$A$146,'Round 2 Data'!S$10:S$146,0)+_xlfn.XLOOKUP('Summary Data'!$A62,'Round 3 Data'!$A$10:$A$145,'Round 3 Data'!S$10:S$145,0)+_xlfn.XLOOKUP('Summary Data'!$A62,'Round 4 Data'!$A$10:$A$147,'Round 4 Data'!S$10:S$147,0))/$D62</f>
        <v>#VALUE!</v>
      </c>
      <c r="T62" s="62" t="e">
        <f>(_xlfn.XLOOKUP('Summary Data'!$A62,'Round 1 Data'!$A$10:$A$143,'Round 1 Data'!U$10:U$144,0)+_xlfn.XLOOKUP('Summary Data'!$A62,'Round 2 Data'!$A$10:$A$146,'Round 2 Data'!U$10:U$146,0)+_xlfn.XLOOKUP('Summary Data'!$A62,'Round 3 Data'!$A$10:$A$145,'Round 3 Data'!U$10:U$145,0)+_xlfn.XLOOKUP('Summary Data'!$A62,'Round 4 Data'!$A$10:$A$147,'Round 4 Data'!U$10:U$147,0))</f>
        <v>#VALUE!</v>
      </c>
    </row>
    <row r="63" spans="1:20" ht="16" thickBot="1" x14ac:dyDescent="0.25">
      <c r="A63" s="63" t="s">
        <v>92</v>
      </c>
      <c r="B63" t="s">
        <v>190</v>
      </c>
      <c r="C63" t="s">
        <v>198</v>
      </c>
      <c r="D63" t="e">
        <f>IF(_xlfn.XLOOKUP('Summary Data'!A63,'Round 1 Data'!$A$10:$A$143,'Round 1 Data'!$E$10:$E$144,0)=0,0,1)+IF(_xlfn.XLOOKUP('Summary Data'!A63,'Round 2 Data'!$A$10:$A$146,'Round 2 Data'!$E$10:$E$146,0)=0,0,1)+IF(_xlfn.XLOOKUP('Summary Data'!A63,'Round 3 Data'!$A$10:$A$145,'Round 3 Data'!$E$10:$E$145,0)=0,0,1)+IF(_xlfn.XLOOKUP('Summary Data'!A63,'Round 4 Data'!$A$10:$A$147,'Round 4 Data'!$E$10:$E$147,0)=0,0,1)</f>
        <v>#VALUE!</v>
      </c>
      <c r="E63" s="57" t="e">
        <f>(_xlfn.XLOOKUP('Summary Data'!$A63,'Round 1 Data'!$A$10:$A$143,'Round 1 Data'!E$10:E$144,0)+_xlfn.XLOOKUP('Summary Data'!$A63,'Round 2 Data'!$A$10:$A$146,'Round 2 Data'!E$10:E$146,0)+_xlfn.XLOOKUP('Summary Data'!$A63,'Round 3 Data'!$A$10:$A$145,'Round 3 Data'!E$10:E$145,0)+_xlfn.XLOOKUP('Summary Data'!$A63,'Round 4 Data'!$A$10:$A$147,'Round 4 Data'!E$10:E$147,0))/$D63</f>
        <v>#VALUE!</v>
      </c>
      <c r="F63" s="57" t="e">
        <f>(_xlfn.XLOOKUP('Summary Data'!$A63,'Round 1 Data'!$A$10:$A$143,'Round 1 Data'!F$10:F$144,0)+_xlfn.XLOOKUP('Summary Data'!$A63,'Round 2 Data'!$A$10:$A$146,'Round 2 Data'!F$10:F$146,0)+_xlfn.XLOOKUP('Summary Data'!$A63,'Round 3 Data'!$A$10:$A$145,'Round 3 Data'!F$10:F$145,0)+_xlfn.XLOOKUP('Summary Data'!$A63,'Round 4 Data'!$A$10:$A$147,'Round 4 Data'!F$10:F$147,0))/$D63</f>
        <v>#VALUE!</v>
      </c>
      <c r="G63" s="57" t="e">
        <f>(_xlfn.XLOOKUP('Summary Data'!$A63,'Round 1 Data'!$A$10:$A$143,'Round 1 Data'!G$10:G$144,0)+_xlfn.XLOOKUP('Summary Data'!$A63,'Round 2 Data'!$A$10:$A$146,'Round 2 Data'!G$10:G$146,0)+_xlfn.XLOOKUP('Summary Data'!$A63,'Round 3 Data'!$A$10:$A$145,'Round 3 Data'!G$10:G$145,0)+_xlfn.XLOOKUP('Summary Data'!$A63,'Round 4 Data'!$A$10:$A$147,'Round 4 Data'!G$10:G$147,0))/$D63</f>
        <v>#VALUE!</v>
      </c>
      <c r="H63" s="57" t="e">
        <f>(_xlfn.XLOOKUP('Summary Data'!$A63,'Round 1 Data'!$A$10:$A$143,'Round 1 Data'!H$10:H$144,0)+_xlfn.XLOOKUP('Summary Data'!$A63,'Round 2 Data'!$A$10:$A$146,'Round 2 Data'!H$10:H$146,0)+_xlfn.XLOOKUP('Summary Data'!$A63,'Round 3 Data'!$A$10:$A$145,'Round 3 Data'!H$10:H$145,0)+_xlfn.XLOOKUP('Summary Data'!$A63,'Round 4 Data'!$A$10:$A$147,'Round 4 Data'!H$10:H$147,0))/$D63</f>
        <v>#VALUE!</v>
      </c>
      <c r="I63" s="57" t="e">
        <f>(_xlfn.XLOOKUP('Summary Data'!$A63,'Round 1 Data'!$A$10:$A$143,'Round 1 Data'!I$10:I$144,0)+_xlfn.XLOOKUP('Summary Data'!$A63,'Round 2 Data'!$A$10:$A$146,'Round 2 Data'!I$10:I$146,0)+_xlfn.XLOOKUP('Summary Data'!$A63,'Round 3 Data'!$A$10:$A$145,'Round 3 Data'!I$10:I$145,0)+_xlfn.XLOOKUP('Summary Data'!$A63,'Round 4 Data'!$A$10:$A$147,'Round 4 Data'!I$10:I$147,0))/$D63</f>
        <v>#VALUE!</v>
      </c>
      <c r="J63" s="57" t="e">
        <f>(_xlfn.XLOOKUP('Summary Data'!$A63,'Round 1 Data'!$A$10:$A$143,'Round 1 Data'!J$10:J$144,0)+_xlfn.XLOOKUP('Summary Data'!$A63,'Round 2 Data'!$A$10:$A$146,'Round 2 Data'!J$10:J$146,0)+_xlfn.XLOOKUP('Summary Data'!$A63,'Round 3 Data'!$A$10:$A$145,'Round 3 Data'!J$10:J$145,0)+_xlfn.XLOOKUP('Summary Data'!$A63,'Round 4 Data'!$A$10:$A$147,'Round 4 Data'!J$10:J$147,0))/$D63</f>
        <v>#VALUE!</v>
      </c>
      <c r="K63" s="57" t="e">
        <f>(_xlfn.XLOOKUP('Summary Data'!$A63,'Round 1 Data'!$A$10:$A$143,'Round 1 Data'!K$10:K$144,0)+_xlfn.XLOOKUP('Summary Data'!$A63,'Round 2 Data'!$A$10:$A$146,'Round 2 Data'!K$10:K$146,0)+_xlfn.XLOOKUP('Summary Data'!$A63,'Round 3 Data'!$A$10:$A$145,'Round 3 Data'!K$10:K$145,0)+_xlfn.XLOOKUP('Summary Data'!$A63,'Round 4 Data'!$A$10:$A$147,'Round 4 Data'!K$10:K$147,0))/$D63</f>
        <v>#VALUE!</v>
      </c>
      <c r="L63" s="57" t="e">
        <f>(_xlfn.XLOOKUP('Summary Data'!$A63,'Round 1 Data'!$A$10:$A$143,'Round 1 Data'!L$10:L$144,0)+_xlfn.XLOOKUP('Summary Data'!$A63,'Round 2 Data'!$A$10:$A$146,'Round 2 Data'!L$10:L$146,0)+_xlfn.XLOOKUP('Summary Data'!$A63,'Round 3 Data'!$A$10:$A$145,'Round 3 Data'!L$10:L$145,0)+_xlfn.XLOOKUP('Summary Data'!$A63,'Round 4 Data'!$A$10:$A$147,'Round 4 Data'!L$10:L$147,0))/$D63</f>
        <v>#VALUE!</v>
      </c>
      <c r="M63" s="57" t="e">
        <f>(_xlfn.XLOOKUP('Summary Data'!$A63,'Round 1 Data'!$A$10:$A$143,'Round 1 Data'!M$10:M$144,0)+_xlfn.XLOOKUP('Summary Data'!$A63,'Round 2 Data'!$A$10:$A$146,'Round 2 Data'!M$10:M$146,0)+_xlfn.XLOOKUP('Summary Data'!$A63,'Round 3 Data'!$A$10:$A$145,'Round 3 Data'!M$10:M$145,0)+_xlfn.XLOOKUP('Summary Data'!$A63,'Round 4 Data'!$A$10:$A$147,'Round 4 Data'!M$10:M$147,0))/$D63</f>
        <v>#VALUE!</v>
      </c>
      <c r="N63" s="57" t="e">
        <f>(_xlfn.XLOOKUP('Summary Data'!$A63,'Round 1 Data'!$A$10:$A$143,'Round 1 Data'!N$10:N$144,0)+_xlfn.XLOOKUP('Summary Data'!$A63,'Round 2 Data'!$A$10:$A$146,'Round 2 Data'!N$10:N$146,0)+_xlfn.XLOOKUP('Summary Data'!$A63,'Round 3 Data'!$A$10:$A$145,'Round 3 Data'!N$10:N$145,0)+_xlfn.XLOOKUP('Summary Data'!$A63,'Round 4 Data'!$A$10:$A$147,'Round 4 Data'!N$10:N$147,0))/$D63</f>
        <v>#VALUE!</v>
      </c>
      <c r="O63" s="57" t="e">
        <f>(_xlfn.XLOOKUP('Summary Data'!$A63,'Round 1 Data'!$A$10:$A$143,'Round 1 Data'!O$10:O$144,0)+_xlfn.XLOOKUP('Summary Data'!$A63,'Round 2 Data'!$A$10:$A$146,'Round 2 Data'!O$10:O$146,0)+_xlfn.XLOOKUP('Summary Data'!$A63,'Round 3 Data'!$A$10:$A$145,'Round 3 Data'!O$10:O$145,0)+_xlfn.XLOOKUP('Summary Data'!$A63,'Round 4 Data'!$A$10:$A$147,'Round 4 Data'!O$10:O$147,0))/$D63</f>
        <v>#VALUE!</v>
      </c>
      <c r="P63" s="57" t="e">
        <f>(_xlfn.XLOOKUP('Summary Data'!$A63,'Round 1 Data'!$A$10:$A$143,'Round 1 Data'!P$10:P$144,0)+_xlfn.XLOOKUP('Summary Data'!$A63,'Round 2 Data'!$A$10:$A$146,'Round 2 Data'!P$10:P$146,0)+_xlfn.XLOOKUP('Summary Data'!$A63,'Round 3 Data'!$A$10:$A$145,'Round 3 Data'!P$10:P$145,0)+_xlfn.XLOOKUP('Summary Data'!$A63,'Round 4 Data'!$A$10:$A$147,'Round 4 Data'!P$10:P$147,0))/$D63</f>
        <v>#VALUE!</v>
      </c>
      <c r="Q63" s="57" t="e">
        <f>(_xlfn.XLOOKUP('Summary Data'!$A63,'Round 1 Data'!$A$10:$A$143,'Round 1 Data'!Q$10:Q$144,0)+_xlfn.XLOOKUP('Summary Data'!$A63,'Round 2 Data'!$A$10:$A$146,'Round 2 Data'!Q$10:Q$146,0)+_xlfn.XLOOKUP('Summary Data'!$A63,'Round 3 Data'!$A$10:$A$145,'Round 3 Data'!Q$10:Q$145,0)+_xlfn.XLOOKUP('Summary Data'!$A63,'Round 4 Data'!$A$10:$A$147,'Round 4 Data'!Q$10:Q$147,0))/$D63</f>
        <v>#VALUE!</v>
      </c>
      <c r="R63" s="57" t="e">
        <f>(_xlfn.XLOOKUP('Summary Data'!$A63,'Round 1 Data'!$A$10:$A$143,'Round 1 Data'!R$10:R$144,0)+_xlfn.XLOOKUP('Summary Data'!$A63,'Round 2 Data'!$A$10:$A$146,'Round 2 Data'!R$10:R$146,0)+_xlfn.XLOOKUP('Summary Data'!$A63,'Round 3 Data'!$A$10:$A$145,'Round 3 Data'!R$10:R$145,0)+_xlfn.XLOOKUP('Summary Data'!$A63,'Round 4 Data'!$A$10:$A$147,'Round 4 Data'!R$10:R$147,0))/$D63</f>
        <v>#VALUE!</v>
      </c>
      <c r="S63" s="57" t="e">
        <f>(_xlfn.XLOOKUP('Summary Data'!$A63,'Round 1 Data'!$A$10:$A$143,'Round 1 Data'!S$10:S$144,0)+_xlfn.XLOOKUP('Summary Data'!$A63,'Round 2 Data'!$A$10:$A$146,'Round 2 Data'!S$10:S$146,0)+_xlfn.XLOOKUP('Summary Data'!$A63,'Round 3 Data'!$A$10:$A$145,'Round 3 Data'!S$10:S$145,0)+_xlfn.XLOOKUP('Summary Data'!$A63,'Round 4 Data'!$A$10:$A$147,'Round 4 Data'!S$10:S$147,0))/$D63</f>
        <v>#VALUE!</v>
      </c>
      <c r="T63" s="62" t="e">
        <f>(_xlfn.XLOOKUP('Summary Data'!$A63,'Round 1 Data'!$A$10:$A$143,'Round 1 Data'!U$10:U$144,0)+_xlfn.XLOOKUP('Summary Data'!$A63,'Round 2 Data'!$A$10:$A$146,'Round 2 Data'!U$10:U$146,0)+_xlfn.XLOOKUP('Summary Data'!$A63,'Round 3 Data'!$A$10:$A$145,'Round 3 Data'!U$10:U$145,0)+_xlfn.XLOOKUP('Summary Data'!$A63,'Round 4 Data'!$A$10:$A$147,'Round 4 Data'!U$10:U$147,0))</f>
        <v>#VALUE!</v>
      </c>
    </row>
    <row r="64" spans="1:20" ht="16" thickBot="1" x14ac:dyDescent="0.25">
      <c r="A64" s="61" t="s">
        <v>94</v>
      </c>
      <c r="B64" t="s">
        <v>190</v>
      </c>
      <c r="C64" t="s">
        <v>199</v>
      </c>
      <c r="D64" t="e">
        <f>IF(_xlfn.XLOOKUP('Summary Data'!A64,'Round 1 Data'!$A$10:$A$143,'Round 1 Data'!$E$10:$E$144,0)=0,0,1)+IF(_xlfn.XLOOKUP('Summary Data'!A64,'Round 2 Data'!$A$10:$A$146,'Round 2 Data'!$E$10:$E$146,0)=0,0,1)+IF(_xlfn.XLOOKUP('Summary Data'!A64,'Round 3 Data'!$A$10:$A$145,'Round 3 Data'!$E$10:$E$145,0)=0,0,1)+IF(_xlfn.XLOOKUP('Summary Data'!A64,'Round 4 Data'!$A$10:$A$147,'Round 4 Data'!$E$10:$E$147,0)=0,0,1)</f>
        <v>#VALUE!</v>
      </c>
      <c r="E64" s="57" t="e">
        <f>(_xlfn.XLOOKUP('Summary Data'!$A64,'Round 1 Data'!$A$10:$A$143,'Round 1 Data'!E$10:E$144,0)+_xlfn.XLOOKUP('Summary Data'!$A64,'Round 2 Data'!$A$10:$A$146,'Round 2 Data'!E$10:E$146,0)+_xlfn.XLOOKUP('Summary Data'!$A64,'Round 3 Data'!$A$10:$A$145,'Round 3 Data'!E$10:E$145,0)+_xlfn.XLOOKUP('Summary Data'!$A64,'Round 4 Data'!$A$10:$A$147,'Round 4 Data'!E$10:E$147,0))/$D64</f>
        <v>#VALUE!</v>
      </c>
      <c r="F64" s="57" t="e">
        <f>(_xlfn.XLOOKUP('Summary Data'!$A64,'Round 1 Data'!$A$10:$A$143,'Round 1 Data'!F$10:F$144,0)+_xlfn.XLOOKUP('Summary Data'!$A64,'Round 2 Data'!$A$10:$A$146,'Round 2 Data'!F$10:F$146,0)+_xlfn.XLOOKUP('Summary Data'!$A64,'Round 3 Data'!$A$10:$A$145,'Round 3 Data'!F$10:F$145,0)+_xlfn.XLOOKUP('Summary Data'!$A64,'Round 4 Data'!$A$10:$A$147,'Round 4 Data'!F$10:F$147,0))/$D64</f>
        <v>#VALUE!</v>
      </c>
      <c r="G64" s="57" t="e">
        <f>(_xlfn.XLOOKUP('Summary Data'!$A64,'Round 1 Data'!$A$10:$A$143,'Round 1 Data'!G$10:G$144,0)+_xlfn.XLOOKUP('Summary Data'!$A64,'Round 2 Data'!$A$10:$A$146,'Round 2 Data'!G$10:G$146,0)+_xlfn.XLOOKUP('Summary Data'!$A64,'Round 3 Data'!$A$10:$A$145,'Round 3 Data'!G$10:G$145,0)+_xlfn.XLOOKUP('Summary Data'!$A64,'Round 4 Data'!$A$10:$A$147,'Round 4 Data'!G$10:G$147,0))/$D64</f>
        <v>#VALUE!</v>
      </c>
      <c r="H64" s="57" t="e">
        <f>(_xlfn.XLOOKUP('Summary Data'!$A64,'Round 1 Data'!$A$10:$A$143,'Round 1 Data'!H$10:H$144,0)+_xlfn.XLOOKUP('Summary Data'!$A64,'Round 2 Data'!$A$10:$A$146,'Round 2 Data'!H$10:H$146,0)+_xlfn.XLOOKUP('Summary Data'!$A64,'Round 3 Data'!$A$10:$A$145,'Round 3 Data'!H$10:H$145,0)+_xlfn.XLOOKUP('Summary Data'!$A64,'Round 4 Data'!$A$10:$A$147,'Round 4 Data'!H$10:H$147,0))/$D64</f>
        <v>#VALUE!</v>
      </c>
      <c r="I64" s="57" t="e">
        <f>(_xlfn.XLOOKUP('Summary Data'!$A64,'Round 1 Data'!$A$10:$A$143,'Round 1 Data'!I$10:I$144,0)+_xlfn.XLOOKUP('Summary Data'!$A64,'Round 2 Data'!$A$10:$A$146,'Round 2 Data'!I$10:I$146,0)+_xlfn.XLOOKUP('Summary Data'!$A64,'Round 3 Data'!$A$10:$A$145,'Round 3 Data'!I$10:I$145,0)+_xlfn.XLOOKUP('Summary Data'!$A64,'Round 4 Data'!$A$10:$A$147,'Round 4 Data'!I$10:I$147,0))/$D64</f>
        <v>#VALUE!</v>
      </c>
      <c r="J64" s="57" t="e">
        <f>(_xlfn.XLOOKUP('Summary Data'!$A64,'Round 1 Data'!$A$10:$A$143,'Round 1 Data'!J$10:J$144,0)+_xlfn.XLOOKUP('Summary Data'!$A64,'Round 2 Data'!$A$10:$A$146,'Round 2 Data'!J$10:J$146,0)+_xlfn.XLOOKUP('Summary Data'!$A64,'Round 3 Data'!$A$10:$A$145,'Round 3 Data'!J$10:J$145,0)+_xlfn.XLOOKUP('Summary Data'!$A64,'Round 4 Data'!$A$10:$A$147,'Round 4 Data'!J$10:J$147,0))/$D64</f>
        <v>#VALUE!</v>
      </c>
      <c r="K64" s="57" t="e">
        <f>(_xlfn.XLOOKUP('Summary Data'!$A64,'Round 1 Data'!$A$10:$A$143,'Round 1 Data'!K$10:K$144,0)+_xlfn.XLOOKUP('Summary Data'!$A64,'Round 2 Data'!$A$10:$A$146,'Round 2 Data'!K$10:K$146,0)+_xlfn.XLOOKUP('Summary Data'!$A64,'Round 3 Data'!$A$10:$A$145,'Round 3 Data'!K$10:K$145,0)+_xlfn.XLOOKUP('Summary Data'!$A64,'Round 4 Data'!$A$10:$A$147,'Round 4 Data'!K$10:K$147,0))/$D64</f>
        <v>#VALUE!</v>
      </c>
      <c r="L64" s="57" t="e">
        <f>(_xlfn.XLOOKUP('Summary Data'!$A64,'Round 1 Data'!$A$10:$A$143,'Round 1 Data'!L$10:L$144,0)+_xlfn.XLOOKUP('Summary Data'!$A64,'Round 2 Data'!$A$10:$A$146,'Round 2 Data'!L$10:L$146,0)+_xlfn.XLOOKUP('Summary Data'!$A64,'Round 3 Data'!$A$10:$A$145,'Round 3 Data'!L$10:L$145,0)+_xlfn.XLOOKUP('Summary Data'!$A64,'Round 4 Data'!$A$10:$A$147,'Round 4 Data'!L$10:L$147,0))/$D64</f>
        <v>#VALUE!</v>
      </c>
      <c r="M64" s="57" t="e">
        <f>(_xlfn.XLOOKUP('Summary Data'!$A64,'Round 1 Data'!$A$10:$A$143,'Round 1 Data'!M$10:M$144,0)+_xlfn.XLOOKUP('Summary Data'!$A64,'Round 2 Data'!$A$10:$A$146,'Round 2 Data'!M$10:M$146,0)+_xlfn.XLOOKUP('Summary Data'!$A64,'Round 3 Data'!$A$10:$A$145,'Round 3 Data'!M$10:M$145,0)+_xlfn.XLOOKUP('Summary Data'!$A64,'Round 4 Data'!$A$10:$A$147,'Round 4 Data'!M$10:M$147,0))/$D64</f>
        <v>#VALUE!</v>
      </c>
      <c r="N64" s="57" t="e">
        <f>(_xlfn.XLOOKUP('Summary Data'!$A64,'Round 1 Data'!$A$10:$A$143,'Round 1 Data'!N$10:N$144,0)+_xlfn.XLOOKUP('Summary Data'!$A64,'Round 2 Data'!$A$10:$A$146,'Round 2 Data'!N$10:N$146,0)+_xlfn.XLOOKUP('Summary Data'!$A64,'Round 3 Data'!$A$10:$A$145,'Round 3 Data'!N$10:N$145,0)+_xlfn.XLOOKUP('Summary Data'!$A64,'Round 4 Data'!$A$10:$A$147,'Round 4 Data'!N$10:N$147,0))/$D64</f>
        <v>#VALUE!</v>
      </c>
      <c r="O64" s="57" t="e">
        <f>(_xlfn.XLOOKUP('Summary Data'!$A64,'Round 1 Data'!$A$10:$A$143,'Round 1 Data'!O$10:O$144,0)+_xlfn.XLOOKUP('Summary Data'!$A64,'Round 2 Data'!$A$10:$A$146,'Round 2 Data'!O$10:O$146,0)+_xlfn.XLOOKUP('Summary Data'!$A64,'Round 3 Data'!$A$10:$A$145,'Round 3 Data'!O$10:O$145,0)+_xlfn.XLOOKUP('Summary Data'!$A64,'Round 4 Data'!$A$10:$A$147,'Round 4 Data'!O$10:O$147,0))/$D64</f>
        <v>#VALUE!</v>
      </c>
      <c r="P64" s="57" t="e">
        <f>(_xlfn.XLOOKUP('Summary Data'!$A64,'Round 1 Data'!$A$10:$A$143,'Round 1 Data'!P$10:P$144,0)+_xlfn.XLOOKUP('Summary Data'!$A64,'Round 2 Data'!$A$10:$A$146,'Round 2 Data'!P$10:P$146,0)+_xlfn.XLOOKUP('Summary Data'!$A64,'Round 3 Data'!$A$10:$A$145,'Round 3 Data'!P$10:P$145,0)+_xlfn.XLOOKUP('Summary Data'!$A64,'Round 4 Data'!$A$10:$A$147,'Round 4 Data'!P$10:P$147,0))/$D64</f>
        <v>#VALUE!</v>
      </c>
      <c r="Q64" s="57" t="e">
        <f>(_xlfn.XLOOKUP('Summary Data'!$A64,'Round 1 Data'!$A$10:$A$143,'Round 1 Data'!Q$10:Q$144,0)+_xlfn.XLOOKUP('Summary Data'!$A64,'Round 2 Data'!$A$10:$A$146,'Round 2 Data'!Q$10:Q$146,0)+_xlfn.XLOOKUP('Summary Data'!$A64,'Round 3 Data'!$A$10:$A$145,'Round 3 Data'!Q$10:Q$145,0)+_xlfn.XLOOKUP('Summary Data'!$A64,'Round 4 Data'!$A$10:$A$147,'Round 4 Data'!Q$10:Q$147,0))/$D64</f>
        <v>#VALUE!</v>
      </c>
      <c r="R64" s="57" t="e">
        <f>(_xlfn.XLOOKUP('Summary Data'!$A64,'Round 1 Data'!$A$10:$A$143,'Round 1 Data'!R$10:R$144,0)+_xlfn.XLOOKUP('Summary Data'!$A64,'Round 2 Data'!$A$10:$A$146,'Round 2 Data'!R$10:R$146,0)+_xlfn.XLOOKUP('Summary Data'!$A64,'Round 3 Data'!$A$10:$A$145,'Round 3 Data'!R$10:R$145,0)+_xlfn.XLOOKUP('Summary Data'!$A64,'Round 4 Data'!$A$10:$A$147,'Round 4 Data'!R$10:R$147,0))/$D64</f>
        <v>#VALUE!</v>
      </c>
      <c r="S64" s="57" t="e">
        <f>(_xlfn.XLOOKUP('Summary Data'!$A64,'Round 1 Data'!$A$10:$A$143,'Round 1 Data'!S$10:S$144,0)+_xlfn.XLOOKUP('Summary Data'!$A64,'Round 2 Data'!$A$10:$A$146,'Round 2 Data'!S$10:S$146,0)+_xlfn.XLOOKUP('Summary Data'!$A64,'Round 3 Data'!$A$10:$A$145,'Round 3 Data'!S$10:S$145,0)+_xlfn.XLOOKUP('Summary Data'!$A64,'Round 4 Data'!$A$10:$A$147,'Round 4 Data'!S$10:S$147,0))/$D64</f>
        <v>#VALUE!</v>
      </c>
      <c r="T64" s="62" t="e">
        <f>(_xlfn.XLOOKUP('Summary Data'!$A64,'Round 1 Data'!$A$10:$A$143,'Round 1 Data'!U$10:U$144,0)+_xlfn.XLOOKUP('Summary Data'!$A64,'Round 2 Data'!$A$10:$A$146,'Round 2 Data'!U$10:U$146,0)+_xlfn.XLOOKUP('Summary Data'!$A64,'Round 3 Data'!$A$10:$A$145,'Round 3 Data'!U$10:U$145,0)+_xlfn.XLOOKUP('Summary Data'!$A64,'Round 4 Data'!$A$10:$A$147,'Round 4 Data'!U$10:U$147,0))</f>
        <v>#VALUE!</v>
      </c>
    </row>
    <row r="65" spans="1:20" ht="16" thickBot="1" x14ac:dyDescent="0.25">
      <c r="A65" s="63" t="s">
        <v>95</v>
      </c>
      <c r="B65" t="s">
        <v>190</v>
      </c>
      <c r="C65" t="s">
        <v>199</v>
      </c>
      <c r="D65" t="e">
        <f>IF(_xlfn.XLOOKUP('Summary Data'!A65,'Round 1 Data'!$A$10:$A$143,'Round 1 Data'!$E$10:$E$144,0)=0,0,1)+IF(_xlfn.XLOOKUP('Summary Data'!A65,'Round 2 Data'!$A$10:$A$146,'Round 2 Data'!$E$10:$E$146,0)=0,0,1)+IF(_xlfn.XLOOKUP('Summary Data'!A65,'Round 3 Data'!$A$10:$A$145,'Round 3 Data'!$E$10:$E$145,0)=0,0,1)+IF(_xlfn.XLOOKUP('Summary Data'!A65,'Round 4 Data'!$A$10:$A$147,'Round 4 Data'!$E$10:$E$147,0)=0,0,1)</f>
        <v>#VALUE!</v>
      </c>
      <c r="E65" s="57" t="e">
        <f>(_xlfn.XLOOKUP('Summary Data'!$A65,'Round 1 Data'!$A$10:$A$143,'Round 1 Data'!E$10:E$144,0)+_xlfn.XLOOKUP('Summary Data'!$A65,'Round 2 Data'!$A$10:$A$146,'Round 2 Data'!E$10:E$146,0)+_xlfn.XLOOKUP('Summary Data'!$A65,'Round 3 Data'!$A$10:$A$145,'Round 3 Data'!E$10:E$145,0)+_xlfn.XLOOKUP('Summary Data'!$A65,'Round 4 Data'!$A$10:$A$147,'Round 4 Data'!E$10:E$147,0))/$D65</f>
        <v>#VALUE!</v>
      </c>
      <c r="F65" s="57" t="e">
        <f>(_xlfn.XLOOKUP('Summary Data'!$A65,'Round 1 Data'!$A$10:$A$143,'Round 1 Data'!F$10:F$144,0)+_xlfn.XLOOKUP('Summary Data'!$A65,'Round 2 Data'!$A$10:$A$146,'Round 2 Data'!F$10:F$146,0)+_xlfn.XLOOKUP('Summary Data'!$A65,'Round 3 Data'!$A$10:$A$145,'Round 3 Data'!F$10:F$145,0)+_xlfn.XLOOKUP('Summary Data'!$A65,'Round 4 Data'!$A$10:$A$147,'Round 4 Data'!F$10:F$147,0))/$D65</f>
        <v>#VALUE!</v>
      </c>
      <c r="G65" s="57" t="e">
        <f>(_xlfn.XLOOKUP('Summary Data'!$A65,'Round 1 Data'!$A$10:$A$143,'Round 1 Data'!G$10:G$144,0)+_xlfn.XLOOKUP('Summary Data'!$A65,'Round 2 Data'!$A$10:$A$146,'Round 2 Data'!G$10:G$146,0)+_xlfn.XLOOKUP('Summary Data'!$A65,'Round 3 Data'!$A$10:$A$145,'Round 3 Data'!G$10:G$145,0)+_xlfn.XLOOKUP('Summary Data'!$A65,'Round 4 Data'!$A$10:$A$147,'Round 4 Data'!G$10:G$147,0))/$D65</f>
        <v>#VALUE!</v>
      </c>
      <c r="H65" s="57" t="e">
        <f>(_xlfn.XLOOKUP('Summary Data'!$A65,'Round 1 Data'!$A$10:$A$143,'Round 1 Data'!H$10:H$144,0)+_xlfn.XLOOKUP('Summary Data'!$A65,'Round 2 Data'!$A$10:$A$146,'Round 2 Data'!H$10:H$146,0)+_xlfn.XLOOKUP('Summary Data'!$A65,'Round 3 Data'!$A$10:$A$145,'Round 3 Data'!H$10:H$145,0)+_xlfn.XLOOKUP('Summary Data'!$A65,'Round 4 Data'!$A$10:$A$147,'Round 4 Data'!H$10:H$147,0))/$D65</f>
        <v>#VALUE!</v>
      </c>
      <c r="I65" s="57" t="e">
        <f>(_xlfn.XLOOKUP('Summary Data'!$A65,'Round 1 Data'!$A$10:$A$143,'Round 1 Data'!I$10:I$144,0)+_xlfn.XLOOKUP('Summary Data'!$A65,'Round 2 Data'!$A$10:$A$146,'Round 2 Data'!I$10:I$146,0)+_xlfn.XLOOKUP('Summary Data'!$A65,'Round 3 Data'!$A$10:$A$145,'Round 3 Data'!I$10:I$145,0)+_xlfn.XLOOKUP('Summary Data'!$A65,'Round 4 Data'!$A$10:$A$147,'Round 4 Data'!I$10:I$147,0))/$D65</f>
        <v>#VALUE!</v>
      </c>
      <c r="J65" s="57" t="e">
        <f>(_xlfn.XLOOKUP('Summary Data'!$A65,'Round 1 Data'!$A$10:$A$143,'Round 1 Data'!J$10:J$144,0)+_xlfn.XLOOKUP('Summary Data'!$A65,'Round 2 Data'!$A$10:$A$146,'Round 2 Data'!J$10:J$146,0)+_xlfn.XLOOKUP('Summary Data'!$A65,'Round 3 Data'!$A$10:$A$145,'Round 3 Data'!J$10:J$145,0)+_xlfn.XLOOKUP('Summary Data'!$A65,'Round 4 Data'!$A$10:$A$147,'Round 4 Data'!J$10:J$147,0))/$D65</f>
        <v>#VALUE!</v>
      </c>
      <c r="K65" s="57" t="e">
        <f>(_xlfn.XLOOKUP('Summary Data'!$A65,'Round 1 Data'!$A$10:$A$143,'Round 1 Data'!K$10:K$144,0)+_xlfn.XLOOKUP('Summary Data'!$A65,'Round 2 Data'!$A$10:$A$146,'Round 2 Data'!K$10:K$146,0)+_xlfn.XLOOKUP('Summary Data'!$A65,'Round 3 Data'!$A$10:$A$145,'Round 3 Data'!K$10:K$145,0)+_xlfn.XLOOKUP('Summary Data'!$A65,'Round 4 Data'!$A$10:$A$147,'Round 4 Data'!K$10:K$147,0))/$D65</f>
        <v>#VALUE!</v>
      </c>
      <c r="L65" s="57" t="e">
        <f>(_xlfn.XLOOKUP('Summary Data'!$A65,'Round 1 Data'!$A$10:$A$143,'Round 1 Data'!L$10:L$144,0)+_xlfn.XLOOKUP('Summary Data'!$A65,'Round 2 Data'!$A$10:$A$146,'Round 2 Data'!L$10:L$146,0)+_xlfn.XLOOKUP('Summary Data'!$A65,'Round 3 Data'!$A$10:$A$145,'Round 3 Data'!L$10:L$145,0)+_xlfn.XLOOKUP('Summary Data'!$A65,'Round 4 Data'!$A$10:$A$147,'Round 4 Data'!L$10:L$147,0))/$D65</f>
        <v>#VALUE!</v>
      </c>
      <c r="M65" s="57" t="e">
        <f>(_xlfn.XLOOKUP('Summary Data'!$A65,'Round 1 Data'!$A$10:$A$143,'Round 1 Data'!M$10:M$144,0)+_xlfn.XLOOKUP('Summary Data'!$A65,'Round 2 Data'!$A$10:$A$146,'Round 2 Data'!M$10:M$146,0)+_xlfn.XLOOKUP('Summary Data'!$A65,'Round 3 Data'!$A$10:$A$145,'Round 3 Data'!M$10:M$145,0)+_xlfn.XLOOKUP('Summary Data'!$A65,'Round 4 Data'!$A$10:$A$147,'Round 4 Data'!M$10:M$147,0))/$D65</f>
        <v>#VALUE!</v>
      </c>
      <c r="N65" s="57" t="e">
        <f>(_xlfn.XLOOKUP('Summary Data'!$A65,'Round 1 Data'!$A$10:$A$143,'Round 1 Data'!N$10:N$144,0)+_xlfn.XLOOKUP('Summary Data'!$A65,'Round 2 Data'!$A$10:$A$146,'Round 2 Data'!N$10:N$146,0)+_xlfn.XLOOKUP('Summary Data'!$A65,'Round 3 Data'!$A$10:$A$145,'Round 3 Data'!N$10:N$145,0)+_xlfn.XLOOKUP('Summary Data'!$A65,'Round 4 Data'!$A$10:$A$147,'Round 4 Data'!N$10:N$147,0))/$D65</f>
        <v>#VALUE!</v>
      </c>
      <c r="O65" s="57" t="e">
        <f>(_xlfn.XLOOKUP('Summary Data'!$A65,'Round 1 Data'!$A$10:$A$143,'Round 1 Data'!O$10:O$144,0)+_xlfn.XLOOKUP('Summary Data'!$A65,'Round 2 Data'!$A$10:$A$146,'Round 2 Data'!O$10:O$146,0)+_xlfn.XLOOKUP('Summary Data'!$A65,'Round 3 Data'!$A$10:$A$145,'Round 3 Data'!O$10:O$145,0)+_xlfn.XLOOKUP('Summary Data'!$A65,'Round 4 Data'!$A$10:$A$147,'Round 4 Data'!O$10:O$147,0))/$D65</f>
        <v>#VALUE!</v>
      </c>
      <c r="P65" s="57" t="e">
        <f>(_xlfn.XLOOKUP('Summary Data'!$A65,'Round 1 Data'!$A$10:$A$143,'Round 1 Data'!P$10:P$144,0)+_xlfn.XLOOKUP('Summary Data'!$A65,'Round 2 Data'!$A$10:$A$146,'Round 2 Data'!P$10:P$146,0)+_xlfn.XLOOKUP('Summary Data'!$A65,'Round 3 Data'!$A$10:$A$145,'Round 3 Data'!P$10:P$145,0)+_xlfn.XLOOKUP('Summary Data'!$A65,'Round 4 Data'!$A$10:$A$147,'Round 4 Data'!P$10:P$147,0))/$D65</f>
        <v>#VALUE!</v>
      </c>
      <c r="Q65" s="57" t="e">
        <f>(_xlfn.XLOOKUP('Summary Data'!$A65,'Round 1 Data'!$A$10:$A$143,'Round 1 Data'!Q$10:Q$144,0)+_xlfn.XLOOKUP('Summary Data'!$A65,'Round 2 Data'!$A$10:$A$146,'Round 2 Data'!Q$10:Q$146,0)+_xlfn.XLOOKUP('Summary Data'!$A65,'Round 3 Data'!$A$10:$A$145,'Round 3 Data'!Q$10:Q$145,0)+_xlfn.XLOOKUP('Summary Data'!$A65,'Round 4 Data'!$A$10:$A$147,'Round 4 Data'!Q$10:Q$147,0))/$D65</f>
        <v>#VALUE!</v>
      </c>
      <c r="R65" s="57" t="e">
        <f>(_xlfn.XLOOKUP('Summary Data'!$A65,'Round 1 Data'!$A$10:$A$143,'Round 1 Data'!R$10:R$144,0)+_xlfn.XLOOKUP('Summary Data'!$A65,'Round 2 Data'!$A$10:$A$146,'Round 2 Data'!R$10:R$146,0)+_xlfn.XLOOKUP('Summary Data'!$A65,'Round 3 Data'!$A$10:$A$145,'Round 3 Data'!R$10:R$145,0)+_xlfn.XLOOKUP('Summary Data'!$A65,'Round 4 Data'!$A$10:$A$147,'Round 4 Data'!R$10:R$147,0))/$D65</f>
        <v>#VALUE!</v>
      </c>
      <c r="S65" s="57" t="e">
        <f>(_xlfn.XLOOKUP('Summary Data'!$A65,'Round 1 Data'!$A$10:$A$143,'Round 1 Data'!S$10:S$144,0)+_xlfn.XLOOKUP('Summary Data'!$A65,'Round 2 Data'!$A$10:$A$146,'Round 2 Data'!S$10:S$146,0)+_xlfn.XLOOKUP('Summary Data'!$A65,'Round 3 Data'!$A$10:$A$145,'Round 3 Data'!S$10:S$145,0)+_xlfn.XLOOKUP('Summary Data'!$A65,'Round 4 Data'!$A$10:$A$147,'Round 4 Data'!S$10:S$147,0))/$D65</f>
        <v>#VALUE!</v>
      </c>
      <c r="T65" s="62" t="e">
        <f>(_xlfn.XLOOKUP('Summary Data'!$A65,'Round 1 Data'!$A$10:$A$143,'Round 1 Data'!U$10:U$144,0)+_xlfn.XLOOKUP('Summary Data'!$A65,'Round 2 Data'!$A$10:$A$146,'Round 2 Data'!U$10:U$146,0)+_xlfn.XLOOKUP('Summary Data'!$A65,'Round 3 Data'!$A$10:$A$145,'Round 3 Data'!U$10:U$145,0)+_xlfn.XLOOKUP('Summary Data'!$A65,'Round 4 Data'!$A$10:$A$147,'Round 4 Data'!U$10:U$147,0))</f>
        <v>#VALUE!</v>
      </c>
    </row>
    <row r="66" spans="1:20" ht="16" thickBot="1" x14ac:dyDescent="0.25">
      <c r="A66" s="61" t="s">
        <v>96</v>
      </c>
      <c r="B66" t="s">
        <v>190</v>
      </c>
      <c r="C66" t="s">
        <v>199</v>
      </c>
      <c r="D66" t="e">
        <f>IF(_xlfn.XLOOKUP('Summary Data'!A66,'Round 1 Data'!$A$10:$A$143,'Round 1 Data'!$E$10:$E$144,0)=0,0,1)+IF(_xlfn.XLOOKUP('Summary Data'!A66,'Round 2 Data'!$A$10:$A$146,'Round 2 Data'!$E$10:$E$146,0)=0,0,1)+IF(_xlfn.XLOOKUP('Summary Data'!A66,'Round 3 Data'!$A$10:$A$145,'Round 3 Data'!$E$10:$E$145,0)=0,0,1)+IF(_xlfn.XLOOKUP('Summary Data'!A66,'Round 4 Data'!$A$10:$A$147,'Round 4 Data'!$E$10:$E$147,0)=0,0,1)</f>
        <v>#VALUE!</v>
      </c>
      <c r="E66" s="57" t="e">
        <f>(_xlfn.XLOOKUP('Summary Data'!$A66,'Round 1 Data'!$A$10:$A$143,'Round 1 Data'!E$10:E$144,0)+_xlfn.XLOOKUP('Summary Data'!$A66,'Round 2 Data'!$A$10:$A$146,'Round 2 Data'!E$10:E$146,0)+_xlfn.XLOOKUP('Summary Data'!$A66,'Round 3 Data'!$A$10:$A$145,'Round 3 Data'!E$10:E$145,0)+_xlfn.XLOOKUP('Summary Data'!$A66,'Round 4 Data'!$A$10:$A$147,'Round 4 Data'!E$10:E$147,0))/$D66</f>
        <v>#VALUE!</v>
      </c>
      <c r="F66" s="57" t="e">
        <f>(_xlfn.XLOOKUP('Summary Data'!$A66,'Round 1 Data'!$A$10:$A$143,'Round 1 Data'!F$10:F$144,0)+_xlfn.XLOOKUP('Summary Data'!$A66,'Round 2 Data'!$A$10:$A$146,'Round 2 Data'!F$10:F$146,0)+_xlfn.XLOOKUP('Summary Data'!$A66,'Round 3 Data'!$A$10:$A$145,'Round 3 Data'!F$10:F$145,0)+_xlfn.XLOOKUP('Summary Data'!$A66,'Round 4 Data'!$A$10:$A$147,'Round 4 Data'!F$10:F$147,0))/$D66</f>
        <v>#VALUE!</v>
      </c>
      <c r="G66" s="57" t="e">
        <f>(_xlfn.XLOOKUP('Summary Data'!$A66,'Round 1 Data'!$A$10:$A$143,'Round 1 Data'!G$10:G$144,0)+_xlfn.XLOOKUP('Summary Data'!$A66,'Round 2 Data'!$A$10:$A$146,'Round 2 Data'!G$10:G$146,0)+_xlfn.XLOOKUP('Summary Data'!$A66,'Round 3 Data'!$A$10:$A$145,'Round 3 Data'!G$10:G$145,0)+_xlfn.XLOOKUP('Summary Data'!$A66,'Round 4 Data'!$A$10:$A$147,'Round 4 Data'!G$10:G$147,0))/$D66</f>
        <v>#VALUE!</v>
      </c>
      <c r="H66" s="57" t="e">
        <f>(_xlfn.XLOOKUP('Summary Data'!$A66,'Round 1 Data'!$A$10:$A$143,'Round 1 Data'!H$10:H$144,0)+_xlfn.XLOOKUP('Summary Data'!$A66,'Round 2 Data'!$A$10:$A$146,'Round 2 Data'!H$10:H$146,0)+_xlfn.XLOOKUP('Summary Data'!$A66,'Round 3 Data'!$A$10:$A$145,'Round 3 Data'!H$10:H$145,0)+_xlfn.XLOOKUP('Summary Data'!$A66,'Round 4 Data'!$A$10:$A$147,'Round 4 Data'!H$10:H$147,0))/$D66</f>
        <v>#VALUE!</v>
      </c>
      <c r="I66" s="57" t="e">
        <f>(_xlfn.XLOOKUP('Summary Data'!$A66,'Round 1 Data'!$A$10:$A$143,'Round 1 Data'!I$10:I$144,0)+_xlfn.XLOOKUP('Summary Data'!$A66,'Round 2 Data'!$A$10:$A$146,'Round 2 Data'!I$10:I$146,0)+_xlfn.XLOOKUP('Summary Data'!$A66,'Round 3 Data'!$A$10:$A$145,'Round 3 Data'!I$10:I$145,0)+_xlfn.XLOOKUP('Summary Data'!$A66,'Round 4 Data'!$A$10:$A$147,'Round 4 Data'!I$10:I$147,0))/$D66</f>
        <v>#VALUE!</v>
      </c>
      <c r="J66" s="57" t="e">
        <f>(_xlfn.XLOOKUP('Summary Data'!$A66,'Round 1 Data'!$A$10:$A$143,'Round 1 Data'!J$10:J$144,0)+_xlfn.XLOOKUP('Summary Data'!$A66,'Round 2 Data'!$A$10:$A$146,'Round 2 Data'!J$10:J$146,0)+_xlfn.XLOOKUP('Summary Data'!$A66,'Round 3 Data'!$A$10:$A$145,'Round 3 Data'!J$10:J$145,0)+_xlfn.XLOOKUP('Summary Data'!$A66,'Round 4 Data'!$A$10:$A$147,'Round 4 Data'!J$10:J$147,0))/$D66</f>
        <v>#VALUE!</v>
      </c>
      <c r="K66" s="57" t="e">
        <f>(_xlfn.XLOOKUP('Summary Data'!$A66,'Round 1 Data'!$A$10:$A$143,'Round 1 Data'!K$10:K$144,0)+_xlfn.XLOOKUP('Summary Data'!$A66,'Round 2 Data'!$A$10:$A$146,'Round 2 Data'!K$10:K$146,0)+_xlfn.XLOOKUP('Summary Data'!$A66,'Round 3 Data'!$A$10:$A$145,'Round 3 Data'!K$10:K$145,0)+_xlfn.XLOOKUP('Summary Data'!$A66,'Round 4 Data'!$A$10:$A$147,'Round 4 Data'!K$10:K$147,0))/$D66</f>
        <v>#VALUE!</v>
      </c>
      <c r="L66" s="57" t="e">
        <f>(_xlfn.XLOOKUP('Summary Data'!$A66,'Round 1 Data'!$A$10:$A$143,'Round 1 Data'!L$10:L$144,0)+_xlfn.XLOOKUP('Summary Data'!$A66,'Round 2 Data'!$A$10:$A$146,'Round 2 Data'!L$10:L$146,0)+_xlfn.XLOOKUP('Summary Data'!$A66,'Round 3 Data'!$A$10:$A$145,'Round 3 Data'!L$10:L$145,0)+_xlfn.XLOOKUP('Summary Data'!$A66,'Round 4 Data'!$A$10:$A$147,'Round 4 Data'!L$10:L$147,0))/$D66</f>
        <v>#VALUE!</v>
      </c>
      <c r="M66" s="57" t="e">
        <f>(_xlfn.XLOOKUP('Summary Data'!$A66,'Round 1 Data'!$A$10:$A$143,'Round 1 Data'!M$10:M$144,0)+_xlfn.XLOOKUP('Summary Data'!$A66,'Round 2 Data'!$A$10:$A$146,'Round 2 Data'!M$10:M$146,0)+_xlfn.XLOOKUP('Summary Data'!$A66,'Round 3 Data'!$A$10:$A$145,'Round 3 Data'!M$10:M$145,0)+_xlfn.XLOOKUP('Summary Data'!$A66,'Round 4 Data'!$A$10:$A$147,'Round 4 Data'!M$10:M$147,0))/$D66</f>
        <v>#VALUE!</v>
      </c>
      <c r="N66" s="57" t="e">
        <f>(_xlfn.XLOOKUP('Summary Data'!$A66,'Round 1 Data'!$A$10:$A$143,'Round 1 Data'!N$10:N$144,0)+_xlfn.XLOOKUP('Summary Data'!$A66,'Round 2 Data'!$A$10:$A$146,'Round 2 Data'!N$10:N$146,0)+_xlfn.XLOOKUP('Summary Data'!$A66,'Round 3 Data'!$A$10:$A$145,'Round 3 Data'!N$10:N$145,0)+_xlfn.XLOOKUP('Summary Data'!$A66,'Round 4 Data'!$A$10:$A$147,'Round 4 Data'!N$10:N$147,0))/$D66</f>
        <v>#VALUE!</v>
      </c>
      <c r="O66" s="57" t="e">
        <f>(_xlfn.XLOOKUP('Summary Data'!$A66,'Round 1 Data'!$A$10:$A$143,'Round 1 Data'!O$10:O$144,0)+_xlfn.XLOOKUP('Summary Data'!$A66,'Round 2 Data'!$A$10:$A$146,'Round 2 Data'!O$10:O$146,0)+_xlfn.XLOOKUP('Summary Data'!$A66,'Round 3 Data'!$A$10:$A$145,'Round 3 Data'!O$10:O$145,0)+_xlfn.XLOOKUP('Summary Data'!$A66,'Round 4 Data'!$A$10:$A$147,'Round 4 Data'!O$10:O$147,0))/$D66</f>
        <v>#VALUE!</v>
      </c>
      <c r="P66" s="57" t="e">
        <f>(_xlfn.XLOOKUP('Summary Data'!$A66,'Round 1 Data'!$A$10:$A$143,'Round 1 Data'!P$10:P$144,0)+_xlfn.XLOOKUP('Summary Data'!$A66,'Round 2 Data'!$A$10:$A$146,'Round 2 Data'!P$10:P$146,0)+_xlfn.XLOOKUP('Summary Data'!$A66,'Round 3 Data'!$A$10:$A$145,'Round 3 Data'!P$10:P$145,0)+_xlfn.XLOOKUP('Summary Data'!$A66,'Round 4 Data'!$A$10:$A$147,'Round 4 Data'!P$10:P$147,0))/$D66</f>
        <v>#VALUE!</v>
      </c>
      <c r="Q66" s="57" t="e">
        <f>(_xlfn.XLOOKUP('Summary Data'!$A66,'Round 1 Data'!$A$10:$A$143,'Round 1 Data'!Q$10:Q$144,0)+_xlfn.XLOOKUP('Summary Data'!$A66,'Round 2 Data'!$A$10:$A$146,'Round 2 Data'!Q$10:Q$146,0)+_xlfn.XLOOKUP('Summary Data'!$A66,'Round 3 Data'!$A$10:$A$145,'Round 3 Data'!Q$10:Q$145,0)+_xlfn.XLOOKUP('Summary Data'!$A66,'Round 4 Data'!$A$10:$A$147,'Round 4 Data'!Q$10:Q$147,0))/$D66</f>
        <v>#VALUE!</v>
      </c>
      <c r="R66" s="57" t="e">
        <f>(_xlfn.XLOOKUP('Summary Data'!$A66,'Round 1 Data'!$A$10:$A$143,'Round 1 Data'!R$10:R$144,0)+_xlfn.XLOOKUP('Summary Data'!$A66,'Round 2 Data'!$A$10:$A$146,'Round 2 Data'!R$10:R$146,0)+_xlfn.XLOOKUP('Summary Data'!$A66,'Round 3 Data'!$A$10:$A$145,'Round 3 Data'!R$10:R$145,0)+_xlfn.XLOOKUP('Summary Data'!$A66,'Round 4 Data'!$A$10:$A$147,'Round 4 Data'!R$10:R$147,0))/$D66</f>
        <v>#VALUE!</v>
      </c>
      <c r="S66" s="57" t="e">
        <f>(_xlfn.XLOOKUP('Summary Data'!$A66,'Round 1 Data'!$A$10:$A$143,'Round 1 Data'!S$10:S$144,0)+_xlfn.XLOOKUP('Summary Data'!$A66,'Round 2 Data'!$A$10:$A$146,'Round 2 Data'!S$10:S$146,0)+_xlfn.XLOOKUP('Summary Data'!$A66,'Round 3 Data'!$A$10:$A$145,'Round 3 Data'!S$10:S$145,0)+_xlfn.XLOOKUP('Summary Data'!$A66,'Round 4 Data'!$A$10:$A$147,'Round 4 Data'!S$10:S$147,0))/$D66</f>
        <v>#VALUE!</v>
      </c>
      <c r="T66" s="62" t="e">
        <f>(_xlfn.XLOOKUP('Summary Data'!$A66,'Round 1 Data'!$A$10:$A$143,'Round 1 Data'!U$10:U$144,0)+_xlfn.XLOOKUP('Summary Data'!$A66,'Round 2 Data'!$A$10:$A$146,'Round 2 Data'!U$10:U$146,0)+_xlfn.XLOOKUP('Summary Data'!$A66,'Round 3 Data'!$A$10:$A$145,'Round 3 Data'!U$10:U$145,0)+_xlfn.XLOOKUP('Summary Data'!$A66,'Round 4 Data'!$A$10:$A$147,'Round 4 Data'!U$10:U$147,0))</f>
        <v>#VALUE!</v>
      </c>
    </row>
    <row r="67" spans="1:20" ht="16" thickBot="1" x14ac:dyDescent="0.25">
      <c r="A67" s="63" t="s">
        <v>97</v>
      </c>
      <c r="B67" t="s">
        <v>190</v>
      </c>
      <c r="C67" t="s">
        <v>200</v>
      </c>
      <c r="D67" t="e">
        <f>IF(_xlfn.XLOOKUP('Summary Data'!A67,'Round 1 Data'!$A$10:$A$143,'Round 1 Data'!$E$10:$E$144,0)=0,0,1)+IF(_xlfn.XLOOKUP('Summary Data'!A67,'Round 2 Data'!$A$10:$A$146,'Round 2 Data'!$E$10:$E$146,0)=0,0,1)+IF(_xlfn.XLOOKUP('Summary Data'!A67,'Round 3 Data'!$A$10:$A$145,'Round 3 Data'!$E$10:$E$145,0)=0,0,1)+IF(_xlfn.XLOOKUP('Summary Data'!A67,'Round 4 Data'!$A$10:$A$147,'Round 4 Data'!$E$10:$E$147,0)=0,0,1)</f>
        <v>#VALUE!</v>
      </c>
      <c r="E67" s="57" t="e">
        <f>(_xlfn.XLOOKUP('Summary Data'!$A67,'Round 1 Data'!$A$10:$A$143,'Round 1 Data'!E$10:E$144,0)+_xlfn.XLOOKUP('Summary Data'!$A67,'Round 2 Data'!$A$10:$A$146,'Round 2 Data'!E$10:E$146,0)+_xlfn.XLOOKUP('Summary Data'!$A67,'Round 3 Data'!$A$10:$A$145,'Round 3 Data'!E$10:E$145,0)+_xlfn.XLOOKUP('Summary Data'!$A67,'Round 4 Data'!$A$10:$A$147,'Round 4 Data'!E$10:E$147,0))/$D67</f>
        <v>#VALUE!</v>
      </c>
      <c r="F67" s="57" t="e">
        <f>(_xlfn.XLOOKUP('Summary Data'!$A67,'Round 1 Data'!$A$10:$A$143,'Round 1 Data'!F$10:F$144,0)+_xlfn.XLOOKUP('Summary Data'!$A67,'Round 2 Data'!$A$10:$A$146,'Round 2 Data'!F$10:F$146,0)+_xlfn.XLOOKUP('Summary Data'!$A67,'Round 3 Data'!$A$10:$A$145,'Round 3 Data'!F$10:F$145,0)+_xlfn.XLOOKUP('Summary Data'!$A67,'Round 4 Data'!$A$10:$A$147,'Round 4 Data'!F$10:F$147,0))/$D67</f>
        <v>#VALUE!</v>
      </c>
      <c r="G67" s="57" t="e">
        <f>(_xlfn.XLOOKUP('Summary Data'!$A67,'Round 1 Data'!$A$10:$A$143,'Round 1 Data'!G$10:G$144,0)+_xlfn.XLOOKUP('Summary Data'!$A67,'Round 2 Data'!$A$10:$A$146,'Round 2 Data'!G$10:G$146,0)+_xlfn.XLOOKUP('Summary Data'!$A67,'Round 3 Data'!$A$10:$A$145,'Round 3 Data'!G$10:G$145,0)+_xlfn.XLOOKUP('Summary Data'!$A67,'Round 4 Data'!$A$10:$A$147,'Round 4 Data'!G$10:G$147,0))/$D67</f>
        <v>#VALUE!</v>
      </c>
      <c r="H67" s="57" t="e">
        <f>(_xlfn.XLOOKUP('Summary Data'!$A67,'Round 1 Data'!$A$10:$A$143,'Round 1 Data'!H$10:H$144,0)+_xlfn.XLOOKUP('Summary Data'!$A67,'Round 2 Data'!$A$10:$A$146,'Round 2 Data'!H$10:H$146,0)+_xlfn.XLOOKUP('Summary Data'!$A67,'Round 3 Data'!$A$10:$A$145,'Round 3 Data'!H$10:H$145,0)+_xlfn.XLOOKUP('Summary Data'!$A67,'Round 4 Data'!$A$10:$A$147,'Round 4 Data'!H$10:H$147,0))/$D67</f>
        <v>#VALUE!</v>
      </c>
      <c r="I67" s="57" t="e">
        <f>(_xlfn.XLOOKUP('Summary Data'!$A67,'Round 1 Data'!$A$10:$A$143,'Round 1 Data'!I$10:I$144,0)+_xlfn.XLOOKUP('Summary Data'!$A67,'Round 2 Data'!$A$10:$A$146,'Round 2 Data'!I$10:I$146,0)+_xlfn.XLOOKUP('Summary Data'!$A67,'Round 3 Data'!$A$10:$A$145,'Round 3 Data'!I$10:I$145,0)+_xlfn.XLOOKUP('Summary Data'!$A67,'Round 4 Data'!$A$10:$A$147,'Round 4 Data'!I$10:I$147,0))/$D67</f>
        <v>#VALUE!</v>
      </c>
      <c r="J67" s="57" t="e">
        <f>(_xlfn.XLOOKUP('Summary Data'!$A67,'Round 1 Data'!$A$10:$A$143,'Round 1 Data'!J$10:J$144,0)+_xlfn.XLOOKUP('Summary Data'!$A67,'Round 2 Data'!$A$10:$A$146,'Round 2 Data'!J$10:J$146,0)+_xlfn.XLOOKUP('Summary Data'!$A67,'Round 3 Data'!$A$10:$A$145,'Round 3 Data'!J$10:J$145,0)+_xlfn.XLOOKUP('Summary Data'!$A67,'Round 4 Data'!$A$10:$A$147,'Round 4 Data'!J$10:J$147,0))/$D67</f>
        <v>#VALUE!</v>
      </c>
      <c r="K67" s="57" t="e">
        <f>(_xlfn.XLOOKUP('Summary Data'!$A67,'Round 1 Data'!$A$10:$A$143,'Round 1 Data'!K$10:K$144,0)+_xlfn.XLOOKUP('Summary Data'!$A67,'Round 2 Data'!$A$10:$A$146,'Round 2 Data'!K$10:K$146,0)+_xlfn.XLOOKUP('Summary Data'!$A67,'Round 3 Data'!$A$10:$A$145,'Round 3 Data'!K$10:K$145,0)+_xlfn.XLOOKUP('Summary Data'!$A67,'Round 4 Data'!$A$10:$A$147,'Round 4 Data'!K$10:K$147,0))/$D67</f>
        <v>#VALUE!</v>
      </c>
      <c r="L67" s="57" t="e">
        <f>(_xlfn.XLOOKUP('Summary Data'!$A67,'Round 1 Data'!$A$10:$A$143,'Round 1 Data'!L$10:L$144,0)+_xlfn.XLOOKUP('Summary Data'!$A67,'Round 2 Data'!$A$10:$A$146,'Round 2 Data'!L$10:L$146,0)+_xlfn.XLOOKUP('Summary Data'!$A67,'Round 3 Data'!$A$10:$A$145,'Round 3 Data'!L$10:L$145,0)+_xlfn.XLOOKUP('Summary Data'!$A67,'Round 4 Data'!$A$10:$A$147,'Round 4 Data'!L$10:L$147,0))/$D67</f>
        <v>#VALUE!</v>
      </c>
      <c r="M67" s="57" t="e">
        <f>(_xlfn.XLOOKUP('Summary Data'!$A67,'Round 1 Data'!$A$10:$A$143,'Round 1 Data'!M$10:M$144,0)+_xlfn.XLOOKUP('Summary Data'!$A67,'Round 2 Data'!$A$10:$A$146,'Round 2 Data'!M$10:M$146,0)+_xlfn.XLOOKUP('Summary Data'!$A67,'Round 3 Data'!$A$10:$A$145,'Round 3 Data'!M$10:M$145,0)+_xlfn.XLOOKUP('Summary Data'!$A67,'Round 4 Data'!$A$10:$A$147,'Round 4 Data'!M$10:M$147,0))/$D67</f>
        <v>#VALUE!</v>
      </c>
      <c r="N67" s="57" t="e">
        <f>(_xlfn.XLOOKUP('Summary Data'!$A67,'Round 1 Data'!$A$10:$A$143,'Round 1 Data'!N$10:N$144,0)+_xlfn.XLOOKUP('Summary Data'!$A67,'Round 2 Data'!$A$10:$A$146,'Round 2 Data'!N$10:N$146,0)+_xlfn.XLOOKUP('Summary Data'!$A67,'Round 3 Data'!$A$10:$A$145,'Round 3 Data'!N$10:N$145,0)+_xlfn.XLOOKUP('Summary Data'!$A67,'Round 4 Data'!$A$10:$A$147,'Round 4 Data'!N$10:N$147,0))/$D67</f>
        <v>#VALUE!</v>
      </c>
      <c r="O67" s="57" t="e">
        <f>(_xlfn.XLOOKUP('Summary Data'!$A67,'Round 1 Data'!$A$10:$A$143,'Round 1 Data'!O$10:O$144,0)+_xlfn.XLOOKUP('Summary Data'!$A67,'Round 2 Data'!$A$10:$A$146,'Round 2 Data'!O$10:O$146,0)+_xlfn.XLOOKUP('Summary Data'!$A67,'Round 3 Data'!$A$10:$A$145,'Round 3 Data'!O$10:O$145,0)+_xlfn.XLOOKUP('Summary Data'!$A67,'Round 4 Data'!$A$10:$A$147,'Round 4 Data'!O$10:O$147,0))/$D67</f>
        <v>#VALUE!</v>
      </c>
      <c r="P67" s="57" t="e">
        <f>(_xlfn.XLOOKUP('Summary Data'!$A67,'Round 1 Data'!$A$10:$A$143,'Round 1 Data'!P$10:P$144,0)+_xlfn.XLOOKUP('Summary Data'!$A67,'Round 2 Data'!$A$10:$A$146,'Round 2 Data'!P$10:P$146,0)+_xlfn.XLOOKUP('Summary Data'!$A67,'Round 3 Data'!$A$10:$A$145,'Round 3 Data'!P$10:P$145,0)+_xlfn.XLOOKUP('Summary Data'!$A67,'Round 4 Data'!$A$10:$A$147,'Round 4 Data'!P$10:P$147,0))/$D67</f>
        <v>#VALUE!</v>
      </c>
      <c r="Q67" s="57" t="e">
        <f>(_xlfn.XLOOKUP('Summary Data'!$A67,'Round 1 Data'!$A$10:$A$143,'Round 1 Data'!Q$10:Q$144,0)+_xlfn.XLOOKUP('Summary Data'!$A67,'Round 2 Data'!$A$10:$A$146,'Round 2 Data'!Q$10:Q$146,0)+_xlfn.XLOOKUP('Summary Data'!$A67,'Round 3 Data'!$A$10:$A$145,'Round 3 Data'!Q$10:Q$145,0)+_xlfn.XLOOKUP('Summary Data'!$A67,'Round 4 Data'!$A$10:$A$147,'Round 4 Data'!Q$10:Q$147,0))/$D67</f>
        <v>#VALUE!</v>
      </c>
      <c r="R67" s="57" t="e">
        <f>(_xlfn.XLOOKUP('Summary Data'!$A67,'Round 1 Data'!$A$10:$A$143,'Round 1 Data'!R$10:R$144,0)+_xlfn.XLOOKUP('Summary Data'!$A67,'Round 2 Data'!$A$10:$A$146,'Round 2 Data'!R$10:R$146,0)+_xlfn.XLOOKUP('Summary Data'!$A67,'Round 3 Data'!$A$10:$A$145,'Round 3 Data'!R$10:R$145,0)+_xlfn.XLOOKUP('Summary Data'!$A67,'Round 4 Data'!$A$10:$A$147,'Round 4 Data'!R$10:R$147,0))/$D67</f>
        <v>#VALUE!</v>
      </c>
      <c r="S67" s="57" t="e">
        <f>(_xlfn.XLOOKUP('Summary Data'!$A67,'Round 1 Data'!$A$10:$A$143,'Round 1 Data'!S$10:S$144,0)+_xlfn.XLOOKUP('Summary Data'!$A67,'Round 2 Data'!$A$10:$A$146,'Round 2 Data'!S$10:S$146,0)+_xlfn.XLOOKUP('Summary Data'!$A67,'Round 3 Data'!$A$10:$A$145,'Round 3 Data'!S$10:S$145,0)+_xlfn.XLOOKUP('Summary Data'!$A67,'Round 4 Data'!$A$10:$A$147,'Round 4 Data'!S$10:S$147,0))/$D67</f>
        <v>#VALUE!</v>
      </c>
      <c r="T67" s="62" t="e">
        <f>(_xlfn.XLOOKUP('Summary Data'!$A67,'Round 1 Data'!$A$10:$A$143,'Round 1 Data'!U$10:U$144,0)+_xlfn.XLOOKUP('Summary Data'!$A67,'Round 2 Data'!$A$10:$A$146,'Round 2 Data'!U$10:U$146,0)+_xlfn.XLOOKUP('Summary Data'!$A67,'Round 3 Data'!$A$10:$A$145,'Round 3 Data'!U$10:U$145,0)+_xlfn.XLOOKUP('Summary Data'!$A67,'Round 4 Data'!$A$10:$A$147,'Round 4 Data'!U$10:U$147,0))</f>
        <v>#VALUE!</v>
      </c>
    </row>
    <row r="68" spans="1:20" ht="16" thickBot="1" x14ac:dyDescent="0.25">
      <c r="A68" s="61" t="s">
        <v>98</v>
      </c>
      <c r="B68" t="s">
        <v>190</v>
      </c>
      <c r="C68" t="s">
        <v>200</v>
      </c>
      <c r="D68" t="e">
        <f>IF(_xlfn.XLOOKUP('Summary Data'!A68,'Round 1 Data'!$A$10:$A$143,'Round 1 Data'!$E$10:$E$144,0)=0,0,1)+IF(_xlfn.XLOOKUP('Summary Data'!A68,'Round 2 Data'!$A$10:$A$146,'Round 2 Data'!$E$10:$E$146,0)=0,0,1)+IF(_xlfn.XLOOKUP('Summary Data'!A68,'Round 3 Data'!$A$10:$A$145,'Round 3 Data'!$E$10:$E$145,0)=0,0,1)+IF(_xlfn.XLOOKUP('Summary Data'!A68,'Round 4 Data'!$A$10:$A$147,'Round 4 Data'!$E$10:$E$147,0)=0,0,1)</f>
        <v>#VALUE!</v>
      </c>
      <c r="E68" s="57" t="e">
        <f>(_xlfn.XLOOKUP('Summary Data'!$A68,'Round 1 Data'!$A$10:$A$143,'Round 1 Data'!E$10:E$144,0)+_xlfn.XLOOKUP('Summary Data'!$A68,'Round 2 Data'!$A$10:$A$146,'Round 2 Data'!E$10:E$146,0)+_xlfn.XLOOKUP('Summary Data'!$A68,'Round 3 Data'!$A$10:$A$145,'Round 3 Data'!E$10:E$145,0)+_xlfn.XLOOKUP('Summary Data'!$A68,'Round 4 Data'!$A$10:$A$147,'Round 4 Data'!E$10:E$147,0))/$D68</f>
        <v>#VALUE!</v>
      </c>
      <c r="F68" s="57" t="e">
        <f>(_xlfn.XLOOKUP('Summary Data'!$A68,'Round 1 Data'!$A$10:$A$143,'Round 1 Data'!F$10:F$144,0)+_xlfn.XLOOKUP('Summary Data'!$A68,'Round 2 Data'!$A$10:$A$146,'Round 2 Data'!F$10:F$146,0)+_xlfn.XLOOKUP('Summary Data'!$A68,'Round 3 Data'!$A$10:$A$145,'Round 3 Data'!F$10:F$145,0)+_xlfn.XLOOKUP('Summary Data'!$A68,'Round 4 Data'!$A$10:$A$147,'Round 4 Data'!F$10:F$147,0))/$D68</f>
        <v>#VALUE!</v>
      </c>
      <c r="G68" s="57" t="e">
        <f>(_xlfn.XLOOKUP('Summary Data'!$A68,'Round 1 Data'!$A$10:$A$143,'Round 1 Data'!G$10:G$144,0)+_xlfn.XLOOKUP('Summary Data'!$A68,'Round 2 Data'!$A$10:$A$146,'Round 2 Data'!G$10:G$146,0)+_xlfn.XLOOKUP('Summary Data'!$A68,'Round 3 Data'!$A$10:$A$145,'Round 3 Data'!G$10:G$145,0)+_xlfn.XLOOKUP('Summary Data'!$A68,'Round 4 Data'!$A$10:$A$147,'Round 4 Data'!G$10:G$147,0))/$D68</f>
        <v>#VALUE!</v>
      </c>
      <c r="H68" s="57" t="e">
        <f>(_xlfn.XLOOKUP('Summary Data'!$A68,'Round 1 Data'!$A$10:$A$143,'Round 1 Data'!H$10:H$144,0)+_xlfn.XLOOKUP('Summary Data'!$A68,'Round 2 Data'!$A$10:$A$146,'Round 2 Data'!H$10:H$146,0)+_xlfn.XLOOKUP('Summary Data'!$A68,'Round 3 Data'!$A$10:$A$145,'Round 3 Data'!H$10:H$145,0)+_xlfn.XLOOKUP('Summary Data'!$A68,'Round 4 Data'!$A$10:$A$147,'Round 4 Data'!H$10:H$147,0))/$D68</f>
        <v>#VALUE!</v>
      </c>
      <c r="I68" s="57" t="e">
        <f>(_xlfn.XLOOKUP('Summary Data'!$A68,'Round 1 Data'!$A$10:$A$143,'Round 1 Data'!I$10:I$144,0)+_xlfn.XLOOKUP('Summary Data'!$A68,'Round 2 Data'!$A$10:$A$146,'Round 2 Data'!I$10:I$146,0)+_xlfn.XLOOKUP('Summary Data'!$A68,'Round 3 Data'!$A$10:$A$145,'Round 3 Data'!I$10:I$145,0)+_xlfn.XLOOKUP('Summary Data'!$A68,'Round 4 Data'!$A$10:$A$147,'Round 4 Data'!I$10:I$147,0))/$D68</f>
        <v>#VALUE!</v>
      </c>
      <c r="J68" s="57" t="e">
        <f>(_xlfn.XLOOKUP('Summary Data'!$A68,'Round 1 Data'!$A$10:$A$143,'Round 1 Data'!J$10:J$144,0)+_xlfn.XLOOKUP('Summary Data'!$A68,'Round 2 Data'!$A$10:$A$146,'Round 2 Data'!J$10:J$146,0)+_xlfn.XLOOKUP('Summary Data'!$A68,'Round 3 Data'!$A$10:$A$145,'Round 3 Data'!J$10:J$145,0)+_xlfn.XLOOKUP('Summary Data'!$A68,'Round 4 Data'!$A$10:$A$147,'Round 4 Data'!J$10:J$147,0))/$D68</f>
        <v>#VALUE!</v>
      </c>
      <c r="K68" s="57" t="e">
        <f>(_xlfn.XLOOKUP('Summary Data'!$A68,'Round 1 Data'!$A$10:$A$143,'Round 1 Data'!K$10:K$144,0)+_xlfn.XLOOKUP('Summary Data'!$A68,'Round 2 Data'!$A$10:$A$146,'Round 2 Data'!K$10:K$146,0)+_xlfn.XLOOKUP('Summary Data'!$A68,'Round 3 Data'!$A$10:$A$145,'Round 3 Data'!K$10:K$145,0)+_xlfn.XLOOKUP('Summary Data'!$A68,'Round 4 Data'!$A$10:$A$147,'Round 4 Data'!K$10:K$147,0))/$D68</f>
        <v>#VALUE!</v>
      </c>
      <c r="L68" s="57" t="e">
        <f>(_xlfn.XLOOKUP('Summary Data'!$A68,'Round 1 Data'!$A$10:$A$143,'Round 1 Data'!L$10:L$144,0)+_xlfn.XLOOKUP('Summary Data'!$A68,'Round 2 Data'!$A$10:$A$146,'Round 2 Data'!L$10:L$146,0)+_xlfn.XLOOKUP('Summary Data'!$A68,'Round 3 Data'!$A$10:$A$145,'Round 3 Data'!L$10:L$145,0)+_xlfn.XLOOKUP('Summary Data'!$A68,'Round 4 Data'!$A$10:$A$147,'Round 4 Data'!L$10:L$147,0))/$D68</f>
        <v>#VALUE!</v>
      </c>
      <c r="M68" s="57" t="e">
        <f>(_xlfn.XLOOKUP('Summary Data'!$A68,'Round 1 Data'!$A$10:$A$143,'Round 1 Data'!M$10:M$144,0)+_xlfn.XLOOKUP('Summary Data'!$A68,'Round 2 Data'!$A$10:$A$146,'Round 2 Data'!M$10:M$146,0)+_xlfn.XLOOKUP('Summary Data'!$A68,'Round 3 Data'!$A$10:$A$145,'Round 3 Data'!M$10:M$145,0)+_xlfn.XLOOKUP('Summary Data'!$A68,'Round 4 Data'!$A$10:$A$147,'Round 4 Data'!M$10:M$147,0))/$D68</f>
        <v>#VALUE!</v>
      </c>
      <c r="N68" s="57" t="e">
        <f>(_xlfn.XLOOKUP('Summary Data'!$A68,'Round 1 Data'!$A$10:$A$143,'Round 1 Data'!N$10:N$144,0)+_xlfn.XLOOKUP('Summary Data'!$A68,'Round 2 Data'!$A$10:$A$146,'Round 2 Data'!N$10:N$146,0)+_xlfn.XLOOKUP('Summary Data'!$A68,'Round 3 Data'!$A$10:$A$145,'Round 3 Data'!N$10:N$145,0)+_xlfn.XLOOKUP('Summary Data'!$A68,'Round 4 Data'!$A$10:$A$147,'Round 4 Data'!N$10:N$147,0))/$D68</f>
        <v>#VALUE!</v>
      </c>
      <c r="O68" s="57" t="e">
        <f>(_xlfn.XLOOKUP('Summary Data'!$A68,'Round 1 Data'!$A$10:$A$143,'Round 1 Data'!O$10:O$144,0)+_xlfn.XLOOKUP('Summary Data'!$A68,'Round 2 Data'!$A$10:$A$146,'Round 2 Data'!O$10:O$146,0)+_xlfn.XLOOKUP('Summary Data'!$A68,'Round 3 Data'!$A$10:$A$145,'Round 3 Data'!O$10:O$145,0)+_xlfn.XLOOKUP('Summary Data'!$A68,'Round 4 Data'!$A$10:$A$147,'Round 4 Data'!O$10:O$147,0))/$D68</f>
        <v>#VALUE!</v>
      </c>
      <c r="P68" s="57" t="e">
        <f>(_xlfn.XLOOKUP('Summary Data'!$A68,'Round 1 Data'!$A$10:$A$143,'Round 1 Data'!P$10:P$144,0)+_xlfn.XLOOKUP('Summary Data'!$A68,'Round 2 Data'!$A$10:$A$146,'Round 2 Data'!P$10:P$146,0)+_xlfn.XLOOKUP('Summary Data'!$A68,'Round 3 Data'!$A$10:$A$145,'Round 3 Data'!P$10:P$145,0)+_xlfn.XLOOKUP('Summary Data'!$A68,'Round 4 Data'!$A$10:$A$147,'Round 4 Data'!P$10:P$147,0))/$D68</f>
        <v>#VALUE!</v>
      </c>
      <c r="Q68" s="57" t="e">
        <f>(_xlfn.XLOOKUP('Summary Data'!$A68,'Round 1 Data'!$A$10:$A$143,'Round 1 Data'!Q$10:Q$144,0)+_xlfn.XLOOKUP('Summary Data'!$A68,'Round 2 Data'!$A$10:$A$146,'Round 2 Data'!Q$10:Q$146,0)+_xlfn.XLOOKUP('Summary Data'!$A68,'Round 3 Data'!$A$10:$A$145,'Round 3 Data'!Q$10:Q$145,0)+_xlfn.XLOOKUP('Summary Data'!$A68,'Round 4 Data'!$A$10:$A$147,'Round 4 Data'!Q$10:Q$147,0))/$D68</f>
        <v>#VALUE!</v>
      </c>
      <c r="R68" s="57" t="e">
        <f>(_xlfn.XLOOKUP('Summary Data'!$A68,'Round 1 Data'!$A$10:$A$143,'Round 1 Data'!R$10:R$144,0)+_xlfn.XLOOKUP('Summary Data'!$A68,'Round 2 Data'!$A$10:$A$146,'Round 2 Data'!R$10:R$146,0)+_xlfn.XLOOKUP('Summary Data'!$A68,'Round 3 Data'!$A$10:$A$145,'Round 3 Data'!R$10:R$145,0)+_xlfn.XLOOKUP('Summary Data'!$A68,'Round 4 Data'!$A$10:$A$147,'Round 4 Data'!R$10:R$147,0))/$D68</f>
        <v>#VALUE!</v>
      </c>
      <c r="S68" s="57" t="e">
        <f>(_xlfn.XLOOKUP('Summary Data'!$A68,'Round 1 Data'!$A$10:$A$143,'Round 1 Data'!S$10:S$144,0)+_xlfn.XLOOKUP('Summary Data'!$A68,'Round 2 Data'!$A$10:$A$146,'Round 2 Data'!S$10:S$146,0)+_xlfn.XLOOKUP('Summary Data'!$A68,'Round 3 Data'!$A$10:$A$145,'Round 3 Data'!S$10:S$145,0)+_xlfn.XLOOKUP('Summary Data'!$A68,'Round 4 Data'!$A$10:$A$147,'Round 4 Data'!S$10:S$147,0))/$D68</f>
        <v>#VALUE!</v>
      </c>
      <c r="T68" s="62" t="e">
        <f>(_xlfn.XLOOKUP('Summary Data'!$A68,'Round 1 Data'!$A$10:$A$143,'Round 1 Data'!U$10:U$144,0)+_xlfn.XLOOKUP('Summary Data'!$A68,'Round 2 Data'!$A$10:$A$146,'Round 2 Data'!U$10:U$146,0)+_xlfn.XLOOKUP('Summary Data'!$A68,'Round 3 Data'!$A$10:$A$145,'Round 3 Data'!U$10:U$145,0)+_xlfn.XLOOKUP('Summary Data'!$A68,'Round 4 Data'!$A$10:$A$147,'Round 4 Data'!U$10:U$147,0))</f>
        <v>#VALUE!</v>
      </c>
    </row>
    <row r="69" spans="1:20" ht="16" thickBot="1" x14ac:dyDescent="0.25">
      <c r="A69" s="63" t="s">
        <v>99</v>
      </c>
      <c r="B69" t="s">
        <v>190</v>
      </c>
      <c r="C69" t="s">
        <v>200</v>
      </c>
      <c r="D69" t="e">
        <f>IF(_xlfn.XLOOKUP('Summary Data'!A69,'Round 1 Data'!$A$10:$A$143,'Round 1 Data'!$E$10:$E$144,0)=0,0,1)+IF(_xlfn.XLOOKUP('Summary Data'!A69,'Round 2 Data'!$A$10:$A$146,'Round 2 Data'!$E$10:$E$146,0)=0,0,1)+IF(_xlfn.XLOOKUP('Summary Data'!A69,'Round 3 Data'!$A$10:$A$145,'Round 3 Data'!$E$10:$E$145,0)=0,0,1)+IF(_xlfn.XLOOKUP('Summary Data'!A69,'Round 4 Data'!$A$10:$A$147,'Round 4 Data'!$E$10:$E$147,0)=0,0,1)</f>
        <v>#VALUE!</v>
      </c>
      <c r="E69" s="57" t="e">
        <f>(_xlfn.XLOOKUP('Summary Data'!$A69,'Round 1 Data'!$A$10:$A$143,'Round 1 Data'!E$10:E$144,0)+_xlfn.XLOOKUP('Summary Data'!$A69,'Round 2 Data'!$A$10:$A$146,'Round 2 Data'!E$10:E$146,0)+_xlfn.XLOOKUP('Summary Data'!$A69,'Round 3 Data'!$A$10:$A$145,'Round 3 Data'!E$10:E$145,0)+_xlfn.XLOOKUP('Summary Data'!$A69,'Round 4 Data'!$A$10:$A$147,'Round 4 Data'!E$10:E$147,0))/$D69</f>
        <v>#VALUE!</v>
      </c>
      <c r="F69" s="57" t="e">
        <f>(_xlfn.XLOOKUP('Summary Data'!$A69,'Round 1 Data'!$A$10:$A$143,'Round 1 Data'!F$10:F$144,0)+_xlfn.XLOOKUP('Summary Data'!$A69,'Round 2 Data'!$A$10:$A$146,'Round 2 Data'!F$10:F$146,0)+_xlfn.XLOOKUP('Summary Data'!$A69,'Round 3 Data'!$A$10:$A$145,'Round 3 Data'!F$10:F$145,0)+_xlfn.XLOOKUP('Summary Data'!$A69,'Round 4 Data'!$A$10:$A$147,'Round 4 Data'!F$10:F$147,0))/$D69</f>
        <v>#VALUE!</v>
      </c>
      <c r="G69" s="57" t="e">
        <f>(_xlfn.XLOOKUP('Summary Data'!$A69,'Round 1 Data'!$A$10:$A$143,'Round 1 Data'!G$10:G$144,0)+_xlfn.XLOOKUP('Summary Data'!$A69,'Round 2 Data'!$A$10:$A$146,'Round 2 Data'!G$10:G$146,0)+_xlfn.XLOOKUP('Summary Data'!$A69,'Round 3 Data'!$A$10:$A$145,'Round 3 Data'!G$10:G$145,0)+_xlfn.XLOOKUP('Summary Data'!$A69,'Round 4 Data'!$A$10:$A$147,'Round 4 Data'!G$10:G$147,0))/$D69</f>
        <v>#VALUE!</v>
      </c>
      <c r="H69" s="57" t="e">
        <f>(_xlfn.XLOOKUP('Summary Data'!$A69,'Round 1 Data'!$A$10:$A$143,'Round 1 Data'!H$10:H$144,0)+_xlfn.XLOOKUP('Summary Data'!$A69,'Round 2 Data'!$A$10:$A$146,'Round 2 Data'!H$10:H$146,0)+_xlfn.XLOOKUP('Summary Data'!$A69,'Round 3 Data'!$A$10:$A$145,'Round 3 Data'!H$10:H$145,0)+_xlfn.XLOOKUP('Summary Data'!$A69,'Round 4 Data'!$A$10:$A$147,'Round 4 Data'!H$10:H$147,0))/$D69</f>
        <v>#VALUE!</v>
      </c>
      <c r="I69" s="57" t="e">
        <f>(_xlfn.XLOOKUP('Summary Data'!$A69,'Round 1 Data'!$A$10:$A$143,'Round 1 Data'!I$10:I$144,0)+_xlfn.XLOOKUP('Summary Data'!$A69,'Round 2 Data'!$A$10:$A$146,'Round 2 Data'!I$10:I$146,0)+_xlfn.XLOOKUP('Summary Data'!$A69,'Round 3 Data'!$A$10:$A$145,'Round 3 Data'!I$10:I$145,0)+_xlfn.XLOOKUP('Summary Data'!$A69,'Round 4 Data'!$A$10:$A$147,'Round 4 Data'!I$10:I$147,0))/$D69</f>
        <v>#VALUE!</v>
      </c>
      <c r="J69" s="57" t="e">
        <f>(_xlfn.XLOOKUP('Summary Data'!$A69,'Round 1 Data'!$A$10:$A$143,'Round 1 Data'!J$10:J$144,0)+_xlfn.XLOOKUP('Summary Data'!$A69,'Round 2 Data'!$A$10:$A$146,'Round 2 Data'!J$10:J$146,0)+_xlfn.XLOOKUP('Summary Data'!$A69,'Round 3 Data'!$A$10:$A$145,'Round 3 Data'!J$10:J$145,0)+_xlfn.XLOOKUP('Summary Data'!$A69,'Round 4 Data'!$A$10:$A$147,'Round 4 Data'!J$10:J$147,0))/$D69</f>
        <v>#VALUE!</v>
      </c>
      <c r="K69" s="57" t="e">
        <f>(_xlfn.XLOOKUP('Summary Data'!$A69,'Round 1 Data'!$A$10:$A$143,'Round 1 Data'!K$10:K$144,0)+_xlfn.XLOOKUP('Summary Data'!$A69,'Round 2 Data'!$A$10:$A$146,'Round 2 Data'!K$10:K$146,0)+_xlfn.XLOOKUP('Summary Data'!$A69,'Round 3 Data'!$A$10:$A$145,'Round 3 Data'!K$10:K$145,0)+_xlfn.XLOOKUP('Summary Data'!$A69,'Round 4 Data'!$A$10:$A$147,'Round 4 Data'!K$10:K$147,0))/$D69</f>
        <v>#VALUE!</v>
      </c>
      <c r="L69" s="57" t="e">
        <f>(_xlfn.XLOOKUP('Summary Data'!$A69,'Round 1 Data'!$A$10:$A$143,'Round 1 Data'!L$10:L$144,0)+_xlfn.XLOOKUP('Summary Data'!$A69,'Round 2 Data'!$A$10:$A$146,'Round 2 Data'!L$10:L$146,0)+_xlfn.XLOOKUP('Summary Data'!$A69,'Round 3 Data'!$A$10:$A$145,'Round 3 Data'!L$10:L$145,0)+_xlfn.XLOOKUP('Summary Data'!$A69,'Round 4 Data'!$A$10:$A$147,'Round 4 Data'!L$10:L$147,0))/$D69</f>
        <v>#VALUE!</v>
      </c>
      <c r="M69" s="57" t="e">
        <f>(_xlfn.XLOOKUP('Summary Data'!$A69,'Round 1 Data'!$A$10:$A$143,'Round 1 Data'!M$10:M$144,0)+_xlfn.XLOOKUP('Summary Data'!$A69,'Round 2 Data'!$A$10:$A$146,'Round 2 Data'!M$10:M$146,0)+_xlfn.XLOOKUP('Summary Data'!$A69,'Round 3 Data'!$A$10:$A$145,'Round 3 Data'!M$10:M$145,0)+_xlfn.XLOOKUP('Summary Data'!$A69,'Round 4 Data'!$A$10:$A$147,'Round 4 Data'!M$10:M$147,0))/$D69</f>
        <v>#VALUE!</v>
      </c>
      <c r="N69" s="57" t="e">
        <f>(_xlfn.XLOOKUP('Summary Data'!$A69,'Round 1 Data'!$A$10:$A$143,'Round 1 Data'!N$10:N$144,0)+_xlfn.XLOOKUP('Summary Data'!$A69,'Round 2 Data'!$A$10:$A$146,'Round 2 Data'!N$10:N$146,0)+_xlfn.XLOOKUP('Summary Data'!$A69,'Round 3 Data'!$A$10:$A$145,'Round 3 Data'!N$10:N$145,0)+_xlfn.XLOOKUP('Summary Data'!$A69,'Round 4 Data'!$A$10:$A$147,'Round 4 Data'!N$10:N$147,0))/$D69</f>
        <v>#VALUE!</v>
      </c>
      <c r="O69" s="57" t="e">
        <f>(_xlfn.XLOOKUP('Summary Data'!$A69,'Round 1 Data'!$A$10:$A$143,'Round 1 Data'!O$10:O$144,0)+_xlfn.XLOOKUP('Summary Data'!$A69,'Round 2 Data'!$A$10:$A$146,'Round 2 Data'!O$10:O$146,0)+_xlfn.XLOOKUP('Summary Data'!$A69,'Round 3 Data'!$A$10:$A$145,'Round 3 Data'!O$10:O$145,0)+_xlfn.XLOOKUP('Summary Data'!$A69,'Round 4 Data'!$A$10:$A$147,'Round 4 Data'!O$10:O$147,0))/$D69</f>
        <v>#VALUE!</v>
      </c>
      <c r="P69" s="57" t="e">
        <f>(_xlfn.XLOOKUP('Summary Data'!$A69,'Round 1 Data'!$A$10:$A$143,'Round 1 Data'!P$10:P$144,0)+_xlfn.XLOOKUP('Summary Data'!$A69,'Round 2 Data'!$A$10:$A$146,'Round 2 Data'!P$10:P$146,0)+_xlfn.XLOOKUP('Summary Data'!$A69,'Round 3 Data'!$A$10:$A$145,'Round 3 Data'!P$10:P$145,0)+_xlfn.XLOOKUP('Summary Data'!$A69,'Round 4 Data'!$A$10:$A$147,'Round 4 Data'!P$10:P$147,0))/$D69</f>
        <v>#VALUE!</v>
      </c>
      <c r="Q69" s="57" t="e">
        <f>(_xlfn.XLOOKUP('Summary Data'!$A69,'Round 1 Data'!$A$10:$A$143,'Round 1 Data'!Q$10:Q$144,0)+_xlfn.XLOOKUP('Summary Data'!$A69,'Round 2 Data'!$A$10:$A$146,'Round 2 Data'!Q$10:Q$146,0)+_xlfn.XLOOKUP('Summary Data'!$A69,'Round 3 Data'!$A$10:$A$145,'Round 3 Data'!Q$10:Q$145,0)+_xlfn.XLOOKUP('Summary Data'!$A69,'Round 4 Data'!$A$10:$A$147,'Round 4 Data'!Q$10:Q$147,0))/$D69</f>
        <v>#VALUE!</v>
      </c>
      <c r="R69" s="57" t="e">
        <f>(_xlfn.XLOOKUP('Summary Data'!$A69,'Round 1 Data'!$A$10:$A$143,'Round 1 Data'!R$10:R$144,0)+_xlfn.XLOOKUP('Summary Data'!$A69,'Round 2 Data'!$A$10:$A$146,'Round 2 Data'!R$10:R$146,0)+_xlfn.XLOOKUP('Summary Data'!$A69,'Round 3 Data'!$A$10:$A$145,'Round 3 Data'!R$10:R$145,0)+_xlfn.XLOOKUP('Summary Data'!$A69,'Round 4 Data'!$A$10:$A$147,'Round 4 Data'!R$10:R$147,0))/$D69</f>
        <v>#VALUE!</v>
      </c>
      <c r="S69" s="57" t="e">
        <f>(_xlfn.XLOOKUP('Summary Data'!$A69,'Round 1 Data'!$A$10:$A$143,'Round 1 Data'!S$10:S$144,0)+_xlfn.XLOOKUP('Summary Data'!$A69,'Round 2 Data'!$A$10:$A$146,'Round 2 Data'!S$10:S$146,0)+_xlfn.XLOOKUP('Summary Data'!$A69,'Round 3 Data'!$A$10:$A$145,'Round 3 Data'!S$10:S$145,0)+_xlfn.XLOOKUP('Summary Data'!$A69,'Round 4 Data'!$A$10:$A$147,'Round 4 Data'!S$10:S$147,0))/$D69</f>
        <v>#VALUE!</v>
      </c>
      <c r="T69" s="62" t="e">
        <f>(_xlfn.XLOOKUP('Summary Data'!$A69,'Round 1 Data'!$A$10:$A$143,'Round 1 Data'!U$10:U$144,0)+_xlfn.XLOOKUP('Summary Data'!$A69,'Round 2 Data'!$A$10:$A$146,'Round 2 Data'!U$10:U$146,0)+_xlfn.XLOOKUP('Summary Data'!$A69,'Round 3 Data'!$A$10:$A$145,'Round 3 Data'!U$10:U$145,0)+_xlfn.XLOOKUP('Summary Data'!$A69,'Round 4 Data'!$A$10:$A$147,'Round 4 Data'!U$10:U$147,0))</f>
        <v>#VALUE!</v>
      </c>
    </row>
    <row r="70" spans="1:20" ht="16" thickBot="1" x14ac:dyDescent="0.25">
      <c r="A70" s="61" t="s">
        <v>100</v>
      </c>
      <c r="B70" t="s">
        <v>190</v>
      </c>
      <c r="C70" t="s">
        <v>200</v>
      </c>
      <c r="D70" t="e">
        <f>IF(_xlfn.XLOOKUP('Summary Data'!A70,'Round 1 Data'!$A$10:$A$143,'Round 1 Data'!$E$10:$E$144,0)=0,0,1)+IF(_xlfn.XLOOKUP('Summary Data'!A70,'Round 2 Data'!$A$10:$A$146,'Round 2 Data'!$E$10:$E$146,0)=0,0,1)+IF(_xlfn.XLOOKUP('Summary Data'!A70,'Round 3 Data'!$A$10:$A$145,'Round 3 Data'!$E$10:$E$145,0)=0,0,1)+IF(_xlfn.XLOOKUP('Summary Data'!A70,'Round 4 Data'!$A$10:$A$147,'Round 4 Data'!$E$10:$E$147,0)=0,0,1)</f>
        <v>#VALUE!</v>
      </c>
      <c r="E70" s="57" t="e">
        <f>(_xlfn.XLOOKUP('Summary Data'!$A70,'Round 1 Data'!$A$10:$A$143,'Round 1 Data'!E$10:E$144,0)+_xlfn.XLOOKUP('Summary Data'!$A70,'Round 2 Data'!$A$10:$A$146,'Round 2 Data'!E$10:E$146,0)+_xlfn.XLOOKUP('Summary Data'!$A70,'Round 3 Data'!$A$10:$A$145,'Round 3 Data'!E$10:E$145,0)+_xlfn.XLOOKUP('Summary Data'!$A70,'Round 4 Data'!$A$10:$A$147,'Round 4 Data'!E$10:E$147,0))/$D70</f>
        <v>#VALUE!</v>
      </c>
      <c r="F70" s="57" t="e">
        <f>(_xlfn.XLOOKUP('Summary Data'!$A70,'Round 1 Data'!$A$10:$A$143,'Round 1 Data'!F$10:F$144,0)+_xlfn.XLOOKUP('Summary Data'!$A70,'Round 2 Data'!$A$10:$A$146,'Round 2 Data'!F$10:F$146,0)+_xlfn.XLOOKUP('Summary Data'!$A70,'Round 3 Data'!$A$10:$A$145,'Round 3 Data'!F$10:F$145,0)+_xlfn.XLOOKUP('Summary Data'!$A70,'Round 4 Data'!$A$10:$A$147,'Round 4 Data'!F$10:F$147,0))/$D70</f>
        <v>#VALUE!</v>
      </c>
      <c r="G70" s="57" t="e">
        <f>(_xlfn.XLOOKUP('Summary Data'!$A70,'Round 1 Data'!$A$10:$A$143,'Round 1 Data'!G$10:G$144,0)+_xlfn.XLOOKUP('Summary Data'!$A70,'Round 2 Data'!$A$10:$A$146,'Round 2 Data'!G$10:G$146,0)+_xlfn.XLOOKUP('Summary Data'!$A70,'Round 3 Data'!$A$10:$A$145,'Round 3 Data'!G$10:G$145,0)+_xlfn.XLOOKUP('Summary Data'!$A70,'Round 4 Data'!$A$10:$A$147,'Round 4 Data'!G$10:G$147,0))/$D70</f>
        <v>#VALUE!</v>
      </c>
      <c r="H70" s="57" t="e">
        <f>(_xlfn.XLOOKUP('Summary Data'!$A70,'Round 1 Data'!$A$10:$A$143,'Round 1 Data'!H$10:H$144,0)+_xlfn.XLOOKUP('Summary Data'!$A70,'Round 2 Data'!$A$10:$A$146,'Round 2 Data'!H$10:H$146,0)+_xlfn.XLOOKUP('Summary Data'!$A70,'Round 3 Data'!$A$10:$A$145,'Round 3 Data'!H$10:H$145,0)+_xlfn.XLOOKUP('Summary Data'!$A70,'Round 4 Data'!$A$10:$A$147,'Round 4 Data'!H$10:H$147,0))/$D70</f>
        <v>#VALUE!</v>
      </c>
      <c r="I70" s="57" t="e">
        <f>(_xlfn.XLOOKUP('Summary Data'!$A70,'Round 1 Data'!$A$10:$A$143,'Round 1 Data'!I$10:I$144,0)+_xlfn.XLOOKUP('Summary Data'!$A70,'Round 2 Data'!$A$10:$A$146,'Round 2 Data'!I$10:I$146,0)+_xlfn.XLOOKUP('Summary Data'!$A70,'Round 3 Data'!$A$10:$A$145,'Round 3 Data'!I$10:I$145,0)+_xlfn.XLOOKUP('Summary Data'!$A70,'Round 4 Data'!$A$10:$A$147,'Round 4 Data'!I$10:I$147,0))/$D70</f>
        <v>#VALUE!</v>
      </c>
      <c r="J70" s="57" t="e">
        <f>(_xlfn.XLOOKUP('Summary Data'!$A70,'Round 1 Data'!$A$10:$A$143,'Round 1 Data'!J$10:J$144,0)+_xlfn.XLOOKUP('Summary Data'!$A70,'Round 2 Data'!$A$10:$A$146,'Round 2 Data'!J$10:J$146,0)+_xlfn.XLOOKUP('Summary Data'!$A70,'Round 3 Data'!$A$10:$A$145,'Round 3 Data'!J$10:J$145,0)+_xlfn.XLOOKUP('Summary Data'!$A70,'Round 4 Data'!$A$10:$A$147,'Round 4 Data'!J$10:J$147,0))/$D70</f>
        <v>#VALUE!</v>
      </c>
      <c r="K70" s="57" t="e">
        <f>(_xlfn.XLOOKUP('Summary Data'!$A70,'Round 1 Data'!$A$10:$A$143,'Round 1 Data'!K$10:K$144,0)+_xlfn.XLOOKUP('Summary Data'!$A70,'Round 2 Data'!$A$10:$A$146,'Round 2 Data'!K$10:K$146,0)+_xlfn.XLOOKUP('Summary Data'!$A70,'Round 3 Data'!$A$10:$A$145,'Round 3 Data'!K$10:K$145,0)+_xlfn.XLOOKUP('Summary Data'!$A70,'Round 4 Data'!$A$10:$A$147,'Round 4 Data'!K$10:K$147,0))/$D70</f>
        <v>#VALUE!</v>
      </c>
      <c r="L70" s="57" t="e">
        <f>(_xlfn.XLOOKUP('Summary Data'!$A70,'Round 1 Data'!$A$10:$A$143,'Round 1 Data'!L$10:L$144,0)+_xlfn.XLOOKUP('Summary Data'!$A70,'Round 2 Data'!$A$10:$A$146,'Round 2 Data'!L$10:L$146,0)+_xlfn.XLOOKUP('Summary Data'!$A70,'Round 3 Data'!$A$10:$A$145,'Round 3 Data'!L$10:L$145,0)+_xlfn.XLOOKUP('Summary Data'!$A70,'Round 4 Data'!$A$10:$A$147,'Round 4 Data'!L$10:L$147,0))/$D70</f>
        <v>#VALUE!</v>
      </c>
      <c r="M70" s="57" t="e">
        <f>(_xlfn.XLOOKUP('Summary Data'!$A70,'Round 1 Data'!$A$10:$A$143,'Round 1 Data'!M$10:M$144,0)+_xlfn.XLOOKUP('Summary Data'!$A70,'Round 2 Data'!$A$10:$A$146,'Round 2 Data'!M$10:M$146,0)+_xlfn.XLOOKUP('Summary Data'!$A70,'Round 3 Data'!$A$10:$A$145,'Round 3 Data'!M$10:M$145,0)+_xlfn.XLOOKUP('Summary Data'!$A70,'Round 4 Data'!$A$10:$A$147,'Round 4 Data'!M$10:M$147,0))/$D70</f>
        <v>#VALUE!</v>
      </c>
      <c r="N70" s="57" t="e">
        <f>(_xlfn.XLOOKUP('Summary Data'!$A70,'Round 1 Data'!$A$10:$A$143,'Round 1 Data'!N$10:N$144,0)+_xlfn.XLOOKUP('Summary Data'!$A70,'Round 2 Data'!$A$10:$A$146,'Round 2 Data'!N$10:N$146,0)+_xlfn.XLOOKUP('Summary Data'!$A70,'Round 3 Data'!$A$10:$A$145,'Round 3 Data'!N$10:N$145,0)+_xlfn.XLOOKUP('Summary Data'!$A70,'Round 4 Data'!$A$10:$A$147,'Round 4 Data'!N$10:N$147,0))/$D70</f>
        <v>#VALUE!</v>
      </c>
      <c r="O70" s="57" t="e">
        <f>(_xlfn.XLOOKUP('Summary Data'!$A70,'Round 1 Data'!$A$10:$A$143,'Round 1 Data'!O$10:O$144,0)+_xlfn.XLOOKUP('Summary Data'!$A70,'Round 2 Data'!$A$10:$A$146,'Round 2 Data'!O$10:O$146,0)+_xlfn.XLOOKUP('Summary Data'!$A70,'Round 3 Data'!$A$10:$A$145,'Round 3 Data'!O$10:O$145,0)+_xlfn.XLOOKUP('Summary Data'!$A70,'Round 4 Data'!$A$10:$A$147,'Round 4 Data'!O$10:O$147,0))/$D70</f>
        <v>#VALUE!</v>
      </c>
      <c r="P70" s="57" t="e">
        <f>(_xlfn.XLOOKUP('Summary Data'!$A70,'Round 1 Data'!$A$10:$A$143,'Round 1 Data'!P$10:P$144,0)+_xlfn.XLOOKUP('Summary Data'!$A70,'Round 2 Data'!$A$10:$A$146,'Round 2 Data'!P$10:P$146,0)+_xlfn.XLOOKUP('Summary Data'!$A70,'Round 3 Data'!$A$10:$A$145,'Round 3 Data'!P$10:P$145,0)+_xlfn.XLOOKUP('Summary Data'!$A70,'Round 4 Data'!$A$10:$A$147,'Round 4 Data'!P$10:P$147,0))/$D70</f>
        <v>#VALUE!</v>
      </c>
      <c r="Q70" s="57" t="e">
        <f>(_xlfn.XLOOKUP('Summary Data'!$A70,'Round 1 Data'!$A$10:$A$143,'Round 1 Data'!Q$10:Q$144,0)+_xlfn.XLOOKUP('Summary Data'!$A70,'Round 2 Data'!$A$10:$A$146,'Round 2 Data'!Q$10:Q$146,0)+_xlfn.XLOOKUP('Summary Data'!$A70,'Round 3 Data'!$A$10:$A$145,'Round 3 Data'!Q$10:Q$145,0)+_xlfn.XLOOKUP('Summary Data'!$A70,'Round 4 Data'!$A$10:$A$147,'Round 4 Data'!Q$10:Q$147,0))/$D70</f>
        <v>#VALUE!</v>
      </c>
      <c r="R70" s="57" t="e">
        <f>(_xlfn.XLOOKUP('Summary Data'!$A70,'Round 1 Data'!$A$10:$A$143,'Round 1 Data'!R$10:R$144,0)+_xlfn.XLOOKUP('Summary Data'!$A70,'Round 2 Data'!$A$10:$A$146,'Round 2 Data'!R$10:R$146,0)+_xlfn.XLOOKUP('Summary Data'!$A70,'Round 3 Data'!$A$10:$A$145,'Round 3 Data'!R$10:R$145,0)+_xlfn.XLOOKUP('Summary Data'!$A70,'Round 4 Data'!$A$10:$A$147,'Round 4 Data'!R$10:R$147,0))/$D70</f>
        <v>#VALUE!</v>
      </c>
      <c r="S70" s="57" t="e">
        <f>(_xlfn.XLOOKUP('Summary Data'!$A70,'Round 1 Data'!$A$10:$A$143,'Round 1 Data'!S$10:S$144,0)+_xlfn.XLOOKUP('Summary Data'!$A70,'Round 2 Data'!$A$10:$A$146,'Round 2 Data'!S$10:S$146,0)+_xlfn.XLOOKUP('Summary Data'!$A70,'Round 3 Data'!$A$10:$A$145,'Round 3 Data'!S$10:S$145,0)+_xlfn.XLOOKUP('Summary Data'!$A70,'Round 4 Data'!$A$10:$A$147,'Round 4 Data'!S$10:S$147,0))/$D70</f>
        <v>#VALUE!</v>
      </c>
      <c r="T70" s="62" t="e">
        <f>(_xlfn.XLOOKUP('Summary Data'!$A70,'Round 1 Data'!$A$10:$A$143,'Round 1 Data'!U$10:U$144,0)+_xlfn.XLOOKUP('Summary Data'!$A70,'Round 2 Data'!$A$10:$A$146,'Round 2 Data'!U$10:U$146,0)+_xlfn.XLOOKUP('Summary Data'!$A70,'Round 3 Data'!$A$10:$A$145,'Round 3 Data'!U$10:U$145,0)+_xlfn.XLOOKUP('Summary Data'!$A70,'Round 4 Data'!$A$10:$A$147,'Round 4 Data'!U$10:U$147,0))</f>
        <v>#VALUE!</v>
      </c>
    </row>
    <row r="71" spans="1:20" ht="16" thickBot="1" x14ac:dyDescent="0.25">
      <c r="A71" s="63" t="s">
        <v>101</v>
      </c>
      <c r="B71" t="s">
        <v>190</v>
      </c>
      <c r="C71" t="s">
        <v>201</v>
      </c>
      <c r="D71" t="e">
        <f>IF(_xlfn.XLOOKUP('Summary Data'!A71,'Round 1 Data'!$A$10:$A$143,'Round 1 Data'!$E$10:$E$144,0)=0,0,1)+IF(_xlfn.XLOOKUP('Summary Data'!A71,'Round 2 Data'!$A$10:$A$146,'Round 2 Data'!$E$10:$E$146,0)=0,0,1)+IF(_xlfn.XLOOKUP('Summary Data'!A71,'Round 3 Data'!$A$10:$A$145,'Round 3 Data'!$E$10:$E$145,0)=0,0,1)+IF(_xlfn.XLOOKUP('Summary Data'!A71,'Round 4 Data'!$A$10:$A$147,'Round 4 Data'!$E$10:$E$147,0)=0,0,1)</f>
        <v>#VALUE!</v>
      </c>
      <c r="E71" s="57" t="e">
        <f>(_xlfn.XLOOKUP('Summary Data'!$A71,'Round 1 Data'!$A$10:$A$143,'Round 1 Data'!E$10:E$144,0)+_xlfn.XLOOKUP('Summary Data'!$A71,'Round 2 Data'!$A$10:$A$146,'Round 2 Data'!E$10:E$146,0)+_xlfn.XLOOKUP('Summary Data'!$A71,'Round 3 Data'!$A$10:$A$145,'Round 3 Data'!E$10:E$145,0)+_xlfn.XLOOKUP('Summary Data'!$A71,'Round 4 Data'!$A$10:$A$147,'Round 4 Data'!E$10:E$147,0))/$D71</f>
        <v>#VALUE!</v>
      </c>
      <c r="F71" s="57" t="e">
        <f>(_xlfn.XLOOKUP('Summary Data'!$A71,'Round 1 Data'!$A$10:$A$143,'Round 1 Data'!F$10:F$144,0)+_xlfn.XLOOKUP('Summary Data'!$A71,'Round 2 Data'!$A$10:$A$146,'Round 2 Data'!F$10:F$146,0)+_xlfn.XLOOKUP('Summary Data'!$A71,'Round 3 Data'!$A$10:$A$145,'Round 3 Data'!F$10:F$145,0)+_xlfn.XLOOKUP('Summary Data'!$A71,'Round 4 Data'!$A$10:$A$147,'Round 4 Data'!F$10:F$147,0))/$D71</f>
        <v>#VALUE!</v>
      </c>
      <c r="G71" s="57" t="e">
        <f>(_xlfn.XLOOKUP('Summary Data'!$A71,'Round 1 Data'!$A$10:$A$143,'Round 1 Data'!G$10:G$144,0)+_xlfn.XLOOKUP('Summary Data'!$A71,'Round 2 Data'!$A$10:$A$146,'Round 2 Data'!G$10:G$146,0)+_xlfn.XLOOKUP('Summary Data'!$A71,'Round 3 Data'!$A$10:$A$145,'Round 3 Data'!G$10:G$145,0)+_xlfn.XLOOKUP('Summary Data'!$A71,'Round 4 Data'!$A$10:$A$147,'Round 4 Data'!G$10:G$147,0))/$D71</f>
        <v>#VALUE!</v>
      </c>
      <c r="H71" s="57" t="e">
        <f>(_xlfn.XLOOKUP('Summary Data'!$A71,'Round 1 Data'!$A$10:$A$143,'Round 1 Data'!H$10:H$144,0)+_xlfn.XLOOKUP('Summary Data'!$A71,'Round 2 Data'!$A$10:$A$146,'Round 2 Data'!H$10:H$146,0)+_xlfn.XLOOKUP('Summary Data'!$A71,'Round 3 Data'!$A$10:$A$145,'Round 3 Data'!H$10:H$145,0)+_xlfn.XLOOKUP('Summary Data'!$A71,'Round 4 Data'!$A$10:$A$147,'Round 4 Data'!H$10:H$147,0))/$D71</f>
        <v>#VALUE!</v>
      </c>
      <c r="I71" s="57" t="e">
        <f>(_xlfn.XLOOKUP('Summary Data'!$A71,'Round 1 Data'!$A$10:$A$143,'Round 1 Data'!I$10:I$144,0)+_xlfn.XLOOKUP('Summary Data'!$A71,'Round 2 Data'!$A$10:$A$146,'Round 2 Data'!I$10:I$146,0)+_xlfn.XLOOKUP('Summary Data'!$A71,'Round 3 Data'!$A$10:$A$145,'Round 3 Data'!I$10:I$145,0)+_xlfn.XLOOKUP('Summary Data'!$A71,'Round 4 Data'!$A$10:$A$147,'Round 4 Data'!I$10:I$147,0))/$D71</f>
        <v>#VALUE!</v>
      </c>
      <c r="J71" s="57" t="e">
        <f>(_xlfn.XLOOKUP('Summary Data'!$A71,'Round 1 Data'!$A$10:$A$143,'Round 1 Data'!J$10:J$144,0)+_xlfn.XLOOKUP('Summary Data'!$A71,'Round 2 Data'!$A$10:$A$146,'Round 2 Data'!J$10:J$146,0)+_xlfn.XLOOKUP('Summary Data'!$A71,'Round 3 Data'!$A$10:$A$145,'Round 3 Data'!J$10:J$145,0)+_xlfn.XLOOKUP('Summary Data'!$A71,'Round 4 Data'!$A$10:$A$147,'Round 4 Data'!J$10:J$147,0))/$D71</f>
        <v>#VALUE!</v>
      </c>
      <c r="K71" s="57" t="e">
        <f>(_xlfn.XLOOKUP('Summary Data'!$A71,'Round 1 Data'!$A$10:$A$143,'Round 1 Data'!K$10:K$144,0)+_xlfn.XLOOKUP('Summary Data'!$A71,'Round 2 Data'!$A$10:$A$146,'Round 2 Data'!K$10:K$146,0)+_xlfn.XLOOKUP('Summary Data'!$A71,'Round 3 Data'!$A$10:$A$145,'Round 3 Data'!K$10:K$145,0)+_xlfn.XLOOKUP('Summary Data'!$A71,'Round 4 Data'!$A$10:$A$147,'Round 4 Data'!K$10:K$147,0))/$D71</f>
        <v>#VALUE!</v>
      </c>
      <c r="L71" s="57" t="e">
        <f>(_xlfn.XLOOKUP('Summary Data'!$A71,'Round 1 Data'!$A$10:$A$143,'Round 1 Data'!L$10:L$144,0)+_xlfn.XLOOKUP('Summary Data'!$A71,'Round 2 Data'!$A$10:$A$146,'Round 2 Data'!L$10:L$146,0)+_xlfn.XLOOKUP('Summary Data'!$A71,'Round 3 Data'!$A$10:$A$145,'Round 3 Data'!L$10:L$145,0)+_xlfn.XLOOKUP('Summary Data'!$A71,'Round 4 Data'!$A$10:$A$147,'Round 4 Data'!L$10:L$147,0))/$D71</f>
        <v>#VALUE!</v>
      </c>
      <c r="M71" s="57" t="e">
        <f>(_xlfn.XLOOKUP('Summary Data'!$A71,'Round 1 Data'!$A$10:$A$143,'Round 1 Data'!M$10:M$144,0)+_xlfn.XLOOKUP('Summary Data'!$A71,'Round 2 Data'!$A$10:$A$146,'Round 2 Data'!M$10:M$146,0)+_xlfn.XLOOKUP('Summary Data'!$A71,'Round 3 Data'!$A$10:$A$145,'Round 3 Data'!M$10:M$145,0)+_xlfn.XLOOKUP('Summary Data'!$A71,'Round 4 Data'!$A$10:$A$147,'Round 4 Data'!M$10:M$147,0))/$D71</f>
        <v>#VALUE!</v>
      </c>
      <c r="N71" s="57" t="e">
        <f>(_xlfn.XLOOKUP('Summary Data'!$A71,'Round 1 Data'!$A$10:$A$143,'Round 1 Data'!N$10:N$144,0)+_xlfn.XLOOKUP('Summary Data'!$A71,'Round 2 Data'!$A$10:$A$146,'Round 2 Data'!N$10:N$146,0)+_xlfn.XLOOKUP('Summary Data'!$A71,'Round 3 Data'!$A$10:$A$145,'Round 3 Data'!N$10:N$145,0)+_xlfn.XLOOKUP('Summary Data'!$A71,'Round 4 Data'!$A$10:$A$147,'Round 4 Data'!N$10:N$147,0))/$D71</f>
        <v>#VALUE!</v>
      </c>
      <c r="O71" s="57" t="e">
        <f>(_xlfn.XLOOKUP('Summary Data'!$A71,'Round 1 Data'!$A$10:$A$143,'Round 1 Data'!O$10:O$144,0)+_xlfn.XLOOKUP('Summary Data'!$A71,'Round 2 Data'!$A$10:$A$146,'Round 2 Data'!O$10:O$146,0)+_xlfn.XLOOKUP('Summary Data'!$A71,'Round 3 Data'!$A$10:$A$145,'Round 3 Data'!O$10:O$145,0)+_xlfn.XLOOKUP('Summary Data'!$A71,'Round 4 Data'!$A$10:$A$147,'Round 4 Data'!O$10:O$147,0))/$D71</f>
        <v>#VALUE!</v>
      </c>
      <c r="P71" s="57" t="e">
        <f>(_xlfn.XLOOKUP('Summary Data'!$A71,'Round 1 Data'!$A$10:$A$143,'Round 1 Data'!P$10:P$144,0)+_xlfn.XLOOKUP('Summary Data'!$A71,'Round 2 Data'!$A$10:$A$146,'Round 2 Data'!P$10:P$146,0)+_xlfn.XLOOKUP('Summary Data'!$A71,'Round 3 Data'!$A$10:$A$145,'Round 3 Data'!P$10:P$145,0)+_xlfn.XLOOKUP('Summary Data'!$A71,'Round 4 Data'!$A$10:$A$147,'Round 4 Data'!P$10:P$147,0))/$D71</f>
        <v>#VALUE!</v>
      </c>
      <c r="Q71" s="57" t="e">
        <f>(_xlfn.XLOOKUP('Summary Data'!$A71,'Round 1 Data'!$A$10:$A$143,'Round 1 Data'!Q$10:Q$144,0)+_xlfn.XLOOKUP('Summary Data'!$A71,'Round 2 Data'!$A$10:$A$146,'Round 2 Data'!Q$10:Q$146,0)+_xlfn.XLOOKUP('Summary Data'!$A71,'Round 3 Data'!$A$10:$A$145,'Round 3 Data'!Q$10:Q$145,0)+_xlfn.XLOOKUP('Summary Data'!$A71,'Round 4 Data'!$A$10:$A$147,'Round 4 Data'!Q$10:Q$147,0))/$D71</f>
        <v>#VALUE!</v>
      </c>
      <c r="R71" s="57" t="e">
        <f>(_xlfn.XLOOKUP('Summary Data'!$A71,'Round 1 Data'!$A$10:$A$143,'Round 1 Data'!R$10:R$144,0)+_xlfn.XLOOKUP('Summary Data'!$A71,'Round 2 Data'!$A$10:$A$146,'Round 2 Data'!R$10:R$146,0)+_xlfn.XLOOKUP('Summary Data'!$A71,'Round 3 Data'!$A$10:$A$145,'Round 3 Data'!R$10:R$145,0)+_xlfn.XLOOKUP('Summary Data'!$A71,'Round 4 Data'!$A$10:$A$147,'Round 4 Data'!R$10:R$147,0))/$D71</f>
        <v>#VALUE!</v>
      </c>
      <c r="S71" s="57" t="e">
        <f>(_xlfn.XLOOKUP('Summary Data'!$A71,'Round 1 Data'!$A$10:$A$143,'Round 1 Data'!S$10:S$144,0)+_xlfn.XLOOKUP('Summary Data'!$A71,'Round 2 Data'!$A$10:$A$146,'Round 2 Data'!S$10:S$146,0)+_xlfn.XLOOKUP('Summary Data'!$A71,'Round 3 Data'!$A$10:$A$145,'Round 3 Data'!S$10:S$145,0)+_xlfn.XLOOKUP('Summary Data'!$A71,'Round 4 Data'!$A$10:$A$147,'Round 4 Data'!S$10:S$147,0))/$D71</f>
        <v>#VALUE!</v>
      </c>
      <c r="T71" s="62" t="e">
        <f>(_xlfn.XLOOKUP('Summary Data'!$A71,'Round 1 Data'!$A$10:$A$143,'Round 1 Data'!U$10:U$144,0)+_xlfn.XLOOKUP('Summary Data'!$A71,'Round 2 Data'!$A$10:$A$146,'Round 2 Data'!U$10:U$146,0)+_xlfn.XLOOKUP('Summary Data'!$A71,'Round 3 Data'!$A$10:$A$145,'Round 3 Data'!U$10:U$145,0)+_xlfn.XLOOKUP('Summary Data'!$A71,'Round 4 Data'!$A$10:$A$147,'Round 4 Data'!U$10:U$147,0))</f>
        <v>#VALUE!</v>
      </c>
    </row>
    <row r="72" spans="1:20" ht="16" thickBot="1" x14ac:dyDescent="0.25">
      <c r="A72" s="61" t="s">
        <v>34</v>
      </c>
      <c r="B72" t="s">
        <v>191</v>
      </c>
      <c r="C72" t="s">
        <v>194</v>
      </c>
      <c r="D72" t="e">
        <f>IF(_xlfn.XLOOKUP('Summary Data'!A72,'Round 1 Data'!$A$10:$A$143,'Round 1 Data'!$E$10:$E$144,0)=0,0,1)+IF(_xlfn.XLOOKUP('Summary Data'!A72,'Round 2 Data'!$A$10:$A$146,'Round 2 Data'!$E$10:$E$146,0)=0,0,1)+IF(_xlfn.XLOOKUP('Summary Data'!A72,'Round 3 Data'!$A$10:$A$145,'Round 3 Data'!$E$10:$E$145,0)=0,0,1)+IF(_xlfn.XLOOKUP('Summary Data'!A72,'Round 4 Data'!$A$10:$A$147,'Round 4 Data'!$E$10:$E$147,0)=0,0,1)</f>
        <v>#VALUE!</v>
      </c>
      <c r="E72" s="57" t="e">
        <f>(_xlfn.XLOOKUP('Summary Data'!$A72,'Round 1 Data'!$A$10:$A$143,'Round 1 Data'!E$10:E$144,0)+_xlfn.XLOOKUP('Summary Data'!$A72,'Round 2 Data'!$A$10:$A$146,'Round 2 Data'!E$10:E$146,0)+_xlfn.XLOOKUP('Summary Data'!$A72,'Round 3 Data'!$A$10:$A$145,'Round 3 Data'!E$10:E$145,0)+_xlfn.XLOOKUP('Summary Data'!$A72,'Round 4 Data'!$A$10:$A$147,'Round 4 Data'!E$10:E$147,0))/$D72</f>
        <v>#VALUE!</v>
      </c>
      <c r="F72" s="57" t="e">
        <f>(_xlfn.XLOOKUP('Summary Data'!$A72,'Round 1 Data'!$A$10:$A$143,'Round 1 Data'!F$10:F$144,0)+_xlfn.XLOOKUP('Summary Data'!$A72,'Round 2 Data'!$A$10:$A$146,'Round 2 Data'!F$10:F$146,0)+_xlfn.XLOOKUP('Summary Data'!$A72,'Round 3 Data'!$A$10:$A$145,'Round 3 Data'!F$10:F$145,0)+_xlfn.XLOOKUP('Summary Data'!$A72,'Round 4 Data'!$A$10:$A$147,'Round 4 Data'!F$10:F$147,0))/$D72</f>
        <v>#VALUE!</v>
      </c>
      <c r="G72" s="57" t="e">
        <f>(_xlfn.XLOOKUP('Summary Data'!$A72,'Round 1 Data'!$A$10:$A$143,'Round 1 Data'!G$10:G$144,0)+_xlfn.XLOOKUP('Summary Data'!$A72,'Round 2 Data'!$A$10:$A$146,'Round 2 Data'!G$10:G$146,0)+_xlfn.XLOOKUP('Summary Data'!$A72,'Round 3 Data'!$A$10:$A$145,'Round 3 Data'!G$10:G$145,0)+_xlfn.XLOOKUP('Summary Data'!$A72,'Round 4 Data'!$A$10:$A$147,'Round 4 Data'!G$10:G$147,0))/$D72</f>
        <v>#VALUE!</v>
      </c>
      <c r="H72" s="57" t="e">
        <f>(_xlfn.XLOOKUP('Summary Data'!$A72,'Round 1 Data'!$A$10:$A$143,'Round 1 Data'!H$10:H$144,0)+_xlfn.XLOOKUP('Summary Data'!$A72,'Round 2 Data'!$A$10:$A$146,'Round 2 Data'!H$10:H$146,0)+_xlfn.XLOOKUP('Summary Data'!$A72,'Round 3 Data'!$A$10:$A$145,'Round 3 Data'!H$10:H$145,0)+_xlfn.XLOOKUP('Summary Data'!$A72,'Round 4 Data'!$A$10:$A$147,'Round 4 Data'!H$10:H$147,0))/$D72</f>
        <v>#VALUE!</v>
      </c>
      <c r="I72" s="57" t="e">
        <f>(_xlfn.XLOOKUP('Summary Data'!$A72,'Round 1 Data'!$A$10:$A$143,'Round 1 Data'!I$10:I$144,0)+_xlfn.XLOOKUP('Summary Data'!$A72,'Round 2 Data'!$A$10:$A$146,'Round 2 Data'!I$10:I$146,0)+_xlfn.XLOOKUP('Summary Data'!$A72,'Round 3 Data'!$A$10:$A$145,'Round 3 Data'!I$10:I$145,0)+_xlfn.XLOOKUP('Summary Data'!$A72,'Round 4 Data'!$A$10:$A$147,'Round 4 Data'!I$10:I$147,0))/$D72</f>
        <v>#VALUE!</v>
      </c>
      <c r="J72" s="57" t="e">
        <f>(_xlfn.XLOOKUP('Summary Data'!$A72,'Round 1 Data'!$A$10:$A$143,'Round 1 Data'!J$10:J$144,0)+_xlfn.XLOOKUP('Summary Data'!$A72,'Round 2 Data'!$A$10:$A$146,'Round 2 Data'!J$10:J$146,0)+_xlfn.XLOOKUP('Summary Data'!$A72,'Round 3 Data'!$A$10:$A$145,'Round 3 Data'!J$10:J$145,0)+_xlfn.XLOOKUP('Summary Data'!$A72,'Round 4 Data'!$A$10:$A$147,'Round 4 Data'!J$10:J$147,0))/$D72</f>
        <v>#VALUE!</v>
      </c>
      <c r="K72" s="57" t="e">
        <f>(_xlfn.XLOOKUP('Summary Data'!$A72,'Round 1 Data'!$A$10:$A$143,'Round 1 Data'!K$10:K$144,0)+_xlfn.XLOOKUP('Summary Data'!$A72,'Round 2 Data'!$A$10:$A$146,'Round 2 Data'!K$10:K$146,0)+_xlfn.XLOOKUP('Summary Data'!$A72,'Round 3 Data'!$A$10:$A$145,'Round 3 Data'!K$10:K$145,0)+_xlfn.XLOOKUP('Summary Data'!$A72,'Round 4 Data'!$A$10:$A$147,'Round 4 Data'!K$10:K$147,0))/$D72</f>
        <v>#VALUE!</v>
      </c>
      <c r="L72" s="57" t="e">
        <f>(_xlfn.XLOOKUP('Summary Data'!$A72,'Round 1 Data'!$A$10:$A$143,'Round 1 Data'!L$10:L$144,0)+_xlfn.XLOOKUP('Summary Data'!$A72,'Round 2 Data'!$A$10:$A$146,'Round 2 Data'!L$10:L$146,0)+_xlfn.XLOOKUP('Summary Data'!$A72,'Round 3 Data'!$A$10:$A$145,'Round 3 Data'!L$10:L$145,0)+_xlfn.XLOOKUP('Summary Data'!$A72,'Round 4 Data'!$A$10:$A$147,'Round 4 Data'!L$10:L$147,0))/$D72</f>
        <v>#VALUE!</v>
      </c>
      <c r="M72" s="57" t="e">
        <f>(_xlfn.XLOOKUP('Summary Data'!$A72,'Round 1 Data'!$A$10:$A$143,'Round 1 Data'!M$10:M$144,0)+_xlfn.XLOOKUP('Summary Data'!$A72,'Round 2 Data'!$A$10:$A$146,'Round 2 Data'!M$10:M$146,0)+_xlfn.XLOOKUP('Summary Data'!$A72,'Round 3 Data'!$A$10:$A$145,'Round 3 Data'!M$10:M$145,0)+_xlfn.XLOOKUP('Summary Data'!$A72,'Round 4 Data'!$A$10:$A$147,'Round 4 Data'!M$10:M$147,0))/$D72</f>
        <v>#VALUE!</v>
      </c>
      <c r="N72" s="57" t="e">
        <f>(_xlfn.XLOOKUP('Summary Data'!$A72,'Round 1 Data'!$A$10:$A$143,'Round 1 Data'!N$10:N$144,0)+_xlfn.XLOOKUP('Summary Data'!$A72,'Round 2 Data'!$A$10:$A$146,'Round 2 Data'!N$10:N$146,0)+_xlfn.XLOOKUP('Summary Data'!$A72,'Round 3 Data'!$A$10:$A$145,'Round 3 Data'!N$10:N$145,0)+_xlfn.XLOOKUP('Summary Data'!$A72,'Round 4 Data'!$A$10:$A$147,'Round 4 Data'!N$10:N$147,0))/$D72</f>
        <v>#VALUE!</v>
      </c>
      <c r="O72" s="57" t="e">
        <f>(_xlfn.XLOOKUP('Summary Data'!$A72,'Round 1 Data'!$A$10:$A$143,'Round 1 Data'!O$10:O$144,0)+_xlfn.XLOOKUP('Summary Data'!$A72,'Round 2 Data'!$A$10:$A$146,'Round 2 Data'!O$10:O$146,0)+_xlfn.XLOOKUP('Summary Data'!$A72,'Round 3 Data'!$A$10:$A$145,'Round 3 Data'!O$10:O$145,0)+_xlfn.XLOOKUP('Summary Data'!$A72,'Round 4 Data'!$A$10:$A$147,'Round 4 Data'!O$10:O$147,0))/$D72</f>
        <v>#VALUE!</v>
      </c>
      <c r="P72" s="57" t="e">
        <f>(_xlfn.XLOOKUP('Summary Data'!$A72,'Round 1 Data'!$A$10:$A$143,'Round 1 Data'!P$10:P$144,0)+_xlfn.XLOOKUP('Summary Data'!$A72,'Round 2 Data'!$A$10:$A$146,'Round 2 Data'!P$10:P$146,0)+_xlfn.XLOOKUP('Summary Data'!$A72,'Round 3 Data'!$A$10:$A$145,'Round 3 Data'!P$10:P$145,0)+_xlfn.XLOOKUP('Summary Data'!$A72,'Round 4 Data'!$A$10:$A$147,'Round 4 Data'!P$10:P$147,0))/$D72</f>
        <v>#VALUE!</v>
      </c>
      <c r="Q72" s="57" t="e">
        <f>(_xlfn.XLOOKUP('Summary Data'!$A72,'Round 1 Data'!$A$10:$A$143,'Round 1 Data'!Q$10:Q$144,0)+_xlfn.XLOOKUP('Summary Data'!$A72,'Round 2 Data'!$A$10:$A$146,'Round 2 Data'!Q$10:Q$146,0)+_xlfn.XLOOKUP('Summary Data'!$A72,'Round 3 Data'!$A$10:$A$145,'Round 3 Data'!Q$10:Q$145,0)+_xlfn.XLOOKUP('Summary Data'!$A72,'Round 4 Data'!$A$10:$A$147,'Round 4 Data'!Q$10:Q$147,0))/$D72</f>
        <v>#VALUE!</v>
      </c>
      <c r="R72" s="57" t="e">
        <f>(_xlfn.XLOOKUP('Summary Data'!$A72,'Round 1 Data'!$A$10:$A$143,'Round 1 Data'!R$10:R$144,0)+_xlfn.XLOOKUP('Summary Data'!$A72,'Round 2 Data'!$A$10:$A$146,'Round 2 Data'!R$10:R$146,0)+_xlfn.XLOOKUP('Summary Data'!$A72,'Round 3 Data'!$A$10:$A$145,'Round 3 Data'!R$10:R$145,0)+_xlfn.XLOOKUP('Summary Data'!$A72,'Round 4 Data'!$A$10:$A$147,'Round 4 Data'!R$10:R$147,0))/$D72</f>
        <v>#VALUE!</v>
      </c>
      <c r="S72" s="57" t="e">
        <f>(_xlfn.XLOOKUP('Summary Data'!$A72,'Round 1 Data'!$A$10:$A$143,'Round 1 Data'!S$10:S$144,0)+_xlfn.XLOOKUP('Summary Data'!$A72,'Round 2 Data'!$A$10:$A$146,'Round 2 Data'!S$10:S$146,0)+_xlfn.XLOOKUP('Summary Data'!$A72,'Round 3 Data'!$A$10:$A$145,'Round 3 Data'!S$10:S$145,0)+_xlfn.XLOOKUP('Summary Data'!$A72,'Round 4 Data'!$A$10:$A$147,'Round 4 Data'!S$10:S$147,0))/$D72</f>
        <v>#VALUE!</v>
      </c>
      <c r="T72" s="62" t="e">
        <f>(_xlfn.XLOOKUP('Summary Data'!$A72,'Round 1 Data'!$A$10:$A$143,'Round 1 Data'!U$10:U$144,0)+_xlfn.XLOOKUP('Summary Data'!$A72,'Round 2 Data'!$A$10:$A$146,'Round 2 Data'!U$10:U$146,0)+_xlfn.XLOOKUP('Summary Data'!$A72,'Round 3 Data'!$A$10:$A$145,'Round 3 Data'!U$10:U$145,0)+_xlfn.XLOOKUP('Summary Data'!$A72,'Round 4 Data'!$A$10:$A$147,'Round 4 Data'!U$10:U$147,0))</f>
        <v>#VALUE!</v>
      </c>
    </row>
    <row r="73" spans="1:20" ht="16" thickBot="1" x14ac:dyDescent="0.25">
      <c r="A73" s="63" t="s">
        <v>35</v>
      </c>
      <c r="B73" t="s">
        <v>191</v>
      </c>
      <c r="C73" t="s">
        <v>194</v>
      </c>
      <c r="D73" t="e">
        <f>IF(_xlfn.XLOOKUP('Summary Data'!A73,'Round 1 Data'!$A$10:$A$143,'Round 1 Data'!$E$10:$E$144,0)=0,0,1)+IF(_xlfn.XLOOKUP('Summary Data'!A73,'Round 2 Data'!$A$10:$A$146,'Round 2 Data'!$E$10:$E$146,0)=0,0,1)+IF(_xlfn.XLOOKUP('Summary Data'!A73,'Round 3 Data'!$A$10:$A$145,'Round 3 Data'!$E$10:$E$145,0)=0,0,1)+IF(_xlfn.XLOOKUP('Summary Data'!A73,'Round 4 Data'!$A$10:$A$147,'Round 4 Data'!$E$10:$E$147,0)=0,0,1)</f>
        <v>#VALUE!</v>
      </c>
      <c r="E73" s="57" t="e">
        <f>(_xlfn.XLOOKUP('Summary Data'!$A73,'Round 1 Data'!$A$10:$A$143,'Round 1 Data'!E$10:E$144,0)+_xlfn.XLOOKUP('Summary Data'!$A73,'Round 2 Data'!$A$10:$A$146,'Round 2 Data'!E$10:E$146,0)+_xlfn.XLOOKUP('Summary Data'!$A73,'Round 3 Data'!$A$10:$A$145,'Round 3 Data'!E$10:E$145,0)+_xlfn.XLOOKUP('Summary Data'!$A73,'Round 4 Data'!$A$10:$A$147,'Round 4 Data'!E$10:E$147,0))/$D73</f>
        <v>#VALUE!</v>
      </c>
      <c r="F73" s="57" t="e">
        <f>(_xlfn.XLOOKUP('Summary Data'!$A73,'Round 1 Data'!$A$10:$A$143,'Round 1 Data'!F$10:F$144,0)+_xlfn.XLOOKUP('Summary Data'!$A73,'Round 2 Data'!$A$10:$A$146,'Round 2 Data'!F$10:F$146,0)+_xlfn.XLOOKUP('Summary Data'!$A73,'Round 3 Data'!$A$10:$A$145,'Round 3 Data'!F$10:F$145,0)+_xlfn.XLOOKUP('Summary Data'!$A73,'Round 4 Data'!$A$10:$A$147,'Round 4 Data'!F$10:F$147,0))/$D73</f>
        <v>#VALUE!</v>
      </c>
      <c r="G73" s="57" t="e">
        <f>(_xlfn.XLOOKUP('Summary Data'!$A73,'Round 1 Data'!$A$10:$A$143,'Round 1 Data'!G$10:G$144,0)+_xlfn.XLOOKUP('Summary Data'!$A73,'Round 2 Data'!$A$10:$A$146,'Round 2 Data'!G$10:G$146,0)+_xlfn.XLOOKUP('Summary Data'!$A73,'Round 3 Data'!$A$10:$A$145,'Round 3 Data'!G$10:G$145,0)+_xlfn.XLOOKUP('Summary Data'!$A73,'Round 4 Data'!$A$10:$A$147,'Round 4 Data'!G$10:G$147,0))/$D73</f>
        <v>#VALUE!</v>
      </c>
      <c r="H73" s="57" t="e">
        <f>(_xlfn.XLOOKUP('Summary Data'!$A73,'Round 1 Data'!$A$10:$A$143,'Round 1 Data'!H$10:H$144,0)+_xlfn.XLOOKUP('Summary Data'!$A73,'Round 2 Data'!$A$10:$A$146,'Round 2 Data'!H$10:H$146,0)+_xlfn.XLOOKUP('Summary Data'!$A73,'Round 3 Data'!$A$10:$A$145,'Round 3 Data'!H$10:H$145,0)+_xlfn.XLOOKUP('Summary Data'!$A73,'Round 4 Data'!$A$10:$A$147,'Round 4 Data'!H$10:H$147,0))/$D73</f>
        <v>#VALUE!</v>
      </c>
      <c r="I73" s="57" t="e">
        <f>(_xlfn.XLOOKUP('Summary Data'!$A73,'Round 1 Data'!$A$10:$A$143,'Round 1 Data'!I$10:I$144,0)+_xlfn.XLOOKUP('Summary Data'!$A73,'Round 2 Data'!$A$10:$A$146,'Round 2 Data'!I$10:I$146,0)+_xlfn.XLOOKUP('Summary Data'!$A73,'Round 3 Data'!$A$10:$A$145,'Round 3 Data'!I$10:I$145,0)+_xlfn.XLOOKUP('Summary Data'!$A73,'Round 4 Data'!$A$10:$A$147,'Round 4 Data'!I$10:I$147,0))/$D73</f>
        <v>#VALUE!</v>
      </c>
      <c r="J73" s="57" t="e">
        <f>(_xlfn.XLOOKUP('Summary Data'!$A73,'Round 1 Data'!$A$10:$A$143,'Round 1 Data'!J$10:J$144,0)+_xlfn.XLOOKUP('Summary Data'!$A73,'Round 2 Data'!$A$10:$A$146,'Round 2 Data'!J$10:J$146,0)+_xlfn.XLOOKUP('Summary Data'!$A73,'Round 3 Data'!$A$10:$A$145,'Round 3 Data'!J$10:J$145,0)+_xlfn.XLOOKUP('Summary Data'!$A73,'Round 4 Data'!$A$10:$A$147,'Round 4 Data'!J$10:J$147,0))/$D73</f>
        <v>#VALUE!</v>
      </c>
      <c r="K73" s="57" t="e">
        <f>(_xlfn.XLOOKUP('Summary Data'!$A73,'Round 1 Data'!$A$10:$A$143,'Round 1 Data'!K$10:K$144,0)+_xlfn.XLOOKUP('Summary Data'!$A73,'Round 2 Data'!$A$10:$A$146,'Round 2 Data'!K$10:K$146,0)+_xlfn.XLOOKUP('Summary Data'!$A73,'Round 3 Data'!$A$10:$A$145,'Round 3 Data'!K$10:K$145,0)+_xlfn.XLOOKUP('Summary Data'!$A73,'Round 4 Data'!$A$10:$A$147,'Round 4 Data'!K$10:K$147,0))/$D73</f>
        <v>#VALUE!</v>
      </c>
      <c r="L73" s="57" t="e">
        <f>(_xlfn.XLOOKUP('Summary Data'!$A73,'Round 1 Data'!$A$10:$A$143,'Round 1 Data'!L$10:L$144,0)+_xlfn.XLOOKUP('Summary Data'!$A73,'Round 2 Data'!$A$10:$A$146,'Round 2 Data'!L$10:L$146,0)+_xlfn.XLOOKUP('Summary Data'!$A73,'Round 3 Data'!$A$10:$A$145,'Round 3 Data'!L$10:L$145,0)+_xlfn.XLOOKUP('Summary Data'!$A73,'Round 4 Data'!$A$10:$A$147,'Round 4 Data'!L$10:L$147,0))/$D73</f>
        <v>#VALUE!</v>
      </c>
      <c r="M73" s="57" t="e">
        <f>(_xlfn.XLOOKUP('Summary Data'!$A73,'Round 1 Data'!$A$10:$A$143,'Round 1 Data'!M$10:M$144,0)+_xlfn.XLOOKUP('Summary Data'!$A73,'Round 2 Data'!$A$10:$A$146,'Round 2 Data'!M$10:M$146,0)+_xlfn.XLOOKUP('Summary Data'!$A73,'Round 3 Data'!$A$10:$A$145,'Round 3 Data'!M$10:M$145,0)+_xlfn.XLOOKUP('Summary Data'!$A73,'Round 4 Data'!$A$10:$A$147,'Round 4 Data'!M$10:M$147,0))/$D73</f>
        <v>#VALUE!</v>
      </c>
      <c r="N73" s="57" t="e">
        <f>(_xlfn.XLOOKUP('Summary Data'!$A73,'Round 1 Data'!$A$10:$A$143,'Round 1 Data'!N$10:N$144,0)+_xlfn.XLOOKUP('Summary Data'!$A73,'Round 2 Data'!$A$10:$A$146,'Round 2 Data'!N$10:N$146,0)+_xlfn.XLOOKUP('Summary Data'!$A73,'Round 3 Data'!$A$10:$A$145,'Round 3 Data'!N$10:N$145,0)+_xlfn.XLOOKUP('Summary Data'!$A73,'Round 4 Data'!$A$10:$A$147,'Round 4 Data'!N$10:N$147,0))/$D73</f>
        <v>#VALUE!</v>
      </c>
      <c r="O73" s="57" t="e">
        <f>(_xlfn.XLOOKUP('Summary Data'!$A73,'Round 1 Data'!$A$10:$A$143,'Round 1 Data'!O$10:O$144,0)+_xlfn.XLOOKUP('Summary Data'!$A73,'Round 2 Data'!$A$10:$A$146,'Round 2 Data'!O$10:O$146,0)+_xlfn.XLOOKUP('Summary Data'!$A73,'Round 3 Data'!$A$10:$A$145,'Round 3 Data'!O$10:O$145,0)+_xlfn.XLOOKUP('Summary Data'!$A73,'Round 4 Data'!$A$10:$A$147,'Round 4 Data'!O$10:O$147,0))/$D73</f>
        <v>#VALUE!</v>
      </c>
      <c r="P73" s="57" t="e">
        <f>(_xlfn.XLOOKUP('Summary Data'!$A73,'Round 1 Data'!$A$10:$A$143,'Round 1 Data'!P$10:P$144,0)+_xlfn.XLOOKUP('Summary Data'!$A73,'Round 2 Data'!$A$10:$A$146,'Round 2 Data'!P$10:P$146,0)+_xlfn.XLOOKUP('Summary Data'!$A73,'Round 3 Data'!$A$10:$A$145,'Round 3 Data'!P$10:P$145,0)+_xlfn.XLOOKUP('Summary Data'!$A73,'Round 4 Data'!$A$10:$A$147,'Round 4 Data'!P$10:P$147,0))/$D73</f>
        <v>#VALUE!</v>
      </c>
      <c r="Q73" s="57" t="e">
        <f>(_xlfn.XLOOKUP('Summary Data'!$A73,'Round 1 Data'!$A$10:$A$143,'Round 1 Data'!Q$10:Q$144,0)+_xlfn.XLOOKUP('Summary Data'!$A73,'Round 2 Data'!$A$10:$A$146,'Round 2 Data'!Q$10:Q$146,0)+_xlfn.XLOOKUP('Summary Data'!$A73,'Round 3 Data'!$A$10:$A$145,'Round 3 Data'!Q$10:Q$145,0)+_xlfn.XLOOKUP('Summary Data'!$A73,'Round 4 Data'!$A$10:$A$147,'Round 4 Data'!Q$10:Q$147,0))/$D73</f>
        <v>#VALUE!</v>
      </c>
      <c r="R73" s="57" t="e">
        <f>(_xlfn.XLOOKUP('Summary Data'!$A73,'Round 1 Data'!$A$10:$A$143,'Round 1 Data'!R$10:R$144,0)+_xlfn.XLOOKUP('Summary Data'!$A73,'Round 2 Data'!$A$10:$A$146,'Round 2 Data'!R$10:R$146,0)+_xlfn.XLOOKUP('Summary Data'!$A73,'Round 3 Data'!$A$10:$A$145,'Round 3 Data'!R$10:R$145,0)+_xlfn.XLOOKUP('Summary Data'!$A73,'Round 4 Data'!$A$10:$A$147,'Round 4 Data'!R$10:R$147,0))/$D73</f>
        <v>#VALUE!</v>
      </c>
      <c r="S73" s="57" t="e">
        <f>(_xlfn.XLOOKUP('Summary Data'!$A73,'Round 1 Data'!$A$10:$A$143,'Round 1 Data'!S$10:S$144,0)+_xlfn.XLOOKUP('Summary Data'!$A73,'Round 2 Data'!$A$10:$A$146,'Round 2 Data'!S$10:S$146,0)+_xlfn.XLOOKUP('Summary Data'!$A73,'Round 3 Data'!$A$10:$A$145,'Round 3 Data'!S$10:S$145,0)+_xlfn.XLOOKUP('Summary Data'!$A73,'Round 4 Data'!$A$10:$A$147,'Round 4 Data'!S$10:S$147,0))/$D73</f>
        <v>#VALUE!</v>
      </c>
      <c r="T73" s="62" t="e">
        <f>(_xlfn.XLOOKUP('Summary Data'!$A73,'Round 1 Data'!$A$10:$A$143,'Round 1 Data'!U$10:U$144,0)+_xlfn.XLOOKUP('Summary Data'!$A73,'Round 2 Data'!$A$10:$A$146,'Round 2 Data'!U$10:U$146,0)+_xlfn.XLOOKUP('Summary Data'!$A73,'Round 3 Data'!$A$10:$A$145,'Round 3 Data'!U$10:U$145,0)+_xlfn.XLOOKUP('Summary Data'!$A73,'Round 4 Data'!$A$10:$A$147,'Round 4 Data'!U$10:U$147,0))</f>
        <v>#VALUE!</v>
      </c>
    </row>
    <row r="74" spans="1:20" ht="16" thickBot="1" x14ac:dyDescent="0.25">
      <c r="A74" s="61" t="s">
        <v>36</v>
      </c>
      <c r="B74" t="s">
        <v>191</v>
      </c>
      <c r="C74" t="s">
        <v>194</v>
      </c>
      <c r="D74" t="e">
        <f>IF(_xlfn.XLOOKUP('Summary Data'!A74,'Round 1 Data'!$A$10:$A$143,'Round 1 Data'!$E$10:$E$144,0)=0,0,1)+IF(_xlfn.XLOOKUP('Summary Data'!A74,'Round 2 Data'!$A$10:$A$146,'Round 2 Data'!$E$10:$E$146,0)=0,0,1)+IF(_xlfn.XLOOKUP('Summary Data'!A74,'Round 3 Data'!$A$10:$A$145,'Round 3 Data'!$E$10:$E$145,0)=0,0,1)+IF(_xlfn.XLOOKUP('Summary Data'!A74,'Round 4 Data'!$A$10:$A$147,'Round 4 Data'!$E$10:$E$147,0)=0,0,1)</f>
        <v>#VALUE!</v>
      </c>
      <c r="E74" s="57" t="e">
        <f>(_xlfn.XLOOKUP('Summary Data'!$A74,'Round 1 Data'!$A$10:$A$143,'Round 1 Data'!E$10:E$144,0)+_xlfn.XLOOKUP('Summary Data'!$A74,'Round 2 Data'!$A$10:$A$146,'Round 2 Data'!E$10:E$146,0)+_xlfn.XLOOKUP('Summary Data'!$A74,'Round 3 Data'!$A$10:$A$145,'Round 3 Data'!E$10:E$145,0)+_xlfn.XLOOKUP('Summary Data'!$A74,'Round 4 Data'!$A$10:$A$147,'Round 4 Data'!E$10:E$147,0))/$D74</f>
        <v>#VALUE!</v>
      </c>
      <c r="F74" s="57" t="e">
        <f>(_xlfn.XLOOKUP('Summary Data'!$A74,'Round 1 Data'!$A$10:$A$143,'Round 1 Data'!F$10:F$144,0)+_xlfn.XLOOKUP('Summary Data'!$A74,'Round 2 Data'!$A$10:$A$146,'Round 2 Data'!F$10:F$146,0)+_xlfn.XLOOKUP('Summary Data'!$A74,'Round 3 Data'!$A$10:$A$145,'Round 3 Data'!F$10:F$145,0)+_xlfn.XLOOKUP('Summary Data'!$A74,'Round 4 Data'!$A$10:$A$147,'Round 4 Data'!F$10:F$147,0))/$D74</f>
        <v>#VALUE!</v>
      </c>
      <c r="G74" s="57" t="e">
        <f>(_xlfn.XLOOKUP('Summary Data'!$A74,'Round 1 Data'!$A$10:$A$143,'Round 1 Data'!G$10:G$144,0)+_xlfn.XLOOKUP('Summary Data'!$A74,'Round 2 Data'!$A$10:$A$146,'Round 2 Data'!G$10:G$146,0)+_xlfn.XLOOKUP('Summary Data'!$A74,'Round 3 Data'!$A$10:$A$145,'Round 3 Data'!G$10:G$145,0)+_xlfn.XLOOKUP('Summary Data'!$A74,'Round 4 Data'!$A$10:$A$147,'Round 4 Data'!G$10:G$147,0))/$D74</f>
        <v>#VALUE!</v>
      </c>
      <c r="H74" s="57" t="e">
        <f>(_xlfn.XLOOKUP('Summary Data'!$A74,'Round 1 Data'!$A$10:$A$143,'Round 1 Data'!H$10:H$144,0)+_xlfn.XLOOKUP('Summary Data'!$A74,'Round 2 Data'!$A$10:$A$146,'Round 2 Data'!H$10:H$146,0)+_xlfn.XLOOKUP('Summary Data'!$A74,'Round 3 Data'!$A$10:$A$145,'Round 3 Data'!H$10:H$145,0)+_xlfn.XLOOKUP('Summary Data'!$A74,'Round 4 Data'!$A$10:$A$147,'Round 4 Data'!H$10:H$147,0))/$D74</f>
        <v>#VALUE!</v>
      </c>
      <c r="I74" s="57" t="e">
        <f>(_xlfn.XLOOKUP('Summary Data'!$A74,'Round 1 Data'!$A$10:$A$143,'Round 1 Data'!I$10:I$144,0)+_xlfn.XLOOKUP('Summary Data'!$A74,'Round 2 Data'!$A$10:$A$146,'Round 2 Data'!I$10:I$146,0)+_xlfn.XLOOKUP('Summary Data'!$A74,'Round 3 Data'!$A$10:$A$145,'Round 3 Data'!I$10:I$145,0)+_xlfn.XLOOKUP('Summary Data'!$A74,'Round 4 Data'!$A$10:$A$147,'Round 4 Data'!I$10:I$147,0))/$D74</f>
        <v>#VALUE!</v>
      </c>
      <c r="J74" s="57" t="e">
        <f>(_xlfn.XLOOKUP('Summary Data'!$A74,'Round 1 Data'!$A$10:$A$143,'Round 1 Data'!J$10:J$144,0)+_xlfn.XLOOKUP('Summary Data'!$A74,'Round 2 Data'!$A$10:$A$146,'Round 2 Data'!J$10:J$146,0)+_xlfn.XLOOKUP('Summary Data'!$A74,'Round 3 Data'!$A$10:$A$145,'Round 3 Data'!J$10:J$145,0)+_xlfn.XLOOKUP('Summary Data'!$A74,'Round 4 Data'!$A$10:$A$147,'Round 4 Data'!J$10:J$147,0))/$D74</f>
        <v>#VALUE!</v>
      </c>
      <c r="K74" s="57" t="e">
        <f>(_xlfn.XLOOKUP('Summary Data'!$A74,'Round 1 Data'!$A$10:$A$143,'Round 1 Data'!K$10:K$144,0)+_xlfn.XLOOKUP('Summary Data'!$A74,'Round 2 Data'!$A$10:$A$146,'Round 2 Data'!K$10:K$146,0)+_xlfn.XLOOKUP('Summary Data'!$A74,'Round 3 Data'!$A$10:$A$145,'Round 3 Data'!K$10:K$145,0)+_xlfn.XLOOKUP('Summary Data'!$A74,'Round 4 Data'!$A$10:$A$147,'Round 4 Data'!K$10:K$147,0))/$D74</f>
        <v>#VALUE!</v>
      </c>
      <c r="L74" s="57" t="e">
        <f>(_xlfn.XLOOKUP('Summary Data'!$A74,'Round 1 Data'!$A$10:$A$143,'Round 1 Data'!L$10:L$144,0)+_xlfn.XLOOKUP('Summary Data'!$A74,'Round 2 Data'!$A$10:$A$146,'Round 2 Data'!L$10:L$146,0)+_xlfn.XLOOKUP('Summary Data'!$A74,'Round 3 Data'!$A$10:$A$145,'Round 3 Data'!L$10:L$145,0)+_xlfn.XLOOKUP('Summary Data'!$A74,'Round 4 Data'!$A$10:$A$147,'Round 4 Data'!L$10:L$147,0))/$D74</f>
        <v>#VALUE!</v>
      </c>
      <c r="M74" s="57" t="e">
        <f>(_xlfn.XLOOKUP('Summary Data'!$A74,'Round 1 Data'!$A$10:$A$143,'Round 1 Data'!M$10:M$144,0)+_xlfn.XLOOKUP('Summary Data'!$A74,'Round 2 Data'!$A$10:$A$146,'Round 2 Data'!M$10:M$146,0)+_xlfn.XLOOKUP('Summary Data'!$A74,'Round 3 Data'!$A$10:$A$145,'Round 3 Data'!M$10:M$145,0)+_xlfn.XLOOKUP('Summary Data'!$A74,'Round 4 Data'!$A$10:$A$147,'Round 4 Data'!M$10:M$147,0))/$D74</f>
        <v>#VALUE!</v>
      </c>
      <c r="N74" s="57" t="e">
        <f>(_xlfn.XLOOKUP('Summary Data'!$A74,'Round 1 Data'!$A$10:$A$143,'Round 1 Data'!N$10:N$144,0)+_xlfn.XLOOKUP('Summary Data'!$A74,'Round 2 Data'!$A$10:$A$146,'Round 2 Data'!N$10:N$146,0)+_xlfn.XLOOKUP('Summary Data'!$A74,'Round 3 Data'!$A$10:$A$145,'Round 3 Data'!N$10:N$145,0)+_xlfn.XLOOKUP('Summary Data'!$A74,'Round 4 Data'!$A$10:$A$147,'Round 4 Data'!N$10:N$147,0))/$D74</f>
        <v>#VALUE!</v>
      </c>
      <c r="O74" s="57" t="e">
        <f>(_xlfn.XLOOKUP('Summary Data'!$A74,'Round 1 Data'!$A$10:$A$143,'Round 1 Data'!O$10:O$144,0)+_xlfn.XLOOKUP('Summary Data'!$A74,'Round 2 Data'!$A$10:$A$146,'Round 2 Data'!O$10:O$146,0)+_xlfn.XLOOKUP('Summary Data'!$A74,'Round 3 Data'!$A$10:$A$145,'Round 3 Data'!O$10:O$145,0)+_xlfn.XLOOKUP('Summary Data'!$A74,'Round 4 Data'!$A$10:$A$147,'Round 4 Data'!O$10:O$147,0))/$D74</f>
        <v>#VALUE!</v>
      </c>
      <c r="P74" s="57" t="e">
        <f>(_xlfn.XLOOKUP('Summary Data'!$A74,'Round 1 Data'!$A$10:$A$143,'Round 1 Data'!P$10:P$144,0)+_xlfn.XLOOKUP('Summary Data'!$A74,'Round 2 Data'!$A$10:$A$146,'Round 2 Data'!P$10:P$146,0)+_xlfn.XLOOKUP('Summary Data'!$A74,'Round 3 Data'!$A$10:$A$145,'Round 3 Data'!P$10:P$145,0)+_xlfn.XLOOKUP('Summary Data'!$A74,'Round 4 Data'!$A$10:$A$147,'Round 4 Data'!P$10:P$147,0))/$D74</f>
        <v>#VALUE!</v>
      </c>
      <c r="Q74" s="57" t="e">
        <f>(_xlfn.XLOOKUP('Summary Data'!$A74,'Round 1 Data'!$A$10:$A$143,'Round 1 Data'!Q$10:Q$144,0)+_xlfn.XLOOKUP('Summary Data'!$A74,'Round 2 Data'!$A$10:$A$146,'Round 2 Data'!Q$10:Q$146,0)+_xlfn.XLOOKUP('Summary Data'!$A74,'Round 3 Data'!$A$10:$A$145,'Round 3 Data'!Q$10:Q$145,0)+_xlfn.XLOOKUP('Summary Data'!$A74,'Round 4 Data'!$A$10:$A$147,'Round 4 Data'!Q$10:Q$147,0))/$D74</f>
        <v>#VALUE!</v>
      </c>
      <c r="R74" s="57" t="e">
        <f>(_xlfn.XLOOKUP('Summary Data'!$A74,'Round 1 Data'!$A$10:$A$143,'Round 1 Data'!R$10:R$144,0)+_xlfn.XLOOKUP('Summary Data'!$A74,'Round 2 Data'!$A$10:$A$146,'Round 2 Data'!R$10:R$146,0)+_xlfn.XLOOKUP('Summary Data'!$A74,'Round 3 Data'!$A$10:$A$145,'Round 3 Data'!R$10:R$145,0)+_xlfn.XLOOKUP('Summary Data'!$A74,'Round 4 Data'!$A$10:$A$147,'Round 4 Data'!R$10:R$147,0))/$D74</f>
        <v>#VALUE!</v>
      </c>
      <c r="S74" s="57" t="e">
        <f>(_xlfn.XLOOKUP('Summary Data'!$A74,'Round 1 Data'!$A$10:$A$143,'Round 1 Data'!S$10:S$144,0)+_xlfn.XLOOKUP('Summary Data'!$A74,'Round 2 Data'!$A$10:$A$146,'Round 2 Data'!S$10:S$146,0)+_xlfn.XLOOKUP('Summary Data'!$A74,'Round 3 Data'!$A$10:$A$145,'Round 3 Data'!S$10:S$145,0)+_xlfn.XLOOKUP('Summary Data'!$A74,'Round 4 Data'!$A$10:$A$147,'Round 4 Data'!S$10:S$147,0))/$D74</f>
        <v>#VALUE!</v>
      </c>
      <c r="T74" s="62" t="e">
        <f>(_xlfn.XLOOKUP('Summary Data'!$A74,'Round 1 Data'!$A$10:$A$143,'Round 1 Data'!U$10:U$144,0)+_xlfn.XLOOKUP('Summary Data'!$A74,'Round 2 Data'!$A$10:$A$146,'Round 2 Data'!U$10:U$146,0)+_xlfn.XLOOKUP('Summary Data'!$A74,'Round 3 Data'!$A$10:$A$145,'Round 3 Data'!U$10:U$145,0)+_xlfn.XLOOKUP('Summary Data'!$A74,'Round 4 Data'!$A$10:$A$147,'Round 4 Data'!U$10:U$147,0))</f>
        <v>#VALUE!</v>
      </c>
    </row>
    <row r="75" spans="1:20" ht="16" thickBot="1" x14ac:dyDescent="0.25">
      <c r="A75" s="63" t="s">
        <v>37</v>
      </c>
      <c r="B75" t="s">
        <v>191</v>
      </c>
      <c r="C75" t="s">
        <v>194</v>
      </c>
      <c r="D75" t="e">
        <f>IF(_xlfn.XLOOKUP('Summary Data'!A75,'Round 1 Data'!$A$10:$A$143,'Round 1 Data'!$E$10:$E$144,0)=0,0,1)+IF(_xlfn.XLOOKUP('Summary Data'!A75,'Round 2 Data'!$A$10:$A$146,'Round 2 Data'!$E$10:$E$146,0)=0,0,1)+IF(_xlfn.XLOOKUP('Summary Data'!A75,'Round 3 Data'!$A$10:$A$145,'Round 3 Data'!$E$10:$E$145,0)=0,0,1)+IF(_xlfn.XLOOKUP('Summary Data'!A75,'Round 4 Data'!$A$10:$A$147,'Round 4 Data'!$E$10:$E$147,0)=0,0,1)</f>
        <v>#VALUE!</v>
      </c>
      <c r="E75" s="57" t="e">
        <f>(_xlfn.XLOOKUP('Summary Data'!$A75,'Round 1 Data'!$A$10:$A$143,'Round 1 Data'!E$10:E$144,0)+_xlfn.XLOOKUP('Summary Data'!$A75,'Round 2 Data'!$A$10:$A$146,'Round 2 Data'!E$10:E$146,0)+_xlfn.XLOOKUP('Summary Data'!$A75,'Round 3 Data'!$A$10:$A$145,'Round 3 Data'!E$10:E$145,0)+_xlfn.XLOOKUP('Summary Data'!$A75,'Round 4 Data'!$A$10:$A$147,'Round 4 Data'!E$10:E$147,0))/$D75</f>
        <v>#VALUE!</v>
      </c>
      <c r="F75" s="57" t="e">
        <f>(_xlfn.XLOOKUP('Summary Data'!$A75,'Round 1 Data'!$A$10:$A$143,'Round 1 Data'!F$10:F$144,0)+_xlfn.XLOOKUP('Summary Data'!$A75,'Round 2 Data'!$A$10:$A$146,'Round 2 Data'!F$10:F$146,0)+_xlfn.XLOOKUP('Summary Data'!$A75,'Round 3 Data'!$A$10:$A$145,'Round 3 Data'!F$10:F$145,0)+_xlfn.XLOOKUP('Summary Data'!$A75,'Round 4 Data'!$A$10:$A$147,'Round 4 Data'!F$10:F$147,0))/$D75</f>
        <v>#VALUE!</v>
      </c>
      <c r="G75" s="57" t="e">
        <f>(_xlfn.XLOOKUP('Summary Data'!$A75,'Round 1 Data'!$A$10:$A$143,'Round 1 Data'!G$10:G$144,0)+_xlfn.XLOOKUP('Summary Data'!$A75,'Round 2 Data'!$A$10:$A$146,'Round 2 Data'!G$10:G$146,0)+_xlfn.XLOOKUP('Summary Data'!$A75,'Round 3 Data'!$A$10:$A$145,'Round 3 Data'!G$10:G$145,0)+_xlfn.XLOOKUP('Summary Data'!$A75,'Round 4 Data'!$A$10:$A$147,'Round 4 Data'!G$10:G$147,0))/$D75</f>
        <v>#VALUE!</v>
      </c>
      <c r="H75" s="57" t="e">
        <f>(_xlfn.XLOOKUP('Summary Data'!$A75,'Round 1 Data'!$A$10:$A$143,'Round 1 Data'!H$10:H$144,0)+_xlfn.XLOOKUP('Summary Data'!$A75,'Round 2 Data'!$A$10:$A$146,'Round 2 Data'!H$10:H$146,0)+_xlfn.XLOOKUP('Summary Data'!$A75,'Round 3 Data'!$A$10:$A$145,'Round 3 Data'!H$10:H$145,0)+_xlfn.XLOOKUP('Summary Data'!$A75,'Round 4 Data'!$A$10:$A$147,'Round 4 Data'!H$10:H$147,0))/$D75</f>
        <v>#VALUE!</v>
      </c>
      <c r="I75" s="57" t="e">
        <f>(_xlfn.XLOOKUP('Summary Data'!$A75,'Round 1 Data'!$A$10:$A$143,'Round 1 Data'!I$10:I$144,0)+_xlfn.XLOOKUP('Summary Data'!$A75,'Round 2 Data'!$A$10:$A$146,'Round 2 Data'!I$10:I$146,0)+_xlfn.XLOOKUP('Summary Data'!$A75,'Round 3 Data'!$A$10:$A$145,'Round 3 Data'!I$10:I$145,0)+_xlfn.XLOOKUP('Summary Data'!$A75,'Round 4 Data'!$A$10:$A$147,'Round 4 Data'!I$10:I$147,0))/$D75</f>
        <v>#VALUE!</v>
      </c>
      <c r="J75" s="57" t="e">
        <f>(_xlfn.XLOOKUP('Summary Data'!$A75,'Round 1 Data'!$A$10:$A$143,'Round 1 Data'!J$10:J$144,0)+_xlfn.XLOOKUP('Summary Data'!$A75,'Round 2 Data'!$A$10:$A$146,'Round 2 Data'!J$10:J$146,0)+_xlfn.XLOOKUP('Summary Data'!$A75,'Round 3 Data'!$A$10:$A$145,'Round 3 Data'!J$10:J$145,0)+_xlfn.XLOOKUP('Summary Data'!$A75,'Round 4 Data'!$A$10:$A$147,'Round 4 Data'!J$10:J$147,0))/$D75</f>
        <v>#VALUE!</v>
      </c>
      <c r="K75" s="57" t="e">
        <f>(_xlfn.XLOOKUP('Summary Data'!$A75,'Round 1 Data'!$A$10:$A$143,'Round 1 Data'!K$10:K$144,0)+_xlfn.XLOOKUP('Summary Data'!$A75,'Round 2 Data'!$A$10:$A$146,'Round 2 Data'!K$10:K$146,0)+_xlfn.XLOOKUP('Summary Data'!$A75,'Round 3 Data'!$A$10:$A$145,'Round 3 Data'!K$10:K$145,0)+_xlfn.XLOOKUP('Summary Data'!$A75,'Round 4 Data'!$A$10:$A$147,'Round 4 Data'!K$10:K$147,0))/$D75</f>
        <v>#VALUE!</v>
      </c>
      <c r="L75" s="57" t="e">
        <f>(_xlfn.XLOOKUP('Summary Data'!$A75,'Round 1 Data'!$A$10:$A$143,'Round 1 Data'!L$10:L$144,0)+_xlfn.XLOOKUP('Summary Data'!$A75,'Round 2 Data'!$A$10:$A$146,'Round 2 Data'!L$10:L$146,0)+_xlfn.XLOOKUP('Summary Data'!$A75,'Round 3 Data'!$A$10:$A$145,'Round 3 Data'!L$10:L$145,0)+_xlfn.XLOOKUP('Summary Data'!$A75,'Round 4 Data'!$A$10:$A$147,'Round 4 Data'!L$10:L$147,0))/$D75</f>
        <v>#VALUE!</v>
      </c>
      <c r="M75" s="57" t="e">
        <f>(_xlfn.XLOOKUP('Summary Data'!$A75,'Round 1 Data'!$A$10:$A$143,'Round 1 Data'!M$10:M$144,0)+_xlfn.XLOOKUP('Summary Data'!$A75,'Round 2 Data'!$A$10:$A$146,'Round 2 Data'!M$10:M$146,0)+_xlfn.XLOOKUP('Summary Data'!$A75,'Round 3 Data'!$A$10:$A$145,'Round 3 Data'!M$10:M$145,0)+_xlfn.XLOOKUP('Summary Data'!$A75,'Round 4 Data'!$A$10:$A$147,'Round 4 Data'!M$10:M$147,0))/$D75</f>
        <v>#VALUE!</v>
      </c>
      <c r="N75" s="57" t="e">
        <f>(_xlfn.XLOOKUP('Summary Data'!$A75,'Round 1 Data'!$A$10:$A$143,'Round 1 Data'!N$10:N$144,0)+_xlfn.XLOOKUP('Summary Data'!$A75,'Round 2 Data'!$A$10:$A$146,'Round 2 Data'!N$10:N$146,0)+_xlfn.XLOOKUP('Summary Data'!$A75,'Round 3 Data'!$A$10:$A$145,'Round 3 Data'!N$10:N$145,0)+_xlfn.XLOOKUP('Summary Data'!$A75,'Round 4 Data'!$A$10:$A$147,'Round 4 Data'!N$10:N$147,0))/$D75</f>
        <v>#VALUE!</v>
      </c>
      <c r="O75" s="57" t="e">
        <f>(_xlfn.XLOOKUP('Summary Data'!$A75,'Round 1 Data'!$A$10:$A$143,'Round 1 Data'!O$10:O$144,0)+_xlfn.XLOOKUP('Summary Data'!$A75,'Round 2 Data'!$A$10:$A$146,'Round 2 Data'!O$10:O$146,0)+_xlfn.XLOOKUP('Summary Data'!$A75,'Round 3 Data'!$A$10:$A$145,'Round 3 Data'!O$10:O$145,0)+_xlfn.XLOOKUP('Summary Data'!$A75,'Round 4 Data'!$A$10:$A$147,'Round 4 Data'!O$10:O$147,0))/$D75</f>
        <v>#VALUE!</v>
      </c>
      <c r="P75" s="57" t="e">
        <f>(_xlfn.XLOOKUP('Summary Data'!$A75,'Round 1 Data'!$A$10:$A$143,'Round 1 Data'!P$10:P$144,0)+_xlfn.XLOOKUP('Summary Data'!$A75,'Round 2 Data'!$A$10:$A$146,'Round 2 Data'!P$10:P$146,0)+_xlfn.XLOOKUP('Summary Data'!$A75,'Round 3 Data'!$A$10:$A$145,'Round 3 Data'!P$10:P$145,0)+_xlfn.XLOOKUP('Summary Data'!$A75,'Round 4 Data'!$A$10:$A$147,'Round 4 Data'!P$10:P$147,0))/$D75</f>
        <v>#VALUE!</v>
      </c>
      <c r="Q75" s="57" t="e">
        <f>(_xlfn.XLOOKUP('Summary Data'!$A75,'Round 1 Data'!$A$10:$A$143,'Round 1 Data'!Q$10:Q$144,0)+_xlfn.XLOOKUP('Summary Data'!$A75,'Round 2 Data'!$A$10:$A$146,'Round 2 Data'!Q$10:Q$146,0)+_xlfn.XLOOKUP('Summary Data'!$A75,'Round 3 Data'!$A$10:$A$145,'Round 3 Data'!Q$10:Q$145,0)+_xlfn.XLOOKUP('Summary Data'!$A75,'Round 4 Data'!$A$10:$A$147,'Round 4 Data'!Q$10:Q$147,0))/$D75</f>
        <v>#VALUE!</v>
      </c>
      <c r="R75" s="57" t="e">
        <f>(_xlfn.XLOOKUP('Summary Data'!$A75,'Round 1 Data'!$A$10:$A$143,'Round 1 Data'!R$10:R$144,0)+_xlfn.XLOOKUP('Summary Data'!$A75,'Round 2 Data'!$A$10:$A$146,'Round 2 Data'!R$10:R$146,0)+_xlfn.XLOOKUP('Summary Data'!$A75,'Round 3 Data'!$A$10:$A$145,'Round 3 Data'!R$10:R$145,0)+_xlfn.XLOOKUP('Summary Data'!$A75,'Round 4 Data'!$A$10:$A$147,'Round 4 Data'!R$10:R$147,0))/$D75</f>
        <v>#VALUE!</v>
      </c>
      <c r="S75" s="57" t="e">
        <f>(_xlfn.XLOOKUP('Summary Data'!$A75,'Round 1 Data'!$A$10:$A$143,'Round 1 Data'!S$10:S$144,0)+_xlfn.XLOOKUP('Summary Data'!$A75,'Round 2 Data'!$A$10:$A$146,'Round 2 Data'!S$10:S$146,0)+_xlfn.XLOOKUP('Summary Data'!$A75,'Round 3 Data'!$A$10:$A$145,'Round 3 Data'!S$10:S$145,0)+_xlfn.XLOOKUP('Summary Data'!$A75,'Round 4 Data'!$A$10:$A$147,'Round 4 Data'!S$10:S$147,0))/$D75</f>
        <v>#VALUE!</v>
      </c>
      <c r="T75" s="62" t="e">
        <f>(_xlfn.XLOOKUP('Summary Data'!$A75,'Round 1 Data'!$A$10:$A$143,'Round 1 Data'!U$10:U$144,0)+_xlfn.XLOOKUP('Summary Data'!$A75,'Round 2 Data'!$A$10:$A$146,'Round 2 Data'!U$10:U$146,0)+_xlfn.XLOOKUP('Summary Data'!$A75,'Round 3 Data'!$A$10:$A$145,'Round 3 Data'!U$10:U$145,0)+_xlfn.XLOOKUP('Summary Data'!$A75,'Round 4 Data'!$A$10:$A$147,'Round 4 Data'!U$10:U$147,0))</f>
        <v>#VALUE!</v>
      </c>
    </row>
    <row r="76" spans="1:20" ht="16" thickBot="1" x14ac:dyDescent="0.25">
      <c r="A76" s="61" t="s">
        <v>38</v>
      </c>
      <c r="B76" t="s">
        <v>191</v>
      </c>
      <c r="C76" t="s">
        <v>195</v>
      </c>
      <c r="D76" t="e">
        <f>IF(_xlfn.XLOOKUP('Summary Data'!A76,'Round 1 Data'!$A$10:$A$143,'Round 1 Data'!$E$10:$E$144,0)=0,0,1)+IF(_xlfn.XLOOKUP('Summary Data'!A76,'Round 2 Data'!$A$10:$A$146,'Round 2 Data'!$E$10:$E$146,0)=0,0,1)+IF(_xlfn.XLOOKUP('Summary Data'!A76,'Round 3 Data'!$A$10:$A$145,'Round 3 Data'!$E$10:$E$145,0)=0,0,1)+IF(_xlfn.XLOOKUP('Summary Data'!A76,'Round 4 Data'!$A$10:$A$147,'Round 4 Data'!$E$10:$E$147,0)=0,0,1)</f>
        <v>#VALUE!</v>
      </c>
      <c r="E76" s="57" t="e">
        <f>(_xlfn.XLOOKUP('Summary Data'!$A76,'Round 1 Data'!$A$10:$A$143,'Round 1 Data'!E$10:E$144,0)+_xlfn.XLOOKUP('Summary Data'!$A76,'Round 2 Data'!$A$10:$A$146,'Round 2 Data'!E$10:E$146,0)+_xlfn.XLOOKUP('Summary Data'!$A76,'Round 3 Data'!$A$10:$A$145,'Round 3 Data'!E$10:E$145,0)+_xlfn.XLOOKUP('Summary Data'!$A76,'Round 4 Data'!$A$10:$A$147,'Round 4 Data'!E$10:E$147,0))/$D76</f>
        <v>#VALUE!</v>
      </c>
      <c r="F76" s="57" t="e">
        <f>(_xlfn.XLOOKUP('Summary Data'!$A76,'Round 1 Data'!$A$10:$A$143,'Round 1 Data'!F$10:F$144,0)+_xlfn.XLOOKUP('Summary Data'!$A76,'Round 2 Data'!$A$10:$A$146,'Round 2 Data'!F$10:F$146,0)+_xlfn.XLOOKUP('Summary Data'!$A76,'Round 3 Data'!$A$10:$A$145,'Round 3 Data'!F$10:F$145,0)+_xlfn.XLOOKUP('Summary Data'!$A76,'Round 4 Data'!$A$10:$A$147,'Round 4 Data'!F$10:F$147,0))/$D76</f>
        <v>#VALUE!</v>
      </c>
      <c r="G76" s="57" t="e">
        <f>(_xlfn.XLOOKUP('Summary Data'!$A76,'Round 1 Data'!$A$10:$A$143,'Round 1 Data'!G$10:G$144,0)+_xlfn.XLOOKUP('Summary Data'!$A76,'Round 2 Data'!$A$10:$A$146,'Round 2 Data'!G$10:G$146,0)+_xlfn.XLOOKUP('Summary Data'!$A76,'Round 3 Data'!$A$10:$A$145,'Round 3 Data'!G$10:G$145,0)+_xlfn.XLOOKUP('Summary Data'!$A76,'Round 4 Data'!$A$10:$A$147,'Round 4 Data'!G$10:G$147,0))/$D76</f>
        <v>#VALUE!</v>
      </c>
      <c r="H76" s="57" t="e">
        <f>(_xlfn.XLOOKUP('Summary Data'!$A76,'Round 1 Data'!$A$10:$A$143,'Round 1 Data'!H$10:H$144,0)+_xlfn.XLOOKUP('Summary Data'!$A76,'Round 2 Data'!$A$10:$A$146,'Round 2 Data'!H$10:H$146,0)+_xlfn.XLOOKUP('Summary Data'!$A76,'Round 3 Data'!$A$10:$A$145,'Round 3 Data'!H$10:H$145,0)+_xlfn.XLOOKUP('Summary Data'!$A76,'Round 4 Data'!$A$10:$A$147,'Round 4 Data'!H$10:H$147,0))/$D76</f>
        <v>#VALUE!</v>
      </c>
      <c r="I76" s="57" t="e">
        <f>(_xlfn.XLOOKUP('Summary Data'!$A76,'Round 1 Data'!$A$10:$A$143,'Round 1 Data'!I$10:I$144,0)+_xlfn.XLOOKUP('Summary Data'!$A76,'Round 2 Data'!$A$10:$A$146,'Round 2 Data'!I$10:I$146,0)+_xlfn.XLOOKUP('Summary Data'!$A76,'Round 3 Data'!$A$10:$A$145,'Round 3 Data'!I$10:I$145,0)+_xlfn.XLOOKUP('Summary Data'!$A76,'Round 4 Data'!$A$10:$A$147,'Round 4 Data'!I$10:I$147,0))/$D76</f>
        <v>#VALUE!</v>
      </c>
      <c r="J76" s="57" t="e">
        <f>(_xlfn.XLOOKUP('Summary Data'!$A76,'Round 1 Data'!$A$10:$A$143,'Round 1 Data'!J$10:J$144,0)+_xlfn.XLOOKUP('Summary Data'!$A76,'Round 2 Data'!$A$10:$A$146,'Round 2 Data'!J$10:J$146,0)+_xlfn.XLOOKUP('Summary Data'!$A76,'Round 3 Data'!$A$10:$A$145,'Round 3 Data'!J$10:J$145,0)+_xlfn.XLOOKUP('Summary Data'!$A76,'Round 4 Data'!$A$10:$A$147,'Round 4 Data'!J$10:J$147,0))/$D76</f>
        <v>#VALUE!</v>
      </c>
      <c r="K76" s="57" t="e">
        <f>(_xlfn.XLOOKUP('Summary Data'!$A76,'Round 1 Data'!$A$10:$A$143,'Round 1 Data'!K$10:K$144,0)+_xlfn.XLOOKUP('Summary Data'!$A76,'Round 2 Data'!$A$10:$A$146,'Round 2 Data'!K$10:K$146,0)+_xlfn.XLOOKUP('Summary Data'!$A76,'Round 3 Data'!$A$10:$A$145,'Round 3 Data'!K$10:K$145,0)+_xlfn.XLOOKUP('Summary Data'!$A76,'Round 4 Data'!$A$10:$A$147,'Round 4 Data'!K$10:K$147,0))/$D76</f>
        <v>#VALUE!</v>
      </c>
      <c r="L76" s="57" t="e">
        <f>(_xlfn.XLOOKUP('Summary Data'!$A76,'Round 1 Data'!$A$10:$A$143,'Round 1 Data'!L$10:L$144,0)+_xlfn.XLOOKUP('Summary Data'!$A76,'Round 2 Data'!$A$10:$A$146,'Round 2 Data'!L$10:L$146,0)+_xlfn.XLOOKUP('Summary Data'!$A76,'Round 3 Data'!$A$10:$A$145,'Round 3 Data'!L$10:L$145,0)+_xlfn.XLOOKUP('Summary Data'!$A76,'Round 4 Data'!$A$10:$A$147,'Round 4 Data'!L$10:L$147,0))/$D76</f>
        <v>#VALUE!</v>
      </c>
      <c r="M76" s="57" t="e">
        <f>(_xlfn.XLOOKUP('Summary Data'!$A76,'Round 1 Data'!$A$10:$A$143,'Round 1 Data'!M$10:M$144,0)+_xlfn.XLOOKUP('Summary Data'!$A76,'Round 2 Data'!$A$10:$A$146,'Round 2 Data'!M$10:M$146,0)+_xlfn.XLOOKUP('Summary Data'!$A76,'Round 3 Data'!$A$10:$A$145,'Round 3 Data'!M$10:M$145,0)+_xlfn.XLOOKUP('Summary Data'!$A76,'Round 4 Data'!$A$10:$A$147,'Round 4 Data'!M$10:M$147,0))/$D76</f>
        <v>#VALUE!</v>
      </c>
      <c r="N76" s="57" t="e">
        <f>(_xlfn.XLOOKUP('Summary Data'!$A76,'Round 1 Data'!$A$10:$A$143,'Round 1 Data'!N$10:N$144,0)+_xlfn.XLOOKUP('Summary Data'!$A76,'Round 2 Data'!$A$10:$A$146,'Round 2 Data'!N$10:N$146,0)+_xlfn.XLOOKUP('Summary Data'!$A76,'Round 3 Data'!$A$10:$A$145,'Round 3 Data'!N$10:N$145,0)+_xlfn.XLOOKUP('Summary Data'!$A76,'Round 4 Data'!$A$10:$A$147,'Round 4 Data'!N$10:N$147,0))/$D76</f>
        <v>#VALUE!</v>
      </c>
      <c r="O76" s="57" t="e">
        <f>(_xlfn.XLOOKUP('Summary Data'!$A76,'Round 1 Data'!$A$10:$A$143,'Round 1 Data'!O$10:O$144,0)+_xlfn.XLOOKUP('Summary Data'!$A76,'Round 2 Data'!$A$10:$A$146,'Round 2 Data'!O$10:O$146,0)+_xlfn.XLOOKUP('Summary Data'!$A76,'Round 3 Data'!$A$10:$A$145,'Round 3 Data'!O$10:O$145,0)+_xlfn.XLOOKUP('Summary Data'!$A76,'Round 4 Data'!$A$10:$A$147,'Round 4 Data'!O$10:O$147,0))/$D76</f>
        <v>#VALUE!</v>
      </c>
      <c r="P76" s="57" t="e">
        <f>(_xlfn.XLOOKUP('Summary Data'!$A76,'Round 1 Data'!$A$10:$A$143,'Round 1 Data'!P$10:P$144,0)+_xlfn.XLOOKUP('Summary Data'!$A76,'Round 2 Data'!$A$10:$A$146,'Round 2 Data'!P$10:P$146,0)+_xlfn.XLOOKUP('Summary Data'!$A76,'Round 3 Data'!$A$10:$A$145,'Round 3 Data'!P$10:P$145,0)+_xlfn.XLOOKUP('Summary Data'!$A76,'Round 4 Data'!$A$10:$A$147,'Round 4 Data'!P$10:P$147,0))/$D76</f>
        <v>#VALUE!</v>
      </c>
      <c r="Q76" s="57" t="e">
        <f>(_xlfn.XLOOKUP('Summary Data'!$A76,'Round 1 Data'!$A$10:$A$143,'Round 1 Data'!Q$10:Q$144,0)+_xlfn.XLOOKUP('Summary Data'!$A76,'Round 2 Data'!$A$10:$A$146,'Round 2 Data'!Q$10:Q$146,0)+_xlfn.XLOOKUP('Summary Data'!$A76,'Round 3 Data'!$A$10:$A$145,'Round 3 Data'!Q$10:Q$145,0)+_xlfn.XLOOKUP('Summary Data'!$A76,'Round 4 Data'!$A$10:$A$147,'Round 4 Data'!Q$10:Q$147,0))/$D76</f>
        <v>#VALUE!</v>
      </c>
      <c r="R76" s="57" t="e">
        <f>(_xlfn.XLOOKUP('Summary Data'!$A76,'Round 1 Data'!$A$10:$A$143,'Round 1 Data'!R$10:R$144,0)+_xlfn.XLOOKUP('Summary Data'!$A76,'Round 2 Data'!$A$10:$A$146,'Round 2 Data'!R$10:R$146,0)+_xlfn.XLOOKUP('Summary Data'!$A76,'Round 3 Data'!$A$10:$A$145,'Round 3 Data'!R$10:R$145,0)+_xlfn.XLOOKUP('Summary Data'!$A76,'Round 4 Data'!$A$10:$A$147,'Round 4 Data'!R$10:R$147,0))/$D76</f>
        <v>#VALUE!</v>
      </c>
      <c r="S76" s="57" t="e">
        <f>(_xlfn.XLOOKUP('Summary Data'!$A76,'Round 1 Data'!$A$10:$A$143,'Round 1 Data'!S$10:S$144,0)+_xlfn.XLOOKUP('Summary Data'!$A76,'Round 2 Data'!$A$10:$A$146,'Round 2 Data'!S$10:S$146,0)+_xlfn.XLOOKUP('Summary Data'!$A76,'Round 3 Data'!$A$10:$A$145,'Round 3 Data'!S$10:S$145,0)+_xlfn.XLOOKUP('Summary Data'!$A76,'Round 4 Data'!$A$10:$A$147,'Round 4 Data'!S$10:S$147,0))/$D76</f>
        <v>#VALUE!</v>
      </c>
      <c r="T76" s="62" t="e">
        <f>(_xlfn.XLOOKUP('Summary Data'!$A76,'Round 1 Data'!$A$10:$A$143,'Round 1 Data'!U$10:U$144,0)+_xlfn.XLOOKUP('Summary Data'!$A76,'Round 2 Data'!$A$10:$A$146,'Round 2 Data'!U$10:U$146,0)+_xlfn.XLOOKUP('Summary Data'!$A76,'Round 3 Data'!$A$10:$A$145,'Round 3 Data'!U$10:U$145,0)+_xlfn.XLOOKUP('Summary Data'!$A76,'Round 4 Data'!$A$10:$A$147,'Round 4 Data'!U$10:U$147,0))</f>
        <v>#VALUE!</v>
      </c>
    </row>
    <row r="77" spans="1:20" ht="16" thickBot="1" x14ac:dyDescent="0.25">
      <c r="A77" s="63" t="s">
        <v>39</v>
      </c>
      <c r="B77" t="s">
        <v>191</v>
      </c>
      <c r="C77" t="s">
        <v>195</v>
      </c>
      <c r="D77" t="e">
        <f>IF(_xlfn.XLOOKUP('Summary Data'!A77,'Round 1 Data'!$A$10:$A$143,'Round 1 Data'!$E$10:$E$144,0)=0,0,1)+IF(_xlfn.XLOOKUP('Summary Data'!A77,'Round 2 Data'!$A$10:$A$146,'Round 2 Data'!$E$10:$E$146,0)=0,0,1)+IF(_xlfn.XLOOKUP('Summary Data'!A77,'Round 3 Data'!$A$10:$A$145,'Round 3 Data'!$E$10:$E$145,0)=0,0,1)+IF(_xlfn.XLOOKUP('Summary Data'!A77,'Round 4 Data'!$A$10:$A$147,'Round 4 Data'!$E$10:$E$147,0)=0,0,1)</f>
        <v>#VALUE!</v>
      </c>
      <c r="E77" s="57" t="e">
        <f>(_xlfn.XLOOKUP('Summary Data'!$A77,'Round 1 Data'!$A$10:$A$143,'Round 1 Data'!E$10:E$144,0)+_xlfn.XLOOKUP('Summary Data'!$A77,'Round 2 Data'!$A$10:$A$146,'Round 2 Data'!E$10:E$146,0)+_xlfn.XLOOKUP('Summary Data'!$A77,'Round 3 Data'!$A$10:$A$145,'Round 3 Data'!E$10:E$145,0)+_xlfn.XLOOKUP('Summary Data'!$A77,'Round 4 Data'!$A$10:$A$147,'Round 4 Data'!E$10:E$147,0))/$D77</f>
        <v>#VALUE!</v>
      </c>
      <c r="F77" s="57" t="e">
        <f>(_xlfn.XLOOKUP('Summary Data'!$A77,'Round 1 Data'!$A$10:$A$143,'Round 1 Data'!F$10:F$144,0)+_xlfn.XLOOKUP('Summary Data'!$A77,'Round 2 Data'!$A$10:$A$146,'Round 2 Data'!F$10:F$146,0)+_xlfn.XLOOKUP('Summary Data'!$A77,'Round 3 Data'!$A$10:$A$145,'Round 3 Data'!F$10:F$145,0)+_xlfn.XLOOKUP('Summary Data'!$A77,'Round 4 Data'!$A$10:$A$147,'Round 4 Data'!F$10:F$147,0))/$D77</f>
        <v>#VALUE!</v>
      </c>
      <c r="G77" s="57" t="e">
        <f>(_xlfn.XLOOKUP('Summary Data'!$A77,'Round 1 Data'!$A$10:$A$143,'Round 1 Data'!G$10:G$144,0)+_xlfn.XLOOKUP('Summary Data'!$A77,'Round 2 Data'!$A$10:$A$146,'Round 2 Data'!G$10:G$146,0)+_xlfn.XLOOKUP('Summary Data'!$A77,'Round 3 Data'!$A$10:$A$145,'Round 3 Data'!G$10:G$145,0)+_xlfn.XLOOKUP('Summary Data'!$A77,'Round 4 Data'!$A$10:$A$147,'Round 4 Data'!G$10:G$147,0))/$D77</f>
        <v>#VALUE!</v>
      </c>
      <c r="H77" s="57" t="e">
        <f>(_xlfn.XLOOKUP('Summary Data'!$A77,'Round 1 Data'!$A$10:$A$143,'Round 1 Data'!H$10:H$144,0)+_xlfn.XLOOKUP('Summary Data'!$A77,'Round 2 Data'!$A$10:$A$146,'Round 2 Data'!H$10:H$146,0)+_xlfn.XLOOKUP('Summary Data'!$A77,'Round 3 Data'!$A$10:$A$145,'Round 3 Data'!H$10:H$145,0)+_xlfn.XLOOKUP('Summary Data'!$A77,'Round 4 Data'!$A$10:$A$147,'Round 4 Data'!H$10:H$147,0))/$D77</f>
        <v>#VALUE!</v>
      </c>
      <c r="I77" s="57" t="e">
        <f>(_xlfn.XLOOKUP('Summary Data'!$A77,'Round 1 Data'!$A$10:$A$143,'Round 1 Data'!I$10:I$144,0)+_xlfn.XLOOKUP('Summary Data'!$A77,'Round 2 Data'!$A$10:$A$146,'Round 2 Data'!I$10:I$146,0)+_xlfn.XLOOKUP('Summary Data'!$A77,'Round 3 Data'!$A$10:$A$145,'Round 3 Data'!I$10:I$145,0)+_xlfn.XLOOKUP('Summary Data'!$A77,'Round 4 Data'!$A$10:$A$147,'Round 4 Data'!I$10:I$147,0))/$D77</f>
        <v>#VALUE!</v>
      </c>
      <c r="J77" s="57" t="e">
        <f>(_xlfn.XLOOKUP('Summary Data'!$A77,'Round 1 Data'!$A$10:$A$143,'Round 1 Data'!J$10:J$144,0)+_xlfn.XLOOKUP('Summary Data'!$A77,'Round 2 Data'!$A$10:$A$146,'Round 2 Data'!J$10:J$146,0)+_xlfn.XLOOKUP('Summary Data'!$A77,'Round 3 Data'!$A$10:$A$145,'Round 3 Data'!J$10:J$145,0)+_xlfn.XLOOKUP('Summary Data'!$A77,'Round 4 Data'!$A$10:$A$147,'Round 4 Data'!J$10:J$147,0))/$D77</f>
        <v>#VALUE!</v>
      </c>
      <c r="K77" s="57" t="e">
        <f>(_xlfn.XLOOKUP('Summary Data'!$A77,'Round 1 Data'!$A$10:$A$143,'Round 1 Data'!K$10:K$144,0)+_xlfn.XLOOKUP('Summary Data'!$A77,'Round 2 Data'!$A$10:$A$146,'Round 2 Data'!K$10:K$146,0)+_xlfn.XLOOKUP('Summary Data'!$A77,'Round 3 Data'!$A$10:$A$145,'Round 3 Data'!K$10:K$145,0)+_xlfn.XLOOKUP('Summary Data'!$A77,'Round 4 Data'!$A$10:$A$147,'Round 4 Data'!K$10:K$147,0))/$D77</f>
        <v>#VALUE!</v>
      </c>
      <c r="L77" s="57" t="e">
        <f>(_xlfn.XLOOKUP('Summary Data'!$A77,'Round 1 Data'!$A$10:$A$143,'Round 1 Data'!L$10:L$144,0)+_xlfn.XLOOKUP('Summary Data'!$A77,'Round 2 Data'!$A$10:$A$146,'Round 2 Data'!L$10:L$146,0)+_xlfn.XLOOKUP('Summary Data'!$A77,'Round 3 Data'!$A$10:$A$145,'Round 3 Data'!L$10:L$145,0)+_xlfn.XLOOKUP('Summary Data'!$A77,'Round 4 Data'!$A$10:$A$147,'Round 4 Data'!L$10:L$147,0))/$D77</f>
        <v>#VALUE!</v>
      </c>
      <c r="M77" s="57" t="e">
        <f>(_xlfn.XLOOKUP('Summary Data'!$A77,'Round 1 Data'!$A$10:$A$143,'Round 1 Data'!M$10:M$144,0)+_xlfn.XLOOKUP('Summary Data'!$A77,'Round 2 Data'!$A$10:$A$146,'Round 2 Data'!M$10:M$146,0)+_xlfn.XLOOKUP('Summary Data'!$A77,'Round 3 Data'!$A$10:$A$145,'Round 3 Data'!M$10:M$145,0)+_xlfn.XLOOKUP('Summary Data'!$A77,'Round 4 Data'!$A$10:$A$147,'Round 4 Data'!M$10:M$147,0))/$D77</f>
        <v>#VALUE!</v>
      </c>
      <c r="N77" s="57" t="e">
        <f>(_xlfn.XLOOKUP('Summary Data'!$A77,'Round 1 Data'!$A$10:$A$143,'Round 1 Data'!N$10:N$144,0)+_xlfn.XLOOKUP('Summary Data'!$A77,'Round 2 Data'!$A$10:$A$146,'Round 2 Data'!N$10:N$146,0)+_xlfn.XLOOKUP('Summary Data'!$A77,'Round 3 Data'!$A$10:$A$145,'Round 3 Data'!N$10:N$145,0)+_xlfn.XLOOKUP('Summary Data'!$A77,'Round 4 Data'!$A$10:$A$147,'Round 4 Data'!N$10:N$147,0))/$D77</f>
        <v>#VALUE!</v>
      </c>
      <c r="O77" s="57" t="e">
        <f>(_xlfn.XLOOKUP('Summary Data'!$A77,'Round 1 Data'!$A$10:$A$143,'Round 1 Data'!O$10:O$144,0)+_xlfn.XLOOKUP('Summary Data'!$A77,'Round 2 Data'!$A$10:$A$146,'Round 2 Data'!O$10:O$146,0)+_xlfn.XLOOKUP('Summary Data'!$A77,'Round 3 Data'!$A$10:$A$145,'Round 3 Data'!O$10:O$145,0)+_xlfn.XLOOKUP('Summary Data'!$A77,'Round 4 Data'!$A$10:$A$147,'Round 4 Data'!O$10:O$147,0))/$D77</f>
        <v>#VALUE!</v>
      </c>
      <c r="P77" s="57" t="e">
        <f>(_xlfn.XLOOKUP('Summary Data'!$A77,'Round 1 Data'!$A$10:$A$143,'Round 1 Data'!P$10:P$144,0)+_xlfn.XLOOKUP('Summary Data'!$A77,'Round 2 Data'!$A$10:$A$146,'Round 2 Data'!P$10:P$146,0)+_xlfn.XLOOKUP('Summary Data'!$A77,'Round 3 Data'!$A$10:$A$145,'Round 3 Data'!P$10:P$145,0)+_xlfn.XLOOKUP('Summary Data'!$A77,'Round 4 Data'!$A$10:$A$147,'Round 4 Data'!P$10:P$147,0))/$D77</f>
        <v>#VALUE!</v>
      </c>
      <c r="Q77" s="57" t="e">
        <f>(_xlfn.XLOOKUP('Summary Data'!$A77,'Round 1 Data'!$A$10:$A$143,'Round 1 Data'!Q$10:Q$144,0)+_xlfn.XLOOKUP('Summary Data'!$A77,'Round 2 Data'!$A$10:$A$146,'Round 2 Data'!Q$10:Q$146,0)+_xlfn.XLOOKUP('Summary Data'!$A77,'Round 3 Data'!$A$10:$A$145,'Round 3 Data'!Q$10:Q$145,0)+_xlfn.XLOOKUP('Summary Data'!$A77,'Round 4 Data'!$A$10:$A$147,'Round 4 Data'!Q$10:Q$147,0))/$D77</f>
        <v>#VALUE!</v>
      </c>
      <c r="R77" s="57" t="e">
        <f>(_xlfn.XLOOKUP('Summary Data'!$A77,'Round 1 Data'!$A$10:$A$143,'Round 1 Data'!R$10:R$144,0)+_xlfn.XLOOKUP('Summary Data'!$A77,'Round 2 Data'!$A$10:$A$146,'Round 2 Data'!R$10:R$146,0)+_xlfn.XLOOKUP('Summary Data'!$A77,'Round 3 Data'!$A$10:$A$145,'Round 3 Data'!R$10:R$145,0)+_xlfn.XLOOKUP('Summary Data'!$A77,'Round 4 Data'!$A$10:$A$147,'Round 4 Data'!R$10:R$147,0))/$D77</f>
        <v>#VALUE!</v>
      </c>
      <c r="S77" s="57" t="e">
        <f>(_xlfn.XLOOKUP('Summary Data'!$A77,'Round 1 Data'!$A$10:$A$143,'Round 1 Data'!S$10:S$144,0)+_xlfn.XLOOKUP('Summary Data'!$A77,'Round 2 Data'!$A$10:$A$146,'Round 2 Data'!S$10:S$146,0)+_xlfn.XLOOKUP('Summary Data'!$A77,'Round 3 Data'!$A$10:$A$145,'Round 3 Data'!S$10:S$145,0)+_xlfn.XLOOKUP('Summary Data'!$A77,'Round 4 Data'!$A$10:$A$147,'Round 4 Data'!S$10:S$147,0))/$D77</f>
        <v>#VALUE!</v>
      </c>
      <c r="T77" s="62" t="e">
        <f>(_xlfn.XLOOKUP('Summary Data'!$A77,'Round 1 Data'!$A$10:$A$143,'Round 1 Data'!U$10:U$144,0)+_xlfn.XLOOKUP('Summary Data'!$A77,'Round 2 Data'!$A$10:$A$146,'Round 2 Data'!U$10:U$146,0)+_xlfn.XLOOKUP('Summary Data'!$A77,'Round 3 Data'!$A$10:$A$145,'Round 3 Data'!U$10:U$145,0)+_xlfn.XLOOKUP('Summary Data'!$A77,'Round 4 Data'!$A$10:$A$147,'Round 4 Data'!U$10:U$147,0))</f>
        <v>#VALUE!</v>
      </c>
    </row>
    <row r="78" spans="1:20" ht="16" thickBot="1" x14ac:dyDescent="0.25">
      <c r="A78" s="61" t="s">
        <v>40</v>
      </c>
      <c r="B78" t="s">
        <v>191</v>
      </c>
      <c r="C78" t="s">
        <v>195</v>
      </c>
      <c r="D78" t="e">
        <f>IF(_xlfn.XLOOKUP('Summary Data'!A78,'Round 1 Data'!$A$10:$A$143,'Round 1 Data'!$E$10:$E$144,0)=0,0,1)+IF(_xlfn.XLOOKUP('Summary Data'!A78,'Round 2 Data'!$A$10:$A$146,'Round 2 Data'!$E$10:$E$146,0)=0,0,1)+IF(_xlfn.XLOOKUP('Summary Data'!A78,'Round 3 Data'!$A$10:$A$145,'Round 3 Data'!$E$10:$E$145,0)=0,0,1)+IF(_xlfn.XLOOKUP('Summary Data'!A78,'Round 4 Data'!$A$10:$A$147,'Round 4 Data'!$E$10:$E$147,0)=0,0,1)</f>
        <v>#VALUE!</v>
      </c>
      <c r="E78" s="57" t="e">
        <f>(_xlfn.XLOOKUP('Summary Data'!$A78,'Round 1 Data'!$A$10:$A$143,'Round 1 Data'!E$10:E$144,0)+_xlfn.XLOOKUP('Summary Data'!$A78,'Round 2 Data'!$A$10:$A$146,'Round 2 Data'!E$10:E$146,0)+_xlfn.XLOOKUP('Summary Data'!$A78,'Round 3 Data'!$A$10:$A$145,'Round 3 Data'!E$10:E$145,0)+_xlfn.XLOOKUP('Summary Data'!$A78,'Round 4 Data'!$A$10:$A$147,'Round 4 Data'!E$10:E$147,0))/$D78</f>
        <v>#VALUE!</v>
      </c>
      <c r="F78" s="57" t="e">
        <f>(_xlfn.XLOOKUP('Summary Data'!$A78,'Round 1 Data'!$A$10:$A$143,'Round 1 Data'!F$10:F$144,0)+_xlfn.XLOOKUP('Summary Data'!$A78,'Round 2 Data'!$A$10:$A$146,'Round 2 Data'!F$10:F$146,0)+_xlfn.XLOOKUP('Summary Data'!$A78,'Round 3 Data'!$A$10:$A$145,'Round 3 Data'!F$10:F$145,0)+_xlfn.XLOOKUP('Summary Data'!$A78,'Round 4 Data'!$A$10:$A$147,'Round 4 Data'!F$10:F$147,0))/$D78</f>
        <v>#VALUE!</v>
      </c>
      <c r="G78" s="57" t="e">
        <f>(_xlfn.XLOOKUP('Summary Data'!$A78,'Round 1 Data'!$A$10:$A$143,'Round 1 Data'!G$10:G$144,0)+_xlfn.XLOOKUP('Summary Data'!$A78,'Round 2 Data'!$A$10:$A$146,'Round 2 Data'!G$10:G$146,0)+_xlfn.XLOOKUP('Summary Data'!$A78,'Round 3 Data'!$A$10:$A$145,'Round 3 Data'!G$10:G$145,0)+_xlfn.XLOOKUP('Summary Data'!$A78,'Round 4 Data'!$A$10:$A$147,'Round 4 Data'!G$10:G$147,0))/$D78</f>
        <v>#VALUE!</v>
      </c>
      <c r="H78" s="57" t="e">
        <f>(_xlfn.XLOOKUP('Summary Data'!$A78,'Round 1 Data'!$A$10:$A$143,'Round 1 Data'!H$10:H$144,0)+_xlfn.XLOOKUP('Summary Data'!$A78,'Round 2 Data'!$A$10:$A$146,'Round 2 Data'!H$10:H$146,0)+_xlfn.XLOOKUP('Summary Data'!$A78,'Round 3 Data'!$A$10:$A$145,'Round 3 Data'!H$10:H$145,0)+_xlfn.XLOOKUP('Summary Data'!$A78,'Round 4 Data'!$A$10:$A$147,'Round 4 Data'!H$10:H$147,0))/$D78</f>
        <v>#VALUE!</v>
      </c>
      <c r="I78" s="57" t="e">
        <f>(_xlfn.XLOOKUP('Summary Data'!$A78,'Round 1 Data'!$A$10:$A$143,'Round 1 Data'!I$10:I$144,0)+_xlfn.XLOOKUP('Summary Data'!$A78,'Round 2 Data'!$A$10:$A$146,'Round 2 Data'!I$10:I$146,0)+_xlfn.XLOOKUP('Summary Data'!$A78,'Round 3 Data'!$A$10:$A$145,'Round 3 Data'!I$10:I$145,0)+_xlfn.XLOOKUP('Summary Data'!$A78,'Round 4 Data'!$A$10:$A$147,'Round 4 Data'!I$10:I$147,0))/$D78</f>
        <v>#VALUE!</v>
      </c>
      <c r="J78" s="57" t="e">
        <f>(_xlfn.XLOOKUP('Summary Data'!$A78,'Round 1 Data'!$A$10:$A$143,'Round 1 Data'!J$10:J$144,0)+_xlfn.XLOOKUP('Summary Data'!$A78,'Round 2 Data'!$A$10:$A$146,'Round 2 Data'!J$10:J$146,0)+_xlfn.XLOOKUP('Summary Data'!$A78,'Round 3 Data'!$A$10:$A$145,'Round 3 Data'!J$10:J$145,0)+_xlfn.XLOOKUP('Summary Data'!$A78,'Round 4 Data'!$A$10:$A$147,'Round 4 Data'!J$10:J$147,0))/$D78</f>
        <v>#VALUE!</v>
      </c>
      <c r="K78" s="57" t="e">
        <f>(_xlfn.XLOOKUP('Summary Data'!$A78,'Round 1 Data'!$A$10:$A$143,'Round 1 Data'!K$10:K$144,0)+_xlfn.XLOOKUP('Summary Data'!$A78,'Round 2 Data'!$A$10:$A$146,'Round 2 Data'!K$10:K$146,0)+_xlfn.XLOOKUP('Summary Data'!$A78,'Round 3 Data'!$A$10:$A$145,'Round 3 Data'!K$10:K$145,0)+_xlfn.XLOOKUP('Summary Data'!$A78,'Round 4 Data'!$A$10:$A$147,'Round 4 Data'!K$10:K$147,0))/$D78</f>
        <v>#VALUE!</v>
      </c>
      <c r="L78" s="57" t="e">
        <f>(_xlfn.XLOOKUP('Summary Data'!$A78,'Round 1 Data'!$A$10:$A$143,'Round 1 Data'!L$10:L$144,0)+_xlfn.XLOOKUP('Summary Data'!$A78,'Round 2 Data'!$A$10:$A$146,'Round 2 Data'!L$10:L$146,0)+_xlfn.XLOOKUP('Summary Data'!$A78,'Round 3 Data'!$A$10:$A$145,'Round 3 Data'!L$10:L$145,0)+_xlfn.XLOOKUP('Summary Data'!$A78,'Round 4 Data'!$A$10:$A$147,'Round 4 Data'!L$10:L$147,0))/$D78</f>
        <v>#VALUE!</v>
      </c>
      <c r="M78" s="57" t="e">
        <f>(_xlfn.XLOOKUP('Summary Data'!$A78,'Round 1 Data'!$A$10:$A$143,'Round 1 Data'!M$10:M$144,0)+_xlfn.XLOOKUP('Summary Data'!$A78,'Round 2 Data'!$A$10:$A$146,'Round 2 Data'!M$10:M$146,0)+_xlfn.XLOOKUP('Summary Data'!$A78,'Round 3 Data'!$A$10:$A$145,'Round 3 Data'!M$10:M$145,0)+_xlfn.XLOOKUP('Summary Data'!$A78,'Round 4 Data'!$A$10:$A$147,'Round 4 Data'!M$10:M$147,0))/$D78</f>
        <v>#VALUE!</v>
      </c>
      <c r="N78" s="57" t="e">
        <f>(_xlfn.XLOOKUP('Summary Data'!$A78,'Round 1 Data'!$A$10:$A$143,'Round 1 Data'!N$10:N$144,0)+_xlfn.XLOOKUP('Summary Data'!$A78,'Round 2 Data'!$A$10:$A$146,'Round 2 Data'!N$10:N$146,0)+_xlfn.XLOOKUP('Summary Data'!$A78,'Round 3 Data'!$A$10:$A$145,'Round 3 Data'!N$10:N$145,0)+_xlfn.XLOOKUP('Summary Data'!$A78,'Round 4 Data'!$A$10:$A$147,'Round 4 Data'!N$10:N$147,0))/$D78</f>
        <v>#VALUE!</v>
      </c>
      <c r="O78" s="57" t="e">
        <f>(_xlfn.XLOOKUP('Summary Data'!$A78,'Round 1 Data'!$A$10:$A$143,'Round 1 Data'!O$10:O$144,0)+_xlfn.XLOOKUP('Summary Data'!$A78,'Round 2 Data'!$A$10:$A$146,'Round 2 Data'!O$10:O$146,0)+_xlfn.XLOOKUP('Summary Data'!$A78,'Round 3 Data'!$A$10:$A$145,'Round 3 Data'!O$10:O$145,0)+_xlfn.XLOOKUP('Summary Data'!$A78,'Round 4 Data'!$A$10:$A$147,'Round 4 Data'!O$10:O$147,0))/$D78</f>
        <v>#VALUE!</v>
      </c>
      <c r="P78" s="57" t="e">
        <f>(_xlfn.XLOOKUP('Summary Data'!$A78,'Round 1 Data'!$A$10:$A$143,'Round 1 Data'!P$10:P$144,0)+_xlfn.XLOOKUP('Summary Data'!$A78,'Round 2 Data'!$A$10:$A$146,'Round 2 Data'!P$10:P$146,0)+_xlfn.XLOOKUP('Summary Data'!$A78,'Round 3 Data'!$A$10:$A$145,'Round 3 Data'!P$10:P$145,0)+_xlfn.XLOOKUP('Summary Data'!$A78,'Round 4 Data'!$A$10:$A$147,'Round 4 Data'!P$10:P$147,0))/$D78</f>
        <v>#VALUE!</v>
      </c>
      <c r="Q78" s="57" t="e">
        <f>(_xlfn.XLOOKUP('Summary Data'!$A78,'Round 1 Data'!$A$10:$A$143,'Round 1 Data'!Q$10:Q$144,0)+_xlfn.XLOOKUP('Summary Data'!$A78,'Round 2 Data'!$A$10:$A$146,'Round 2 Data'!Q$10:Q$146,0)+_xlfn.XLOOKUP('Summary Data'!$A78,'Round 3 Data'!$A$10:$A$145,'Round 3 Data'!Q$10:Q$145,0)+_xlfn.XLOOKUP('Summary Data'!$A78,'Round 4 Data'!$A$10:$A$147,'Round 4 Data'!Q$10:Q$147,0))/$D78</f>
        <v>#VALUE!</v>
      </c>
      <c r="R78" s="57" t="e">
        <f>(_xlfn.XLOOKUP('Summary Data'!$A78,'Round 1 Data'!$A$10:$A$143,'Round 1 Data'!R$10:R$144,0)+_xlfn.XLOOKUP('Summary Data'!$A78,'Round 2 Data'!$A$10:$A$146,'Round 2 Data'!R$10:R$146,0)+_xlfn.XLOOKUP('Summary Data'!$A78,'Round 3 Data'!$A$10:$A$145,'Round 3 Data'!R$10:R$145,0)+_xlfn.XLOOKUP('Summary Data'!$A78,'Round 4 Data'!$A$10:$A$147,'Round 4 Data'!R$10:R$147,0))/$D78</f>
        <v>#VALUE!</v>
      </c>
      <c r="S78" s="57" t="e">
        <f>(_xlfn.XLOOKUP('Summary Data'!$A78,'Round 1 Data'!$A$10:$A$143,'Round 1 Data'!S$10:S$144,0)+_xlfn.XLOOKUP('Summary Data'!$A78,'Round 2 Data'!$A$10:$A$146,'Round 2 Data'!S$10:S$146,0)+_xlfn.XLOOKUP('Summary Data'!$A78,'Round 3 Data'!$A$10:$A$145,'Round 3 Data'!S$10:S$145,0)+_xlfn.XLOOKUP('Summary Data'!$A78,'Round 4 Data'!$A$10:$A$147,'Round 4 Data'!S$10:S$147,0))/$D78</f>
        <v>#VALUE!</v>
      </c>
      <c r="T78" s="62" t="e">
        <f>(_xlfn.XLOOKUP('Summary Data'!$A78,'Round 1 Data'!$A$10:$A$143,'Round 1 Data'!U$10:U$144,0)+_xlfn.XLOOKUP('Summary Data'!$A78,'Round 2 Data'!$A$10:$A$146,'Round 2 Data'!U$10:U$146,0)+_xlfn.XLOOKUP('Summary Data'!$A78,'Round 3 Data'!$A$10:$A$145,'Round 3 Data'!U$10:U$145,0)+_xlfn.XLOOKUP('Summary Data'!$A78,'Round 4 Data'!$A$10:$A$147,'Round 4 Data'!U$10:U$147,0))</f>
        <v>#VALUE!</v>
      </c>
    </row>
    <row r="79" spans="1:20" ht="16" thickBot="1" x14ac:dyDescent="0.25">
      <c r="A79" s="63" t="s">
        <v>41</v>
      </c>
      <c r="B79" t="s">
        <v>191</v>
      </c>
      <c r="C79" t="s">
        <v>196</v>
      </c>
      <c r="D79" t="e">
        <f>IF(_xlfn.XLOOKUP('Summary Data'!A79,'Round 1 Data'!$A$10:$A$143,'Round 1 Data'!$E$10:$E$144,0)=0,0,1)+IF(_xlfn.XLOOKUP('Summary Data'!A79,'Round 2 Data'!$A$10:$A$146,'Round 2 Data'!$E$10:$E$146,0)=0,0,1)+IF(_xlfn.XLOOKUP('Summary Data'!A79,'Round 3 Data'!$A$10:$A$145,'Round 3 Data'!$E$10:$E$145,0)=0,0,1)+IF(_xlfn.XLOOKUP('Summary Data'!A79,'Round 4 Data'!$A$10:$A$147,'Round 4 Data'!$E$10:$E$147,0)=0,0,1)</f>
        <v>#VALUE!</v>
      </c>
      <c r="E79" s="57" t="e">
        <f>(_xlfn.XLOOKUP('Summary Data'!$A79,'Round 1 Data'!$A$10:$A$143,'Round 1 Data'!E$10:E$144,0)+_xlfn.XLOOKUP('Summary Data'!$A79,'Round 2 Data'!$A$10:$A$146,'Round 2 Data'!E$10:E$146,0)+_xlfn.XLOOKUP('Summary Data'!$A79,'Round 3 Data'!$A$10:$A$145,'Round 3 Data'!E$10:E$145,0)+_xlfn.XLOOKUP('Summary Data'!$A79,'Round 4 Data'!$A$10:$A$147,'Round 4 Data'!E$10:E$147,0))/$D79</f>
        <v>#VALUE!</v>
      </c>
      <c r="F79" s="57" t="e">
        <f>(_xlfn.XLOOKUP('Summary Data'!$A79,'Round 1 Data'!$A$10:$A$143,'Round 1 Data'!F$10:F$144,0)+_xlfn.XLOOKUP('Summary Data'!$A79,'Round 2 Data'!$A$10:$A$146,'Round 2 Data'!F$10:F$146,0)+_xlfn.XLOOKUP('Summary Data'!$A79,'Round 3 Data'!$A$10:$A$145,'Round 3 Data'!F$10:F$145,0)+_xlfn.XLOOKUP('Summary Data'!$A79,'Round 4 Data'!$A$10:$A$147,'Round 4 Data'!F$10:F$147,0))/$D79</f>
        <v>#VALUE!</v>
      </c>
      <c r="G79" s="57" t="e">
        <f>(_xlfn.XLOOKUP('Summary Data'!$A79,'Round 1 Data'!$A$10:$A$143,'Round 1 Data'!G$10:G$144,0)+_xlfn.XLOOKUP('Summary Data'!$A79,'Round 2 Data'!$A$10:$A$146,'Round 2 Data'!G$10:G$146,0)+_xlfn.XLOOKUP('Summary Data'!$A79,'Round 3 Data'!$A$10:$A$145,'Round 3 Data'!G$10:G$145,0)+_xlfn.XLOOKUP('Summary Data'!$A79,'Round 4 Data'!$A$10:$A$147,'Round 4 Data'!G$10:G$147,0))/$D79</f>
        <v>#VALUE!</v>
      </c>
      <c r="H79" s="57" t="e">
        <f>(_xlfn.XLOOKUP('Summary Data'!$A79,'Round 1 Data'!$A$10:$A$143,'Round 1 Data'!H$10:H$144,0)+_xlfn.XLOOKUP('Summary Data'!$A79,'Round 2 Data'!$A$10:$A$146,'Round 2 Data'!H$10:H$146,0)+_xlfn.XLOOKUP('Summary Data'!$A79,'Round 3 Data'!$A$10:$A$145,'Round 3 Data'!H$10:H$145,0)+_xlfn.XLOOKUP('Summary Data'!$A79,'Round 4 Data'!$A$10:$A$147,'Round 4 Data'!H$10:H$147,0))/$D79</f>
        <v>#VALUE!</v>
      </c>
      <c r="I79" s="57" t="e">
        <f>(_xlfn.XLOOKUP('Summary Data'!$A79,'Round 1 Data'!$A$10:$A$143,'Round 1 Data'!I$10:I$144,0)+_xlfn.XLOOKUP('Summary Data'!$A79,'Round 2 Data'!$A$10:$A$146,'Round 2 Data'!I$10:I$146,0)+_xlfn.XLOOKUP('Summary Data'!$A79,'Round 3 Data'!$A$10:$A$145,'Round 3 Data'!I$10:I$145,0)+_xlfn.XLOOKUP('Summary Data'!$A79,'Round 4 Data'!$A$10:$A$147,'Round 4 Data'!I$10:I$147,0))/$D79</f>
        <v>#VALUE!</v>
      </c>
      <c r="J79" s="57" t="e">
        <f>(_xlfn.XLOOKUP('Summary Data'!$A79,'Round 1 Data'!$A$10:$A$143,'Round 1 Data'!J$10:J$144,0)+_xlfn.XLOOKUP('Summary Data'!$A79,'Round 2 Data'!$A$10:$A$146,'Round 2 Data'!J$10:J$146,0)+_xlfn.XLOOKUP('Summary Data'!$A79,'Round 3 Data'!$A$10:$A$145,'Round 3 Data'!J$10:J$145,0)+_xlfn.XLOOKUP('Summary Data'!$A79,'Round 4 Data'!$A$10:$A$147,'Round 4 Data'!J$10:J$147,0))/$D79</f>
        <v>#VALUE!</v>
      </c>
      <c r="K79" s="57" t="e">
        <f>(_xlfn.XLOOKUP('Summary Data'!$A79,'Round 1 Data'!$A$10:$A$143,'Round 1 Data'!K$10:K$144,0)+_xlfn.XLOOKUP('Summary Data'!$A79,'Round 2 Data'!$A$10:$A$146,'Round 2 Data'!K$10:K$146,0)+_xlfn.XLOOKUP('Summary Data'!$A79,'Round 3 Data'!$A$10:$A$145,'Round 3 Data'!K$10:K$145,0)+_xlfn.XLOOKUP('Summary Data'!$A79,'Round 4 Data'!$A$10:$A$147,'Round 4 Data'!K$10:K$147,0))/$D79</f>
        <v>#VALUE!</v>
      </c>
      <c r="L79" s="57" t="e">
        <f>(_xlfn.XLOOKUP('Summary Data'!$A79,'Round 1 Data'!$A$10:$A$143,'Round 1 Data'!L$10:L$144,0)+_xlfn.XLOOKUP('Summary Data'!$A79,'Round 2 Data'!$A$10:$A$146,'Round 2 Data'!L$10:L$146,0)+_xlfn.XLOOKUP('Summary Data'!$A79,'Round 3 Data'!$A$10:$A$145,'Round 3 Data'!L$10:L$145,0)+_xlfn.XLOOKUP('Summary Data'!$A79,'Round 4 Data'!$A$10:$A$147,'Round 4 Data'!L$10:L$147,0))/$D79</f>
        <v>#VALUE!</v>
      </c>
      <c r="M79" s="57" t="e">
        <f>(_xlfn.XLOOKUP('Summary Data'!$A79,'Round 1 Data'!$A$10:$A$143,'Round 1 Data'!M$10:M$144,0)+_xlfn.XLOOKUP('Summary Data'!$A79,'Round 2 Data'!$A$10:$A$146,'Round 2 Data'!M$10:M$146,0)+_xlfn.XLOOKUP('Summary Data'!$A79,'Round 3 Data'!$A$10:$A$145,'Round 3 Data'!M$10:M$145,0)+_xlfn.XLOOKUP('Summary Data'!$A79,'Round 4 Data'!$A$10:$A$147,'Round 4 Data'!M$10:M$147,0))/$D79</f>
        <v>#VALUE!</v>
      </c>
      <c r="N79" s="57" t="e">
        <f>(_xlfn.XLOOKUP('Summary Data'!$A79,'Round 1 Data'!$A$10:$A$143,'Round 1 Data'!N$10:N$144,0)+_xlfn.XLOOKUP('Summary Data'!$A79,'Round 2 Data'!$A$10:$A$146,'Round 2 Data'!N$10:N$146,0)+_xlfn.XLOOKUP('Summary Data'!$A79,'Round 3 Data'!$A$10:$A$145,'Round 3 Data'!N$10:N$145,0)+_xlfn.XLOOKUP('Summary Data'!$A79,'Round 4 Data'!$A$10:$A$147,'Round 4 Data'!N$10:N$147,0))/$D79</f>
        <v>#VALUE!</v>
      </c>
      <c r="O79" s="57" t="e">
        <f>(_xlfn.XLOOKUP('Summary Data'!$A79,'Round 1 Data'!$A$10:$A$143,'Round 1 Data'!O$10:O$144,0)+_xlfn.XLOOKUP('Summary Data'!$A79,'Round 2 Data'!$A$10:$A$146,'Round 2 Data'!O$10:O$146,0)+_xlfn.XLOOKUP('Summary Data'!$A79,'Round 3 Data'!$A$10:$A$145,'Round 3 Data'!O$10:O$145,0)+_xlfn.XLOOKUP('Summary Data'!$A79,'Round 4 Data'!$A$10:$A$147,'Round 4 Data'!O$10:O$147,0))/$D79</f>
        <v>#VALUE!</v>
      </c>
      <c r="P79" s="57" t="e">
        <f>(_xlfn.XLOOKUP('Summary Data'!$A79,'Round 1 Data'!$A$10:$A$143,'Round 1 Data'!P$10:P$144,0)+_xlfn.XLOOKUP('Summary Data'!$A79,'Round 2 Data'!$A$10:$A$146,'Round 2 Data'!P$10:P$146,0)+_xlfn.XLOOKUP('Summary Data'!$A79,'Round 3 Data'!$A$10:$A$145,'Round 3 Data'!P$10:P$145,0)+_xlfn.XLOOKUP('Summary Data'!$A79,'Round 4 Data'!$A$10:$A$147,'Round 4 Data'!P$10:P$147,0))/$D79</f>
        <v>#VALUE!</v>
      </c>
      <c r="Q79" s="57" t="e">
        <f>(_xlfn.XLOOKUP('Summary Data'!$A79,'Round 1 Data'!$A$10:$A$143,'Round 1 Data'!Q$10:Q$144,0)+_xlfn.XLOOKUP('Summary Data'!$A79,'Round 2 Data'!$A$10:$A$146,'Round 2 Data'!Q$10:Q$146,0)+_xlfn.XLOOKUP('Summary Data'!$A79,'Round 3 Data'!$A$10:$A$145,'Round 3 Data'!Q$10:Q$145,0)+_xlfn.XLOOKUP('Summary Data'!$A79,'Round 4 Data'!$A$10:$A$147,'Round 4 Data'!Q$10:Q$147,0))/$D79</f>
        <v>#VALUE!</v>
      </c>
      <c r="R79" s="57" t="e">
        <f>(_xlfn.XLOOKUP('Summary Data'!$A79,'Round 1 Data'!$A$10:$A$143,'Round 1 Data'!R$10:R$144,0)+_xlfn.XLOOKUP('Summary Data'!$A79,'Round 2 Data'!$A$10:$A$146,'Round 2 Data'!R$10:R$146,0)+_xlfn.XLOOKUP('Summary Data'!$A79,'Round 3 Data'!$A$10:$A$145,'Round 3 Data'!R$10:R$145,0)+_xlfn.XLOOKUP('Summary Data'!$A79,'Round 4 Data'!$A$10:$A$147,'Round 4 Data'!R$10:R$147,0))/$D79</f>
        <v>#VALUE!</v>
      </c>
      <c r="S79" s="57" t="e">
        <f>(_xlfn.XLOOKUP('Summary Data'!$A79,'Round 1 Data'!$A$10:$A$143,'Round 1 Data'!S$10:S$144,0)+_xlfn.XLOOKUP('Summary Data'!$A79,'Round 2 Data'!$A$10:$A$146,'Round 2 Data'!S$10:S$146,0)+_xlfn.XLOOKUP('Summary Data'!$A79,'Round 3 Data'!$A$10:$A$145,'Round 3 Data'!S$10:S$145,0)+_xlfn.XLOOKUP('Summary Data'!$A79,'Round 4 Data'!$A$10:$A$147,'Round 4 Data'!S$10:S$147,0))/$D79</f>
        <v>#VALUE!</v>
      </c>
      <c r="T79" s="62" t="e">
        <f>(_xlfn.XLOOKUP('Summary Data'!$A79,'Round 1 Data'!$A$10:$A$143,'Round 1 Data'!U$10:U$144,0)+_xlfn.XLOOKUP('Summary Data'!$A79,'Round 2 Data'!$A$10:$A$146,'Round 2 Data'!U$10:U$146,0)+_xlfn.XLOOKUP('Summary Data'!$A79,'Round 3 Data'!$A$10:$A$145,'Round 3 Data'!U$10:U$145,0)+_xlfn.XLOOKUP('Summary Data'!$A79,'Round 4 Data'!$A$10:$A$147,'Round 4 Data'!U$10:U$147,0))</f>
        <v>#VALUE!</v>
      </c>
    </row>
    <row r="80" spans="1:20" ht="16" thickBot="1" x14ac:dyDescent="0.25">
      <c r="A80" s="61" t="s">
        <v>42</v>
      </c>
      <c r="B80" t="s">
        <v>191</v>
      </c>
      <c r="C80" t="s">
        <v>197</v>
      </c>
      <c r="D80" t="e">
        <f>IF(_xlfn.XLOOKUP('Summary Data'!A80,'Round 1 Data'!$A$10:$A$143,'Round 1 Data'!$E$10:$E$144,0)=0,0,1)+IF(_xlfn.XLOOKUP('Summary Data'!A80,'Round 2 Data'!$A$10:$A$146,'Round 2 Data'!$E$10:$E$146,0)=0,0,1)+IF(_xlfn.XLOOKUP('Summary Data'!A80,'Round 3 Data'!$A$10:$A$145,'Round 3 Data'!$E$10:$E$145,0)=0,0,1)+IF(_xlfn.XLOOKUP('Summary Data'!A80,'Round 4 Data'!$A$10:$A$147,'Round 4 Data'!$E$10:$E$147,0)=0,0,1)</f>
        <v>#VALUE!</v>
      </c>
      <c r="E80" s="57" t="e">
        <f>(_xlfn.XLOOKUP('Summary Data'!$A80,'Round 1 Data'!$A$10:$A$143,'Round 1 Data'!E$10:E$144,0)+_xlfn.XLOOKUP('Summary Data'!$A80,'Round 2 Data'!$A$10:$A$146,'Round 2 Data'!E$10:E$146,0)+_xlfn.XLOOKUP('Summary Data'!$A80,'Round 3 Data'!$A$10:$A$145,'Round 3 Data'!E$10:E$145,0)+_xlfn.XLOOKUP('Summary Data'!$A80,'Round 4 Data'!$A$10:$A$147,'Round 4 Data'!E$10:E$147,0))/$D80</f>
        <v>#VALUE!</v>
      </c>
      <c r="F80" s="57" t="e">
        <f>(_xlfn.XLOOKUP('Summary Data'!$A80,'Round 1 Data'!$A$10:$A$143,'Round 1 Data'!F$10:F$144,0)+_xlfn.XLOOKUP('Summary Data'!$A80,'Round 2 Data'!$A$10:$A$146,'Round 2 Data'!F$10:F$146,0)+_xlfn.XLOOKUP('Summary Data'!$A80,'Round 3 Data'!$A$10:$A$145,'Round 3 Data'!F$10:F$145,0)+_xlfn.XLOOKUP('Summary Data'!$A80,'Round 4 Data'!$A$10:$A$147,'Round 4 Data'!F$10:F$147,0))/$D80</f>
        <v>#VALUE!</v>
      </c>
      <c r="G80" s="57" t="e">
        <f>(_xlfn.XLOOKUP('Summary Data'!$A80,'Round 1 Data'!$A$10:$A$143,'Round 1 Data'!G$10:G$144,0)+_xlfn.XLOOKUP('Summary Data'!$A80,'Round 2 Data'!$A$10:$A$146,'Round 2 Data'!G$10:G$146,0)+_xlfn.XLOOKUP('Summary Data'!$A80,'Round 3 Data'!$A$10:$A$145,'Round 3 Data'!G$10:G$145,0)+_xlfn.XLOOKUP('Summary Data'!$A80,'Round 4 Data'!$A$10:$A$147,'Round 4 Data'!G$10:G$147,0))/$D80</f>
        <v>#VALUE!</v>
      </c>
      <c r="H80" s="57" t="e">
        <f>(_xlfn.XLOOKUP('Summary Data'!$A80,'Round 1 Data'!$A$10:$A$143,'Round 1 Data'!H$10:H$144,0)+_xlfn.XLOOKUP('Summary Data'!$A80,'Round 2 Data'!$A$10:$A$146,'Round 2 Data'!H$10:H$146,0)+_xlfn.XLOOKUP('Summary Data'!$A80,'Round 3 Data'!$A$10:$A$145,'Round 3 Data'!H$10:H$145,0)+_xlfn.XLOOKUP('Summary Data'!$A80,'Round 4 Data'!$A$10:$A$147,'Round 4 Data'!H$10:H$147,0))/$D80</f>
        <v>#VALUE!</v>
      </c>
      <c r="I80" s="57" t="e">
        <f>(_xlfn.XLOOKUP('Summary Data'!$A80,'Round 1 Data'!$A$10:$A$143,'Round 1 Data'!I$10:I$144,0)+_xlfn.XLOOKUP('Summary Data'!$A80,'Round 2 Data'!$A$10:$A$146,'Round 2 Data'!I$10:I$146,0)+_xlfn.XLOOKUP('Summary Data'!$A80,'Round 3 Data'!$A$10:$A$145,'Round 3 Data'!I$10:I$145,0)+_xlfn.XLOOKUP('Summary Data'!$A80,'Round 4 Data'!$A$10:$A$147,'Round 4 Data'!I$10:I$147,0))/$D80</f>
        <v>#VALUE!</v>
      </c>
      <c r="J80" s="57" t="e">
        <f>(_xlfn.XLOOKUP('Summary Data'!$A80,'Round 1 Data'!$A$10:$A$143,'Round 1 Data'!J$10:J$144,0)+_xlfn.XLOOKUP('Summary Data'!$A80,'Round 2 Data'!$A$10:$A$146,'Round 2 Data'!J$10:J$146,0)+_xlfn.XLOOKUP('Summary Data'!$A80,'Round 3 Data'!$A$10:$A$145,'Round 3 Data'!J$10:J$145,0)+_xlfn.XLOOKUP('Summary Data'!$A80,'Round 4 Data'!$A$10:$A$147,'Round 4 Data'!J$10:J$147,0))/$D80</f>
        <v>#VALUE!</v>
      </c>
      <c r="K80" s="57" t="e">
        <f>(_xlfn.XLOOKUP('Summary Data'!$A80,'Round 1 Data'!$A$10:$A$143,'Round 1 Data'!K$10:K$144,0)+_xlfn.XLOOKUP('Summary Data'!$A80,'Round 2 Data'!$A$10:$A$146,'Round 2 Data'!K$10:K$146,0)+_xlfn.XLOOKUP('Summary Data'!$A80,'Round 3 Data'!$A$10:$A$145,'Round 3 Data'!K$10:K$145,0)+_xlfn.XLOOKUP('Summary Data'!$A80,'Round 4 Data'!$A$10:$A$147,'Round 4 Data'!K$10:K$147,0))/$D80</f>
        <v>#VALUE!</v>
      </c>
      <c r="L80" s="57" t="e">
        <f>(_xlfn.XLOOKUP('Summary Data'!$A80,'Round 1 Data'!$A$10:$A$143,'Round 1 Data'!L$10:L$144,0)+_xlfn.XLOOKUP('Summary Data'!$A80,'Round 2 Data'!$A$10:$A$146,'Round 2 Data'!L$10:L$146,0)+_xlfn.XLOOKUP('Summary Data'!$A80,'Round 3 Data'!$A$10:$A$145,'Round 3 Data'!L$10:L$145,0)+_xlfn.XLOOKUP('Summary Data'!$A80,'Round 4 Data'!$A$10:$A$147,'Round 4 Data'!L$10:L$147,0))/$D80</f>
        <v>#VALUE!</v>
      </c>
      <c r="M80" s="57" t="e">
        <f>(_xlfn.XLOOKUP('Summary Data'!$A80,'Round 1 Data'!$A$10:$A$143,'Round 1 Data'!M$10:M$144,0)+_xlfn.XLOOKUP('Summary Data'!$A80,'Round 2 Data'!$A$10:$A$146,'Round 2 Data'!M$10:M$146,0)+_xlfn.XLOOKUP('Summary Data'!$A80,'Round 3 Data'!$A$10:$A$145,'Round 3 Data'!M$10:M$145,0)+_xlfn.XLOOKUP('Summary Data'!$A80,'Round 4 Data'!$A$10:$A$147,'Round 4 Data'!M$10:M$147,0))/$D80</f>
        <v>#VALUE!</v>
      </c>
      <c r="N80" s="57" t="e">
        <f>(_xlfn.XLOOKUP('Summary Data'!$A80,'Round 1 Data'!$A$10:$A$143,'Round 1 Data'!N$10:N$144,0)+_xlfn.XLOOKUP('Summary Data'!$A80,'Round 2 Data'!$A$10:$A$146,'Round 2 Data'!N$10:N$146,0)+_xlfn.XLOOKUP('Summary Data'!$A80,'Round 3 Data'!$A$10:$A$145,'Round 3 Data'!N$10:N$145,0)+_xlfn.XLOOKUP('Summary Data'!$A80,'Round 4 Data'!$A$10:$A$147,'Round 4 Data'!N$10:N$147,0))/$D80</f>
        <v>#VALUE!</v>
      </c>
      <c r="O80" s="57" t="e">
        <f>(_xlfn.XLOOKUP('Summary Data'!$A80,'Round 1 Data'!$A$10:$A$143,'Round 1 Data'!O$10:O$144,0)+_xlfn.XLOOKUP('Summary Data'!$A80,'Round 2 Data'!$A$10:$A$146,'Round 2 Data'!O$10:O$146,0)+_xlfn.XLOOKUP('Summary Data'!$A80,'Round 3 Data'!$A$10:$A$145,'Round 3 Data'!O$10:O$145,0)+_xlfn.XLOOKUP('Summary Data'!$A80,'Round 4 Data'!$A$10:$A$147,'Round 4 Data'!O$10:O$147,0))/$D80</f>
        <v>#VALUE!</v>
      </c>
      <c r="P80" s="57" t="e">
        <f>(_xlfn.XLOOKUP('Summary Data'!$A80,'Round 1 Data'!$A$10:$A$143,'Round 1 Data'!P$10:P$144,0)+_xlfn.XLOOKUP('Summary Data'!$A80,'Round 2 Data'!$A$10:$A$146,'Round 2 Data'!P$10:P$146,0)+_xlfn.XLOOKUP('Summary Data'!$A80,'Round 3 Data'!$A$10:$A$145,'Round 3 Data'!P$10:P$145,0)+_xlfn.XLOOKUP('Summary Data'!$A80,'Round 4 Data'!$A$10:$A$147,'Round 4 Data'!P$10:P$147,0))/$D80</f>
        <v>#VALUE!</v>
      </c>
      <c r="Q80" s="57" t="e">
        <f>(_xlfn.XLOOKUP('Summary Data'!$A80,'Round 1 Data'!$A$10:$A$143,'Round 1 Data'!Q$10:Q$144,0)+_xlfn.XLOOKUP('Summary Data'!$A80,'Round 2 Data'!$A$10:$A$146,'Round 2 Data'!Q$10:Q$146,0)+_xlfn.XLOOKUP('Summary Data'!$A80,'Round 3 Data'!$A$10:$A$145,'Round 3 Data'!Q$10:Q$145,0)+_xlfn.XLOOKUP('Summary Data'!$A80,'Round 4 Data'!$A$10:$A$147,'Round 4 Data'!Q$10:Q$147,0))/$D80</f>
        <v>#VALUE!</v>
      </c>
      <c r="R80" s="57" t="e">
        <f>(_xlfn.XLOOKUP('Summary Data'!$A80,'Round 1 Data'!$A$10:$A$143,'Round 1 Data'!R$10:R$144,0)+_xlfn.XLOOKUP('Summary Data'!$A80,'Round 2 Data'!$A$10:$A$146,'Round 2 Data'!R$10:R$146,0)+_xlfn.XLOOKUP('Summary Data'!$A80,'Round 3 Data'!$A$10:$A$145,'Round 3 Data'!R$10:R$145,0)+_xlfn.XLOOKUP('Summary Data'!$A80,'Round 4 Data'!$A$10:$A$147,'Round 4 Data'!R$10:R$147,0))/$D80</f>
        <v>#VALUE!</v>
      </c>
      <c r="S80" s="57" t="e">
        <f>(_xlfn.XLOOKUP('Summary Data'!$A80,'Round 1 Data'!$A$10:$A$143,'Round 1 Data'!S$10:S$144,0)+_xlfn.XLOOKUP('Summary Data'!$A80,'Round 2 Data'!$A$10:$A$146,'Round 2 Data'!S$10:S$146,0)+_xlfn.XLOOKUP('Summary Data'!$A80,'Round 3 Data'!$A$10:$A$145,'Round 3 Data'!S$10:S$145,0)+_xlfn.XLOOKUP('Summary Data'!$A80,'Round 4 Data'!$A$10:$A$147,'Round 4 Data'!S$10:S$147,0))/$D80</f>
        <v>#VALUE!</v>
      </c>
      <c r="T80" s="62" t="e">
        <f>(_xlfn.XLOOKUP('Summary Data'!$A80,'Round 1 Data'!$A$10:$A$143,'Round 1 Data'!U$10:U$144,0)+_xlfn.XLOOKUP('Summary Data'!$A80,'Round 2 Data'!$A$10:$A$146,'Round 2 Data'!U$10:U$146,0)+_xlfn.XLOOKUP('Summary Data'!$A80,'Round 3 Data'!$A$10:$A$145,'Round 3 Data'!U$10:U$145,0)+_xlfn.XLOOKUP('Summary Data'!$A80,'Round 4 Data'!$A$10:$A$147,'Round 4 Data'!U$10:U$147,0))</f>
        <v>#VALUE!</v>
      </c>
    </row>
    <row r="81" spans="1:20" ht="16" thickBot="1" x14ac:dyDescent="0.25">
      <c r="A81" s="63" t="s">
        <v>43</v>
      </c>
      <c r="B81" t="s">
        <v>191</v>
      </c>
      <c r="C81" t="s">
        <v>197</v>
      </c>
      <c r="D81" t="e">
        <f>IF(_xlfn.XLOOKUP('Summary Data'!A81,'Round 1 Data'!$A$10:$A$143,'Round 1 Data'!$E$10:$E$144,0)=0,0,1)+IF(_xlfn.XLOOKUP('Summary Data'!A81,'Round 2 Data'!$A$10:$A$146,'Round 2 Data'!$E$10:$E$146,0)=0,0,1)+IF(_xlfn.XLOOKUP('Summary Data'!A81,'Round 3 Data'!$A$10:$A$145,'Round 3 Data'!$E$10:$E$145,0)=0,0,1)+IF(_xlfn.XLOOKUP('Summary Data'!A81,'Round 4 Data'!$A$10:$A$147,'Round 4 Data'!$E$10:$E$147,0)=0,0,1)</f>
        <v>#VALUE!</v>
      </c>
      <c r="E81" s="57" t="e">
        <f>(_xlfn.XLOOKUP('Summary Data'!$A81,'Round 1 Data'!$A$10:$A$143,'Round 1 Data'!E$10:E$144,0)+_xlfn.XLOOKUP('Summary Data'!$A81,'Round 2 Data'!$A$10:$A$146,'Round 2 Data'!E$10:E$146,0)+_xlfn.XLOOKUP('Summary Data'!$A81,'Round 3 Data'!$A$10:$A$145,'Round 3 Data'!E$10:E$145,0)+_xlfn.XLOOKUP('Summary Data'!$A81,'Round 4 Data'!$A$10:$A$147,'Round 4 Data'!E$10:E$147,0))/$D81</f>
        <v>#VALUE!</v>
      </c>
      <c r="F81" s="57" t="e">
        <f>(_xlfn.XLOOKUP('Summary Data'!$A81,'Round 1 Data'!$A$10:$A$143,'Round 1 Data'!F$10:F$144,0)+_xlfn.XLOOKUP('Summary Data'!$A81,'Round 2 Data'!$A$10:$A$146,'Round 2 Data'!F$10:F$146,0)+_xlfn.XLOOKUP('Summary Data'!$A81,'Round 3 Data'!$A$10:$A$145,'Round 3 Data'!F$10:F$145,0)+_xlfn.XLOOKUP('Summary Data'!$A81,'Round 4 Data'!$A$10:$A$147,'Round 4 Data'!F$10:F$147,0))/$D81</f>
        <v>#VALUE!</v>
      </c>
      <c r="G81" s="57" t="e">
        <f>(_xlfn.XLOOKUP('Summary Data'!$A81,'Round 1 Data'!$A$10:$A$143,'Round 1 Data'!G$10:G$144,0)+_xlfn.XLOOKUP('Summary Data'!$A81,'Round 2 Data'!$A$10:$A$146,'Round 2 Data'!G$10:G$146,0)+_xlfn.XLOOKUP('Summary Data'!$A81,'Round 3 Data'!$A$10:$A$145,'Round 3 Data'!G$10:G$145,0)+_xlfn.XLOOKUP('Summary Data'!$A81,'Round 4 Data'!$A$10:$A$147,'Round 4 Data'!G$10:G$147,0))/$D81</f>
        <v>#VALUE!</v>
      </c>
      <c r="H81" s="57" t="e">
        <f>(_xlfn.XLOOKUP('Summary Data'!$A81,'Round 1 Data'!$A$10:$A$143,'Round 1 Data'!H$10:H$144,0)+_xlfn.XLOOKUP('Summary Data'!$A81,'Round 2 Data'!$A$10:$A$146,'Round 2 Data'!H$10:H$146,0)+_xlfn.XLOOKUP('Summary Data'!$A81,'Round 3 Data'!$A$10:$A$145,'Round 3 Data'!H$10:H$145,0)+_xlfn.XLOOKUP('Summary Data'!$A81,'Round 4 Data'!$A$10:$A$147,'Round 4 Data'!H$10:H$147,0))/$D81</f>
        <v>#VALUE!</v>
      </c>
      <c r="I81" s="57" t="e">
        <f>(_xlfn.XLOOKUP('Summary Data'!$A81,'Round 1 Data'!$A$10:$A$143,'Round 1 Data'!I$10:I$144,0)+_xlfn.XLOOKUP('Summary Data'!$A81,'Round 2 Data'!$A$10:$A$146,'Round 2 Data'!I$10:I$146,0)+_xlfn.XLOOKUP('Summary Data'!$A81,'Round 3 Data'!$A$10:$A$145,'Round 3 Data'!I$10:I$145,0)+_xlfn.XLOOKUP('Summary Data'!$A81,'Round 4 Data'!$A$10:$A$147,'Round 4 Data'!I$10:I$147,0))/$D81</f>
        <v>#VALUE!</v>
      </c>
      <c r="J81" s="57" t="e">
        <f>(_xlfn.XLOOKUP('Summary Data'!$A81,'Round 1 Data'!$A$10:$A$143,'Round 1 Data'!J$10:J$144,0)+_xlfn.XLOOKUP('Summary Data'!$A81,'Round 2 Data'!$A$10:$A$146,'Round 2 Data'!J$10:J$146,0)+_xlfn.XLOOKUP('Summary Data'!$A81,'Round 3 Data'!$A$10:$A$145,'Round 3 Data'!J$10:J$145,0)+_xlfn.XLOOKUP('Summary Data'!$A81,'Round 4 Data'!$A$10:$A$147,'Round 4 Data'!J$10:J$147,0))/$D81</f>
        <v>#VALUE!</v>
      </c>
      <c r="K81" s="57" t="e">
        <f>(_xlfn.XLOOKUP('Summary Data'!$A81,'Round 1 Data'!$A$10:$A$143,'Round 1 Data'!K$10:K$144,0)+_xlfn.XLOOKUP('Summary Data'!$A81,'Round 2 Data'!$A$10:$A$146,'Round 2 Data'!K$10:K$146,0)+_xlfn.XLOOKUP('Summary Data'!$A81,'Round 3 Data'!$A$10:$A$145,'Round 3 Data'!K$10:K$145,0)+_xlfn.XLOOKUP('Summary Data'!$A81,'Round 4 Data'!$A$10:$A$147,'Round 4 Data'!K$10:K$147,0))/$D81</f>
        <v>#VALUE!</v>
      </c>
      <c r="L81" s="57" t="e">
        <f>(_xlfn.XLOOKUP('Summary Data'!$A81,'Round 1 Data'!$A$10:$A$143,'Round 1 Data'!L$10:L$144,0)+_xlfn.XLOOKUP('Summary Data'!$A81,'Round 2 Data'!$A$10:$A$146,'Round 2 Data'!L$10:L$146,0)+_xlfn.XLOOKUP('Summary Data'!$A81,'Round 3 Data'!$A$10:$A$145,'Round 3 Data'!L$10:L$145,0)+_xlfn.XLOOKUP('Summary Data'!$A81,'Round 4 Data'!$A$10:$A$147,'Round 4 Data'!L$10:L$147,0))/$D81</f>
        <v>#VALUE!</v>
      </c>
      <c r="M81" s="57" t="e">
        <f>(_xlfn.XLOOKUP('Summary Data'!$A81,'Round 1 Data'!$A$10:$A$143,'Round 1 Data'!M$10:M$144,0)+_xlfn.XLOOKUP('Summary Data'!$A81,'Round 2 Data'!$A$10:$A$146,'Round 2 Data'!M$10:M$146,0)+_xlfn.XLOOKUP('Summary Data'!$A81,'Round 3 Data'!$A$10:$A$145,'Round 3 Data'!M$10:M$145,0)+_xlfn.XLOOKUP('Summary Data'!$A81,'Round 4 Data'!$A$10:$A$147,'Round 4 Data'!M$10:M$147,0))/$D81</f>
        <v>#VALUE!</v>
      </c>
      <c r="N81" s="57" t="e">
        <f>(_xlfn.XLOOKUP('Summary Data'!$A81,'Round 1 Data'!$A$10:$A$143,'Round 1 Data'!N$10:N$144,0)+_xlfn.XLOOKUP('Summary Data'!$A81,'Round 2 Data'!$A$10:$A$146,'Round 2 Data'!N$10:N$146,0)+_xlfn.XLOOKUP('Summary Data'!$A81,'Round 3 Data'!$A$10:$A$145,'Round 3 Data'!N$10:N$145,0)+_xlfn.XLOOKUP('Summary Data'!$A81,'Round 4 Data'!$A$10:$A$147,'Round 4 Data'!N$10:N$147,0))/$D81</f>
        <v>#VALUE!</v>
      </c>
      <c r="O81" s="57" t="e">
        <f>(_xlfn.XLOOKUP('Summary Data'!$A81,'Round 1 Data'!$A$10:$A$143,'Round 1 Data'!O$10:O$144,0)+_xlfn.XLOOKUP('Summary Data'!$A81,'Round 2 Data'!$A$10:$A$146,'Round 2 Data'!O$10:O$146,0)+_xlfn.XLOOKUP('Summary Data'!$A81,'Round 3 Data'!$A$10:$A$145,'Round 3 Data'!O$10:O$145,0)+_xlfn.XLOOKUP('Summary Data'!$A81,'Round 4 Data'!$A$10:$A$147,'Round 4 Data'!O$10:O$147,0))/$D81</f>
        <v>#VALUE!</v>
      </c>
      <c r="P81" s="57" t="e">
        <f>(_xlfn.XLOOKUP('Summary Data'!$A81,'Round 1 Data'!$A$10:$A$143,'Round 1 Data'!P$10:P$144,0)+_xlfn.XLOOKUP('Summary Data'!$A81,'Round 2 Data'!$A$10:$A$146,'Round 2 Data'!P$10:P$146,0)+_xlfn.XLOOKUP('Summary Data'!$A81,'Round 3 Data'!$A$10:$A$145,'Round 3 Data'!P$10:P$145,0)+_xlfn.XLOOKUP('Summary Data'!$A81,'Round 4 Data'!$A$10:$A$147,'Round 4 Data'!P$10:P$147,0))/$D81</f>
        <v>#VALUE!</v>
      </c>
      <c r="Q81" s="57" t="e">
        <f>(_xlfn.XLOOKUP('Summary Data'!$A81,'Round 1 Data'!$A$10:$A$143,'Round 1 Data'!Q$10:Q$144,0)+_xlfn.XLOOKUP('Summary Data'!$A81,'Round 2 Data'!$A$10:$A$146,'Round 2 Data'!Q$10:Q$146,0)+_xlfn.XLOOKUP('Summary Data'!$A81,'Round 3 Data'!$A$10:$A$145,'Round 3 Data'!Q$10:Q$145,0)+_xlfn.XLOOKUP('Summary Data'!$A81,'Round 4 Data'!$A$10:$A$147,'Round 4 Data'!Q$10:Q$147,0))/$D81</f>
        <v>#VALUE!</v>
      </c>
      <c r="R81" s="57" t="e">
        <f>(_xlfn.XLOOKUP('Summary Data'!$A81,'Round 1 Data'!$A$10:$A$143,'Round 1 Data'!R$10:R$144,0)+_xlfn.XLOOKUP('Summary Data'!$A81,'Round 2 Data'!$A$10:$A$146,'Round 2 Data'!R$10:R$146,0)+_xlfn.XLOOKUP('Summary Data'!$A81,'Round 3 Data'!$A$10:$A$145,'Round 3 Data'!R$10:R$145,0)+_xlfn.XLOOKUP('Summary Data'!$A81,'Round 4 Data'!$A$10:$A$147,'Round 4 Data'!R$10:R$147,0))/$D81</f>
        <v>#VALUE!</v>
      </c>
      <c r="S81" s="57" t="e">
        <f>(_xlfn.XLOOKUP('Summary Data'!$A81,'Round 1 Data'!$A$10:$A$143,'Round 1 Data'!S$10:S$144,0)+_xlfn.XLOOKUP('Summary Data'!$A81,'Round 2 Data'!$A$10:$A$146,'Round 2 Data'!S$10:S$146,0)+_xlfn.XLOOKUP('Summary Data'!$A81,'Round 3 Data'!$A$10:$A$145,'Round 3 Data'!S$10:S$145,0)+_xlfn.XLOOKUP('Summary Data'!$A81,'Round 4 Data'!$A$10:$A$147,'Round 4 Data'!S$10:S$147,0))/$D81</f>
        <v>#VALUE!</v>
      </c>
      <c r="T81" s="62" t="e">
        <f>(_xlfn.XLOOKUP('Summary Data'!$A81,'Round 1 Data'!$A$10:$A$143,'Round 1 Data'!U$10:U$144,0)+_xlfn.XLOOKUP('Summary Data'!$A81,'Round 2 Data'!$A$10:$A$146,'Round 2 Data'!U$10:U$146,0)+_xlfn.XLOOKUP('Summary Data'!$A81,'Round 3 Data'!$A$10:$A$145,'Round 3 Data'!U$10:U$145,0)+_xlfn.XLOOKUP('Summary Data'!$A81,'Round 4 Data'!$A$10:$A$147,'Round 4 Data'!U$10:U$147,0))</f>
        <v>#VALUE!</v>
      </c>
    </row>
    <row r="82" spans="1:20" ht="16" thickBot="1" x14ac:dyDescent="0.25">
      <c r="A82" s="61" t="s">
        <v>44</v>
      </c>
      <c r="B82" t="s">
        <v>191</v>
      </c>
      <c r="C82" t="s">
        <v>198</v>
      </c>
      <c r="D82" t="e">
        <f>IF(_xlfn.XLOOKUP('Summary Data'!A82,'Round 1 Data'!$A$10:$A$143,'Round 1 Data'!$E$10:$E$144,0)=0,0,1)+IF(_xlfn.XLOOKUP('Summary Data'!A82,'Round 2 Data'!$A$10:$A$146,'Round 2 Data'!$E$10:$E$146,0)=0,0,1)+IF(_xlfn.XLOOKUP('Summary Data'!A82,'Round 3 Data'!$A$10:$A$145,'Round 3 Data'!$E$10:$E$145,0)=0,0,1)+IF(_xlfn.XLOOKUP('Summary Data'!A82,'Round 4 Data'!$A$10:$A$147,'Round 4 Data'!$E$10:$E$147,0)=0,0,1)</f>
        <v>#VALUE!</v>
      </c>
      <c r="E82" s="57" t="e">
        <f>(_xlfn.XLOOKUP('Summary Data'!$A82,'Round 1 Data'!$A$10:$A$143,'Round 1 Data'!E$10:E$144,0)+_xlfn.XLOOKUP('Summary Data'!$A82,'Round 2 Data'!$A$10:$A$146,'Round 2 Data'!E$10:E$146,0)+_xlfn.XLOOKUP('Summary Data'!$A82,'Round 3 Data'!$A$10:$A$145,'Round 3 Data'!E$10:E$145,0)+_xlfn.XLOOKUP('Summary Data'!$A82,'Round 4 Data'!$A$10:$A$147,'Round 4 Data'!E$10:E$147,0))/$D82</f>
        <v>#VALUE!</v>
      </c>
      <c r="F82" s="57" t="e">
        <f>(_xlfn.XLOOKUP('Summary Data'!$A82,'Round 1 Data'!$A$10:$A$143,'Round 1 Data'!F$10:F$144,0)+_xlfn.XLOOKUP('Summary Data'!$A82,'Round 2 Data'!$A$10:$A$146,'Round 2 Data'!F$10:F$146,0)+_xlfn.XLOOKUP('Summary Data'!$A82,'Round 3 Data'!$A$10:$A$145,'Round 3 Data'!F$10:F$145,0)+_xlfn.XLOOKUP('Summary Data'!$A82,'Round 4 Data'!$A$10:$A$147,'Round 4 Data'!F$10:F$147,0))/$D82</f>
        <v>#VALUE!</v>
      </c>
      <c r="G82" s="57" t="e">
        <f>(_xlfn.XLOOKUP('Summary Data'!$A82,'Round 1 Data'!$A$10:$A$143,'Round 1 Data'!G$10:G$144,0)+_xlfn.XLOOKUP('Summary Data'!$A82,'Round 2 Data'!$A$10:$A$146,'Round 2 Data'!G$10:G$146,0)+_xlfn.XLOOKUP('Summary Data'!$A82,'Round 3 Data'!$A$10:$A$145,'Round 3 Data'!G$10:G$145,0)+_xlfn.XLOOKUP('Summary Data'!$A82,'Round 4 Data'!$A$10:$A$147,'Round 4 Data'!G$10:G$147,0))/$D82</f>
        <v>#VALUE!</v>
      </c>
      <c r="H82" s="57" t="e">
        <f>(_xlfn.XLOOKUP('Summary Data'!$A82,'Round 1 Data'!$A$10:$A$143,'Round 1 Data'!H$10:H$144,0)+_xlfn.XLOOKUP('Summary Data'!$A82,'Round 2 Data'!$A$10:$A$146,'Round 2 Data'!H$10:H$146,0)+_xlfn.XLOOKUP('Summary Data'!$A82,'Round 3 Data'!$A$10:$A$145,'Round 3 Data'!H$10:H$145,0)+_xlfn.XLOOKUP('Summary Data'!$A82,'Round 4 Data'!$A$10:$A$147,'Round 4 Data'!H$10:H$147,0))/$D82</f>
        <v>#VALUE!</v>
      </c>
      <c r="I82" s="57" t="e">
        <f>(_xlfn.XLOOKUP('Summary Data'!$A82,'Round 1 Data'!$A$10:$A$143,'Round 1 Data'!I$10:I$144,0)+_xlfn.XLOOKUP('Summary Data'!$A82,'Round 2 Data'!$A$10:$A$146,'Round 2 Data'!I$10:I$146,0)+_xlfn.XLOOKUP('Summary Data'!$A82,'Round 3 Data'!$A$10:$A$145,'Round 3 Data'!I$10:I$145,0)+_xlfn.XLOOKUP('Summary Data'!$A82,'Round 4 Data'!$A$10:$A$147,'Round 4 Data'!I$10:I$147,0))/$D82</f>
        <v>#VALUE!</v>
      </c>
      <c r="J82" s="57" t="e">
        <f>(_xlfn.XLOOKUP('Summary Data'!$A82,'Round 1 Data'!$A$10:$A$143,'Round 1 Data'!J$10:J$144,0)+_xlfn.XLOOKUP('Summary Data'!$A82,'Round 2 Data'!$A$10:$A$146,'Round 2 Data'!J$10:J$146,0)+_xlfn.XLOOKUP('Summary Data'!$A82,'Round 3 Data'!$A$10:$A$145,'Round 3 Data'!J$10:J$145,0)+_xlfn.XLOOKUP('Summary Data'!$A82,'Round 4 Data'!$A$10:$A$147,'Round 4 Data'!J$10:J$147,0))/$D82</f>
        <v>#VALUE!</v>
      </c>
      <c r="K82" s="57" t="e">
        <f>(_xlfn.XLOOKUP('Summary Data'!$A82,'Round 1 Data'!$A$10:$A$143,'Round 1 Data'!K$10:K$144,0)+_xlfn.XLOOKUP('Summary Data'!$A82,'Round 2 Data'!$A$10:$A$146,'Round 2 Data'!K$10:K$146,0)+_xlfn.XLOOKUP('Summary Data'!$A82,'Round 3 Data'!$A$10:$A$145,'Round 3 Data'!K$10:K$145,0)+_xlfn.XLOOKUP('Summary Data'!$A82,'Round 4 Data'!$A$10:$A$147,'Round 4 Data'!K$10:K$147,0))/$D82</f>
        <v>#VALUE!</v>
      </c>
      <c r="L82" s="57" t="e">
        <f>(_xlfn.XLOOKUP('Summary Data'!$A82,'Round 1 Data'!$A$10:$A$143,'Round 1 Data'!L$10:L$144,0)+_xlfn.XLOOKUP('Summary Data'!$A82,'Round 2 Data'!$A$10:$A$146,'Round 2 Data'!L$10:L$146,0)+_xlfn.XLOOKUP('Summary Data'!$A82,'Round 3 Data'!$A$10:$A$145,'Round 3 Data'!L$10:L$145,0)+_xlfn.XLOOKUP('Summary Data'!$A82,'Round 4 Data'!$A$10:$A$147,'Round 4 Data'!L$10:L$147,0))/$D82</f>
        <v>#VALUE!</v>
      </c>
      <c r="M82" s="57" t="e">
        <f>(_xlfn.XLOOKUP('Summary Data'!$A82,'Round 1 Data'!$A$10:$A$143,'Round 1 Data'!M$10:M$144,0)+_xlfn.XLOOKUP('Summary Data'!$A82,'Round 2 Data'!$A$10:$A$146,'Round 2 Data'!M$10:M$146,0)+_xlfn.XLOOKUP('Summary Data'!$A82,'Round 3 Data'!$A$10:$A$145,'Round 3 Data'!M$10:M$145,0)+_xlfn.XLOOKUP('Summary Data'!$A82,'Round 4 Data'!$A$10:$A$147,'Round 4 Data'!M$10:M$147,0))/$D82</f>
        <v>#VALUE!</v>
      </c>
      <c r="N82" s="57" t="e">
        <f>(_xlfn.XLOOKUP('Summary Data'!$A82,'Round 1 Data'!$A$10:$A$143,'Round 1 Data'!N$10:N$144,0)+_xlfn.XLOOKUP('Summary Data'!$A82,'Round 2 Data'!$A$10:$A$146,'Round 2 Data'!N$10:N$146,0)+_xlfn.XLOOKUP('Summary Data'!$A82,'Round 3 Data'!$A$10:$A$145,'Round 3 Data'!N$10:N$145,0)+_xlfn.XLOOKUP('Summary Data'!$A82,'Round 4 Data'!$A$10:$A$147,'Round 4 Data'!N$10:N$147,0))/$D82</f>
        <v>#VALUE!</v>
      </c>
      <c r="O82" s="57" t="e">
        <f>(_xlfn.XLOOKUP('Summary Data'!$A82,'Round 1 Data'!$A$10:$A$143,'Round 1 Data'!O$10:O$144,0)+_xlfn.XLOOKUP('Summary Data'!$A82,'Round 2 Data'!$A$10:$A$146,'Round 2 Data'!O$10:O$146,0)+_xlfn.XLOOKUP('Summary Data'!$A82,'Round 3 Data'!$A$10:$A$145,'Round 3 Data'!O$10:O$145,0)+_xlfn.XLOOKUP('Summary Data'!$A82,'Round 4 Data'!$A$10:$A$147,'Round 4 Data'!O$10:O$147,0))/$D82</f>
        <v>#VALUE!</v>
      </c>
      <c r="P82" s="57" t="e">
        <f>(_xlfn.XLOOKUP('Summary Data'!$A82,'Round 1 Data'!$A$10:$A$143,'Round 1 Data'!P$10:P$144,0)+_xlfn.XLOOKUP('Summary Data'!$A82,'Round 2 Data'!$A$10:$A$146,'Round 2 Data'!P$10:P$146,0)+_xlfn.XLOOKUP('Summary Data'!$A82,'Round 3 Data'!$A$10:$A$145,'Round 3 Data'!P$10:P$145,0)+_xlfn.XLOOKUP('Summary Data'!$A82,'Round 4 Data'!$A$10:$A$147,'Round 4 Data'!P$10:P$147,0))/$D82</f>
        <v>#VALUE!</v>
      </c>
      <c r="Q82" s="57" t="e">
        <f>(_xlfn.XLOOKUP('Summary Data'!$A82,'Round 1 Data'!$A$10:$A$143,'Round 1 Data'!Q$10:Q$144,0)+_xlfn.XLOOKUP('Summary Data'!$A82,'Round 2 Data'!$A$10:$A$146,'Round 2 Data'!Q$10:Q$146,0)+_xlfn.XLOOKUP('Summary Data'!$A82,'Round 3 Data'!$A$10:$A$145,'Round 3 Data'!Q$10:Q$145,0)+_xlfn.XLOOKUP('Summary Data'!$A82,'Round 4 Data'!$A$10:$A$147,'Round 4 Data'!Q$10:Q$147,0))/$D82</f>
        <v>#VALUE!</v>
      </c>
      <c r="R82" s="57" t="e">
        <f>(_xlfn.XLOOKUP('Summary Data'!$A82,'Round 1 Data'!$A$10:$A$143,'Round 1 Data'!R$10:R$144,0)+_xlfn.XLOOKUP('Summary Data'!$A82,'Round 2 Data'!$A$10:$A$146,'Round 2 Data'!R$10:R$146,0)+_xlfn.XLOOKUP('Summary Data'!$A82,'Round 3 Data'!$A$10:$A$145,'Round 3 Data'!R$10:R$145,0)+_xlfn.XLOOKUP('Summary Data'!$A82,'Round 4 Data'!$A$10:$A$147,'Round 4 Data'!R$10:R$147,0))/$D82</f>
        <v>#VALUE!</v>
      </c>
      <c r="S82" s="57" t="e">
        <f>(_xlfn.XLOOKUP('Summary Data'!$A82,'Round 1 Data'!$A$10:$A$143,'Round 1 Data'!S$10:S$144,0)+_xlfn.XLOOKUP('Summary Data'!$A82,'Round 2 Data'!$A$10:$A$146,'Round 2 Data'!S$10:S$146,0)+_xlfn.XLOOKUP('Summary Data'!$A82,'Round 3 Data'!$A$10:$A$145,'Round 3 Data'!S$10:S$145,0)+_xlfn.XLOOKUP('Summary Data'!$A82,'Round 4 Data'!$A$10:$A$147,'Round 4 Data'!S$10:S$147,0))/$D82</f>
        <v>#VALUE!</v>
      </c>
      <c r="T82" s="62" t="e">
        <f>(_xlfn.XLOOKUP('Summary Data'!$A82,'Round 1 Data'!$A$10:$A$143,'Round 1 Data'!U$10:U$144,0)+_xlfn.XLOOKUP('Summary Data'!$A82,'Round 2 Data'!$A$10:$A$146,'Round 2 Data'!U$10:U$146,0)+_xlfn.XLOOKUP('Summary Data'!$A82,'Round 3 Data'!$A$10:$A$145,'Round 3 Data'!U$10:U$145,0)+_xlfn.XLOOKUP('Summary Data'!$A82,'Round 4 Data'!$A$10:$A$147,'Round 4 Data'!U$10:U$147,0))</f>
        <v>#VALUE!</v>
      </c>
    </row>
    <row r="83" spans="1:20" ht="16" thickBot="1" x14ac:dyDescent="0.25">
      <c r="A83" s="63" t="s">
        <v>45</v>
      </c>
      <c r="B83" t="s">
        <v>191</v>
      </c>
      <c r="C83" t="s">
        <v>198</v>
      </c>
      <c r="D83" t="e">
        <f>IF(_xlfn.XLOOKUP('Summary Data'!A83,'Round 1 Data'!$A$10:$A$143,'Round 1 Data'!$E$10:$E$144,0)=0,0,1)+IF(_xlfn.XLOOKUP('Summary Data'!A83,'Round 2 Data'!$A$10:$A$146,'Round 2 Data'!$E$10:$E$146,0)=0,0,1)+IF(_xlfn.XLOOKUP('Summary Data'!A83,'Round 3 Data'!$A$10:$A$145,'Round 3 Data'!$E$10:$E$145,0)=0,0,1)+IF(_xlfn.XLOOKUP('Summary Data'!A83,'Round 4 Data'!$A$10:$A$147,'Round 4 Data'!$E$10:$E$147,0)=0,0,1)</f>
        <v>#VALUE!</v>
      </c>
      <c r="E83" s="57" t="e">
        <f>(_xlfn.XLOOKUP('Summary Data'!$A83,'Round 1 Data'!$A$10:$A$143,'Round 1 Data'!E$10:E$144,0)+_xlfn.XLOOKUP('Summary Data'!$A83,'Round 2 Data'!$A$10:$A$146,'Round 2 Data'!E$10:E$146,0)+_xlfn.XLOOKUP('Summary Data'!$A83,'Round 3 Data'!$A$10:$A$145,'Round 3 Data'!E$10:E$145,0)+_xlfn.XLOOKUP('Summary Data'!$A83,'Round 4 Data'!$A$10:$A$147,'Round 4 Data'!E$10:E$147,0))/$D83</f>
        <v>#VALUE!</v>
      </c>
      <c r="F83" s="57" t="e">
        <f>(_xlfn.XLOOKUP('Summary Data'!$A83,'Round 1 Data'!$A$10:$A$143,'Round 1 Data'!F$10:F$144,0)+_xlfn.XLOOKUP('Summary Data'!$A83,'Round 2 Data'!$A$10:$A$146,'Round 2 Data'!F$10:F$146,0)+_xlfn.XLOOKUP('Summary Data'!$A83,'Round 3 Data'!$A$10:$A$145,'Round 3 Data'!F$10:F$145,0)+_xlfn.XLOOKUP('Summary Data'!$A83,'Round 4 Data'!$A$10:$A$147,'Round 4 Data'!F$10:F$147,0))/$D83</f>
        <v>#VALUE!</v>
      </c>
      <c r="G83" s="57" t="e">
        <f>(_xlfn.XLOOKUP('Summary Data'!$A83,'Round 1 Data'!$A$10:$A$143,'Round 1 Data'!G$10:G$144,0)+_xlfn.XLOOKUP('Summary Data'!$A83,'Round 2 Data'!$A$10:$A$146,'Round 2 Data'!G$10:G$146,0)+_xlfn.XLOOKUP('Summary Data'!$A83,'Round 3 Data'!$A$10:$A$145,'Round 3 Data'!G$10:G$145,0)+_xlfn.XLOOKUP('Summary Data'!$A83,'Round 4 Data'!$A$10:$A$147,'Round 4 Data'!G$10:G$147,0))/$D83</f>
        <v>#VALUE!</v>
      </c>
      <c r="H83" s="57" t="e">
        <f>(_xlfn.XLOOKUP('Summary Data'!$A83,'Round 1 Data'!$A$10:$A$143,'Round 1 Data'!H$10:H$144,0)+_xlfn.XLOOKUP('Summary Data'!$A83,'Round 2 Data'!$A$10:$A$146,'Round 2 Data'!H$10:H$146,0)+_xlfn.XLOOKUP('Summary Data'!$A83,'Round 3 Data'!$A$10:$A$145,'Round 3 Data'!H$10:H$145,0)+_xlfn.XLOOKUP('Summary Data'!$A83,'Round 4 Data'!$A$10:$A$147,'Round 4 Data'!H$10:H$147,0))/$D83</f>
        <v>#VALUE!</v>
      </c>
      <c r="I83" s="57" t="e">
        <f>(_xlfn.XLOOKUP('Summary Data'!$A83,'Round 1 Data'!$A$10:$A$143,'Round 1 Data'!I$10:I$144,0)+_xlfn.XLOOKUP('Summary Data'!$A83,'Round 2 Data'!$A$10:$A$146,'Round 2 Data'!I$10:I$146,0)+_xlfn.XLOOKUP('Summary Data'!$A83,'Round 3 Data'!$A$10:$A$145,'Round 3 Data'!I$10:I$145,0)+_xlfn.XLOOKUP('Summary Data'!$A83,'Round 4 Data'!$A$10:$A$147,'Round 4 Data'!I$10:I$147,0))/$D83</f>
        <v>#VALUE!</v>
      </c>
      <c r="J83" s="57" t="e">
        <f>(_xlfn.XLOOKUP('Summary Data'!$A83,'Round 1 Data'!$A$10:$A$143,'Round 1 Data'!J$10:J$144,0)+_xlfn.XLOOKUP('Summary Data'!$A83,'Round 2 Data'!$A$10:$A$146,'Round 2 Data'!J$10:J$146,0)+_xlfn.XLOOKUP('Summary Data'!$A83,'Round 3 Data'!$A$10:$A$145,'Round 3 Data'!J$10:J$145,0)+_xlfn.XLOOKUP('Summary Data'!$A83,'Round 4 Data'!$A$10:$A$147,'Round 4 Data'!J$10:J$147,0))/$D83</f>
        <v>#VALUE!</v>
      </c>
      <c r="K83" s="57" t="e">
        <f>(_xlfn.XLOOKUP('Summary Data'!$A83,'Round 1 Data'!$A$10:$A$143,'Round 1 Data'!K$10:K$144,0)+_xlfn.XLOOKUP('Summary Data'!$A83,'Round 2 Data'!$A$10:$A$146,'Round 2 Data'!K$10:K$146,0)+_xlfn.XLOOKUP('Summary Data'!$A83,'Round 3 Data'!$A$10:$A$145,'Round 3 Data'!K$10:K$145,0)+_xlfn.XLOOKUP('Summary Data'!$A83,'Round 4 Data'!$A$10:$A$147,'Round 4 Data'!K$10:K$147,0))/$D83</f>
        <v>#VALUE!</v>
      </c>
      <c r="L83" s="57" t="e">
        <f>(_xlfn.XLOOKUP('Summary Data'!$A83,'Round 1 Data'!$A$10:$A$143,'Round 1 Data'!L$10:L$144,0)+_xlfn.XLOOKUP('Summary Data'!$A83,'Round 2 Data'!$A$10:$A$146,'Round 2 Data'!L$10:L$146,0)+_xlfn.XLOOKUP('Summary Data'!$A83,'Round 3 Data'!$A$10:$A$145,'Round 3 Data'!L$10:L$145,0)+_xlfn.XLOOKUP('Summary Data'!$A83,'Round 4 Data'!$A$10:$A$147,'Round 4 Data'!L$10:L$147,0))/$D83</f>
        <v>#VALUE!</v>
      </c>
      <c r="M83" s="57" t="e">
        <f>(_xlfn.XLOOKUP('Summary Data'!$A83,'Round 1 Data'!$A$10:$A$143,'Round 1 Data'!M$10:M$144,0)+_xlfn.XLOOKUP('Summary Data'!$A83,'Round 2 Data'!$A$10:$A$146,'Round 2 Data'!M$10:M$146,0)+_xlfn.XLOOKUP('Summary Data'!$A83,'Round 3 Data'!$A$10:$A$145,'Round 3 Data'!M$10:M$145,0)+_xlfn.XLOOKUP('Summary Data'!$A83,'Round 4 Data'!$A$10:$A$147,'Round 4 Data'!M$10:M$147,0))/$D83</f>
        <v>#VALUE!</v>
      </c>
      <c r="N83" s="57" t="e">
        <f>(_xlfn.XLOOKUP('Summary Data'!$A83,'Round 1 Data'!$A$10:$A$143,'Round 1 Data'!N$10:N$144,0)+_xlfn.XLOOKUP('Summary Data'!$A83,'Round 2 Data'!$A$10:$A$146,'Round 2 Data'!N$10:N$146,0)+_xlfn.XLOOKUP('Summary Data'!$A83,'Round 3 Data'!$A$10:$A$145,'Round 3 Data'!N$10:N$145,0)+_xlfn.XLOOKUP('Summary Data'!$A83,'Round 4 Data'!$A$10:$A$147,'Round 4 Data'!N$10:N$147,0))/$D83</f>
        <v>#VALUE!</v>
      </c>
      <c r="O83" s="57" t="e">
        <f>(_xlfn.XLOOKUP('Summary Data'!$A83,'Round 1 Data'!$A$10:$A$143,'Round 1 Data'!O$10:O$144,0)+_xlfn.XLOOKUP('Summary Data'!$A83,'Round 2 Data'!$A$10:$A$146,'Round 2 Data'!O$10:O$146,0)+_xlfn.XLOOKUP('Summary Data'!$A83,'Round 3 Data'!$A$10:$A$145,'Round 3 Data'!O$10:O$145,0)+_xlfn.XLOOKUP('Summary Data'!$A83,'Round 4 Data'!$A$10:$A$147,'Round 4 Data'!O$10:O$147,0))/$D83</f>
        <v>#VALUE!</v>
      </c>
      <c r="P83" s="57" t="e">
        <f>(_xlfn.XLOOKUP('Summary Data'!$A83,'Round 1 Data'!$A$10:$A$143,'Round 1 Data'!P$10:P$144,0)+_xlfn.XLOOKUP('Summary Data'!$A83,'Round 2 Data'!$A$10:$A$146,'Round 2 Data'!P$10:P$146,0)+_xlfn.XLOOKUP('Summary Data'!$A83,'Round 3 Data'!$A$10:$A$145,'Round 3 Data'!P$10:P$145,0)+_xlfn.XLOOKUP('Summary Data'!$A83,'Round 4 Data'!$A$10:$A$147,'Round 4 Data'!P$10:P$147,0))/$D83</f>
        <v>#VALUE!</v>
      </c>
      <c r="Q83" s="57" t="e">
        <f>(_xlfn.XLOOKUP('Summary Data'!$A83,'Round 1 Data'!$A$10:$A$143,'Round 1 Data'!Q$10:Q$144,0)+_xlfn.XLOOKUP('Summary Data'!$A83,'Round 2 Data'!$A$10:$A$146,'Round 2 Data'!Q$10:Q$146,0)+_xlfn.XLOOKUP('Summary Data'!$A83,'Round 3 Data'!$A$10:$A$145,'Round 3 Data'!Q$10:Q$145,0)+_xlfn.XLOOKUP('Summary Data'!$A83,'Round 4 Data'!$A$10:$A$147,'Round 4 Data'!Q$10:Q$147,0))/$D83</f>
        <v>#VALUE!</v>
      </c>
      <c r="R83" s="57" t="e">
        <f>(_xlfn.XLOOKUP('Summary Data'!$A83,'Round 1 Data'!$A$10:$A$143,'Round 1 Data'!R$10:R$144,0)+_xlfn.XLOOKUP('Summary Data'!$A83,'Round 2 Data'!$A$10:$A$146,'Round 2 Data'!R$10:R$146,0)+_xlfn.XLOOKUP('Summary Data'!$A83,'Round 3 Data'!$A$10:$A$145,'Round 3 Data'!R$10:R$145,0)+_xlfn.XLOOKUP('Summary Data'!$A83,'Round 4 Data'!$A$10:$A$147,'Round 4 Data'!R$10:R$147,0))/$D83</f>
        <v>#VALUE!</v>
      </c>
      <c r="S83" s="57" t="e">
        <f>(_xlfn.XLOOKUP('Summary Data'!$A83,'Round 1 Data'!$A$10:$A$143,'Round 1 Data'!S$10:S$144,0)+_xlfn.XLOOKUP('Summary Data'!$A83,'Round 2 Data'!$A$10:$A$146,'Round 2 Data'!S$10:S$146,0)+_xlfn.XLOOKUP('Summary Data'!$A83,'Round 3 Data'!$A$10:$A$145,'Round 3 Data'!S$10:S$145,0)+_xlfn.XLOOKUP('Summary Data'!$A83,'Round 4 Data'!$A$10:$A$147,'Round 4 Data'!S$10:S$147,0))/$D83</f>
        <v>#VALUE!</v>
      </c>
      <c r="T83" s="62" t="e">
        <f>(_xlfn.XLOOKUP('Summary Data'!$A83,'Round 1 Data'!$A$10:$A$143,'Round 1 Data'!U$10:U$144,0)+_xlfn.XLOOKUP('Summary Data'!$A83,'Round 2 Data'!$A$10:$A$146,'Round 2 Data'!U$10:U$146,0)+_xlfn.XLOOKUP('Summary Data'!$A83,'Round 3 Data'!$A$10:$A$145,'Round 3 Data'!U$10:U$145,0)+_xlfn.XLOOKUP('Summary Data'!$A83,'Round 4 Data'!$A$10:$A$147,'Round 4 Data'!U$10:U$147,0))</f>
        <v>#VALUE!</v>
      </c>
    </row>
    <row r="84" spans="1:20" ht="16" thickBot="1" x14ac:dyDescent="0.25">
      <c r="A84" s="61" t="s">
        <v>46</v>
      </c>
      <c r="B84" t="s">
        <v>191</v>
      </c>
      <c r="C84" t="s">
        <v>198</v>
      </c>
      <c r="D84" t="e">
        <f>IF(_xlfn.XLOOKUP('Summary Data'!A84,'Round 1 Data'!$A$10:$A$143,'Round 1 Data'!$E$10:$E$144,0)=0,0,1)+IF(_xlfn.XLOOKUP('Summary Data'!A84,'Round 2 Data'!$A$10:$A$146,'Round 2 Data'!$E$10:$E$146,0)=0,0,1)+IF(_xlfn.XLOOKUP('Summary Data'!A84,'Round 3 Data'!$A$10:$A$145,'Round 3 Data'!$E$10:$E$145,0)=0,0,1)+IF(_xlfn.XLOOKUP('Summary Data'!A84,'Round 4 Data'!$A$10:$A$147,'Round 4 Data'!$E$10:$E$147,0)=0,0,1)</f>
        <v>#VALUE!</v>
      </c>
      <c r="E84" s="57" t="e">
        <f>(_xlfn.XLOOKUP('Summary Data'!$A84,'Round 1 Data'!$A$10:$A$143,'Round 1 Data'!E$10:E$144,0)+_xlfn.XLOOKUP('Summary Data'!$A84,'Round 2 Data'!$A$10:$A$146,'Round 2 Data'!E$10:E$146,0)+_xlfn.XLOOKUP('Summary Data'!$A84,'Round 3 Data'!$A$10:$A$145,'Round 3 Data'!E$10:E$145,0)+_xlfn.XLOOKUP('Summary Data'!$A84,'Round 4 Data'!$A$10:$A$147,'Round 4 Data'!E$10:E$147,0))/$D84</f>
        <v>#VALUE!</v>
      </c>
      <c r="F84" s="57" t="e">
        <f>(_xlfn.XLOOKUP('Summary Data'!$A84,'Round 1 Data'!$A$10:$A$143,'Round 1 Data'!F$10:F$144,0)+_xlfn.XLOOKUP('Summary Data'!$A84,'Round 2 Data'!$A$10:$A$146,'Round 2 Data'!F$10:F$146,0)+_xlfn.XLOOKUP('Summary Data'!$A84,'Round 3 Data'!$A$10:$A$145,'Round 3 Data'!F$10:F$145,0)+_xlfn.XLOOKUP('Summary Data'!$A84,'Round 4 Data'!$A$10:$A$147,'Round 4 Data'!F$10:F$147,0))/$D84</f>
        <v>#VALUE!</v>
      </c>
      <c r="G84" s="57" t="e">
        <f>(_xlfn.XLOOKUP('Summary Data'!$A84,'Round 1 Data'!$A$10:$A$143,'Round 1 Data'!G$10:G$144,0)+_xlfn.XLOOKUP('Summary Data'!$A84,'Round 2 Data'!$A$10:$A$146,'Round 2 Data'!G$10:G$146,0)+_xlfn.XLOOKUP('Summary Data'!$A84,'Round 3 Data'!$A$10:$A$145,'Round 3 Data'!G$10:G$145,0)+_xlfn.XLOOKUP('Summary Data'!$A84,'Round 4 Data'!$A$10:$A$147,'Round 4 Data'!G$10:G$147,0))/$D84</f>
        <v>#VALUE!</v>
      </c>
      <c r="H84" s="57" t="e">
        <f>(_xlfn.XLOOKUP('Summary Data'!$A84,'Round 1 Data'!$A$10:$A$143,'Round 1 Data'!H$10:H$144,0)+_xlfn.XLOOKUP('Summary Data'!$A84,'Round 2 Data'!$A$10:$A$146,'Round 2 Data'!H$10:H$146,0)+_xlfn.XLOOKUP('Summary Data'!$A84,'Round 3 Data'!$A$10:$A$145,'Round 3 Data'!H$10:H$145,0)+_xlfn.XLOOKUP('Summary Data'!$A84,'Round 4 Data'!$A$10:$A$147,'Round 4 Data'!H$10:H$147,0))/$D84</f>
        <v>#VALUE!</v>
      </c>
      <c r="I84" s="57" t="e">
        <f>(_xlfn.XLOOKUP('Summary Data'!$A84,'Round 1 Data'!$A$10:$A$143,'Round 1 Data'!I$10:I$144,0)+_xlfn.XLOOKUP('Summary Data'!$A84,'Round 2 Data'!$A$10:$A$146,'Round 2 Data'!I$10:I$146,0)+_xlfn.XLOOKUP('Summary Data'!$A84,'Round 3 Data'!$A$10:$A$145,'Round 3 Data'!I$10:I$145,0)+_xlfn.XLOOKUP('Summary Data'!$A84,'Round 4 Data'!$A$10:$A$147,'Round 4 Data'!I$10:I$147,0))/$D84</f>
        <v>#VALUE!</v>
      </c>
      <c r="J84" s="57" t="e">
        <f>(_xlfn.XLOOKUP('Summary Data'!$A84,'Round 1 Data'!$A$10:$A$143,'Round 1 Data'!J$10:J$144,0)+_xlfn.XLOOKUP('Summary Data'!$A84,'Round 2 Data'!$A$10:$A$146,'Round 2 Data'!J$10:J$146,0)+_xlfn.XLOOKUP('Summary Data'!$A84,'Round 3 Data'!$A$10:$A$145,'Round 3 Data'!J$10:J$145,0)+_xlfn.XLOOKUP('Summary Data'!$A84,'Round 4 Data'!$A$10:$A$147,'Round 4 Data'!J$10:J$147,0))/$D84</f>
        <v>#VALUE!</v>
      </c>
      <c r="K84" s="57" t="e">
        <f>(_xlfn.XLOOKUP('Summary Data'!$A84,'Round 1 Data'!$A$10:$A$143,'Round 1 Data'!K$10:K$144,0)+_xlfn.XLOOKUP('Summary Data'!$A84,'Round 2 Data'!$A$10:$A$146,'Round 2 Data'!K$10:K$146,0)+_xlfn.XLOOKUP('Summary Data'!$A84,'Round 3 Data'!$A$10:$A$145,'Round 3 Data'!K$10:K$145,0)+_xlfn.XLOOKUP('Summary Data'!$A84,'Round 4 Data'!$A$10:$A$147,'Round 4 Data'!K$10:K$147,0))/$D84</f>
        <v>#VALUE!</v>
      </c>
      <c r="L84" s="57" t="e">
        <f>(_xlfn.XLOOKUP('Summary Data'!$A84,'Round 1 Data'!$A$10:$A$143,'Round 1 Data'!L$10:L$144,0)+_xlfn.XLOOKUP('Summary Data'!$A84,'Round 2 Data'!$A$10:$A$146,'Round 2 Data'!L$10:L$146,0)+_xlfn.XLOOKUP('Summary Data'!$A84,'Round 3 Data'!$A$10:$A$145,'Round 3 Data'!L$10:L$145,0)+_xlfn.XLOOKUP('Summary Data'!$A84,'Round 4 Data'!$A$10:$A$147,'Round 4 Data'!L$10:L$147,0))/$D84</f>
        <v>#VALUE!</v>
      </c>
      <c r="M84" s="57" t="e">
        <f>(_xlfn.XLOOKUP('Summary Data'!$A84,'Round 1 Data'!$A$10:$A$143,'Round 1 Data'!M$10:M$144,0)+_xlfn.XLOOKUP('Summary Data'!$A84,'Round 2 Data'!$A$10:$A$146,'Round 2 Data'!M$10:M$146,0)+_xlfn.XLOOKUP('Summary Data'!$A84,'Round 3 Data'!$A$10:$A$145,'Round 3 Data'!M$10:M$145,0)+_xlfn.XLOOKUP('Summary Data'!$A84,'Round 4 Data'!$A$10:$A$147,'Round 4 Data'!M$10:M$147,0))/$D84</f>
        <v>#VALUE!</v>
      </c>
      <c r="N84" s="57" t="e">
        <f>(_xlfn.XLOOKUP('Summary Data'!$A84,'Round 1 Data'!$A$10:$A$143,'Round 1 Data'!N$10:N$144,0)+_xlfn.XLOOKUP('Summary Data'!$A84,'Round 2 Data'!$A$10:$A$146,'Round 2 Data'!N$10:N$146,0)+_xlfn.XLOOKUP('Summary Data'!$A84,'Round 3 Data'!$A$10:$A$145,'Round 3 Data'!N$10:N$145,0)+_xlfn.XLOOKUP('Summary Data'!$A84,'Round 4 Data'!$A$10:$A$147,'Round 4 Data'!N$10:N$147,0))/$D84</f>
        <v>#VALUE!</v>
      </c>
      <c r="O84" s="57" t="e">
        <f>(_xlfn.XLOOKUP('Summary Data'!$A84,'Round 1 Data'!$A$10:$A$143,'Round 1 Data'!O$10:O$144,0)+_xlfn.XLOOKUP('Summary Data'!$A84,'Round 2 Data'!$A$10:$A$146,'Round 2 Data'!O$10:O$146,0)+_xlfn.XLOOKUP('Summary Data'!$A84,'Round 3 Data'!$A$10:$A$145,'Round 3 Data'!O$10:O$145,0)+_xlfn.XLOOKUP('Summary Data'!$A84,'Round 4 Data'!$A$10:$A$147,'Round 4 Data'!O$10:O$147,0))/$D84</f>
        <v>#VALUE!</v>
      </c>
      <c r="P84" s="57" t="e">
        <f>(_xlfn.XLOOKUP('Summary Data'!$A84,'Round 1 Data'!$A$10:$A$143,'Round 1 Data'!P$10:P$144,0)+_xlfn.XLOOKUP('Summary Data'!$A84,'Round 2 Data'!$A$10:$A$146,'Round 2 Data'!P$10:P$146,0)+_xlfn.XLOOKUP('Summary Data'!$A84,'Round 3 Data'!$A$10:$A$145,'Round 3 Data'!P$10:P$145,0)+_xlfn.XLOOKUP('Summary Data'!$A84,'Round 4 Data'!$A$10:$A$147,'Round 4 Data'!P$10:P$147,0))/$D84</f>
        <v>#VALUE!</v>
      </c>
      <c r="Q84" s="57" t="e">
        <f>(_xlfn.XLOOKUP('Summary Data'!$A84,'Round 1 Data'!$A$10:$A$143,'Round 1 Data'!Q$10:Q$144,0)+_xlfn.XLOOKUP('Summary Data'!$A84,'Round 2 Data'!$A$10:$A$146,'Round 2 Data'!Q$10:Q$146,0)+_xlfn.XLOOKUP('Summary Data'!$A84,'Round 3 Data'!$A$10:$A$145,'Round 3 Data'!Q$10:Q$145,0)+_xlfn.XLOOKUP('Summary Data'!$A84,'Round 4 Data'!$A$10:$A$147,'Round 4 Data'!Q$10:Q$147,0))/$D84</f>
        <v>#VALUE!</v>
      </c>
      <c r="R84" s="57" t="e">
        <f>(_xlfn.XLOOKUP('Summary Data'!$A84,'Round 1 Data'!$A$10:$A$143,'Round 1 Data'!R$10:R$144,0)+_xlfn.XLOOKUP('Summary Data'!$A84,'Round 2 Data'!$A$10:$A$146,'Round 2 Data'!R$10:R$146,0)+_xlfn.XLOOKUP('Summary Data'!$A84,'Round 3 Data'!$A$10:$A$145,'Round 3 Data'!R$10:R$145,0)+_xlfn.XLOOKUP('Summary Data'!$A84,'Round 4 Data'!$A$10:$A$147,'Round 4 Data'!R$10:R$147,0))/$D84</f>
        <v>#VALUE!</v>
      </c>
      <c r="S84" s="57" t="e">
        <f>(_xlfn.XLOOKUP('Summary Data'!$A84,'Round 1 Data'!$A$10:$A$143,'Round 1 Data'!S$10:S$144,0)+_xlfn.XLOOKUP('Summary Data'!$A84,'Round 2 Data'!$A$10:$A$146,'Round 2 Data'!S$10:S$146,0)+_xlfn.XLOOKUP('Summary Data'!$A84,'Round 3 Data'!$A$10:$A$145,'Round 3 Data'!S$10:S$145,0)+_xlfn.XLOOKUP('Summary Data'!$A84,'Round 4 Data'!$A$10:$A$147,'Round 4 Data'!S$10:S$147,0))/$D84</f>
        <v>#VALUE!</v>
      </c>
      <c r="T84" s="62" t="e">
        <f>(_xlfn.XLOOKUP('Summary Data'!$A84,'Round 1 Data'!$A$10:$A$143,'Round 1 Data'!U$10:U$144,0)+_xlfn.XLOOKUP('Summary Data'!$A84,'Round 2 Data'!$A$10:$A$146,'Round 2 Data'!U$10:U$146,0)+_xlfn.XLOOKUP('Summary Data'!$A84,'Round 3 Data'!$A$10:$A$145,'Round 3 Data'!U$10:U$145,0)+_xlfn.XLOOKUP('Summary Data'!$A84,'Round 4 Data'!$A$10:$A$147,'Round 4 Data'!U$10:U$147,0))</f>
        <v>#VALUE!</v>
      </c>
    </row>
    <row r="85" spans="1:20" ht="16" thickBot="1" x14ac:dyDescent="0.25">
      <c r="A85" s="63" t="s">
        <v>47</v>
      </c>
      <c r="B85" t="s">
        <v>191</v>
      </c>
      <c r="C85" t="s">
        <v>198</v>
      </c>
      <c r="D85" t="e">
        <f>IF(_xlfn.XLOOKUP('Summary Data'!A85,'Round 1 Data'!$A$10:$A$143,'Round 1 Data'!$E$10:$E$144,0)=0,0,1)+IF(_xlfn.XLOOKUP('Summary Data'!A85,'Round 2 Data'!$A$10:$A$146,'Round 2 Data'!$E$10:$E$146,0)=0,0,1)+IF(_xlfn.XLOOKUP('Summary Data'!A85,'Round 3 Data'!$A$10:$A$145,'Round 3 Data'!$E$10:$E$145,0)=0,0,1)+IF(_xlfn.XLOOKUP('Summary Data'!A85,'Round 4 Data'!$A$10:$A$147,'Round 4 Data'!$E$10:$E$147,0)=0,0,1)</f>
        <v>#VALUE!</v>
      </c>
      <c r="E85" s="57" t="e">
        <f>(_xlfn.XLOOKUP('Summary Data'!$A85,'Round 1 Data'!$A$10:$A$143,'Round 1 Data'!E$10:E$144,0)+_xlfn.XLOOKUP('Summary Data'!$A85,'Round 2 Data'!$A$10:$A$146,'Round 2 Data'!E$10:E$146,0)+_xlfn.XLOOKUP('Summary Data'!$A85,'Round 3 Data'!$A$10:$A$145,'Round 3 Data'!E$10:E$145,0)+_xlfn.XLOOKUP('Summary Data'!$A85,'Round 4 Data'!$A$10:$A$147,'Round 4 Data'!E$10:E$147,0))/$D85</f>
        <v>#VALUE!</v>
      </c>
      <c r="F85" s="57" t="e">
        <f>(_xlfn.XLOOKUP('Summary Data'!$A85,'Round 1 Data'!$A$10:$A$143,'Round 1 Data'!F$10:F$144,0)+_xlfn.XLOOKUP('Summary Data'!$A85,'Round 2 Data'!$A$10:$A$146,'Round 2 Data'!F$10:F$146,0)+_xlfn.XLOOKUP('Summary Data'!$A85,'Round 3 Data'!$A$10:$A$145,'Round 3 Data'!F$10:F$145,0)+_xlfn.XLOOKUP('Summary Data'!$A85,'Round 4 Data'!$A$10:$A$147,'Round 4 Data'!F$10:F$147,0))/$D85</f>
        <v>#VALUE!</v>
      </c>
      <c r="G85" s="57" t="e">
        <f>(_xlfn.XLOOKUP('Summary Data'!$A85,'Round 1 Data'!$A$10:$A$143,'Round 1 Data'!G$10:G$144,0)+_xlfn.XLOOKUP('Summary Data'!$A85,'Round 2 Data'!$A$10:$A$146,'Round 2 Data'!G$10:G$146,0)+_xlfn.XLOOKUP('Summary Data'!$A85,'Round 3 Data'!$A$10:$A$145,'Round 3 Data'!G$10:G$145,0)+_xlfn.XLOOKUP('Summary Data'!$A85,'Round 4 Data'!$A$10:$A$147,'Round 4 Data'!G$10:G$147,0))/$D85</f>
        <v>#VALUE!</v>
      </c>
      <c r="H85" s="57" t="e">
        <f>(_xlfn.XLOOKUP('Summary Data'!$A85,'Round 1 Data'!$A$10:$A$143,'Round 1 Data'!H$10:H$144,0)+_xlfn.XLOOKUP('Summary Data'!$A85,'Round 2 Data'!$A$10:$A$146,'Round 2 Data'!H$10:H$146,0)+_xlfn.XLOOKUP('Summary Data'!$A85,'Round 3 Data'!$A$10:$A$145,'Round 3 Data'!H$10:H$145,0)+_xlfn.XLOOKUP('Summary Data'!$A85,'Round 4 Data'!$A$10:$A$147,'Round 4 Data'!H$10:H$147,0))/$D85</f>
        <v>#VALUE!</v>
      </c>
      <c r="I85" s="57" t="e">
        <f>(_xlfn.XLOOKUP('Summary Data'!$A85,'Round 1 Data'!$A$10:$A$143,'Round 1 Data'!I$10:I$144,0)+_xlfn.XLOOKUP('Summary Data'!$A85,'Round 2 Data'!$A$10:$A$146,'Round 2 Data'!I$10:I$146,0)+_xlfn.XLOOKUP('Summary Data'!$A85,'Round 3 Data'!$A$10:$A$145,'Round 3 Data'!I$10:I$145,0)+_xlfn.XLOOKUP('Summary Data'!$A85,'Round 4 Data'!$A$10:$A$147,'Round 4 Data'!I$10:I$147,0))/$D85</f>
        <v>#VALUE!</v>
      </c>
      <c r="J85" s="57" t="e">
        <f>(_xlfn.XLOOKUP('Summary Data'!$A85,'Round 1 Data'!$A$10:$A$143,'Round 1 Data'!J$10:J$144,0)+_xlfn.XLOOKUP('Summary Data'!$A85,'Round 2 Data'!$A$10:$A$146,'Round 2 Data'!J$10:J$146,0)+_xlfn.XLOOKUP('Summary Data'!$A85,'Round 3 Data'!$A$10:$A$145,'Round 3 Data'!J$10:J$145,0)+_xlfn.XLOOKUP('Summary Data'!$A85,'Round 4 Data'!$A$10:$A$147,'Round 4 Data'!J$10:J$147,0))/$D85</f>
        <v>#VALUE!</v>
      </c>
      <c r="K85" s="57" t="e">
        <f>(_xlfn.XLOOKUP('Summary Data'!$A85,'Round 1 Data'!$A$10:$A$143,'Round 1 Data'!K$10:K$144,0)+_xlfn.XLOOKUP('Summary Data'!$A85,'Round 2 Data'!$A$10:$A$146,'Round 2 Data'!K$10:K$146,0)+_xlfn.XLOOKUP('Summary Data'!$A85,'Round 3 Data'!$A$10:$A$145,'Round 3 Data'!K$10:K$145,0)+_xlfn.XLOOKUP('Summary Data'!$A85,'Round 4 Data'!$A$10:$A$147,'Round 4 Data'!K$10:K$147,0))/$D85</f>
        <v>#VALUE!</v>
      </c>
      <c r="L85" s="57" t="e">
        <f>(_xlfn.XLOOKUP('Summary Data'!$A85,'Round 1 Data'!$A$10:$A$143,'Round 1 Data'!L$10:L$144,0)+_xlfn.XLOOKUP('Summary Data'!$A85,'Round 2 Data'!$A$10:$A$146,'Round 2 Data'!L$10:L$146,0)+_xlfn.XLOOKUP('Summary Data'!$A85,'Round 3 Data'!$A$10:$A$145,'Round 3 Data'!L$10:L$145,0)+_xlfn.XLOOKUP('Summary Data'!$A85,'Round 4 Data'!$A$10:$A$147,'Round 4 Data'!L$10:L$147,0))/$D85</f>
        <v>#VALUE!</v>
      </c>
      <c r="M85" s="57" t="e">
        <f>(_xlfn.XLOOKUP('Summary Data'!$A85,'Round 1 Data'!$A$10:$A$143,'Round 1 Data'!M$10:M$144,0)+_xlfn.XLOOKUP('Summary Data'!$A85,'Round 2 Data'!$A$10:$A$146,'Round 2 Data'!M$10:M$146,0)+_xlfn.XLOOKUP('Summary Data'!$A85,'Round 3 Data'!$A$10:$A$145,'Round 3 Data'!M$10:M$145,0)+_xlfn.XLOOKUP('Summary Data'!$A85,'Round 4 Data'!$A$10:$A$147,'Round 4 Data'!M$10:M$147,0))/$D85</f>
        <v>#VALUE!</v>
      </c>
      <c r="N85" s="57" t="e">
        <f>(_xlfn.XLOOKUP('Summary Data'!$A85,'Round 1 Data'!$A$10:$A$143,'Round 1 Data'!N$10:N$144,0)+_xlfn.XLOOKUP('Summary Data'!$A85,'Round 2 Data'!$A$10:$A$146,'Round 2 Data'!N$10:N$146,0)+_xlfn.XLOOKUP('Summary Data'!$A85,'Round 3 Data'!$A$10:$A$145,'Round 3 Data'!N$10:N$145,0)+_xlfn.XLOOKUP('Summary Data'!$A85,'Round 4 Data'!$A$10:$A$147,'Round 4 Data'!N$10:N$147,0))/$D85</f>
        <v>#VALUE!</v>
      </c>
      <c r="O85" s="57" t="e">
        <f>(_xlfn.XLOOKUP('Summary Data'!$A85,'Round 1 Data'!$A$10:$A$143,'Round 1 Data'!O$10:O$144,0)+_xlfn.XLOOKUP('Summary Data'!$A85,'Round 2 Data'!$A$10:$A$146,'Round 2 Data'!O$10:O$146,0)+_xlfn.XLOOKUP('Summary Data'!$A85,'Round 3 Data'!$A$10:$A$145,'Round 3 Data'!O$10:O$145,0)+_xlfn.XLOOKUP('Summary Data'!$A85,'Round 4 Data'!$A$10:$A$147,'Round 4 Data'!O$10:O$147,0))/$D85</f>
        <v>#VALUE!</v>
      </c>
      <c r="P85" s="57" t="e">
        <f>(_xlfn.XLOOKUP('Summary Data'!$A85,'Round 1 Data'!$A$10:$A$143,'Round 1 Data'!P$10:P$144,0)+_xlfn.XLOOKUP('Summary Data'!$A85,'Round 2 Data'!$A$10:$A$146,'Round 2 Data'!P$10:P$146,0)+_xlfn.XLOOKUP('Summary Data'!$A85,'Round 3 Data'!$A$10:$A$145,'Round 3 Data'!P$10:P$145,0)+_xlfn.XLOOKUP('Summary Data'!$A85,'Round 4 Data'!$A$10:$A$147,'Round 4 Data'!P$10:P$147,0))/$D85</f>
        <v>#VALUE!</v>
      </c>
      <c r="Q85" s="57" t="e">
        <f>(_xlfn.XLOOKUP('Summary Data'!$A85,'Round 1 Data'!$A$10:$A$143,'Round 1 Data'!Q$10:Q$144,0)+_xlfn.XLOOKUP('Summary Data'!$A85,'Round 2 Data'!$A$10:$A$146,'Round 2 Data'!Q$10:Q$146,0)+_xlfn.XLOOKUP('Summary Data'!$A85,'Round 3 Data'!$A$10:$A$145,'Round 3 Data'!Q$10:Q$145,0)+_xlfn.XLOOKUP('Summary Data'!$A85,'Round 4 Data'!$A$10:$A$147,'Round 4 Data'!Q$10:Q$147,0))/$D85</f>
        <v>#VALUE!</v>
      </c>
      <c r="R85" s="57" t="e">
        <f>(_xlfn.XLOOKUP('Summary Data'!$A85,'Round 1 Data'!$A$10:$A$143,'Round 1 Data'!R$10:R$144,0)+_xlfn.XLOOKUP('Summary Data'!$A85,'Round 2 Data'!$A$10:$A$146,'Round 2 Data'!R$10:R$146,0)+_xlfn.XLOOKUP('Summary Data'!$A85,'Round 3 Data'!$A$10:$A$145,'Round 3 Data'!R$10:R$145,0)+_xlfn.XLOOKUP('Summary Data'!$A85,'Round 4 Data'!$A$10:$A$147,'Round 4 Data'!R$10:R$147,0))/$D85</f>
        <v>#VALUE!</v>
      </c>
      <c r="S85" s="57" t="e">
        <f>(_xlfn.XLOOKUP('Summary Data'!$A85,'Round 1 Data'!$A$10:$A$143,'Round 1 Data'!S$10:S$144,0)+_xlfn.XLOOKUP('Summary Data'!$A85,'Round 2 Data'!$A$10:$A$146,'Round 2 Data'!S$10:S$146,0)+_xlfn.XLOOKUP('Summary Data'!$A85,'Round 3 Data'!$A$10:$A$145,'Round 3 Data'!S$10:S$145,0)+_xlfn.XLOOKUP('Summary Data'!$A85,'Round 4 Data'!$A$10:$A$147,'Round 4 Data'!S$10:S$147,0))/$D85</f>
        <v>#VALUE!</v>
      </c>
      <c r="T85" s="62" t="e">
        <f>(_xlfn.XLOOKUP('Summary Data'!$A85,'Round 1 Data'!$A$10:$A$143,'Round 1 Data'!U$10:U$144,0)+_xlfn.XLOOKUP('Summary Data'!$A85,'Round 2 Data'!$A$10:$A$146,'Round 2 Data'!U$10:U$146,0)+_xlfn.XLOOKUP('Summary Data'!$A85,'Round 3 Data'!$A$10:$A$145,'Round 3 Data'!U$10:U$145,0)+_xlfn.XLOOKUP('Summary Data'!$A85,'Round 4 Data'!$A$10:$A$147,'Round 4 Data'!U$10:U$147,0))</f>
        <v>#VALUE!</v>
      </c>
    </row>
    <row r="86" spans="1:20" ht="16" thickBot="1" x14ac:dyDescent="0.25">
      <c r="A86" s="61" t="s">
        <v>48</v>
      </c>
      <c r="B86" t="s">
        <v>191</v>
      </c>
      <c r="C86" t="s">
        <v>199</v>
      </c>
      <c r="D86" t="e">
        <f>IF(_xlfn.XLOOKUP('Summary Data'!A86,'Round 1 Data'!$A$10:$A$143,'Round 1 Data'!$E$10:$E$144,0)=0,0,1)+IF(_xlfn.XLOOKUP('Summary Data'!A86,'Round 2 Data'!$A$10:$A$146,'Round 2 Data'!$E$10:$E$146,0)=0,0,1)+IF(_xlfn.XLOOKUP('Summary Data'!A86,'Round 3 Data'!$A$10:$A$145,'Round 3 Data'!$E$10:$E$145,0)=0,0,1)+IF(_xlfn.XLOOKUP('Summary Data'!A86,'Round 4 Data'!$A$10:$A$147,'Round 4 Data'!$E$10:$E$147,0)=0,0,1)</f>
        <v>#VALUE!</v>
      </c>
      <c r="E86" s="57" t="e">
        <f>(_xlfn.XLOOKUP('Summary Data'!$A86,'Round 1 Data'!$A$10:$A$143,'Round 1 Data'!E$10:E$144,0)+_xlfn.XLOOKUP('Summary Data'!$A86,'Round 2 Data'!$A$10:$A$146,'Round 2 Data'!E$10:E$146,0)+_xlfn.XLOOKUP('Summary Data'!$A86,'Round 3 Data'!$A$10:$A$145,'Round 3 Data'!E$10:E$145,0)+_xlfn.XLOOKUP('Summary Data'!$A86,'Round 4 Data'!$A$10:$A$147,'Round 4 Data'!E$10:E$147,0))/$D86</f>
        <v>#VALUE!</v>
      </c>
      <c r="F86" s="57" t="e">
        <f>(_xlfn.XLOOKUP('Summary Data'!$A86,'Round 1 Data'!$A$10:$A$143,'Round 1 Data'!F$10:F$144,0)+_xlfn.XLOOKUP('Summary Data'!$A86,'Round 2 Data'!$A$10:$A$146,'Round 2 Data'!F$10:F$146,0)+_xlfn.XLOOKUP('Summary Data'!$A86,'Round 3 Data'!$A$10:$A$145,'Round 3 Data'!F$10:F$145,0)+_xlfn.XLOOKUP('Summary Data'!$A86,'Round 4 Data'!$A$10:$A$147,'Round 4 Data'!F$10:F$147,0))/$D86</f>
        <v>#VALUE!</v>
      </c>
      <c r="G86" s="57" t="e">
        <f>(_xlfn.XLOOKUP('Summary Data'!$A86,'Round 1 Data'!$A$10:$A$143,'Round 1 Data'!G$10:G$144,0)+_xlfn.XLOOKUP('Summary Data'!$A86,'Round 2 Data'!$A$10:$A$146,'Round 2 Data'!G$10:G$146,0)+_xlfn.XLOOKUP('Summary Data'!$A86,'Round 3 Data'!$A$10:$A$145,'Round 3 Data'!G$10:G$145,0)+_xlfn.XLOOKUP('Summary Data'!$A86,'Round 4 Data'!$A$10:$A$147,'Round 4 Data'!G$10:G$147,0))/$D86</f>
        <v>#VALUE!</v>
      </c>
      <c r="H86" s="57" t="e">
        <f>(_xlfn.XLOOKUP('Summary Data'!$A86,'Round 1 Data'!$A$10:$A$143,'Round 1 Data'!H$10:H$144,0)+_xlfn.XLOOKUP('Summary Data'!$A86,'Round 2 Data'!$A$10:$A$146,'Round 2 Data'!H$10:H$146,0)+_xlfn.XLOOKUP('Summary Data'!$A86,'Round 3 Data'!$A$10:$A$145,'Round 3 Data'!H$10:H$145,0)+_xlfn.XLOOKUP('Summary Data'!$A86,'Round 4 Data'!$A$10:$A$147,'Round 4 Data'!H$10:H$147,0))/$D86</f>
        <v>#VALUE!</v>
      </c>
      <c r="I86" s="57" t="e">
        <f>(_xlfn.XLOOKUP('Summary Data'!$A86,'Round 1 Data'!$A$10:$A$143,'Round 1 Data'!I$10:I$144,0)+_xlfn.XLOOKUP('Summary Data'!$A86,'Round 2 Data'!$A$10:$A$146,'Round 2 Data'!I$10:I$146,0)+_xlfn.XLOOKUP('Summary Data'!$A86,'Round 3 Data'!$A$10:$A$145,'Round 3 Data'!I$10:I$145,0)+_xlfn.XLOOKUP('Summary Data'!$A86,'Round 4 Data'!$A$10:$A$147,'Round 4 Data'!I$10:I$147,0))/$D86</f>
        <v>#VALUE!</v>
      </c>
      <c r="J86" s="57" t="e">
        <f>(_xlfn.XLOOKUP('Summary Data'!$A86,'Round 1 Data'!$A$10:$A$143,'Round 1 Data'!J$10:J$144,0)+_xlfn.XLOOKUP('Summary Data'!$A86,'Round 2 Data'!$A$10:$A$146,'Round 2 Data'!J$10:J$146,0)+_xlfn.XLOOKUP('Summary Data'!$A86,'Round 3 Data'!$A$10:$A$145,'Round 3 Data'!J$10:J$145,0)+_xlfn.XLOOKUP('Summary Data'!$A86,'Round 4 Data'!$A$10:$A$147,'Round 4 Data'!J$10:J$147,0))/$D86</f>
        <v>#VALUE!</v>
      </c>
      <c r="K86" s="57" t="e">
        <f>(_xlfn.XLOOKUP('Summary Data'!$A86,'Round 1 Data'!$A$10:$A$143,'Round 1 Data'!K$10:K$144,0)+_xlfn.XLOOKUP('Summary Data'!$A86,'Round 2 Data'!$A$10:$A$146,'Round 2 Data'!K$10:K$146,0)+_xlfn.XLOOKUP('Summary Data'!$A86,'Round 3 Data'!$A$10:$A$145,'Round 3 Data'!K$10:K$145,0)+_xlfn.XLOOKUP('Summary Data'!$A86,'Round 4 Data'!$A$10:$A$147,'Round 4 Data'!K$10:K$147,0))/$D86</f>
        <v>#VALUE!</v>
      </c>
      <c r="L86" s="57" t="e">
        <f>(_xlfn.XLOOKUP('Summary Data'!$A86,'Round 1 Data'!$A$10:$A$143,'Round 1 Data'!L$10:L$144,0)+_xlfn.XLOOKUP('Summary Data'!$A86,'Round 2 Data'!$A$10:$A$146,'Round 2 Data'!L$10:L$146,0)+_xlfn.XLOOKUP('Summary Data'!$A86,'Round 3 Data'!$A$10:$A$145,'Round 3 Data'!L$10:L$145,0)+_xlfn.XLOOKUP('Summary Data'!$A86,'Round 4 Data'!$A$10:$A$147,'Round 4 Data'!L$10:L$147,0))/$D86</f>
        <v>#VALUE!</v>
      </c>
      <c r="M86" s="57" t="e">
        <f>(_xlfn.XLOOKUP('Summary Data'!$A86,'Round 1 Data'!$A$10:$A$143,'Round 1 Data'!M$10:M$144,0)+_xlfn.XLOOKUP('Summary Data'!$A86,'Round 2 Data'!$A$10:$A$146,'Round 2 Data'!M$10:M$146,0)+_xlfn.XLOOKUP('Summary Data'!$A86,'Round 3 Data'!$A$10:$A$145,'Round 3 Data'!M$10:M$145,0)+_xlfn.XLOOKUP('Summary Data'!$A86,'Round 4 Data'!$A$10:$A$147,'Round 4 Data'!M$10:M$147,0))/$D86</f>
        <v>#VALUE!</v>
      </c>
      <c r="N86" s="57" t="e">
        <f>(_xlfn.XLOOKUP('Summary Data'!$A86,'Round 1 Data'!$A$10:$A$143,'Round 1 Data'!N$10:N$144,0)+_xlfn.XLOOKUP('Summary Data'!$A86,'Round 2 Data'!$A$10:$A$146,'Round 2 Data'!N$10:N$146,0)+_xlfn.XLOOKUP('Summary Data'!$A86,'Round 3 Data'!$A$10:$A$145,'Round 3 Data'!N$10:N$145,0)+_xlfn.XLOOKUP('Summary Data'!$A86,'Round 4 Data'!$A$10:$A$147,'Round 4 Data'!N$10:N$147,0))/$D86</f>
        <v>#VALUE!</v>
      </c>
      <c r="O86" s="57" t="e">
        <f>(_xlfn.XLOOKUP('Summary Data'!$A86,'Round 1 Data'!$A$10:$A$143,'Round 1 Data'!O$10:O$144,0)+_xlfn.XLOOKUP('Summary Data'!$A86,'Round 2 Data'!$A$10:$A$146,'Round 2 Data'!O$10:O$146,0)+_xlfn.XLOOKUP('Summary Data'!$A86,'Round 3 Data'!$A$10:$A$145,'Round 3 Data'!O$10:O$145,0)+_xlfn.XLOOKUP('Summary Data'!$A86,'Round 4 Data'!$A$10:$A$147,'Round 4 Data'!O$10:O$147,0))/$D86</f>
        <v>#VALUE!</v>
      </c>
      <c r="P86" s="57" t="e">
        <f>(_xlfn.XLOOKUP('Summary Data'!$A86,'Round 1 Data'!$A$10:$A$143,'Round 1 Data'!P$10:P$144,0)+_xlfn.XLOOKUP('Summary Data'!$A86,'Round 2 Data'!$A$10:$A$146,'Round 2 Data'!P$10:P$146,0)+_xlfn.XLOOKUP('Summary Data'!$A86,'Round 3 Data'!$A$10:$A$145,'Round 3 Data'!P$10:P$145,0)+_xlfn.XLOOKUP('Summary Data'!$A86,'Round 4 Data'!$A$10:$A$147,'Round 4 Data'!P$10:P$147,0))/$D86</f>
        <v>#VALUE!</v>
      </c>
      <c r="Q86" s="57" t="e">
        <f>(_xlfn.XLOOKUP('Summary Data'!$A86,'Round 1 Data'!$A$10:$A$143,'Round 1 Data'!Q$10:Q$144,0)+_xlfn.XLOOKUP('Summary Data'!$A86,'Round 2 Data'!$A$10:$A$146,'Round 2 Data'!Q$10:Q$146,0)+_xlfn.XLOOKUP('Summary Data'!$A86,'Round 3 Data'!$A$10:$A$145,'Round 3 Data'!Q$10:Q$145,0)+_xlfn.XLOOKUP('Summary Data'!$A86,'Round 4 Data'!$A$10:$A$147,'Round 4 Data'!Q$10:Q$147,0))/$D86</f>
        <v>#VALUE!</v>
      </c>
      <c r="R86" s="57" t="e">
        <f>(_xlfn.XLOOKUP('Summary Data'!$A86,'Round 1 Data'!$A$10:$A$143,'Round 1 Data'!R$10:R$144,0)+_xlfn.XLOOKUP('Summary Data'!$A86,'Round 2 Data'!$A$10:$A$146,'Round 2 Data'!R$10:R$146,0)+_xlfn.XLOOKUP('Summary Data'!$A86,'Round 3 Data'!$A$10:$A$145,'Round 3 Data'!R$10:R$145,0)+_xlfn.XLOOKUP('Summary Data'!$A86,'Round 4 Data'!$A$10:$A$147,'Round 4 Data'!R$10:R$147,0))/$D86</f>
        <v>#VALUE!</v>
      </c>
      <c r="S86" s="57" t="e">
        <f>(_xlfn.XLOOKUP('Summary Data'!$A86,'Round 1 Data'!$A$10:$A$143,'Round 1 Data'!S$10:S$144,0)+_xlfn.XLOOKUP('Summary Data'!$A86,'Round 2 Data'!$A$10:$A$146,'Round 2 Data'!S$10:S$146,0)+_xlfn.XLOOKUP('Summary Data'!$A86,'Round 3 Data'!$A$10:$A$145,'Round 3 Data'!S$10:S$145,0)+_xlfn.XLOOKUP('Summary Data'!$A86,'Round 4 Data'!$A$10:$A$147,'Round 4 Data'!S$10:S$147,0))/$D86</f>
        <v>#VALUE!</v>
      </c>
      <c r="T86" s="62" t="e">
        <f>(_xlfn.XLOOKUP('Summary Data'!$A86,'Round 1 Data'!$A$10:$A$143,'Round 1 Data'!U$10:U$144,0)+_xlfn.XLOOKUP('Summary Data'!$A86,'Round 2 Data'!$A$10:$A$146,'Round 2 Data'!U$10:U$146,0)+_xlfn.XLOOKUP('Summary Data'!$A86,'Round 3 Data'!$A$10:$A$145,'Round 3 Data'!U$10:U$145,0)+_xlfn.XLOOKUP('Summary Data'!$A86,'Round 4 Data'!$A$10:$A$147,'Round 4 Data'!U$10:U$147,0))</f>
        <v>#VALUE!</v>
      </c>
    </row>
    <row r="87" spans="1:20" ht="16" thickBot="1" x14ac:dyDescent="0.25">
      <c r="A87" s="63" t="s">
        <v>49</v>
      </c>
      <c r="B87" t="s">
        <v>191</v>
      </c>
      <c r="C87" t="s">
        <v>199</v>
      </c>
      <c r="D87" t="e">
        <f>IF(_xlfn.XLOOKUP('Summary Data'!A87,'Round 1 Data'!$A$10:$A$143,'Round 1 Data'!$E$10:$E$144,0)=0,0,1)+IF(_xlfn.XLOOKUP('Summary Data'!A87,'Round 2 Data'!$A$10:$A$146,'Round 2 Data'!$E$10:$E$146,0)=0,0,1)+IF(_xlfn.XLOOKUP('Summary Data'!A87,'Round 3 Data'!$A$10:$A$145,'Round 3 Data'!$E$10:$E$145,0)=0,0,1)+IF(_xlfn.XLOOKUP('Summary Data'!A87,'Round 4 Data'!$A$10:$A$147,'Round 4 Data'!$E$10:$E$147,0)=0,0,1)</f>
        <v>#VALUE!</v>
      </c>
      <c r="E87" s="57" t="e">
        <f>(_xlfn.XLOOKUP('Summary Data'!$A87,'Round 1 Data'!$A$10:$A$143,'Round 1 Data'!E$10:E$144,0)+_xlfn.XLOOKUP('Summary Data'!$A87,'Round 2 Data'!$A$10:$A$146,'Round 2 Data'!E$10:E$146,0)+_xlfn.XLOOKUP('Summary Data'!$A87,'Round 3 Data'!$A$10:$A$145,'Round 3 Data'!E$10:E$145,0)+_xlfn.XLOOKUP('Summary Data'!$A87,'Round 4 Data'!$A$10:$A$147,'Round 4 Data'!E$10:E$147,0))/$D87</f>
        <v>#VALUE!</v>
      </c>
      <c r="F87" s="57" t="e">
        <f>(_xlfn.XLOOKUP('Summary Data'!$A87,'Round 1 Data'!$A$10:$A$143,'Round 1 Data'!F$10:F$144,0)+_xlfn.XLOOKUP('Summary Data'!$A87,'Round 2 Data'!$A$10:$A$146,'Round 2 Data'!F$10:F$146,0)+_xlfn.XLOOKUP('Summary Data'!$A87,'Round 3 Data'!$A$10:$A$145,'Round 3 Data'!F$10:F$145,0)+_xlfn.XLOOKUP('Summary Data'!$A87,'Round 4 Data'!$A$10:$A$147,'Round 4 Data'!F$10:F$147,0))/$D87</f>
        <v>#VALUE!</v>
      </c>
      <c r="G87" s="57" t="e">
        <f>(_xlfn.XLOOKUP('Summary Data'!$A87,'Round 1 Data'!$A$10:$A$143,'Round 1 Data'!G$10:G$144,0)+_xlfn.XLOOKUP('Summary Data'!$A87,'Round 2 Data'!$A$10:$A$146,'Round 2 Data'!G$10:G$146,0)+_xlfn.XLOOKUP('Summary Data'!$A87,'Round 3 Data'!$A$10:$A$145,'Round 3 Data'!G$10:G$145,0)+_xlfn.XLOOKUP('Summary Data'!$A87,'Round 4 Data'!$A$10:$A$147,'Round 4 Data'!G$10:G$147,0))/$D87</f>
        <v>#VALUE!</v>
      </c>
      <c r="H87" s="57" t="e">
        <f>(_xlfn.XLOOKUP('Summary Data'!$A87,'Round 1 Data'!$A$10:$A$143,'Round 1 Data'!H$10:H$144,0)+_xlfn.XLOOKUP('Summary Data'!$A87,'Round 2 Data'!$A$10:$A$146,'Round 2 Data'!H$10:H$146,0)+_xlfn.XLOOKUP('Summary Data'!$A87,'Round 3 Data'!$A$10:$A$145,'Round 3 Data'!H$10:H$145,0)+_xlfn.XLOOKUP('Summary Data'!$A87,'Round 4 Data'!$A$10:$A$147,'Round 4 Data'!H$10:H$147,0))/$D87</f>
        <v>#VALUE!</v>
      </c>
      <c r="I87" s="57" t="e">
        <f>(_xlfn.XLOOKUP('Summary Data'!$A87,'Round 1 Data'!$A$10:$A$143,'Round 1 Data'!I$10:I$144,0)+_xlfn.XLOOKUP('Summary Data'!$A87,'Round 2 Data'!$A$10:$A$146,'Round 2 Data'!I$10:I$146,0)+_xlfn.XLOOKUP('Summary Data'!$A87,'Round 3 Data'!$A$10:$A$145,'Round 3 Data'!I$10:I$145,0)+_xlfn.XLOOKUP('Summary Data'!$A87,'Round 4 Data'!$A$10:$A$147,'Round 4 Data'!I$10:I$147,0))/$D87</f>
        <v>#VALUE!</v>
      </c>
      <c r="J87" s="57" t="e">
        <f>(_xlfn.XLOOKUP('Summary Data'!$A87,'Round 1 Data'!$A$10:$A$143,'Round 1 Data'!J$10:J$144,0)+_xlfn.XLOOKUP('Summary Data'!$A87,'Round 2 Data'!$A$10:$A$146,'Round 2 Data'!J$10:J$146,0)+_xlfn.XLOOKUP('Summary Data'!$A87,'Round 3 Data'!$A$10:$A$145,'Round 3 Data'!J$10:J$145,0)+_xlfn.XLOOKUP('Summary Data'!$A87,'Round 4 Data'!$A$10:$A$147,'Round 4 Data'!J$10:J$147,0))/$D87</f>
        <v>#VALUE!</v>
      </c>
      <c r="K87" s="57" t="e">
        <f>(_xlfn.XLOOKUP('Summary Data'!$A87,'Round 1 Data'!$A$10:$A$143,'Round 1 Data'!K$10:K$144,0)+_xlfn.XLOOKUP('Summary Data'!$A87,'Round 2 Data'!$A$10:$A$146,'Round 2 Data'!K$10:K$146,0)+_xlfn.XLOOKUP('Summary Data'!$A87,'Round 3 Data'!$A$10:$A$145,'Round 3 Data'!K$10:K$145,0)+_xlfn.XLOOKUP('Summary Data'!$A87,'Round 4 Data'!$A$10:$A$147,'Round 4 Data'!K$10:K$147,0))/$D87</f>
        <v>#VALUE!</v>
      </c>
      <c r="L87" s="57" t="e">
        <f>(_xlfn.XLOOKUP('Summary Data'!$A87,'Round 1 Data'!$A$10:$A$143,'Round 1 Data'!L$10:L$144,0)+_xlfn.XLOOKUP('Summary Data'!$A87,'Round 2 Data'!$A$10:$A$146,'Round 2 Data'!L$10:L$146,0)+_xlfn.XLOOKUP('Summary Data'!$A87,'Round 3 Data'!$A$10:$A$145,'Round 3 Data'!L$10:L$145,0)+_xlfn.XLOOKUP('Summary Data'!$A87,'Round 4 Data'!$A$10:$A$147,'Round 4 Data'!L$10:L$147,0))/$D87</f>
        <v>#VALUE!</v>
      </c>
      <c r="M87" s="57" t="e">
        <f>(_xlfn.XLOOKUP('Summary Data'!$A87,'Round 1 Data'!$A$10:$A$143,'Round 1 Data'!M$10:M$144,0)+_xlfn.XLOOKUP('Summary Data'!$A87,'Round 2 Data'!$A$10:$A$146,'Round 2 Data'!M$10:M$146,0)+_xlfn.XLOOKUP('Summary Data'!$A87,'Round 3 Data'!$A$10:$A$145,'Round 3 Data'!M$10:M$145,0)+_xlfn.XLOOKUP('Summary Data'!$A87,'Round 4 Data'!$A$10:$A$147,'Round 4 Data'!M$10:M$147,0))/$D87</f>
        <v>#VALUE!</v>
      </c>
      <c r="N87" s="57" t="e">
        <f>(_xlfn.XLOOKUP('Summary Data'!$A87,'Round 1 Data'!$A$10:$A$143,'Round 1 Data'!N$10:N$144,0)+_xlfn.XLOOKUP('Summary Data'!$A87,'Round 2 Data'!$A$10:$A$146,'Round 2 Data'!N$10:N$146,0)+_xlfn.XLOOKUP('Summary Data'!$A87,'Round 3 Data'!$A$10:$A$145,'Round 3 Data'!N$10:N$145,0)+_xlfn.XLOOKUP('Summary Data'!$A87,'Round 4 Data'!$A$10:$A$147,'Round 4 Data'!N$10:N$147,0))/$D87</f>
        <v>#VALUE!</v>
      </c>
      <c r="O87" s="57" t="e">
        <f>(_xlfn.XLOOKUP('Summary Data'!$A87,'Round 1 Data'!$A$10:$A$143,'Round 1 Data'!O$10:O$144,0)+_xlfn.XLOOKUP('Summary Data'!$A87,'Round 2 Data'!$A$10:$A$146,'Round 2 Data'!O$10:O$146,0)+_xlfn.XLOOKUP('Summary Data'!$A87,'Round 3 Data'!$A$10:$A$145,'Round 3 Data'!O$10:O$145,0)+_xlfn.XLOOKUP('Summary Data'!$A87,'Round 4 Data'!$A$10:$A$147,'Round 4 Data'!O$10:O$147,0))/$D87</f>
        <v>#VALUE!</v>
      </c>
      <c r="P87" s="57" t="e">
        <f>(_xlfn.XLOOKUP('Summary Data'!$A87,'Round 1 Data'!$A$10:$A$143,'Round 1 Data'!P$10:P$144,0)+_xlfn.XLOOKUP('Summary Data'!$A87,'Round 2 Data'!$A$10:$A$146,'Round 2 Data'!P$10:P$146,0)+_xlfn.XLOOKUP('Summary Data'!$A87,'Round 3 Data'!$A$10:$A$145,'Round 3 Data'!P$10:P$145,0)+_xlfn.XLOOKUP('Summary Data'!$A87,'Round 4 Data'!$A$10:$A$147,'Round 4 Data'!P$10:P$147,0))/$D87</f>
        <v>#VALUE!</v>
      </c>
      <c r="Q87" s="57" t="e">
        <f>(_xlfn.XLOOKUP('Summary Data'!$A87,'Round 1 Data'!$A$10:$A$143,'Round 1 Data'!Q$10:Q$144,0)+_xlfn.XLOOKUP('Summary Data'!$A87,'Round 2 Data'!$A$10:$A$146,'Round 2 Data'!Q$10:Q$146,0)+_xlfn.XLOOKUP('Summary Data'!$A87,'Round 3 Data'!$A$10:$A$145,'Round 3 Data'!Q$10:Q$145,0)+_xlfn.XLOOKUP('Summary Data'!$A87,'Round 4 Data'!$A$10:$A$147,'Round 4 Data'!Q$10:Q$147,0))/$D87</f>
        <v>#VALUE!</v>
      </c>
      <c r="R87" s="57" t="e">
        <f>(_xlfn.XLOOKUP('Summary Data'!$A87,'Round 1 Data'!$A$10:$A$143,'Round 1 Data'!R$10:R$144,0)+_xlfn.XLOOKUP('Summary Data'!$A87,'Round 2 Data'!$A$10:$A$146,'Round 2 Data'!R$10:R$146,0)+_xlfn.XLOOKUP('Summary Data'!$A87,'Round 3 Data'!$A$10:$A$145,'Round 3 Data'!R$10:R$145,0)+_xlfn.XLOOKUP('Summary Data'!$A87,'Round 4 Data'!$A$10:$A$147,'Round 4 Data'!R$10:R$147,0))/$D87</f>
        <v>#VALUE!</v>
      </c>
      <c r="S87" s="57" t="e">
        <f>(_xlfn.XLOOKUP('Summary Data'!$A87,'Round 1 Data'!$A$10:$A$143,'Round 1 Data'!S$10:S$144,0)+_xlfn.XLOOKUP('Summary Data'!$A87,'Round 2 Data'!$A$10:$A$146,'Round 2 Data'!S$10:S$146,0)+_xlfn.XLOOKUP('Summary Data'!$A87,'Round 3 Data'!$A$10:$A$145,'Round 3 Data'!S$10:S$145,0)+_xlfn.XLOOKUP('Summary Data'!$A87,'Round 4 Data'!$A$10:$A$147,'Round 4 Data'!S$10:S$147,0))/$D87</f>
        <v>#VALUE!</v>
      </c>
      <c r="T87" s="62" t="e">
        <f>(_xlfn.XLOOKUP('Summary Data'!$A87,'Round 1 Data'!$A$10:$A$143,'Round 1 Data'!U$10:U$144,0)+_xlfn.XLOOKUP('Summary Data'!$A87,'Round 2 Data'!$A$10:$A$146,'Round 2 Data'!U$10:U$146,0)+_xlfn.XLOOKUP('Summary Data'!$A87,'Round 3 Data'!$A$10:$A$145,'Round 3 Data'!U$10:U$145,0)+_xlfn.XLOOKUP('Summary Data'!$A87,'Round 4 Data'!$A$10:$A$147,'Round 4 Data'!U$10:U$147,0))</f>
        <v>#VALUE!</v>
      </c>
    </row>
    <row r="88" spans="1:20" ht="16" thickBot="1" x14ac:dyDescent="0.25">
      <c r="A88" s="61" t="s">
        <v>50</v>
      </c>
      <c r="B88" t="s">
        <v>191</v>
      </c>
      <c r="C88" t="s">
        <v>199</v>
      </c>
      <c r="D88" t="e">
        <f>IF(_xlfn.XLOOKUP('Summary Data'!A88,'Round 1 Data'!$A$10:$A$143,'Round 1 Data'!$E$10:$E$144,0)=0,0,1)+IF(_xlfn.XLOOKUP('Summary Data'!A88,'Round 2 Data'!$A$10:$A$146,'Round 2 Data'!$E$10:$E$146,0)=0,0,1)+IF(_xlfn.XLOOKUP('Summary Data'!A88,'Round 3 Data'!$A$10:$A$145,'Round 3 Data'!$E$10:$E$145,0)=0,0,1)+IF(_xlfn.XLOOKUP('Summary Data'!A88,'Round 4 Data'!$A$10:$A$147,'Round 4 Data'!$E$10:$E$147,0)=0,0,1)</f>
        <v>#VALUE!</v>
      </c>
      <c r="E88" s="57" t="e">
        <f>(_xlfn.XLOOKUP('Summary Data'!$A88,'Round 1 Data'!$A$10:$A$143,'Round 1 Data'!E$10:E$144,0)+_xlfn.XLOOKUP('Summary Data'!$A88,'Round 2 Data'!$A$10:$A$146,'Round 2 Data'!E$10:E$146,0)+_xlfn.XLOOKUP('Summary Data'!$A88,'Round 3 Data'!$A$10:$A$145,'Round 3 Data'!E$10:E$145,0)+_xlfn.XLOOKUP('Summary Data'!$A88,'Round 4 Data'!$A$10:$A$147,'Round 4 Data'!E$10:E$147,0))/$D88</f>
        <v>#VALUE!</v>
      </c>
      <c r="F88" s="57" t="e">
        <f>(_xlfn.XLOOKUP('Summary Data'!$A88,'Round 1 Data'!$A$10:$A$143,'Round 1 Data'!F$10:F$144,0)+_xlfn.XLOOKUP('Summary Data'!$A88,'Round 2 Data'!$A$10:$A$146,'Round 2 Data'!F$10:F$146,0)+_xlfn.XLOOKUP('Summary Data'!$A88,'Round 3 Data'!$A$10:$A$145,'Round 3 Data'!F$10:F$145,0)+_xlfn.XLOOKUP('Summary Data'!$A88,'Round 4 Data'!$A$10:$A$147,'Round 4 Data'!F$10:F$147,0))/$D88</f>
        <v>#VALUE!</v>
      </c>
      <c r="G88" s="57" t="e">
        <f>(_xlfn.XLOOKUP('Summary Data'!$A88,'Round 1 Data'!$A$10:$A$143,'Round 1 Data'!G$10:G$144,0)+_xlfn.XLOOKUP('Summary Data'!$A88,'Round 2 Data'!$A$10:$A$146,'Round 2 Data'!G$10:G$146,0)+_xlfn.XLOOKUP('Summary Data'!$A88,'Round 3 Data'!$A$10:$A$145,'Round 3 Data'!G$10:G$145,0)+_xlfn.XLOOKUP('Summary Data'!$A88,'Round 4 Data'!$A$10:$A$147,'Round 4 Data'!G$10:G$147,0))/$D88</f>
        <v>#VALUE!</v>
      </c>
      <c r="H88" s="57" t="e">
        <f>(_xlfn.XLOOKUP('Summary Data'!$A88,'Round 1 Data'!$A$10:$A$143,'Round 1 Data'!H$10:H$144,0)+_xlfn.XLOOKUP('Summary Data'!$A88,'Round 2 Data'!$A$10:$A$146,'Round 2 Data'!H$10:H$146,0)+_xlfn.XLOOKUP('Summary Data'!$A88,'Round 3 Data'!$A$10:$A$145,'Round 3 Data'!H$10:H$145,0)+_xlfn.XLOOKUP('Summary Data'!$A88,'Round 4 Data'!$A$10:$A$147,'Round 4 Data'!H$10:H$147,0))/$D88</f>
        <v>#VALUE!</v>
      </c>
      <c r="I88" s="57" t="e">
        <f>(_xlfn.XLOOKUP('Summary Data'!$A88,'Round 1 Data'!$A$10:$A$143,'Round 1 Data'!I$10:I$144,0)+_xlfn.XLOOKUP('Summary Data'!$A88,'Round 2 Data'!$A$10:$A$146,'Round 2 Data'!I$10:I$146,0)+_xlfn.XLOOKUP('Summary Data'!$A88,'Round 3 Data'!$A$10:$A$145,'Round 3 Data'!I$10:I$145,0)+_xlfn.XLOOKUP('Summary Data'!$A88,'Round 4 Data'!$A$10:$A$147,'Round 4 Data'!I$10:I$147,0))/$D88</f>
        <v>#VALUE!</v>
      </c>
      <c r="J88" s="57" t="e">
        <f>(_xlfn.XLOOKUP('Summary Data'!$A88,'Round 1 Data'!$A$10:$A$143,'Round 1 Data'!J$10:J$144,0)+_xlfn.XLOOKUP('Summary Data'!$A88,'Round 2 Data'!$A$10:$A$146,'Round 2 Data'!J$10:J$146,0)+_xlfn.XLOOKUP('Summary Data'!$A88,'Round 3 Data'!$A$10:$A$145,'Round 3 Data'!J$10:J$145,0)+_xlfn.XLOOKUP('Summary Data'!$A88,'Round 4 Data'!$A$10:$A$147,'Round 4 Data'!J$10:J$147,0))/$D88</f>
        <v>#VALUE!</v>
      </c>
      <c r="K88" s="57" t="e">
        <f>(_xlfn.XLOOKUP('Summary Data'!$A88,'Round 1 Data'!$A$10:$A$143,'Round 1 Data'!K$10:K$144,0)+_xlfn.XLOOKUP('Summary Data'!$A88,'Round 2 Data'!$A$10:$A$146,'Round 2 Data'!K$10:K$146,0)+_xlfn.XLOOKUP('Summary Data'!$A88,'Round 3 Data'!$A$10:$A$145,'Round 3 Data'!K$10:K$145,0)+_xlfn.XLOOKUP('Summary Data'!$A88,'Round 4 Data'!$A$10:$A$147,'Round 4 Data'!K$10:K$147,0))/$D88</f>
        <v>#VALUE!</v>
      </c>
      <c r="L88" s="57" t="e">
        <f>(_xlfn.XLOOKUP('Summary Data'!$A88,'Round 1 Data'!$A$10:$A$143,'Round 1 Data'!L$10:L$144,0)+_xlfn.XLOOKUP('Summary Data'!$A88,'Round 2 Data'!$A$10:$A$146,'Round 2 Data'!L$10:L$146,0)+_xlfn.XLOOKUP('Summary Data'!$A88,'Round 3 Data'!$A$10:$A$145,'Round 3 Data'!L$10:L$145,0)+_xlfn.XLOOKUP('Summary Data'!$A88,'Round 4 Data'!$A$10:$A$147,'Round 4 Data'!L$10:L$147,0))/$D88</f>
        <v>#VALUE!</v>
      </c>
      <c r="M88" s="57" t="e">
        <f>(_xlfn.XLOOKUP('Summary Data'!$A88,'Round 1 Data'!$A$10:$A$143,'Round 1 Data'!M$10:M$144,0)+_xlfn.XLOOKUP('Summary Data'!$A88,'Round 2 Data'!$A$10:$A$146,'Round 2 Data'!M$10:M$146,0)+_xlfn.XLOOKUP('Summary Data'!$A88,'Round 3 Data'!$A$10:$A$145,'Round 3 Data'!M$10:M$145,0)+_xlfn.XLOOKUP('Summary Data'!$A88,'Round 4 Data'!$A$10:$A$147,'Round 4 Data'!M$10:M$147,0))/$D88</f>
        <v>#VALUE!</v>
      </c>
      <c r="N88" s="57" t="e">
        <f>(_xlfn.XLOOKUP('Summary Data'!$A88,'Round 1 Data'!$A$10:$A$143,'Round 1 Data'!N$10:N$144,0)+_xlfn.XLOOKUP('Summary Data'!$A88,'Round 2 Data'!$A$10:$A$146,'Round 2 Data'!N$10:N$146,0)+_xlfn.XLOOKUP('Summary Data'!$A88,'Round 3 Data'!$A$10:$A$145,'Round 3 Data'!N$10:N$145,0)+_xlfn.XLOOKUP('Summary Data'!$A88,'Round 4 Data'!$A$10:$A$147,'Round 4 Data'!N$10:N$147,0))/$D88</f>
        <v>#VALUE!</v>
      </c>
      <c r="O88" s="57" t="e">
        <f>(_xlfn.XLOOKUP('Summary Data'!$A88,'Round 1 Data'!$A$10:$A$143,'Round 1 Data'!O$10:O$144,0)+_xlfn.XLOOKUP('Summary Data'!$A88,'Round 2 Data'!$A$10:$A$146,'Round 2 Data'!O$10:O$146,0)+_xlfn.XLOOKUP('Summary Data'!$A88,'Round 3 Data'!$A$10:$A$145,'Round 3 Data'!O$10:O$145,0)+_xlfn.XLOOKUP('Summary Data'!$A88,'Round 4 Data'!$A$10:$A$147,'Round 4 Data'!O$10:O$147,0))/$D88</f>
        <v>#VALUE!</v>
      </c>
      <c r="P88" s="57" t="e">
        <f>(_xlfn.XLOOKUP('Summary Data'!$A88,'Round 1 Data'!$A$10:$A$143,'Round 1 Data'!P$10:P$144,0)+_xlfn.XLOOKUP('Summary Data'!$A88,'Round 2 Data'!$A$10:$A$146,'Round 2 Data'!P$10:P$146,0)+_xlfn.XLOOKUP('Summary Data'!$A88,'Round 3 Data'!$A$10:$A$145,'Round 3 Data'!P$10:P$145,0)+_xlfn.XLOOKUP('Summary Data'!$A88,'Round 4 Data'!$A$10:$A$147,'Round 4 Data'!P$10:P$147,0))/$D88</f>
        <v>#VALUE!</v>
      </c>
      <c r="Q88" s="57" t="e">
        <f>(_xlfn.XLOOKUP('Summary Data'!$A88,'Round 1 Data'!$A$10:$A$143,'Round 1 Data'!Q$10:Q$144,0)+_xlfn.XLOOKUP('Summary Data'!$A88,'Round 2 Data'!$A$10:$A$146,'Round 2 Data'!Q$10:Q$146,0)+_xlfn.XLOOKUP('Summary Data'!$A88,'Round 3 Data'!$A$10:$A$145,'Round 3 Data'!Q$10:Q$145,0)+_xlfn.XLOOKUP('Summary Data'!$A88,'Round 4 Data'!$A$10:$A$147,'Round 4 Data'!Q$10:Q$147,0))/$D88</f>
        <v>#VALUE!</v>
      </c>
      <c r="R88" s="57" t="e">
        <f>(_xlfn.XLOOKUP('Summary Data'!$A88,'Round 1 Data'!$A$10:$A$143,'Round 1 Data'!R$10:R$144,0)+_xlfn.XLOOKUP('Summary Data'!$A88,'Round 2 Data'!$A$10:$A$146,'Round 2 Data'!R$10:R$146,0)+_xlfn.XLOOKUP('Summary Data'!$A88,'Round 3 Data'!$A$10:$A$145,'Round 3 Data'!R$10:R$145,0)+_xlfn.XLOOKUP('Summary Data'!$A88,'Round 4 Data'!$A$10:$A$147,'Round 4 Data'!R$10:R$147,0))/$D88</f>
        <v>#VALUE!</v>
      </c>
      <c r="S88" s="57" t="e">
        <f>(_xlfn.XLOOKUP('Summary Data'!$A88,'Round 1 Data'!$A$10:$A$143,'Round 1 Data'!S$10:S$144,0)+_xlfn.XLOOKUP('Summary Data'!$A88,'Round 2 Data'!$A$10:$A$146,'Round 2 Data'!S$10:S$146,0)+_xlfn.XLOOKUP('Summary Data'!$A88,'Round 3 Data'!$A$10:$A$145,'Round 3 Data'!S$10:S$145,0)+_xlfn.XLOOKUP('Summary Data'!$A88,'Round 4 Data'!$A$10:$A$147,'Round 4 Data'!S$10:S$147,0))/$D88</f>
        <v>#VALUE!</v>
      </c>
      <c r="T88" s="62" t="e">
        <f>(_xlfn.XLOOKUP('Summary Data'!$A88,'Round 1 Data'!$A$10:$A$143,'Round 1 Data'!U$10:U$144,0)+_xlfn.XLOOKUP('Summary Data'!$A88,'Round 2 Data'!$A$10:$A$146,'Round 2 Data'!U$10:U$146,0)+_xlfn.XLOOKUP('Summary Data'!$A88,'Round 3 Data'!$A$10:$A$145,'Round 3 Data'!U$10:U$145,0)+_xlfn.XLOOKUP('Summary Data'!$A88,'Round 4 Data'!$A$10:$A$147,'Round 4 Data'!U$10:U$147,0))</f>
        <v>#VALUE!</v>
      </c>
    </row>
    <row r="89" spans="1:20" ht="16" thickBot="1" x14ac:dyDescent="0.25">
      <c r="A89" s="63" t="s">
        <v>180</v>
      </c>
      <c r="B89" t="s">
        <v>191</v>
      </c>
      <c r="C89" t="s">
        <v>200</v>
      </c>
      <c r="D89" t="e">
        <f>IF(_xlfn.XLOOKUP('Summary Data'!A89,'Round 1 Data'!$A$10:$A$143,'Round 1 Data'!$E$10:$E$144,0)=0,0,1)+IF(_xlfn.XLOOKUP('Summary Data'!A89,'Round 2 Data'!$A$10:$A$146,'Round 2 Data'!$E$10:$E$146,0)=0,0,1)+IF(_xlfn.XLOOKUP('Summary Data'!A89,'Round 3 Data'!$A$10:$A$145,'Round 3 Data'!$E$10:$E$145,0)=0,0,1)+IF(_xlfn.XLOOKUP('Summary Data'!A89,'Round 4 Data'!$A$10:$A$147,'Round 4 Data'!$E$10:$E$147,0)=0,0,1)</f>
        <v>#VALUE!</v>
      </c>
      <c r="E89" s="57" t="e">
        <f>(_xlfn.XLOOKUP('Summary Data'!$A89,'Round 1 Data'!$A$10:$A$143,'Round 1 Data'!E$10:E$144,0)+_xlfn.XLOOKUP('Summary Data'!$A89,'Round 2 Data'!$A$10:$A$146,'Round 2 Data'!E$10:E$146,0)+_xlfn.XLOOKUP('Summary Data'!$A89,'Round 3 Data'!$A$10:$A$145,'Round 3 Data'!E$10:E$145,0)+_xlfn.XLOOKUP('Summary Data'!$A89,'Round 4 Data'!$A$10:$A$147,'Round 4 Data'!E$10:E$147,0))/$D89</f>
        <v>#VALUE!</v>
      </c>
      <c r="F89" s="57" t="e">
        <f>(_xlfn.XLOOKUP('Summary Data'!$A89,'Round 1 Data'!$A$10:$A$143,'Round 1 Data'!F$10:F$144,0)+_xlfn.XLOOKUP('Summary Data'!$A89,'Round 2 Data'!$A$10:$A$146,'Round 2 Data'!F$10:F$146,0)+_xlfn.XLOOKUP('Summary Data'!$A89,'Round 3 Data'!$A$10:$A$145,'Round 3 Data'!F$10:F$145,0)+_xlfn.XLOOKUP('Summary Data'!$A89,'Round 4 Data'!$A$10:$A$147,'Round 4 Data'!F$10:F$147,0))/$D89</f>
        <v>#VALUE!</v>
      </c>
      <c r="G89" s="57" t="e">
        <f>(_xlfn.XLOOKUP('Summary Data'!$A89,'Round 1 Data'!$A$10:$A$143,'Round 1 Data'!G$10:G$144,0)+_xlfn.XLOOKUP('Summary Data'!$A89,'Round 2 Data'!$A$10:$A$146,'Round 2 Data'!G$10:G$146,0)+_xlfn.XLOOKUP('Summary Data'!$A89,'Round 3 Data'!$A$10:$A$145,'Round 3 Data'!G$10:G$145,0)+_xlfn.XLOOKUP('Summary Data'!$A89,'Round 4 Data'!$A$10:$A$147,'Round 4 Data'!G$10:G$147,0))/$D89</f>
        <v>#VALUE!</v>
      </c>
      <c r="H89" s="57" t="e">
        <f>(_xlfn.XLOOKUP('Summary Data'!$A89,'Round 1 Data'!$A$10:$A$143,'Round 1 Data'!H$10:H$144,0)+_xlfn.XLOOKUP('Summary Data'!$A89,'Round 2 Data'!$A$10:$A$146,'Round 2 Data'!H$10:H$146,0)+_xlfn.XLOOKUP('Summary Data'!$A89,'Round 3 Data'!$A$10:$A$145,'Round 3 Data'!H$10:H$145,0)+_xlfn.XLOOKUP('Summary Data'!$A89,'Round 4 Data'!$A$10:$A$147,'Round 4 Data'!H$10:H$147,0))/$D89</f>
        <v>#VALUE!</v>
      </c>
      <c r="I89" s="57" t="e">
        <f>(_xlfn.XLOOKUP('Summary Data'!$A89,'Round 1 Data'!$A$10:$A$143,'Round 1 Data'!I$10:I$144,0)+_xlfn.XLOOKUP('Summary Data'!$A89,'Round 2 Data'!$A$10:$A$146,'Round 2 Data'!I$10:I$146,0)+_xlfn.XLOOKUP('Summary Data'!$A89,'Round 3 Data'!$A$10:$A$145,'Round 3 Data'!I$10:I$145,0)+_xlfn.XLOOKUP('Summary Data'!$A89,'Round 4 Data'!$A$10:$A$147,'Round 4 Data'!I$10:I$147,0))/$D89</f>
        <v>#VALUE!</v>
      </c>
      <c r="J89" s="57" t="e">
        <f>(_xlfn.XLOOKUP('Summary Data'!$A89,'Round 1 Data'!$A$10:$A$143,'Round 1 Data'!J$10:J$144,0)+_xlfn.XLOOKUP('Summary Data'!$A89,'Round 2 Data'!$A$10:$A$146,'Round 2 Data'!J$10:J$146,0)+_xlfn.XLOOKUP('Summary Data'!$A89,'Round 3 Data'!$A$10:$A$145,'Round 3 Data'!J$10:J$145,0)+_xlfn.XLOOKUP('Summary Data'!$A89,'Round 4 Data'!$A$10:$A$147,'Round 4 Data'!J$10:J$147,0))/$D89</f>
        <v>#VALUE!</v>
      </c>
      <c r="K89" s="57" t="e">
        <f>(_xlfn.XLOOKUP('Summary Data'!$A89,'Round 1 Data'!$A$10:$A$143,'Round 1 Data'!K$10:K$144,0)+_xlfn.XLOOKUP('Summary Data'!$A89,'Round 2 Data'!$A$10:$A$146,'Round 2 Data'!K$10:K$146,0)+_xlfn.XLOOKUP('Summary Data'!$A89,'Round 3 Data'!$A$10:$A$145,'Round 3 Data'!K$10:K$145,0)+_xlfn.XLOOKUP('Summary Data'!$A89,'Round 4 Data'!$A$10:$A$147,'Round 4 Data'!K$10:K$147,0))/$D89</f>
        <v>#VALUE!</v>
      </c>
      <c r="L89" s="57" t="e">
        <f>(_xlfn.XLOOKUP('Summary Data'!$A89,'Round 1 Data'!$A$10:$A$143,'Round 1 Data'!L$10:L$144,0)+_xlfn.XLOOKUP('Summary Data'!$A89,'Round 2 Data'!$A$10:$A$146,'Round 2 Data'!L$10:L$146,0)+_xlfn.XLOOKUP('Summary Data'!$A89,'Round 3 Data'!$A$10:$A$145,'Round 3 Data'!L$10:L$145,0)+_xlfn.XLOOKUP('Summary Data'!$A89,'Round 4 Data'!$A$10:$A$147,'Round 4 Data'!L$10:L$147,0))/$D89</f>
        <v>#VALUE!</v>
      </c>
      <c r="M89" s="57" t="e">
        <f>(_xlfn.XLOOKUP('Summary Data'!$A89,'Round 1 Data'!$A$10:$A$143,'Round 1 Data'!M$10:M$144,0)+_xlfn.XLOOKUP('Summary Data'!$A89,'Round 2 Data'!$A$10:$A$146,'Round 2 Data'!M$10:M$146,0)+_xlfn.XLOOKUP('Summary Data'!$A89,'Round 3 Data'!$A$10:$A$145,'Round 3 Data'!M$10:M$145,0)+_xlfn.XLOOKUP('Summary Data'!$A89,'Round 4 Data'!$A$10:$A$147,'Round 4 Data'!M$10:M$147,0))/$D89</f>
        <v>#VALUE!</v>
      </c>
      <c r="N89" s="57" t="e">
        <f>(_xlfn.XLOOKUP('Summary Data'!$A89,'Round 1 Data'!$A$10:$A$143,'Round 1 Data'!N$10:N$144,0)+_xlfn.XLOOKUP('Summary Data'!$A89,'Round 2 Data'!$A$10:$A$146,'Round 2 Data'!N$10:N$146,0)+_xlfn.XLOOKUP('Summary Data'!$A89,'Round 3 Data'!$A$10:$A$145,'Round 3 Data'!N$10:N$145,0)+_xlfn.XLOOKUP('Summary Data'!$A89,'Round 4 Data'!$A$10:$A$147,'Round 4 Data'!N$10:N$147,0))/$D89</f>
        <v>#VALUE!</v>
      </c>
      <c r="O89" s="57" t="e">
        <f>(_xlfn.XLOOKUP('Summary Data'!$A89,'Round 1 Data'!$A$10:$A$143,'Round 1 Data'!O$10:O$144,0)+_xlfn.XLOOKUP('Summary Data'!$A89,'Round 2 Data'!$A$10:$A$146,'Round 2 Data'!O$10:O$146,0)+_xlfn.XLOOKUP('Summary Data'!$A89,'Round 3 Data'!$A$10:$A$145,'Round 3 Data'!O$10:O$145,0)+_xlfn.XLOOKUP('Summary Data'!$A89,'Round 4 Data'!$A$10:$A$147,'Round 4 Data'!O$10:O$147,0))/$D89</f>
        <v>#VALUE!</v>
      </c>
      <c r="P89" s="57" t="e">
        <f>(_xlfn.XLOOKUP('Summary Data'!$A89,'Round 1 Data'!$A$10:$A$143,'Round 1 Data'!P$10:P$144,0)+_xlfn.XLOOKUP('Summary Data'!$A89,'Round 2 Data'!$A$10:$A$146,'Round 2 Data'!P$10:P$146,0)+_xlfn.XLOOKUP('Summary Data'!$A89,'Round 3 Data'!$A$10:$A$145,'Round 3 Data'!P$10:P$145,0)+_xlfn.XLOOKUP('Summary Data'!$A89,'Round 4 Data'!$A$10:$A$147,'Round 4 Data'!P$10:P$147,0))/$D89</f>
        <v>#VALUE!</v>
      </c>
      <c r="Q89" s="57" t="e">
        <f>(_xlfn.XLOOKUP('Summary Data'!$A89,'Round 1 Data'!$A$10:$A$143,'Round 1 Data'!Q$10:Q$144,0)+_xlfn.XLOOKUP('Summary Data'!$A89,'Round 2 Data'!$A$10:$A$146,'Round 2 Data'!Q$10:Q$146,0)+_xlfn.XLOOKUP('Summary Data'!$A89,'Round 3 Data'!$A$10:$A$145,'Round 3 Data'!Q$10:Q$145,0)+_xlfn.XLOOKUP('Summary Data'!$A89,'Round 4 Data'!$A$10:$A$147,'Round 4 Data'!Q$10:Q$147,0))/$D89</f>
        <v>#VALUE!</v>
      </c>
      <c r="R89" s="57" t="e">
        <f>(_xlfn.XLOOKUP('Summary Data'!$A89,'Round 1 Data'!$A$10:$A$143,'Round 1 Data'!R$10:R$144,0)+_xlfn.XLOOKUP('Summary Data'!$A89,'Round 2 Data'!$A$10:$A$146,'Round 2 Data'!R$10:R$146,0)+_xlfn.XLOOKUP('Summary Data'!$A89,'Round 3 Data'!$A$10:$A$145,'Round 3 Data'!R$10:R$145,0)+_xlfn.XLOOKUP('Summary Data'!$A89,'Round 4 Data'!$A$10:$A$147,'Round 4 Data'!R$10:R$147,0))/$D89</f>
        <v>#VALUE!</v>
      </c>
      <c r="S89" s="57" t="e">
        <f>(_xlfn.XLOOKUP('Summary Data'!$A89,'Round 1 Data'!$A$10:$A$143,'Round 1 Data'!S$10:S$144,0)+_xlfn.XLOOKUP('Summary Data'!$A89,'Round 2 Data'!$A$10:$A$146,'Round 2 Data'!S$10:S$146,0)+_xlfn.XLOOKUP('Summary Data'!$A89,'Round 3 Data'!$A$10:$A$145,'Round 3 Data'!S$10:S$145,0)+_xlfn.XLOOKUP('Summary Data'!$A89,'Round 4 Data'!$A$10:$A$147,'Round 4 Data'!S$10:S$147,0))/$D89</f>
        <v>#VALUE!</v>
      </c>
      <c r="T89" s="62" t="e">
        <f>(_xlfn.XLOOKUP('Summary Data'!$A89,'Round 1 Data'!$A$10:$A$143,'Round 1 Data'!U$10:U$144,0)+_xlfn.XLOOKUP('Summary Data'!$A89,'Round 2 Data'!$A$10:$A$146,'Round 2 Data'!U$10:U$146,0)+_xlfn.XLOOKUP('Summary Data'!$A89,'Round 3 Data'!$A$10:$A$145,'Round 3 Data'!U$10:U$145,0)+_xlfn.XLOOKUP('Summary Data'!$A89,'Round 4 Data'!$A$10:$A$147,'Round 4 Data'!U$10:U$147,0))</f>
        <v>#VALUE!</v>
      </c>
    </row>
    <row r="90" spans="1:20" ht="16" thickBot="1" x14ac:dyDescent="0.25">
      <c r="A90" s="61" t="s">
        <v>51</v>
      </c>
      <c r="B90" t="s">
        <v>191</v>
      </c>
      <c r="C90" t="s">
        <v>200</v>
      </c>
      <c r="D90" t="e">
        <f>IF(_xlfn.XLOOKUP('Summary Data'!A90,'Round 1 Data'!$A$10:$A$143,'Round 1 Data'!$E$10:$E$144,0)=0,0,1)+IF(_xlfn.XLOOKUP('Summary Data'!A90,'Round 2 Data'!$A$10:$A$146,'Round 2 Data'!$E$10:$E$146,0)=0,0,1)+IF(_xlfn.XLOOKUP('Summary Data'!A90,'Round 3 Data'!$A$10:$A$145,'Round 3 Data'!$E$10:$E$145,0)=0,0,1)+IF(_xlfn.XLOOKUP('Summary Data'!A90,'Round 4 Data'!$A$10:$A$147,'Round 4 Data'!$E$10:$E$147,0)=0,0,1)</f>
        <v>#VALUE!</v>
      </c>
      <c r="E90" s="57" t="e">
        <f>(_xlfn.XLOOKUP('Summary Data'!$A90,'Round 1 Data'!$A$10:$A$143,'Round 1 Data'!E$10:E$144,0)+_xlfn.XLOOKUP('Summary Data'!$A90,'Round 2 Data'!$A$10:$A$146,'Round 2 Data'!E$10:E$146,0)+_xlfn.XLOOKUP('Summary Data'!$A90,'Round 3 Data'!$A$10:$A$145,'Round 3 Data'!E$10:E$145,0)+_xlfn.XLOOKUP('Summary Data'!$A90,'Round 4 Data'!$A$10:$A$147,'Round 4 Data'!E$10:E$147,0))/$D90</f>
        <v>#VALUE!</v>
      </c>
      <c r="F90" s="57" t="e">
        <f>(_xlfn.XLOOKUP('Summary Data'!$A90,'Round 1 Data'!$A$10:$A$143,'Round 1 Data'!F$10:F$144,0)+_xlfn.XLOOKUP('Summary Data'!$A90,'Round 2 Data'!$A$10:$A$146,'Round 2 Data'!F$10:F$146,0)+_xlfn.XLOOKUP('Summary Data'!$A90,'Round 3 Data'!$A$10:$A$145,'Round 3 Data'!F$10:F$145,0)+_xlfn.XLOOKUP('Summary Data'!$A90,'Round 4 Data'!$A$10:$A$147,'Round 4 Data'!F$10:F$147,0))/$D90</f>
        <v>#VALUE!</v>
      </c>
      <c r="G90" s="57" t="e">
        <f>(_xlfn.XLOOKUP('Summary Data'!$A90,'Round 1 Data'!$A$10:$A$143,'Round 1 Data'!G$10:G$144,0)+_xlfn.XLOOKUP('Summary Data'!$A90,'Round 2 Data'!$A$10:$A$146,'Round 2 Data'!G$10:G$146,0)+_xlfn.XLOOKUP('Summary Data'!$A90,'Round 3 Data'!$A$10:$A$145,'Round 3 Data'!G$10:G$145,0)+_xlfn.XLOOKUP('Summary Data'!$A90,'Round 4 Data'!$A$10:$A$147,'Round 4 Data'!G$10:G$147,0))/$D90</f>
        <v>#VALUE!</v>
      </c>
      <c r="H90" s="57" t="e">
        <f>(_xlfn.XLOOKUP('Summary Data'!$A90,'Round 1 Data'!$A$10:$A$143,'Round 1 Data'!H$10:H$144,0)+_xlfn.XLOOKUP('Summary Data'!$A90,'Round 2 Data'!$A$10:$A$146,'Round 2 Data'!H$10:H$146,0)+_xlfn.XLOOKUP('Summary Data'!$A90,'Round 3 Data'!$A$10:$A$145,'Round 3 Data'!H$10:H$145,0)+_xlfn.XLOOKUP('Summary Data'!$A90,'Round 4 Data'!$A$10:$A$147,'Round 4 Data'!H$10:H$147,0))/$D90</f>
        <v>#VALUE!</v>
      </c>
      <c r="I90" s="57" t="e">
        <f>(_xlfn.XLOOKUP('Summary Data'!$A90,'Round 1 Data'!$A$10:$A$143,'Round 1 Data'!I$10:I$144,0)+_xlfn.XLOOKUP('Summary Data'!$A90,'Round 2 Data'!$A$10:$A$146,'Round 2 Data'!I$10:I$146,0)+_xlfn.XLOOKUP('Summary Data'!$A90,'Round 3 Data'!$A$10:$A$145,'Round 3 Data'!I$10:I$145,0)+_xlfn.XLOOKUP('Summary Data'!$A90,'Round 4 Data'!$A$10:$A$147,'Round 4 Data'!I$10:I$147,0))/$D90</f>
        <v>#VALUE!</v>
      </c>
      <c r="J90" s="57" t="e">
        <f>(_xlfn.XLOOKUP('Summary Data'!$A90,'Round 1 Data'!$A$10:$A$143,'Round 1 Data'!J$10:J$144,0)+_xlfn.XLOOKUP('Summary Data'!$A90,'Round 2 Data'!$A$10:$A$146,'Round 2 Data'!J$10:J$146,0)+_xlfn.XLOOKUP('Summary Data'!$A90,'Round 3 Data'!$A$10:$A$145,'Round 3 Data'!J$10:J$145,0)+_xlfn.XLOOKUP('Summary Data'!$A90,'Round 4 Data'!$A$10:$A$147,'Round 4 Data'!J$10:J$147,0))/$D90</f>
        <v>#VALUE!</v>
      </c>
      <c r="K90" s="57" t="e">
        <f>(_xlfn.XLOOKUP('Summary Data'!$A90,'Round 1 Data'!$A$10:$A$143,'Round 1 Data'!K$10:K$144,0)+_xlfn.XLOOKUP('Summary Data'!$A90,'Round 2 Data'!$A$10:$A$146,'Round 2 Data'!K$10:K$146,0)+_xlfn.XLOOKUP('Summary Data'!$A90,'Round 3 Data'!$A$10:$A$145,'Round 3 Data'!K$10:K$145,0)+_xlfn.XLOOKUP('Summary Data'!$A90,'Round 4 Data'!$A$10:$A$147,'Round 4 Data'!K$10:K$147,0))/$D90</f>
        <v>#VALUE!</v>
      </c>
      <c r="L90" s="57" t="e">
        <f>(_xlfn.XLOOKUP('Summary Data'!$A90,'Round 1 Data'!$A$10:$A$143,'Round 1 Data'!L$10:L$144,0)+_xlfn.XLOOKUP('Summary Data'!$A90,'Round 2 Data'!$A$10:$A$146,'Round 2 Data'!L$10:L$146,0)+_xlfn.XLOOKUP('Summary Data'!$A90,'Round 3 Data'!$A$10:$A$145,'Round 3 Data'!L$10:L$145,0)+_xlfn.XLOOKUP('Summary Data'!$A90,'Round 4 Data'!$A$10:$A$147,'Round 4 Data'!L$10:L$147,0))/$D90</f>
        <v>#VALUE!</v>
      </c>
      <c r="M90" s="57" t="e">
        <f>(_xlfn.XLOOKUP('Summary Data'!$A90,'Round 1 Data'!$A$10:$A$143,'Round 1 Data'!M$10:M$144,0)+_xlfn.XLOOKUP('Summary Data'!$A90,'Round 2 Data'!$A$10:$A$146,'Round 2 Data'!M$10:M$146,0)+_xlfn.XLOOKUP('Summary Data'!$A90,'Round 3 Data'!$A$10:$A$145,'Round 3 Data'!M$10:M$145,0)+_xlfn.XLOOKUP('Summary Data'!$A90,'Round 4 Data'!$A$10:$A$147,'Round 4 Data'!M$10:M$147,0))/$D90</f>
        <v>#VALUE!</v>
      </c>
      <c r="N90" s="57" t="e">
        <f>(_xlfn.XLOOKUP('Summary Data'!$A90,'Round 1 Data'!$A$10:$A$143,'Round 1 Data'!N$10:N$144,0)+_xlfn.XLOOKUP('Summary Data'!$A90,'Round 2 Data'!$A$10:$A$146,'Round 2 Data'!N$10:N$146,0)+_xlfn.XLOOKUP('Summary Data'!$A90,'Round 3 Data'!$A$10:$A$145,'Round 3 Data'!N$10:N$145,0)+_xlfn.XLOOKUP('Summary Data'!$A90,'Round 4 Data'!$A$10:$A$147,'Round 4 Data'!N$10:N$147,0))/$D90</f>
        <v>#VALUE!</v>
      </c>
      <c r="O90" s="57" t="e">
        <f>(_xlfn.XLOOKUP('Summary Data'!$A90,'Round 1 Data'!$A$10:$A$143,'Round 1 Data'!O$10:O$144,0)+_xlfn.XLOOKUP('Summary Data'!$A90,'Round 2 Data'!$A$10:$A$146,'Round 2 Data'!O$10:O$146,0)+_xlfn.XLOOKUP('Summary Data'!$A90,'Round 3 Data'!$A$10:$A$145,'Round 3 Data'!O$10:O$145,0)+_xlfn.XLOOKUP('Summary Data'!$A90,'Round 4 Data'!$A$10:$A$147,'Round 4 Data'!O$10:O$147,0))/$D90</f>
        <v>#VALUE!</v>
      </c>
      <c r="P90" s="57" t="e">
        <f>(_xlfn.XLOOKUP('Summary Data'!$A90,'Round 1 Data'!$A$10:$A$143,'Round 1 Data'!P$10:P$144,0)+_xlfn.XLOOKUP('Summary Data'!$A90,'Round 2 Data'!$A$10:$A$146,'Round 2 Data'!P$10:P$146,0)+_xlfn.XLOOKUP('Summary Data'!$A90,'Round 3 Data'!$A$10:$A$145,'Round 3 Data'!P$10:P$145,0)+_xlfn.XLOOKUP('Summary Data'!$A90,'Round 4 Data'!$A$10:$A$147,'Round 4 Data'!P$10:P$147,0))/$D90</f>
        <v>#VALUE!</v>
      </c>
      <c r="Q90" s="57" t="e">
        <f>(_xlfn.XLOOKUP('Summary Data'!$A90,'Round 1 Data'!$A$10:$A$143,'Round 1 Data'!Q$10:Q$144,0)+_xlfn.XLOOKUP('Summary Data'!$A90,'Round 2 Data'!$A$10:$A$146,'Round 2 Data'!Q$10:Q$146,0)+_xlfn.XLOOKUP('Summary Data'!$A90,'Round 3 Data'!$A$10:$A$145,'Round 3 Data'!Q$10:Q$145,0)+_xlfn.XLOOKUP('Summary Data'!$A90,'Round 4 Data'!$A$10:$A$147,'Round 4 Data'!Q$10:Q$147,0))/$D90</f>
        <v>#VALUE!</v>
      </c>
      <c r="R90" s="57" t="e">
        <f>(_xlfn.XLOOKUP('Summary Data'!$A90,'Round 1 Data'!$A$10:$A$143,'Round 1 Data'!R$10:R$144,0)+_xlfn.XLOOKUP('Summary Data'!$A90,'Round 2 Data'!$A$10:$A$146,'Round 2 Data'!R$10:R$146,0)+_xlfn.XLOOKUP('Summary Data'!$A90,'Round 3 Data'!$A$10:$A$145,'Round 3 Data'!R$10:R$145,0)+_xlfn.XLOOKUP('Summary Data'!$A90,'Round 4 Data'!$A$10:$A$147,'Round 4 Data'!R$10:R$147,0))/$D90</f>
        <v>#VALUE!</v>
      </c>
      <c r="S90" s="57" t="e">
        <f>(_xlfn.XLOOKUP('Summary Data'!$A90,'Round 1 Data'!$A$10:$A$143,'Round 1 Data'!S$10:S$144,0)+_xlfn.XLOOKUP('Summary Data'!$A90,'Round 2 Data'!$A$10:$A$146,'Round 2 Data'!S$10:S$146,0)+_xlfn.XLOOKUP('Summary Data'!$A90,'Round 3 Data'!$A$10:$A$145,'Round 3 Data'!S$10:S$145,0)+_xlfn.XLOOKUP('Summary Data'!$A90,'Round 4 Data'!$A$10:$A$147,'Round 4 Data'!S$10:S$147,0))/$D90</f>
        <v>#VALUE!</v>
      </c>
      <c r="T90" s="62" t="e">
        <f>(_xlfn.XLOOKUP('Summary Data'!$A90,'Round 1 Data'!$A$10:$A$143,'Round 1 Data'!U$10:U$144,0)+_xlfn.XLOOKUP('Summary Data'!$A90,'Round 2 Data'!$A$10:$A$146,'Round 2 Data'!U$10:U$146,0)+_xlfn.XLOOKUP('Summary Data'!$A90,'Round 3 Data'!$A$10:$A$145,'Round 3 Data'!U$10:U$145,0)+_xlfn.XLOOKUP('Summary Data'!$A90,'Round 4 Data'!$A$10:$A$147,'Round 4 Data'!U$10:U$147,0))</f>
        <v>#VALUE!</v>
      </c>
    </row>
    <row r="91" spans="1:20" ht="16" thickBot="1" x14ac:dyDescent="0.25">
      <c r="A91" s="63" t="s">
        <v>53</v>
      </c>
      <c r="B91" t="s">
        <v>191</v>
      </c>
      <c r="C91" t="s">
        <v>200</v>
      </c>
      <c r="D91" t="e">
        <f>IF(_xlfn.XLOOKUP('Summary Data'!A91,'Round 1 Data'!$A$10:$A$143,'Round 1 Data'!$E$10:$E$144,0)=0,0,1)+IF(_xlfn.XLOOKUP('Summary Data'!A91,'Round 2 Data'!$A$10:$A$146,'Round 2 Data'!$E$10:$E$146,0)=0,0,1)+IF(_xlfn.XLOOKUP('Summary Data'!A91,'Round 3 Data'!$A$10:$A$145,'Round 3 Data'!$E$10:$E$145,0)=0,0,1)+IF(_xlfn.XLOOKUP('Summary Data'!A91,'Round 4 Data'!$A$10:$A$147,'Round 4 Data'!$E$10:$E$147,0)=0,0,1)</f>
        <v>#VALUE!</v>
      </c>
      <c r="E91" s="57" t="e">
        <f>(_xlfn.XLOOKUP('Summary Data'!$A91,'Round 1 Data'!$A$10:$A$143,'Round 1 Data'!E$10:E$144,0)+_xlfn.XLOOKUP('Summary Data'!$A91,'Round 2 Data'!$A$10:$A$146,'Round 2 Data'!E$10:E$146,0)+_xlfn.XLOOKUP('Summary Data'!$A91,'Round 3 Data'!$A$10:$A$145,'Round 3 Data'!E$10:E$145,0)+_xlfn.XLOOKUP('Summary Data'!$A91,'Round 4 Data'!$A$10:$A$147,'Round 4 Data'!E$10:E$147,0))/$D91</f>
        <v>#VALUE!</v>
      </c>
      <c r="F91" s="57" t="e">
        <f>(_xlfn.XLOOKUP('Summary Data'!$A91,'Round 1 Data'!$A$10:$A$143,'Round 1 Data'!F$10:F$144,0)+_xlfn.XLOOKUP('Summary Data'!$A91,'Round 2 Data'!$A$10:$A$146,'Round 2 Data'!F$10:F$146,0)+_xlfn.XLOOKUP('Summary Data'!$A91,'Round 3 Data'!$A$10:$A$145,'Round 3 Data'!F$10:F$145,0)+_xlfn.XLOOKUP('Summary Data'!$A91,'Round 4 Data'!$A$10:$A$147,'Round 4 Data'!F$10:F$147,0))/$D91</f>
        <v>#VALUE!</v>
      </c>
      <c r="G91" s="57" t="e">
        <f>(_xlfn.XLOOKUP('Summary Data'!$A91,'Round 1 Data'!$A$10:$A$143,'Round 1 Data'!G$10:G$144,0)+_xlfn.XLOOKUP('Summary Data'!$A91,'Round 2 Data'!$A$10:$A$146,'Round 2 Data'!G$10:G$146,0)+_xlfn.XLOOKUP('Summary Data'!$A91,'Round 3 Data'!$A$10:$A$145,'Round 3 Data'!G$10:G$145,0)+_xlfn.XLOOKUP('Summary Data'!$A91,'Round 4 Data'!$A$10:$A$147,'Round 4 Data'!G$10:G$147,0))/$D91</f>
        <v>#VALUE!</v>
      </c>
      <c r="H91" s="57" t="e">
        <f>(_xlfn.XLOOKUP('Summary Data'!$A91,'Round 1 Data'!$A$10:$A$143,'Round 1 Data'!H$10:H$144,0)+_xlfn.XLOOKUP('Summary Data'!$A91,'Round 2 Data'!$A$10:$A$146,'Round 2 Data'!H$10:H$146,0)+_xlfn.XLOOKUP('Summary Data'!$A91,'Round 3 Data'!$A$10:$A$145,'Round 3 Data'!H$10:H$145,0)+_xlfn.XLOOKUP('Summary Data'!$A91,'Round 4 Data'!$A$10:$A$147,'Round 4 Data'!H$10:H$147,0))/$D91</f>
        <v>#VALUE!</v>
      </c>
      <c r="I91" s="57" t="e">
        <f>(_xlfn.XLOOKUP('Summary Data'!$A91,'Round 1 Data'!$A$10:$A$143,'Round 1 Data'!I$10:I$144,0)+_xlfn.XLOOKUP('Summary Data'!$A91,'Round 2 Data'!$A$10:$A$146,'Round 2 Data'!I$10:I$146,0)+_xlfn.XLOOKUP('Summary Data'!$A91,'Round 3 Data'!$A$10:$A$145,'Round 3 Data'!I$10:I$145,0)+_xlfn.XLOOKUP('Summary Data'!$A91,'Round 4 Data'!$A$10:$A$147,'Round 4 Data'!I$10:I$147,0))/$D91</f>
        <v>#VALUE!</v>
      </c>
      <c r="J91" s="57" t="e">
        <f>(_xlfn.XLOOKUP('Summary Data'!$A91,'Round 1 Data'!$A$10:$A$143,'Round 1 Data'!J$10:J$144,0)+_xlfn.XLOOKUP('Summary Data'!$A91,'Round 2 Data'!$A$10:$A$146,'Round 2 Data'!J$10:J$146,0)+_xlfn.XLOOKUP('Summary Data'!$A91,'Round 3 Data'!$A$10:$A$145,'Round 3 Data'!J$10:J$145,0)+_xlfn.XLOOKUP('Summary Data'!$A91,'Round 4 Data'!$A$10:$A$147,'Round 4 Data'!J$10:J$147,0))/$D91</f>
        <v>#VALUE!</v>
      </c>
      <c r="K91" s="57" t="e">
        <f>(_xlfn.XLOOKUP('Summary Data'!$A91,'Round 1 Data'!$A$10:$A$143,'Round 1 Data'!K$10:K$144,0)+_xlfn.XLOOKUP('Summary Data'!$A91,'Round 2 Data'!$A$10:$A$146,'Round 2 Data'!K$10:K$146,0)+_xlfn.XLOOKUP('Summary Data'!$A91,'Round 3 Data'!$A$10:$A$145,'Round 3 Data'!K$10:K$145,0)+_xlfn.XLOOKUP('Summary Data'!$A91,'Round 4 Data'!$A$10:$A$147,'Round 4 Data'!K$10:K$147,0))/$D91</f>
        <v>#VALUE!</v>
      </c>
      <c r="L91" s="57" t="e">
        <f>(_xlfn.XLOOKUP('Summary Data'!$A91,'Round 1 Data'!$A$10:$A$143,'Round 1 Data'!L$10:L$144,0)+_xlfn.XLOOKUP('Summary Data'!$A91,'Round 2 Data'!$A$10:$A$146,'Round 2 Data'!L$10:L$146,0)+_xlfn.XLOOKUP('Summary Data'!$A91,'Round 3 Data'!$A$10:$A$145,'Round 3 Data'!L$10:L$145,0)+_xlfn.XLOOKUP('Summary Data'!$A91,'Round 4 Data'!$A$10:$A$147,'Round 4 Data'!L$10:L$147,0))/$D91</f>
        <v>#VALUE!</v>
      </c>
      <c r="M91" s="57" t="e">
        <f>(_xlfn.XLOOKUP('Summary Data'!$A91,'Round 1 Data'!$A$10:$A$143,'Round 1 Data'!M$10:M$144,0)+_xlfn.XLOOKUP('Summary Data'!$A91,'Round 2 Data'!$A$10:$A$146,'Round 2 Data'!M$10:M$146,0)+_xlfn.XLOOKUP('Summary Data'!$A91,'Round 3 Data'!$A$10:$A$145,'Round 3 Data'!M$10:M$145,0)+_xlfn.XLOOKUP('Summary Data'!$A91,'Round 4 Data'!$A$10:$A$147,'Round 4 Data'!M$10:M$147,0))/$D91</f>
        <v>#VALUE!</v>
      </c>
      <c r="N91" s="57" t="e">
        <f>(_xlfn.XLOOKUP('Summary Data'!$A91,'Round 1 Data'!$A$10:$A$143,'Round 1 Data'!N$10:N$144,0)+_xlfn.XLOOKUP('Summary Data'!$A91,'Round 2 Data'!$A$10:$A$146,'Round 2 Data'!N$10:N$146,0)+_xlfn.XLOOKUP('Summary Data'!$A91,'Round 3 Data'!$A$10:$A$145,'Round 3 Data'!N$10:N$145,0)+_xlfn.XLOOKUP('Summary Data'!$A91,'Round 4 Data'!$A$10:$A$147,'Round 4 Data'!N$10:N$147,0))/$D91</f>
        <v>#VALUE!</v>
      </c>
      <c r="O91" s="57" t="e">
        <f>(_xlfn.XLOOKUP('Summary Data'!$A91,'Round 1 Data'!$A$10:$A$143,'Round 1 Data'!O$10:O$144,0)+_xlfn.XLOOKUP('Summary Data'!$A91,'Round 2 Data'!$A$10:$A$146,'Round 2 Data'!O$10:O$146,0)+_xlfn.XLOOKUP('Summary Data'!$A91,'Round 3 Data'!$A$10:$A$145,'Round 3 Data'!O$10:O$145,0)+_xlfn.XLOOKUP('Summary Data'!$A91,'Round 4 Data'!$A$10:$A$147,'Round 4 Data'!O$10:O$147,0))/$D91</f>
        <v>#VALUE!</v>
      </c>
      <c r="P91" s="57" t="e">
        <f>(_xlfn.XLOOKUP('Summary Data'!$A91,'Round 1 Data'!$A$10:$A$143,'Round 1 Data'!P$10:P$144,0)+_xlfn.XLOOKUP('Summary Data'!$A91,'Round 2 Data'!$A$10:$A$146,'Round 2 Data'!P$10:P$146,0)+_xlfn.XLOOKUP('Summary Data'!$A91,'Round 3 Data'!$A$10:$A$145,'Round 3 Data'!P$10:P$145,0)+_xlfn.XLOOKUP('Summary Data'!$A91,'Round 4 Data'!$A$10:$A$147,'Round 4 Data'!P$10:P$147,0))/$D91</f>
        <v>#VALUE!</v>
      </c>
      <c r="Q91" s="57" t="e">
        <f>(_xlfn.XLOOKUP('Summary Data'!$A91,'Round 1 Data'!$A$10:$A$143,'Round 1 Data'!Q$10:Q$144,0)+_xlfn.XLOOKUP('Summary Data'!$A91,'Round 2 Data'!$A$10:$A$146,'Round 2 Data'!Q$10:Q$146,0)+_xlfn.XLOOKUP('Summary Data'!$A91,'Round 3 Data'!$A$10:$A$145,'Round 3 Data'!Q$10:Q$145,0)+_xlfn.XLOOKUP('Summary Data'!$A91,'Round 4 Data'!$A$10:$A$147,'Round 4 Data'!Q$10:Q$147,0))/$D91</f>
        <v>#VALUE!</v>
      </c>
      <c r="R91" s="57" t="e">
        <f>(_xlfn.XLOOKUP('Summary Data'!$A91,'Round 1 Data'!$A$10:$A$143,'Round 1 Data'!R$10:R$144,0)+_xlfn.XLOOKUP('Summary Data'!$A91,'Round 2 Data'!$A$10:$A$146,'Round 2 Data'!R$10:R$146,0)+_xlfn.XLOOKUP('Summary Data'!$A91,'Round 3 Data'!$A$10:$A$145,'Round 3 Data'!R$10:R$145,0)+_xlfn.XLOOKUP('Summary Data'!$A91,'Round 4 Data'!$A$10:$A$147,'Round 4 Data'!R$10:R$147,0))/$D91</f>
        <v>#VALUE!</v>
      </c>
      <c r="S91" s="57" t="e">
        <f>(_xlfn.XLOOKUP('Summary Data'!$A91,'Round 1 Data'!$A$10:$A$143,'Round 1 Data'!S$10:S$144,0)+_xlfn.XLOOKUP('Summary Data'!$A91,'Round 2 Data'!$A$10:$A$146,'Round 2 Data'!S$10:S$146,0)+_xlfn.XLOOKUP('Summary Data'!$A91,'Round 3 Data'!$A$10:$A$145,'Round 3 Data'!S$10:S$145,0)+_xlfn.XLOOKUP('Summary Data'!$A91,'Round 4 Data'!$A$10:$A$147,'Round 4 Data'!S$10:S$147,0))/$D91</f>
        <v>#VALUE!</v>
      </c>
      <c r="T91" s="62" t="e">
        <f>(_xlfn.XLOOKUP('Summary Data'!$A91,'Round 1 Data'!$A$10:$A$143,'Round 1 Data'!U$10:U$144,0)+_xlfn.XLOOKUP('Summary Data'!$A91,'Round 2 Data'!$A$10:$A$146,'Round 2 Data'!U$10:U$146,0)+_xlfn.XLOOKUP('Summary Data'!$A91,'Round 3 Data'!$A$10:$A$145,'Round 3 Data'!U$10:U$145,0)+_xlfn.XLOOKUP('Summary Data'!$A91,'Round 4 Data'!$A$10:$A$147,'Round 4 Data'!U$10:U$147,0))</f>
        <v>#VALUE!</v>
      </c>
    </row>
    <row r="92" spans="1:20" ht="16" thickBot="1" x14ac:dyDescent="0.25">
      <c r="A92" s="61" t="s">
        <v>54</v>
      </c>
      <c r="B92" t="s">
        <v>191</v>
      </c>
      <c r="C92" t="s">
        <v>200</v>
      </c>
      <c r="D92" t="e">
        <f>IF(_xlfn.XLOOKUP('Summary Data'!A92,'Round 1 Data'!$A$10:$A$143,'Round 1 Data'!$E$10:$E$144,0)=0,0,1)+IF(_xlfn.XLOOKUP('Summary Data'!A92,'Round 2 Data'!$A$10:$A$146,'Round 2 Data'!$E$10:$E$146,0)=0,0,1)+IF(_xlfn.XLOOKUP('Summary Data'!A92,'Round 3 Data'!$A$10:$A$145,'Round 3 Data'!$E$10:$E$145,0)=0,0,1)+IF(_xlfn.XLOOKUP('Summary Data'!A92,'Round 4 Data'!$A$10:$A$147,'Round 4 Data'!$E$10:$E$147,0)=0,0,1)</f>
        <v>#VALUE!</v>
      </c>
      <c r="E92" s="57" t="e">
        <f>(_xlfn.XLOOKUP('Summary Data'!$A92,'Round 1 Data'!$A$10:$A$143,'Round 1 Data'!E$10:E$144,0)+_xlfn.XLOOKUP('Summary Data'!$A92,'Round 2 Data'!$A$10:$A$146,'Round 2 Data'!E$10:E$146,0)+_xlfn.XLOOKUP('Summary Data'!$A92,'Round 3 Data'!$A$10:$A$145,'Round 3 Data'!E$10:E$145,0)+_xlfn.XLOOKUP('Summary Data'!$A92,'Round 4 Data'!$A$10:$A$147,'Round 4 Data'!E$10:E$147,0))/$D92</f>
        <v>#VALUE!</v>
      </c>
      <c r="F92" s="57" t="e">
        <f>(_xlfn.XLOOKUP('Summary Data'!$A92,'Round 1 Data'!$A$10:$A$143,'Round 1 Data'!F$10:F$144,0)+_xlfn.XLOOKUP('Summary Data'!$A92,'Round 2 Data'!$A$10:$A$146,'Round 2 Data'!F$10:F$146,0)+_xlfn.XLOOKUP('Summary Data'!$A92,'Round 3 Data'!$A$10:$A$145,'Round 3 Data'!F$10:F$145,0)+_xlfn.XLOOKUP('Summary Data'!$A92,'Round 4 Data'!$A$10:$A$147,'Round 4 Data'!F$10:F$147,0))/$D92</f>
        <v>#VALUE!</v>
      </c>
      <c r="G92" s="57" t="e">
        <f>(_xlfn.XLOOKUP('Summary Data'!$A92,'Round 1 Data'!$A$10:$A$143,'Round 1 Data'!G$10:G$144,0)+_xlfn.XLOOKUP('Summary Data'!$A92,'Round 2 Data'!$A$10:$A$146,'Round 2 Data'!G$10:G$146,0)+_xlfn.XLOOKUP('Summary Data'!$A92,'Round 3 Data'!$A$10:$A$145,'Round 3 Data'!G$10:G$145,0)+_xlfn.XLOOKUP('Summary Data'!$A92,'Round 4 Data'!$A$10:$A$147,'Round 4 Data'!G$10:G$147,0))/$D92</f>
        <v>#VALUE!</v>
      </c>
      <c r="H92" s="57" t="e">
        <f>(_xlfn.XLOOKUP('Summary Data'!$A92,'Round 1 Data'!$A$10:$A$143,'Round 1 Data'!H$10:H$144,0)+_xlfn.XLOOKUP('Summary Data'!$A92,'Round 2 Data'!$A$10:$A$146,'Round 2 Data'!H$10:H$146,0)+_xlfn.XLOOKUP('Summary Data'!$A92,'Round 3 Data'!$A$10:$A$145,'Round 3 Data'!H$10:H$145,0)+_xlfn.XLOOKUP('Summary Data'!$A92,'Round 4 Data'!$A$10:$A$147,'Round 4 Data'!H$10:H$147,0))/$D92</f>
        <v>#VALUE!</v>
      </c>
      <c r="I92" s="57" t="e">
        <f>(_xlfn.XLOOKUP('Summary Data'!$A92,'Round 1 Data'!$A$10:$A$143,'Round 1 Data'!I$10:I$144,0)+_xlfn.XLOOKUP('Summary Data'!$A92,'Round 2 Data'!$A$10:$A$146,'Round 2 Data'!I$10:I$146,0)+_xlfn.XLOOKUP('Summary Data'!$A92,'Round 3 Data'!$A$10:$A$145,'Round 3 Data'!I$10:I$145,0)+_xlfn.XLOOKUP('Summary Data'!$A92,'Round 4 Data'!$A$10:$A$147,'Round 4 Data'!I$10:I$147,0))/$D92</f>
        <v>#VALUE!</v>
      </c>
      <c r="J92" s="57" t="e">
        <f>(_xlfn.XLOOKUP('Summary Data'!$A92,'Round 1 Data'!$A$10:$A$143,'Round 1 Data'!J$10:J$144,0)+_xlfn.XLOOKUP('Summary Data'!$A92,'Round 2 Data'!$A$10:$A$146,'Round 2 Data'!J$10:J$146,0)+_xlfn.XLOOKUP('Summary Data'!$A92,'Round 3 Data'!$A$10:$A$145,'Round 3 Data'!J$10:J$145,0)+_xlfn.XLOOKUP('Summary Data'!$A92,'Round 4 Data'!$A$10:$A$147,'Round 4 Data'!J$10:J$147,0))/$D92</f>
        <v>#VALUE!</v>
      </c>
      <c r="K92" s="57" t="e">
        <f>(_xlfn.XLOOKUP('Summary Data'!$A92,'Round 1 Data'!$A$10:$A$143,'Round 1 Data'!K$10:K$144,0)+_xlfn.XLOOKUP('Summary Data'!$A92,'Round 2 Data'!$A$10:$A$146,'Round 2 Data'!K$10:K$146,0)+_xlfn.XLOOKUP('Summary Data'!$A92,'Round 3 Data'!$A$10:$A$145,'Round 3 Data'!K$10:K$145,0)+_xlfn.XLOOKUP('Summary Data'!$A92,'Round 4 Data'!$A$10:$A$147,'Round 4 Data'!K$10:K$147,0))/$D92</f>
        <v>#VALUE!</v>
      </c>
      <c r="L92" s="57" t="e">
        <f>(_xlfn.XLOOKUP('Summary Data'!$A92,'Round 1 Data'!$A$10:$A$143,'Round 1 Data'!L$10:L$144,0)+_xlfn.XLOOKUP('Summary Data'!$A92,'Round 2 Data'!$A$10:$A$146,'Round 2 Data'!L$10:L$146,0)+_xlfn.XLOOKUP('Summary Data'!$A92,'Round 3 Data'!$A$10:$A$145,'Round 3 Data'!L$10:L$145,0)+_xlfn.XLOOKUP('Summary Data'!$A92,'Round 4 Data'!$A$10:$A$147,'Round 4 Data'!L$10:L$147,0))/$D92</f>
        <v>#VALUE!</v>
      </c>
      <c r="M92" s="57" t="e">
        <f>(_xlfn.XLOOKUP('Summary Data'!$A92,'Round 1 Data'!$A$10:$A$143,'Round 1 Data'!M$10:M$144,0)+_xlfn.XLOOKUP('Summary Data'!$A92,'Round 2 Data'!$A$10:$A$146,'Round 2 Data'!M$10:M$146,0)+_xlfn.XLOOKUP('Summary Data'!$A92,'Round 3 Data'!$A$10:$A$145,'Round 3 Data'!M$10:M$145,0)+_xlfn.XLOOKUP('Summary Data'!$A92,'Round 4 Data'!$A$10:$A$147,'Round 4 Data'!M$10:M$147,0))/$D92</f>
        <v>#VALUE!</v>
      </c>
      <c r="N92" s="57" t="e">
        <f>(_xlfn.XLOOKUP('Summary Data'!$A92,'Round 1 Data'!$A$10:$A$143,'Round 1 Data'!N$10:N$144,0)+_xlfn.XLOOKUP('Summary Data'!$A92,'Round 2 Data'!$A$10:$A$146,'Round 2 Data'!N$10:N$146,0)+_xlfn.XLOOKUP('Summary Data'!$A92,'Round 3 Data'!$A$10:$A$145,'Round 3 Data'!N$10:N$145,0)+_xlfn.XLOOKUP('Summary Data'!$A92,'Round 4 Data'!$A$10:$A$147,'Round 4 Data'!N$10:N$147,0))/$D92</f>
        <v>#VALUE!</v>
      </c>
      <c r="O92" s="57" t="e">
        <f>(_xlfn.XLOOKUP('Summary Data'!$A92,'Round 1 Data'!$A$10:$A$143,'Round 1 Data'!O$10:O$144,0)+_xlfn.XLOOKUP('Summary Data'!$A92,'Round 2 Data'!$A$10:$A$146,'Round 2 Data'!O$10:O$146,0)+_xlfn.XLOOKUP('Summary Data'!$A92,'Round 3 Data'!$A$10:$A$145,'Round 3 Data'!O$10:O$145,0)+_xlfn.XLOOKUP('Summary Data'!$A92,'Round 4 Data'!$A$10:$A$147,'Round 4 Data'!O$10:O$147,0))/$D92</f>
        <v>#VALUE!</v>
      </c>
      <c r="P92" s="57" t="e">
        <f>(_xlfn.XLOOKUP('Summary Data'!$A92,'Round 1 Data'!$A$10:$A$143,'Round 1 Data'!P$10:P$144,0)+_xlfn.XLOOKUP('Summary Data'!$A92,'Round 2 Data'!$A$10:$A$146,'Round 2 Data'!P$10:P$146,0)+_xlfn.XLOOKUP('Summary Data'!$A92,'Round 3 Data'!$A$10:$A$145,'Round 3 Data'!P$10:P$145,0)+_xlfn.XLOOKUP('Summary Data'!$A92,'Round 4 Data'!$A$10:$A$147,'Round 4 Data'!P$10:P$147,0))/$D92</f>
        <v>#VALUE!</v>
      </c>
      <c r="Q92" s="57" t="e">
        <f>(_xlfn.XLOOKUP('Summary Data'!$A92,'Round 1 Data'!$A$10:$A$143,'Round 1 Data'!Q$10:Q$144,0)+_xlfn.XLOOKUP('Summary Data'!$A92,'Round 2 Data'!$A$10:$A$146,'Round 2 Data'!Q$10:Q$146,0)+_xlfn.XLOOKUP('Summary Data'!$A92,'Round 3 Data'!$A$10:$A$145,'Round 3 Data'!Q$10:Q$145,0)+_xlfn.XLOOKUP('Summary Data'!$A92,'Round 4 Data'!$A$10:$A$147,'Round 4 Data'!Q$10:Q$147,0))/$D92</f>
        <v>#VALUE!</v>
      </c>
      <c r="R92" s="57" t="e">
        <f>(_xlfn.XLOOKUP('Summary Data'!$A92,'Round 1 Data'!$A$10:$A$143,'Round 1 Data'!R$10:R$144,0)+_xlfn.XLOOKUP('Summary Data'!$A92,'Round 2 Data'!$A$10:$A$146,'Round 2 Data'!R$10:R$146,0)+_xlfn.XLOOKUP('Summary Data'!$A92,'Round 3 Data'!$A$10:$A$145,'Round 3 Data'!R$10:R$145,0)+_xlfn.XLOOKUP('Summary Data'!$A92,'Round 4 Data'!$A$10:$A$147,'Round 4 Data'!R$10:R$147,0))/$D92</f>
        <v>#VALUE!</v>
      </c>
      <c r="S92" s="57" t="e">
        <f>(_xlfn.XLOOKUP('Summary Data'!$A92,'Round 1 Data'!$A$10:$A$143,'Round 1 Data'!S$10:S$144,0)+_xlfn.XLOOKUP('Summary Data'!$A92,'Round 2 Data'!$A$10:$A$146,'Round 2 Data'!S$10:S$146,0)+_xlfn.XLOOKUP('Summary Data'!$A92,'Round 3 Data'!$A$10:$A$145,'Round 3 Data'!S$10:S$145,0)+_xlfn.XLOOKUP('Summary Data'!$A92,'Round 4 Data'!$A$10:$A$147,'Round 4 Data'!S$10:S$147,0))/$D92</f>
        <v>#VALUE!</v>
      </c>
      <c r="T92" s="62" t="e">
        <f>(_xlfn.XLOOKUP('Summary Data'!$A92,'Round 1 Data'!$A$10:$A$143,'Round 1 Data'!U$10:U$144,0)+_xlfn.XLOOKUP('Summary Data'!$A92,'Round 2 Data'!$A$10:$A$146,'Round 2 Data'!U$10:U$146,0)+_xlfn.XLOOKUP('Summary Data'!$A92,'Round 3 Data'!$A$10:$A$145,'Round 3 Data'!U$10:U$145,0)+_xlfn.XLOOKUP('Summary Data'!$A92,'Round 4 Data'!$A$10:$A$147,'Round 4 Data'!U$10:U$147,0))</f>
        <v>#VALUE!</v>
      </c>
    </row>
    <row r="93" spans="1:20" ht="16" thickBot="1" x14ac:dyDescent="0.25">
      <c r="A93" s="63" t="s">
        <v>55</v>
      </c>
      <c r="B93" t="s">
        <v>191</v>
      </c>
      <c r="C93" t="s">
        <v>201</v>
      </c>
      <c r="D93" t="e">
        <f>IF(_xlfn.XLOOKUP('Summary Data'!A93,'Round 1 Data'!$A$10:$A$143,'Round 1 Data'!$E$10:$E$144,0)=0,0,1)+IF(_xlfn.XLOOKUP('Summary Data'!A93,'Round 2 Data'!$A$10:$A$146,'Round 2 Data'!$E$10:$E$146,0)=0,0,1)+IF(_xlfn.XLOOKUP('Summary Data'!A93,'Round 3 Data'!$A$10:$A$145,'Round 3 Data'!$E$10:$E$145,0)=0,0,1)+IF(_xlfn.XLOOKUP('Summary Data'!A93,'Round 4 Data'!$A$10:$A$147,'Round 4 Data'!$E$10:$E$147,0)=0,0,1)</f>
        <v>#VALUE!</v>
      </c>
      <c r="E93" s="57" t="e">
        <f>(_xlfn.XLOOKUP('Summary Data'!$A93,'Round 1 Data'!$A$10:$A$143,'Round 1 Data'!E$10:E$144,0)+_xlfn.XLOOKUP('Summary Data'!$A93,'Round 2 Data'!$A$10:$A$146,'Round 2 Data'!E$10:E$146,0)+_xlfn.XLOOKUP('Summary Data'!$A93,'Round 3 Data'!$A$10:$A$145,'Round 3 Data'!E$10:E$145,0)+_xlfn.XLOOKUP('Summary Data'!$A93,'Round 4 Data'!$A$10:$A$147,'Round 4 Data'!E$10:E$147,0))/$D93</f>
        <v>#VALUE!</v>
      </c>
      <c r="F93" s="57" t="e">
        <f>(_xlfn.XLOOKUP('Summary Data'!$A93,'Round 1 Data'!$A$10:$A$143,'Round 1 Data'!F$10:F$144,0)+_xlfn.XLOOKUP('Summary Data'!$A93,'Round 2 Data'!$A$10:$A$146,'Round 2 Data'!F$10:F$146,0)+_xlfn.XLOOKUP('Summary Data'!$A93,'Round 3 Data'!$A$10:$A$145,'Round 3 Data'!F$10:F$145,0)+_xlfn.XLOOKUP('Summary Data'!$A93,'Round 4 Data'!$A$10:$A$147,'Round 4 Data'!F$10:F$147,0))/$D93</f>
        <v>#VALUE!</v>
      </c>
      <c r="G93" s="57" t="e">
        <f>(_xlfn.XLOOKUP('Summary Data'!$A93,'Round 1 Data'!$A$10:$A$143,'Round 1 Data'!G$10:G$144,0)+_xlfn.XLOOKUP('Summary Data'!$A93,'Round 2 Data'!$A$10:$A$146,'Round 2 Data'!G$10:G$146,0)+_xlfn.XLOOKUP('Summary Data'!$A93,'Round 3 Data'!$A$10:$A$145,'Round 3 Data'!G$10:G$145,0)+_xlfn.XLOOKUP('Summary Data'!$A93,'Round 4 Data'!$A$10:$A$147,'Round 4 Data'!G$10:G$147,0))/$D93</f>
        <v>#VALUE!</v>
      </c>
      <c r="H93" s="57" t="e">
        <f>(_xlfn.XLOOKUP('Summary Data'!$A93,'Round 1 Data'!$A$10:$A$143,'Round 1 Data'!H$10:H$144,0)+_xlfn.XLOOKUP('Summary Data'!$A93,'Round 2 Data'!$A$10:$A$146,'Round 2 Data'!H$10:H$146,0)+_xlfn.XLOOKUP('Summary Data'!$A93,'Round 3 Data'!$A$10:$A$145,'Round 3 Data'!H$10:H$145,0)+_xlfn.XLOOKUP('Summary Data'!$A93,'Round 4 Data'!$A$10:$A$147,'Round 4 Data'!H$10:H$147,0))/$D93</f>
        <v>#VALUE!</v>
      </c>
      <c r="I93" s="57" t="e">
        <f>(_xlfn.XLOOKUP('Summary Data'!$A93,'Round 1 Data'!$A$10:$A$143,'Round 1 Data'!I$10:I$144,0)+_xlfn.XLOOKUP('Summary Data'!$A93,'Round 2 Data'!$A$10:$A$146,'Round 2 Data'!I$10:I$146,0)+_xlfn.XLOOKUP('Summary Data'!$A93,'Round 3 Data'!$A$10:$A$145,'Round 3 Data'!I$10:I$145,0)+_xlfn.XLOOKUP('Summary Data'!$A93,'Round 4 Data'!$A$10:$A$147,'Round 4 Data'!I$10:I$147,0))/$D93</f>
        <v>#VALUE!</v>
      </c>
      <c r="J93" s="57" t="e">
        <f>(_xlfn.XLOOKUP('Summary Data'!$A93,'Round 1 Data'!$A$10:$A$143,'Round 1 Data'!J$10:J$144,0)+_xlfn.XLOOKUP('Summary Data'!$A93,'Round 2 Data'!$A$10:$A$146,'Round 2 Data'!J$10:J$146,0)+_xlfn.XLOOKUP('Summary Data'!$A93,'Round 3 Data'!$A$10:$A$145,'Round 3 Data'!J$10:J$145,0)+_xlfn.XLOOKUP('Summary Data'!$A93,'Round 4 Data'!$A$10:$A$147,'Round 4 Data'!J$10:J$147,0))/$D93</f>
        <v>#VALUE!</v>
      </c>
      <c r="K93" s="57" t="e">
        <f>(_xlfn.XLOOKUP('Summary Data'!$A93,'Round 1 Data'!$A$10:$A$143,'Round 1 Data'!K$10:K$144,0)+_xlfn.XLOOKUP('Summary Data'!$A93,'Round 2 Data'!$A$10:$A$146,'Round 2 Data'!K$10:K$146,0)+_xlfn.XLOOKUP('Summary Data'!$A93,'Round 3 Data'!$A$10:$A$145,'Round 3 Data'!K$10:K$145,0)+_xlfn.XLOOKUP('Summary Data'!$A93,'Round 4 Data'!$A$10:$A$147,'Round 4 Data'!K$10:K$147,0))/$D93</f>
        <v>#VALUE!</v>
      </c>
      <c r="L93" s="57" t="e">
        <f>(_xlfn.XLOOKUP('Summary Data'!$A93,'Round 1 Data'!$A$10:$A$143,'Round 1 Data'!L$10:L$144,0)+_xlfn.XLOOKUP('Summary Data'!$A93,'Round 2 Data'!$A$10:$A$146,'Round 2 Data'!L$10:L$146,0)+_xlfn.XLOOKUP('Summary Data'!$A93,'Round 3 Data'!$A$10:$A$145,'Round 3 Data'!L$10:L$145,0)+_xlfn.XLOOKUP('Summary Data'!$A93,'Round 4 Data'!$A$10:$A$147,'Round 4 Data'!L$10:L$147,0))/$D93</f>
        <v>#VALUE!</v>
      </c>
      <c r="M93" s="57" t="e">
        <f>(_xlfn.XLOOKUP('Summary Data'!$A93,'Round 1 Data'!$A$10:$A$143,'Round 1 Data'!M$10:M$144,0)+_xlfn.XLOOKUP('Summary Data'!$A93,'Round 2 Data'!$A$10:$A$146,'Round 2 Data'!M$10:M$146,0)+_xlfn.XLOOKUP('Summary Data'!$A93,'Round 3 Data'!$A$10:$A$145,'Round 3 Data'!M$10:M$145,0)+_xlfn.XLOOKUP('Summary Data'!$A93,'Round 4 Data'!$A$10:$A$147,'Round 4 Data'!M$10:M$147,0))/$D93</f>
        <v>#VALUE!</v>
      </c>
      <c r="N93" s="57" t="e">
        <f>(_xlfn.XLOOKUP('Summary Data'!$A93,'Round 1 Data'!$A$10:$A$143,'Round 1 Data'!N$10:N$144,0)+_xlfn.XLOOKUP('Summary Data'!$A93,'Round 2 Data'!$A$10:$A$146,'Round 2 Data'!N$10:N$146,0)+_xlfn.XLOOKUP('Summary Data'!$A93,'Round 3 Data'!$A$10:$A$145,'Round 3 Data'!N$10:N$145,0)+_xlfn.XLOOKUP('Summary Data'!$A93,'Round 4 Data'!$A$10:$A$147,'Round 4 Data'!N$10:N$147,0))/$D93</f>
        <v>#VALUE!</v>
      </c>
      <c r="O93" s="57" t="e">
        <f>(_xlfn.XLOOKUP('Summary Data'!$A93,'Round 1 Data'!$A$10:$A$143,'Round 1 Data'!O$10:O$144,0)+_xlfn.XLOOKUP('Summary Data'!$A93,'Round 2 Data'!$A$10:$A$146,'Round 2 Data'!O$10:O$146,0)+_xlfn.XLOOKUP('Summary Data'!$A93,'Round 3 Data'!$A$10:$A$145,'Round 3 Data'!O$10:O$145,0)+_xlfn.XLOOKUP('Summary Data'!$A93,'Round 4 Data'!$A$10:$A$147,'Round 4 Data'!O$10:O$147,0))/$D93</f>
        <v>#VALUE!</v>
      </c>
      <c r="P93" s="57" t="e">
        <f>(_xlfn.XLOOKUP('Summary Data'!$A93,'Round 1 Data'!$A$10:$A$143,'Round 1 Data'!P$10:P$144,0)+_xlfn.XLOOKUP('Summary Data'!$A93,'Round 2 Data'!$A$10:$A$146,'Round 2 Data'!P$10:P$146,0)+_xlfn.XLOOKUP('Summary Data'!$A93,'Round 3 Data'!$A$10:$A$145,'Round 3 Data'!P$10:P$145,0)+_xlfn.XLOOKUP('Summary Data'!$A93,'Round 4 Data'!$A$10:$A$147,'Round 4 Data'!P$10:P$147,0))/$D93</f>
        <v>#VALUE!</v>
      </c>
      <c r="Q93" s="57" t="e">
        <f>(_xlfn.XLOOKUP('Summary Data'!$A93,'Round 1 Data'!$A$10:$A$143,'Round 1 Data'!Q$10:Q$144,0)+_xlfn.XLOOKUP('Summary Data'!$A93,'Round 2 Data'!$A$10:$A$146,'Round 2 Data'!Q$10:Q$146,0)+_xlfn.XLOOKUP('Summary Data'!$A93,'Round 3 Data'!$A$10:$A$145,'Round 3 Data'!Q$10:Q$145,0)+_xlfn.XLOOKUP('Summary Data'!$A93,'Round 4 Data'!$A$10:$A$147,'Round 4 Data'!Q$10:Q$147,0))/$D93</f>
        <v>#VALUE!</v>
      </c>
      <c r="R93" s="57" t="e">
        <f>(_xlfn.XLOOKUP('Summary Data'!$A93,'Round 1 Data'!$A$10:$A$143,'Round 1 Data'!R$10:R$144,0)+_xlfn.XLOOKUP('Summary Data'!$A93,'Round 2 Data'!$A$10:$A$146,'Round 2 Data'!R$10:R$146,0)+_xlfn.XLOOKUP('Summary Data'!$A93,'Round 3 Data'!$A$10:$A$145,'Round 3 Data'!R$10:R$145,0)+_xlfn.XLOOKUP('Summary Data'!$A93,'Round 4 Data'!$A$10:$A$147,'Round 4 Data'!R$10:R$147,0))/$D93</f>
        <v>#VALUE!</v>
      </c>
      <c r="S93" s="57" t="e">
        <f>(_xlfn.XLOOKUP('Summary Data'!$A93,'Round 1 Data'!$A$10:$A$143,'Round 1 Data'!S$10:S$144,0)+_xlfn.XLOOKUP('Summary Data'!$A93,'Round 2 Data'!$A$10:$A$146,'Round 2 Data'!S$10:S$146,0)+_xlfn.XLOOKUP('Summary Data'!$A93,'Round 3 Data'!$A$10:$A$145,'Round 3 Data'!S$10:S$145,0)+_xlfn.XLOOKUP('Summary Data'!$A93,'Round 4 Data'!$A$10:$A$147,'Round 4 Data'!S$10:S$147,0))/$D93</f>
        <v>#VALUE!</v>
      </c>
      <c r="T93" s="62" t="e">
        <f>(_xlfn.XLOOKUP('Summary Data'!$A93,'Round 1 Data'!$A$10:$A$143,'Round 1 Data'!U$10:U$144,0)+_xlfn.XLOOKUP('Summary Data'!$A93,'Round 2 Data'!$A$10:$A$146,'Round 2 Data'!U$10:U$146,0)+_xlfn.XLOOKUP('Summary Data'!$A93,'Round 3 Data'!$A$10:$A$145,'Round 3 Data'!U$10:U$145,0)+_xlfn.XLOOKUP('Summary Data'!$A93,'Round 4 Data'!$A$10:$A$147,'Round 4 Data'!U$10:U$147,0))</f>
        <v>#VALUE!</v>
      </c>
    </row>
    <row r="94" spans="1:20" ht="16" thickBot="1" x14ac:dyDescent="0.25">
      <c r="A94" s="61" t="s">
        <v>56</v>
      </c>
      <c r="B94" t="s">
        <v>191</v>
      </c>
      <c r="C94" t="s">
        <v>201</v>
      </c>
      <c r="D94" t="e">
        <f>IF(_xlfn.XLOOKUP('Summary Data'!A94,'Round 1 Data'!$A$10:$A$143,'Round 1 Data'!$E$10:$E$144,0)=0,0,1)+IF(_xlfn.XLOOKUP('Summary Data'!A94,'Round 2 Data'!$A$10:$A$146,'Round 2 Data'!$E$10:$E$146,0)=0,0,1)+IF(_xlfn.XLOOKUP('Summary Data'!A94,'Round 3 Data'!$A$10:$A$145,'Round 3 Data'!$E$10:$E$145,0)=0,0,1)+IF(_xlfn.XLOOKUP('Summary Data'!A94,'Round 4 Data'!$A$10:$A$147,'Round 4 Data'!$E$10:$E$147,0)=0,0,1)</f>
        <v>#VALUE!</v>
      </c>
      <c r="E94" s="57" t="e">
        <f>(_xlfn.XLOOKUP('Summary Data'!$A94,'Round 1 Data'!$A$10:$A$143,'Round 1 Data'!E$10:E$144,0)+_xlfn.XLOOKUP('Summary Data'!$A94,'Round 2 Data'!$A$10:$A$146,'Round 2 Data'!E$10:E$146,0)+_xlfn.XLOOKUP('Summary Data'!$A94,'Round 3 Data'!$A$10:$A$145,'Round 3 Data'!E$10:E$145,0)+_xlfn.XLOOKUP('Summary Data'!$A94,'Round 4 Data'!$A$10:$A$147,'Round 4 Data'!E$10:E$147,0))/$D94</f>
        <v>#VALUE!</v>
      </c>
      <c r="F94" s="57" t="e">
        <f>(_xlfn.XLOOKUP('Summary Data'!$A94,'Round 1 Data'!$A$10:$A$143,'Round 1 Data'!F$10:F$144,0)+_xlfn.XLOOKUP('Summary Data'!$A94,'Round 2 Data'!$A$10:$A$146,'Round 2 Data'!F$10:F$146,0)+_xlfn.XLOOKUP('Summary Data'!$A94,'Round 3 Data'!$A$10:$A$145,'Round 3 Data'!F$10:F$145,0)+_xlfn.XLOOKUP('Summary Data'!$A94,'Round 4 Data'!$A$10:$A$147,'Round 4 Data'!F$10:F$147,0))/$D94</f>
        <v>#VALUE!</v>
      </c>
      <c r="G94" s="57" t="e">
        <f>(_xlfn.XLOOKUP('Summary Data'!$A94,'Round 1 Data'!$A$10:$A$143,'Round 1 Data'!G$10:G$144,0)+_xlfn.XLOOKUP('Summary Data'!$A94,'Round 2 Data'!$A$10:$A$146,'Round 2 Data'!G$10:G$146,0)+_xlfn.XLOOKUP('Summary Data'!$A94,'Round 3 Data'!$A$10:$A$145,'Round 3 Data'!G$10:G$145,0)+_xlfn.XLOOKUP('Summary Data'!$A94,'Round 4 Data'!$A$10:$A$147,'Round 4 Data'!G$10:G$147,0))/$D94</f>
        <v>#VALUE!</v>
      </c>
      <c r="H94" s="57" t="e">
        <f>(_xlfn.XLOOKUP('Summary Data'!$A94,'Round 1 Data'!$A$10:$A$143,'Round 1 Data'!H$10:H$144,0)+_xlfn.XLOOKUP('Summary Data'!$A94,'Round 2 Data'!$A$10:$A$146,'Round 2 Data'!H$10:H$146,0)+_xlfn.XLOOKUP('Summary Data'!$A94,'Round 3 Data'!$A$10:$A$145,'Round 3 Data'!H$10:H$145,0)+_xlfn.XLOOKUP('Summary Data'!$A94,'Round 4 Data'!$A$10:$A$147,'Round 4 Data'!H$10:H$147,0))/$D94</f>
        <v>#VALUE!</v>
      </c>
      <c r="I94" s="57" t="e">
        <f>(_xlfn.XLOOKUP('Summary Data'!$A94,'Round 1 Data'!$A$10:$A$143,'Round 1 Data'!I$10:I$144,0)+_xlfn.XLOOKUP('Summary Data'!$A94,'Round 2 Data'!$A$10:$A$146,'Round 2 Data'!I$10:I$146,0)+_xlfn.XLOOKUP('Summary Data'!$A94,'Round 3 Data'!$A$10:$A$145,'Round 3 Data'!I$10:I$145,0)+_xlfn.XLOOKUP('Summary Data'!$A94,'Round 4 Data'!$A$10:$A$147,'Round 4 Data'!I$10:I$147,0))/$D94</f>
        <v>#VALUE!</v>
      </c>
      <c r="J94" s="57" t="e">
        <f>(_xlfn.XLOOKUP('Summary Data'!$A94,'Round 1 Data'!$A$10:$A$143,'Round 1 Data'!J$10:J$144,0)+_xlfn.XLOOKUP('Summary Data'!$A94,'Round 2 Data'!$A$10:$A$146,'Round 2 Data'!J$10:J$146,0)+_xlfn.XLOOKUP('Summary Data'!$A94,'Round 3 Data'!$A$10:$A$145,'Round 3 Data'!J$10:J$145,0)+_xlfn.XLOOKUP('Summary Data'!$A94,'Round 4 Data'!$A$10:$A$147,'Round 4 Data'!J$10:J$147,0))/$D94</f>
        <v>#VALUE!</v>
      </c>
      <c r="K94" s="57" t="e">
        <f>(_xlfn.XLOOKUP('Summary Data'!$A94,'Round 1 Data'!$A$10:$A$143,'Round 1 Data'!K$10:K$144,0)+_xlfn.XLOOKUP('Summary Data'!$A94,'Round 2 Data'!$A$10:$A$146,'Round 2 Data'!K$10:K$146,0)+_xlfn.XLOOKUP('Summary Data'!$A94,'Round 3 Data'!$A$10:$A$145,'Round 3 Data'!K$10:K$145,0)+_xlfn.XLOOKUP('Summary Data'!$A94,'Round 4 Data'!$A$10:$A$147,'Round 4 Data'!K$10:K$147,0))/$D94</f>
        <v>#VALUE!</v>
      </c>
      <c r="L94" s="57" t="e">
        <f>(_xlfn.XLOOKUP('Summary Data'!$A94,'Round 1 Data'!$A$10:$A$143,'Round 1 Data'!L$10:L$144,0)+_xlfn.XLOOKUP('Summary Data'!$A94,'Round 2 Data'!$A$10:$A$146,'Round 2 Data'!L$10:L$146,0)+_xlfn.XLOOKUP('Summary Data'!$A94,'Round 3 Data'!$A$10:$A$145,'Round 3 Data'!L$10:L$145,0)+_xlfn.XLOOKUP('Summary Data'!$A94,'Round 4 Data'!$A$10:$A$147,'Round 4 Data'!L$10:L$147,0))/$D94</f>
        <v>#VALUE!</v>
      </c>
      <c r="M94" s="57" t="e">
        <f>(_xlfn.XLOOKUP('Summary Data'!$A94,'Round 1 Data'!$A$10:$A$143,'Round 1 Data'!M$10:M$144,0)+_xlfn.XLOOKUP('Summary Data'!$A94,'Round 2 Data'!$A$10:$A$146,'Round 2 Data'!M$10:M$146,0)+_xlfn.XLOOKUP('Summary Data'!$A94,'Round 3 Data'!$A$10:$A$145,'Round 3 Data'!M$10:M$145,0)+_xlfn.XLOOKUP('Summary Data'!$A94,'Round 4 Data'!$A$10:$A$147,'Round 4 Data'!M$10:M$147,0))/$D94</f>
        <v>#VALUE!</v>
      </c>
      <c r="N94" s="57" t="e">
        <f>(_xlfn.XLOOKUP('Summary Data'!$A94,'Round 1 Data'!$A$10:$A$143,'Round 1 Data'!N$10:N$144,0)+_xlfn.XLOOKUP('Summary Data'!$A94,'Round 2 Data'!$A$10:$A$146,'Round 2 Data'!N$10:N$146,0)+_xlfn.XLOOKUP('Summary Data'!$A94,'Round 3 Data'!$A$10:$A$145,'Round 3 Data'!N$10:N$145,0)+_xlfn.XLOOKUP('Summary Data'!$A94,'Round 4 Data'!$A$10:$A$147,'Round 4 Data'!N$10:N$147,0))/$D94</f>
        <v>#VALUE!</v>
      </c>
      <c r="O94" s="57" t="e">
        <f>(_xlfn.XLOOKUP('Summary Data'!$A94,'Round 1 Data'!$A$10:$A$143,'Round 1 Data'!O$10:O$144,0)+_xlfn.XLOOKUP('Summary Data'!$A94,'Round 2 Data'!$A$10:$A$146,'Round 2 Data'!O$10:O$146,0)+_xlfn.XLOOKUP('Summary Data'!$A94,'Round 3 Data'!$A$10:$A$145,'Round 3 Data'!O$10:O$145,0)+_xlfn.XLOOKUP('Summary Data'!$A94,'Round 4 Data'!$A$10:$A$147,'Round 4 Data'!O$10:O$147,0))/$D94</f>
        <v>#VALUE!</v>
      </c>
      <c r="P94" s="57" t="e">
        <f>(_xlfn.XLOOKUP('Summary Data'!$A94,'Round 1 Data'!$A$10:$A$143,'Round 1 Data'!P$10:P$144,0)+_xlfn.XLOOKUP('Summary Data'!$A94,'Round 2 Data'!$A$10:$A$146,'Round 2 Data'!P$10:P$146,0)+_xlfn.XLOOKUP('Summary Data'!$A94,'Round 3 Data'!$A$10:$A$145,'Round 3 Data'!P$10:P$145,0)+_xlfn.XLOOKUP('Summary Data'!$A94,'Round 4 Data'!$A$10:$A$147,'Round 4 Data'!P$10:P$147,0))/$D94</f>
        <v>#VALUE!</v>
      </c>
      <c r="Q94" s="57" t="e">
        <f>(_xlfn.XLOOKUP('Summary Data'!$A94,'Round 1 Data'!$A$10:$A$143,'Round 1 Data'!Q$10:Q$144,0)+_xlfn.XLOOKUP('Summary Data'!$A94,'Round 2 Data'!$A$10:$A$146,'Round 2 Data'!Q$10:Q$146,0)+_xlfn.XLOOKUP('Summary Data'!$A94,'Round 3 Data'!$A$10:$A$145,'Round 3 Data'!Q$10:Q$145,0)+_xlfn.XLOOKUP('Summary Data'!$A94,'Round 4 Data'!$A$10:$A$147,'Round 4 Data'!Q$10:Q$147,0))/$D94</f>
        <v>#VALUE!</v>
      </c>
      <c r="R94" s="57" t="e">
        <f>(_xlfn.XLOOKUP('Summary Data'!$A94,'Round 1 Data'!$A$10:$A$143,'Round 1 Data'!R$10:R$144,0)+_xlfn.XLOOKUP('Summary Data'!$A94,'Round 2 Data'!$A$10:$A$146,'Round 2 Data'!R$10:R$146,0)+_xlfn.XLOOKUP('Summary Data'!$A94,'Round 3 Data'!$A$10:$A$145,'Round 3 Data'!R$10:R$145,0)+_xlfn.XLOOKUP('Summary Data'!$A94,'Round 4 Data'!$A$10:$A$147,'Round 4 Data'!R$10:R$147,0))/$D94</f>
        <v>#VALUE!</v>
      </c>
      <c r="S94" s="57" t="e">
        <f>(_xlfn.XLOOKUP('Summary Data'!$A94,'Round 1 Data'!$A$10:$A$143,'Round 1 Data'!S$10:S$144,0)+_xlfn.XLOOKUP('Summary Data'!$A94,'Round 2 Data'!$A$10:$A$146,'Round 2 Data'!S$10:S$146,0)+_xlfn.XLOOKUP('Summary Data'!$A94,'Round 3 Data'!$A$10:$A$145,'Round 3 Data'!S$10:S$145,0)+_xlfn.XLOOKUP('Summary Data'!$A94,'Round 4 Data'!$A$10:$A$147,'Round 4 Data'!S$10:S$147,0))/$D94</f>
        <v>#VALUE!</v>
      </c>
      <c r="T94" s="62" t="e">
        <f>(_xlfn.XLOOKUP('Summary Data'!$A94,'Round 1 Data'!$A$10:$A$143,'Round 1 Data'!U$10:U$144,0)+_xlfn.XLOOKUP('Summary Data'!$A94,'Round 2 Data'!$A$10:$A$146,'Round 2 Data'!U$10:U$146,0)+_xlfn.XLOOKUP('Summary Data'!$A94,'Round 3 Data'!$A$10:$A$145,'Round 3 Data'!U$10:U$145,0)+_xlfn.XLOOKUP('Summary Data'!$A94,'Round 4 Data'!$A$10:$A$147,'Round 4 Data'!U$10:U$147,0))</f>
        <v>#VALUE!</v>
      </c>
    </row>
    <row r="95" spans="1:20" ht="16" thickBot="1" x14ac:dyDescent="0.25">
      <c r="A95" s="61" t="s">
        <v>103</v>
      </c>
      <c r="B95" t="s">
        <v>192</v>
      </c>
      <c r="C95" t="s">
        <v>194</v>
      </c>
      <c r="D95" t="e">
        <f>IF(_xlfn.XLOOKUP('Summary Data'!A95,'Round 1 Data'!$A$10:$A$143,'Round 1 Data'!$E$10:$E$144,0)=0,0,1)+IF(_xlfn.XLOOKUP('Summary Data'!A95,'Round 2 Data'!$A$10:$A$146,'Round 2 Data'!$E$10:$E$146,0)=0,0,1)+IF(_xlfn.XLOOKUP('Summary Data'!A95,'Round 3 Data'!$A$10:$A$145,'Round 3 Data'!$E$10:$E$145,0)=0,0,1)+IF(_xlfn.XLOOKUP('Summary Data'!A95,'Round 4 Data'!$A$10:$A$147,'Round 4 Data'!$E$10:$E$147,0)=0,0,1)</f>
        <v>#VALUE!</v>
      </c>
      <c r="E95" s="57" t="e">
        <f>(_xlfn.XLOOKUP('Summary Data'!$A95,'Round 1 Data'!$A$10:$A$143,'Round 1 Data'!E$10:E$144,0)+_xlfn.XLOOKUP('Summary Data'!$A95,'Round 2 Data'!$A$10:$A$146,'Round 2 Data'!E$10:E$146,0)+_xlfn.XLOOKUP('Summary Data'!$A95,'Round 3 Data'!$A$10:$A$145,'Round 3 Data'!E$10:E$145,0)+_xlfn.XLOOKUP('Summary Data'!$A95,'Round 4 Data'!$A$10:$A$147,'Round 4 Data'!E$10:E$147,0))/$D95</f>
        <v>#VALUE!</v>
      </c>
      <c r="F95" s="57" t="e">
        <f>(_xlfn.XLOOKUP('Summary Data'!$A95,'Round 1 Data'!$A$10:$A$143,'Round 1 Data'!F$10:F$144,0)+_xlfn.XLOOKUP('Summary Data'!$A95,'Round 2 Data'!$A$10:$A$146,'Round 2 Data'!F$10:F$146,0)+_xlfn.XLOOKUP('Summary Data'!$A95,'Round 3 Data'!$A$10:$A$145,'Round 3 Data'!F$10:F$145,0)+_xlfn.XLOOKUP('Summary Data'!$A95,'Round 4 Data'!$A$10:$A$147,'Round 4 Data'!F$10:F$147,0))/$D95</f>
        <v>#VALUE!</v>
      </c>
      <c r="G95" s="57" t="e">
        <f>(_xlfn.XLOOKUP('Summary Data'!$A95,'Round 1 Data'!$A$10:$A$143,'Round 1 Data'!G$10:G$144,0)+_xlfn.XLOOKUP('Summary Data'!$A95,'Round 2 Data'!$A$10:$A$146,'Round 2 Data'!G$10:G$146,0)+_xlfn.XLOOKUP('Summary Data'!$A95,'Round 3 Data'!$A$10:$A$145,'Round 3 Data'!G$10:G$145,0)+_xlfn.XLOOKUP('Summary Data'!$A95,'Round 4 Data'!$A$10:$A$147,'Round 4 Data'!G$10:G$147,0))/$D95</f>
        <v>#VALUE!</v>
      </c>
      <c r="H95" s="57" t="e">
        <f>(_xlfn.XLOOKUP('Summary Data'!$A95,'Round 1 Data'!$A$10:$A$143,'Round 1 Data'!H$10:H$144,0)+_xlfn.XLOOKUP('Summary Data'!$A95,'Round 2 Data'!$A$10:$A$146,'Round 2 Data'!H$10:H$146,0)+_xlfn.XLOOKUP('Summary Data'!$A95,'Round 3 Data'!$A$10:$A$145,'Round 3 Data'!H$10:H$145,0)+_xlfn.XLOOKUP('Summary Data'!$A95,'Round 4 Data'!$A$10:$A$147,'Round 4 Data'!H$10:H$147,0))/$D95</f>
        <v>#VALUE!</v>
      </c>
      <c r="I95" s="57" t="e">
        <f>(_xlfn.XLOOKUP('Summary Data'!$A95,'Round 1 Data'!$A$10:$A$143,'Round 1 Data'!I$10:I$144,0)+_xlfn.XLOOKUP('Summary Data'!$A95,'Round 2 Data'!$A$10:$A$146,'Round 2 Data'!I$10:I$146,0)+_xlfn.XLOOKUP('Summary Data'!$A95,'Round 3 Data'!$A$10:$A$145,'Round 3 Data'!I$10:I$145,0)+_xlfn.XLOOKUP('Summary Data'!$A95,'Round 4 Data'!$A$10:$A$147,'Round 4 Data'!I$10:I$147,0))/$D95</f>
        <v>#VALUE!</v>
      </c>
      <c r="J95" s="57" t="e">
        <f>(_xlfn.XLOOKUP('Summary Data'!$A95,'Round 1 Data'!$A$10:$A$143,'Round 1 Data'!J$10:J$144,0)+_xlfn.XLOOKUP('Summary Data'!$A95,'Round 2 Data'!$A$10:$A$146,'Round 2 Data'!J$10:J$146,0)+_xlfn.XLOOKUP('Summary Data'!$A95,'Round 3 Data'!$A$10:$A$145,'Round 3 Data'!J$10:J$145,0)+_xlfn.XLOOKUP('Summary Data'!$A95,'Round 4 Data'!$A$10:$A$147,'Round 4 Data'!J$10:J$147,0))/$D95</f>
        <v>#VALUE!</v>
      </c>
      <c r="K95" s="57" t="e">
        <f>(_xlfn.XLOOKUP('Summary Data'!$A95,'Round 1 Data'!$A$10:$A$143,'Round 1 Data'!K$10:K$144,0)+_xlfn.XLOOKUP('Summary Data'!$A95,'Round 2 Data'!$A$10:$A$146,'Round 2 Data'!K$10:K$146,0)+_xlfn.XLOOKUP('Summary Data'!$A95,'Round 3 Data'!$A$10:$A$145,'Round 3 Data'!K$10:K$145,0)+_xlfn.XLOOKUP('Summary Data'!$A95,'Round 4 Data'!$A$10:$A$147,'Round 4 Data'!K$10:K$147,0))/$D95</f>
        <v>#VALUE!</v>
      </c>
      <c r="L95" s="57" t="e">
        <f>(_xlfn.XLOOKUP('Summary Data'!$A95,'Round 1 Data'!$A$10:$A$143,'Round 1 Data'!L$10:L$144,0)+_xlfn.XLOOKUP('Summary Data'!$A95,'Round 2 Data'!$A$10:$A$146,'Round 2 Data'!L$10:L$146,0)+_xlfn.XLOOKUP('Summary Data'!$A95,'Round 3 Data'!$A$10:$A$145,'Round 3 Data'!L$10:L$145,0)+_xlfn.XLOOKUP('Summary Data'!$A95,'Round 4 Data'!$A$10:$A$147,'Round 4 Data'!L$10:L$147,0))/$D95</f>
        <v>#VALUE!</v>
      </c>
      <c r="M95" s="57" t="e">
        <f>(_xlfn.XLOOKUP('Summary Data'!$A95,'Round 1 Data'!$A$10:$A$143,'Round 1 Data'!M$10:M$144,0)+_xlfn.XLOOKUP('Summary Data'!$A95,'Round 2 Data'!$A$10:$A$146,'Round 2 Data'!M$10:M$146,0)+_xlfn.XLOOKUP('Summary Data'!$A95,'Round 3 Data'!$A$10:$A$145,'Round 3 Data'!M$10:M$145,0)+_xlfn.XLOOKUP('Summary Data'!$A95,'Round 4 Data'!$A$10:$A$147,'Round 4 Data'!M$10:M$147,0))/$D95</f>
        <v>#VALUE!</v>
      </c>
      <c r="N95" s="57" t="e">
        <f>(_xlfn.XLOOKUP('Summary Data'!$A95,'Round 1 Data'!$A$10:$A$143,'Round 1 Data'!N$10:N$144,0)+_xlfn.XLOOKUP('Summary Data'!$A95,'Round 2 Data'!$A$10:$A$146,'Round 2 Data'!N$10:N$146,0)+_xlfn.XLOOKUP('Summary Data'!$A95,'Round 3 Data'!$A$10:$A$145,'Round 3 Data'!N$10:N$145,0)+_xlfn.XLOOKUP('Summary Data'!$A95,'Round 4 Data'!$A$10:$A$147,'Round 4 Data'!N$10:N$147,0))/$D95</f>
        <v>#VALUE!</v>
      </c>
      <c r="O95" s="57" t="e">
        <f>(_xlfn.XLOOKUP('Summary Data'!$A95,'Round 1 Data'!$A$10:$A$143,'Round 1 Data'!O$10:O$144,0)+_xlfn.XLOOKUP('Summary Data'!$A95,'Round 2 Data'!$A$10:$A$146,'Round 2 Data'!O$10:O$146,0)+_xlfn.XLOOKUP('Summary Data'!$A95,'Round 3 Data'!$A$10:$A$145,'Round 3 Data'!O$10:O$145,0)+_xlfn.XLOOKUP('Summary Data'!$A95,'Round 4 Data'!$A$10:$A$147,'Round 4 Data'!O$10:O$147,0))/$D95</f>
        <v>#VALUE!</v>
      </c>
      <c r="P95" s="57" t="e">
        <f>(_xlfn.XLOOKUP('Summary Data'!$A95,'Round 1 Data'!$A$10:$A$143,'Round 1 Data'!P$10:P$144,0)+_xlfn.XLOOKUP('Summary Data'!$A95,'Round 2 Data'!$A$10:$A$146,'Round 2 Data'!P$10:P$146,0)+_xlfn.XLOOKUP('Summary Data'!$A95,'Round 3 Data'!$A$10:$A$145,'Round 3 Data'!P$10:P$145,0)+_xlfn.XLOOKUP('Summary Data'!$A95,'Round 4 Data'!$A$10:$A$147,'Round 4 Data'!P$10:P$147,0))/$D95</f>
        <v>#VALUE!</v>
      </c>
      <c r="Q95" s="57" t="e">
        <f>(_xlfn.XLOOKUP('Summary Data'!$A95,'Round 1 Data'!$A$10:$A$143,'Round 1 Data'!Q$10:Q$144,0)+_xlfn.XLOOKUP('Summary Data'!$A95,'Round 2 Data'!$A$10:$A$146,'Round 2 Data'!Q$10:Q$146,0)+_xlfn.XLOOKUP('Summary Data'!$A95,'Round 3 Data'!$A$10:$A$145,'Round 3 Data'!Q$10:Q$145,0)+_xlfn.XLOOKUP('Summary Data'!$A95,'Round 4 Data'!$A$10:$A$147,'Round 4 Data'!Q$10:Q$147,0))/$D95</f>
        <v>#VALUE!</v>
      </c>
      <c r="R95" s="57" t="e">
        <f>(_xlfn.XLOOKUP('Summary Data'!$A95,'Round 1 Data'!$A$10:$A$143,'Round 1 Data'!R$10:R$144,0)+_xlfn.XLOOKUP('Summary Data'!$A95,'Round 2 Data'!$A$10:$A$146,'Round 2 Data'!R$10:R$146,0)+_xlfn.XLOOKUP('Summary Data'!$A95,'Round 3 Data'!$A$10:$A$145,'Round 3 Data'!R$10:R$145,0)+_xlfn.XLOOKUP('Summary Data'!$A95,'Round 4 Data'!$A$10:$A$147,'Round 4 Data'!R$10:R$147,0))/$D95</f>
        <v>#VALUE!</v>
      </c>
      <c r="S95" s="57" t="e">
        <f>(_xlfn.XLOOKUP('Summary Data'!$A95,'Round 1 Data'!$A$10:$A$143,'Round 1 Data'!S$10:S$144,0)+_xlfn.XLOOKUP('Summary Data'!$A95,'Round 2 Data'!$A$10:$A$146,'Round 2 Data'!S$10:S$146,0)+_xlfn.XLOOKUP('Summary Data'!$A95,'Round 3 Data'!$A$10:$A$145,'Round 3 Data'!S$10:S$145,0)+_xlfn.XLOOKUP('Summary Data'!$A95,'Round 4 Data'!$A$10:$A$147,'Round 4 Data'!S$10:S$147,0))/$D95</f>
        <v>#VALUE!</v>
      </c>
      <c r="T95" s="62" t="e">
        <f>(_xlfn.XLOOKUP('Summary Data'!$A95,'Round 1 Data'!$A$10:$A$143,'Round 1 Data'!U$10:U$144,0)+_xlfn.XLOOKUP('Summary Data'!$A95,'Round 2 Data'!$A$10:$A$146,'Round 2 Data'!U$10:U$146,0)+_xlfn.XLOOKUP('Summary Data'!$A95,'Round 3 Data'!$A$10:$A$145,'Round 3 Data'!U$10:U$145,0)+_xlfn.XLOOKUP('Summary Data'!$A95,'Round 4 Data'!$A$10:$A$147,'Round 4 Data'!U$10:U$147,0))</f>
        <v>#VALUE!</v>
      </c>
    </row>
    <row r="96" spans="1:20" ht="16" thickBot="1" x14ac:dyDescent="0.25">
      <c r="A96" s="63" t="s">
        <v>104</v>
      </c>
      <c r="B96" t="s">
        <v>192</v>
      </c>
      <c r="C96" t="s">
        <v>194</v>
      </c>
      <c r="D96" t="e">
        <f>IF(_xlfn.XLOOKUP('Summary Data'!A96,'Round 1 Data'!$A$10:$A$143,'Round 1 Data'!$E$10:$E$144,0)=0,0,1)+IF(_xlfn.XLOOKUP('Summary Data'!A96,'Round 2 Data'!$A$10:$A$146,'Round 2 Data'!$E$10:$E$146,0)=0,0,1)+IF(_xlfn.XLOOKUP('Summary Data'!A96,'Round 3 Data'!$A$10:$A$145,'Round 3 Data'!$E$10:$E$145,0)=0,0,1)+IF(_xlfn.XLOOKUP('Summary Data'!A96,'Round 4 Data'!$A$10:$A$147,'Round 4 Data'!$E$10:$E$147,0)=0,0,1)</f>
        <v>#VALUE!</v>
      </c>
      <c r="E96" s="57" t="e">
        <f>(_xlfn.XLOOKUP('Summary Data'!$A96,'Round 1 Data'!$A$10:$A$143,'Round 1 Data'!E$10:E$144,0)+_xlfn.XLOOKUP('Summary Data'!$A96,'Round 2 Data'!$A$10:$A$146,'Round 2 Data'!E$10:E$146,0)+_xlfn.XLOOKUP('Summary Data'!$A96,'Round 3 Data'!$A$10:$A$145,'Round 3 Data'!E$10:E$145,0)+_xlfn.XLOOKUP('Summary Data'!$A96,'Round 4 Data'!$A$10:$A$147,'Round 4 Data'!E$10:E$147,0))/$D96</f>
        <v>#VALUE!</v>
      </c>
      <c r="F96" s="57" t="e">
        <f>(_xlfn.XLOOKUP('Summary Data'!$A96,'Round 1 Data'!$A$10:$A$143,'Round 1 Data'!F$10:F$144,0)+_xlfn.XLOOKUP('Summary Data'!$A96,'Round 2 Data'!$A$10:$A$146,'Round 2 Data'!F$10:F$146,0)+_xlfn.XLOOKUP('Summary Data'!$A96,'Round 3 Data'!$A$10:$A$145,'Round 3 Data'!F$10:F$145,0)+_xlfn.XLOOKUP('Summary Data'!$A96,'Round 4 Data'!$A$10:$A$147,'Round 4 Data'!F$10:F$147,0))/$D96</f>
        <v>#VALUE!</v>
      </c>
      <c r="G96" s="57" t="e">
        <f>(_xlfn.XLOOKUP('Summary Data'!$A96,'Round 1 Data'!$A$10:$A$143,'Round 1 Data'!G$10:G$144,0)+_xlfn.XLOOKUP('Summary Data'!$A96,'Round 2 Data'!$A$10:$A$146,'Round 2 Data'!G$10:G$146,0)+_xlfn.XLOOKUP('Summary Data'!$A96,'Round 3 Data'!$A$10:$A$145,'Round 3 Data'!G$10:G$145,0)+_xlfn.XLOOKUP('Summary Data'!$A96,'Round 4 Data'!$A$10:$A$147,'Round 4 Data'!G$10:G$147,0))/$D96</f>
        <v>#VALUE!</v>
      </c>
      <c r="H96" s="57" t="e">
        <f>(_xlfn.XLOOKUP('Summary Data'!$A96,'Round 1 Data'!$A$10:$A$143,'Round 1 Data'!H$10:H$144,0)+_xlfn.XLOOKUP('Summary Data'!$A96,'Round 2 Data'!$A$10:$A$146,'Round 2 Data'!H$10:H$146,0)+_xlfn.XLOOKUP('Summary Data'!$A96,'Round 3 Data'!$A$10:$A$145,'Round 3 Data'!H$10:H$145,0)+_xlfn.XLOOKUP('Summary Data'!$A96,'Round 4 Data'!$A$10:$A$147,'Round 4 Data'!H$10:H$147,0))/$D96</f>
        <v>#VALUE!</v>
      </c>
      <c r="I96" s="57" t="e">
        <f>(_xlfn.XLOOKUP('Summary Data'!$A96,'Round 1 Data'!$A$10:$A$143,'Round 1 Data'!I$10:I$144,0)+_xlfn.XLOOKUP('Summary Data'!$A96,'Round 2 Data'!$A$10:$A$146,'Round 2 Data'!I$10:I$146,0)+_xlfn.XLOOKUP('Summary Data'!$A96,'Round 3 Data'!$A$10:$A$145,'Round 3 Data'!I$10:I$145,0)+_xlfn.XLOOKUP('Summary Data'!$A96,'Round 4 Data'!$A$10:$A$147,'Round 4 Data'!I$10:I$147,0))/$D96</f>
        <v>#VALUE!</v>
      </c>
      <c r="J96" s="57" t="e">
        <f>(_xlfn.XLOOKUP('Summary Data'!$A96,'Round 1 Data'!$A$10:$A$143,'Round 1 Data'!J$10:J$144,0)+_xlfn.XLOOKUP('Summary Data'!$A96,'Round 2 Data'!$A$10:$A$146,'Round 2 Data'!J$10:J$146,0)+_xlfn.XLOOKUP('Summary Data'!$A96,'Round 3 Data'!$A$10:$A$145,'Round 3 Data'!J$10:J$145,0)+_xlfn.XLOOKUP('Summary Data'!$A96,'Round 4 Data'!$A$10:$A$147,'Round 4 Data'!J$10:J$147,0))/$D96</f>
        <v>#VALUE!</v>
      </c>
      <c r="K96" s="57" t="e">
        <f>(_xlfn.XLOOKUP('Summary Data'!$A96,'Round 1 Data'!$A$10:$A$143,'Round 1 Data'!K$10:K$144,0)+_xlfn.XLOOKUP('Summary Data'!$A96,'Round 2 Data'!$A$10:$A$146,'Round 2 Data'!K$10:K$146,0)+_xlfn.XLOOKUP('Summary Data'!$A96,'Round 3 Data'!$A$10:$A$145,'Round 3 Data'!K$10:K$145,0)+_xlfn.XLOOKUP('Summary Data'!$A96,'Round 4 Data'!$A$10:$A$147,'Round 4 Data'!K$10:K$147,0))/$D96</f>
        <v>#VALUE!</v>
      </c>
      <c r="L96" s="57" t="e">
        <f>(_xlfn.XLOOKUP('Summary Data'!$A96,'Round 1 Data'!$A$10:$A$143,'Round 1 Data'!L$10:L$144,0)+_xlfn.XLOOKUP('Summary Data'!$A96,'Round 2 Data'!$A$10:$A$146,'Round 2 Data'!L$10:L$146,0)+_xlfn.XLOOKUP('Summary Data'!$A96,'Round 3 Data'!$A$10:$A$145,'Round 3 Data'!L$10:L$145,0)+_xlfn.XLOOKUP('Summary Data'!$A96,'Round 4 Data'!$A$10:$A$147,'Round 4 Data'!L$10:L$147,0))/$D96</f>
        <v>#VALUE!</v>
      </c>
      <c r="M96" s="57" t="e">
        <f>(_xlfn.XLOOKUP('Summary Data'!$A96,'Round 1 Data'!$A$10:$A$143,'Round 1 Data'!M$10:M$144,0)+_xlfn.XLOOKUP('Summary Data'!$A96,'Round 2 Data'!$A$10:$A$146,'Round 2 Data'!M$10:M$146,0)+_xlfn.XLOOKUP('Summary Data'!$A96,'Round 3 Data'!$A$10:$A$145,'Round 3 Data'!M$10:M$145,0)+_xlfn.XLOOKUP('Summary Data'!$A96,'Round 4 Data'!$A$10:$A$147,'Round 4 Data'!M$10:M$147,0))/$D96</f>
        <v>#VALUE!</v>
      </c>
      <c r="N96" s="57" t="e">
        <f>(_xlfn.XLOOKUP('Summary Data'!$A96,'Round 1 Data'!$A$10:$A$143,'Round 1 Data'!N$10:N$144,0)+_xlfn.XLOOKUP('Summary Data'!$A96,'Round 2 Data'!$A$10:$A$146,'Round 2 Data'!N$10:N$146,0)+_xlfn.XLOOKUP('Summary Data'!$A96,'Round 3 Data'!$A$10:$A$145,'Round 3 Data'!N$10:N$145,0)+_xlfn.XLOOKUP('Summary Data'!$A96,'Round 4 Data'!$A$10:$A$147,'Round 4 Data'!N$10:N$147,0))/$D96</f>
        <v>#VALUE!</v>
      </c>
      <c r="O96" s="57" t="e">
        <f>(_xlfn.XLOOKUP('Summary Data'!$A96,'Round 1 Data'!$A$10:$A$143,'Round 1 Data'!O$10:O$144,0)+_xlfn.XLOOKUP('Summary Data'!$A96,'Round 2 Data'!$A$10:$A$146,'Round 2 Data'!O$10:O$146,0)+_xlfn.XLOOKUP('Summary Data'!$A96,'Round 3 Data'!$A$10:$A$145,'Round 3 Data'!O$10:O$145,0)+_xlfn.XLOOKUP('Summary Data'!$A96,'Round 4 Data'!$A$10:$A$147,'Round 4 Data'!O$10:O$147,0))/$D96</f>
        <v>#VALUE!</v>
      </c>
      <c r="P96" s="57" t="e">
        <f>(_xlfn.XLOOKUP('Summary Data'!$A96,'Round 1 Data'!$A$10:$A$143,'Round 1 Data'!P$10:P$144,0)+_xlfn.XLOOKUP('Summary Data'!$A96,'Round 2 Data'!$A$10:$A$146,'Round 2 Data'!P$10:P$146,0)+_xlfn.XLOOKUP('Summary Data'!$A96,'Round 3 Data'!$A$10:$A$145,'Round 3 Data'!P$10:P$145,0)+_xlfn.XLOOKUP('Summary Data'!$A96,'Round 4 Data'!$A$10:$A$147,'Round 4 Data'!P$10:P$147,0))/$D96</f>
        <v>#VALUE!</v>
      </c>
      <c r="Q96" s="57" t="e">
        <f>(_xlfn.XLOOKUP('Summary Data'!$A96,'Round 1 Data'!$A$10:$A$143,'Round 1 Data'!Q$10:Q$144,0)+_xlfn.XLOOKUP('Summary Data'!$A96,'Round 2 Data'!$A$10:$A$146,'Round 2 Data'!Q$10:Q$146,0)+_xlfn.XLOOKUP('Summary Data'!$A96,'Round 3 Data'!$A$10:$A$145,'Round 3 Data'!Q$10:Q$145,0)+_xlfn.XLOOKUP('Summary Data'!$A96,'Round 4 Data'!$A$10:$A$147,'Round 4 Data'!Q$10:Q$147,0))/$D96</f>
        <v>#VALUE!</v>
      </c>
      <c r="R96" s="57" t="e">
        <f>(_xlfn.XLOOKUP('Summary Data'!$A96,'Round 1 Data'!$A$10:$A$143,'Round 1 Data'!R$10:R$144,0)+_xlfn.XLOOKUP('Summary Data'!$A96,'Round 2 Data'!$A$10:$A$146,'Round 2 Data'!R$10:R$146,0)+_xlfn.XLOOKUP('Summary Data'!$A96,'Round 3 Data'!$A$10:$A$145,'Round 3 Data'!R$10:R$145,0)+_xlfn.XLOOKUP('Summary Data'!$A96,'Round 4 Data'!$A$10:$A$147,'Round 4 Data'!R$10:R$147,0))/$D96</f>
        <v>#VALUE!</v>
      </c>
      <c r="S96" s="57" t="e">
        <f>(_xlfn.XLOOKUP('Summary Data'!$A96,'Round 1 Data'!$A$10:$A$143,'Round 1 Data'!S$10:S$144,0)+_xlfn.XLOOKUP('Summary Data'!$A96,'Round 2 Data'!$A$10:$A$146,'Round 2 Data'!S$10:S$146,0)+_xlfn.XLOOKUP('Summary Data'!$A96,'Round 3 Data'!$A$10:$A$145,'Round 3 Data'!S$10:S$145,0)+_xlfn.XLOOKUP('Summary Data'!$A96,'Round 4 Data'!$A$10:$A$147,'Round 4 Data'!S$10:S$147,0))/$D96</f>
        <v>#VALUE!</v>
      </c>
      <c r="T96" s="62" t="e">
        <f>(_xlfn.XLOOKUP('Summary Data'!$A96,'Round 1 Data'!$A$10:$A$143,'Round 1 Data'!U$10:U$144,0)+_xlfn.XLOOKUP('Summary Data'!$A96,'Round 2 Data'!$A$10:$A$146,'Round 2 Data'!U$10:U$146,0)+_xlfn.XLOOKUP('Summary Data'!$A96,'Round 3 Data'!$A$10:$A$145,'Round 3 Data'!U$10:U$145,0)+_xlfn.XLOOKUP('Summary Data'!$A96,'Round 4 Data'!$A$10:$A$147,'Round 4 Data'!U$10:U$147,0))</f>
        <v>#VALUE!</v>
      </c>
    </row>
    <row r="97" spans="1:20" ht="16" thickBot="1" x14ac:dyDescent="0.25">
      <c r="A97" s="61" t="s">
        <v>105</v>
      </c>
      <c r="B97" t="s">
        <v>192</v>
      </c>
      <c r="C97" t="s">
        <v>194</v>
      </c>
      <c r="D97" t="e">
        <f>IF(_xlfn.XLOOKUP('Summary Data'!A97,'Round 1 Data'!$A$10:$A$143,'Round 1 Data'!$E$10:$E$144,0)=0,0,1)+IF(_xlfn.XLOOKUP('Summary Data'!A97,'Round 2 Data'!$A$10:$A$146,'Round 2 Data'!$E$10:$E$146,0)=0,0,1)+IF(_xlfn.XLOOKUP('Summary Data'!A97,'Round 3 Data'!$A$10:$A$145,'Round 3 Data'!$E$10:$E$145,0)=0,0,1)+IF(_xlfn.XLOOKUP('Summary Data'!A97,'Round 4 Data'!$A$10:$A$147,'Round 4 Data'!$E$10:$E$147,0)=0,0,1)</f>
        <v>#VALUE!</v>
      </c>
      <c r="E97" s="57" t="e">
        <f>(_xlfn.XLOOKUP('Summary Data'!$A97,'Round 1 Data'!$A$10:$A$143,'Round 1 Data'!E$10:E$144,0)+_xlfn.XLOOKUP('Summary Data'!$A97,'Round 2 Data'!$A$10:$A$146,'Round 2 Data'!E$10:E$146,0)+_xlfn.XLOOKUP('Summary Data'!$A97,'Round 3 Data'!$A$10:$A$145,'Round 3 Data'!E$10:E$145,0)+_xlfn.XLOOKUP('Summary Data'!$A97,'Round 4 Data'!$A$10:$A$147,'Round 4 Data'!E$10:E$147,0))/$D97</f>
        <v>#VALUE!</v>
      </c>
      <c r="F97" s="57" t="e">
        <f>(_xlfn.XLOOKUP('Summary Data'!$A97,'Round 1 Data'!$A$10:$A$143,'Round 1 Data'!F$10:F$144,0)+_xlfn.XLOOKUP('Summary Data'!$A97,'Round 2 Data'!$A$10:$A$146,'Round 2 Data'!F$10:F$146,0)+_xlfn.XLOOKUP('Summary Data'!$A97,'Round 3 Data'!$A$10:$A$145,'Round 3 Data'!F$10:F$145,0)+_xlfn.XLOOKUP('Summary Data'!$A97,'Round 4 Data'!$A$10:$A$147,'Round 4 Data'!F$10:F$147,0))/$D97</f>
        <v>#VALUE!</v>
      </c>
      <c r="G97" s="57" t="e">
        <f>(_xlfn.XLOOKUP('Summary Data'!$A97,'Round 1 Data'!$A$10:$A$143,'Round 1 Data'!G$10:G$144,0)+_xlfn.XLOOKUP('Summary Data'!$A97,'Round 2 Data'!$A$10:$A$146,'Round 2 Data'!G$10:G$146,0)+_xlfn.XLOOKUP('Summary Data'!$A97,'Round 3 Data'!$A$10:$A$145,'Round 3 Data'!G$10:G$145,0)+_xlfn.XLOOKUP('Summary Data'!$A97,'Round 4 Data'!$A$10:$A$147,'Round 4 Data'!G$10:G$147,0))/$D97</f>
        <v>#VALUE!</v>
      </c>
      <c r="H97" s="57" t="e">
        <f>(_xlfn.XLOOKUP('Summary Data'!$A97,'Round 1 Data'!$A$10:$A$143,'Round 1 Data'!H$10:H$144,0)+_xlfn.XLOOKUP('Summary Data'!$A97,'Round 2 Data'!$A$10:$A$146,'Round 2 Data'!H$10:H$146,0)+_xlfn.XLOOKUP('Summary Data'!$A97,'Round 3 Data'!$A$10:$A$145,'Round 3 Data'!H$10:H$145,0)+_xlfn.XLOOKUP('Summary Data'!$A97,'Round 4 Data'!$A$10:$A$147,'Round 4 Data'!H$10:H$147,0))/$D97</f>
        <v>#VALUE!</v>
      </c>
      <c r="I97" s="57" t="e">
        <f>(_xlfn.XLOOKUP('Summary Data'!$A97,'Round 1 Data'!$A$10:$A$143,'Round 1 Data'!I$10:I$144,0)+_xlfn.XLOOKUP('Summary Data'!$A97,'Round 2 Data'!$A$10:$A$146,'Round 2 Data'!I$10:I$146,0)+_xlfn.XLOOKUP('Summary Data'!$A97,'Round 3 Data'!$A$10:$A$145,'Round 3 Data'!I$10:I$145,0)+_xlfn.XLOOKUP('Summary Data'!$A97,'Round 4 Data'!$A$10:$A$147,'Round 4 Data'!I$10:I$147,0))/$D97</f>
        <v>#VALUE!</v>
      </c>
      <c r="J97" s="57" t="e">
        <f>(_xlfn.XLOOKUP('Summary Data'!$A97,'Round 1 Data'!$A$10:$A$143,'Round 1 Data'!J$10:J$144,0)+_xlfn.XLOOKUP('Summary Data'!$A97,'Round 2 Data'!$A$10:$A$146,'Round 2 Data'!J$10:J$146,0)+_xlfn.XLOOKUP('Summary Data'!$A97,'Round 3 Data'!$A$10:$A$145,'Round 3 Data'!J$10:J$145,0)+_xlfn.XLOOKUP('Summary Data'!$A97,'Round 4 Data'!$A$10:$A$147,'Round 4 Data'!J$10:J$147,0))/$D97</f>
        <v>#VALUE!</v>
      </c>
      <c r="K97" s="57" t="e">
        <f>(_xlfn.XLOOKUP('Summary Data'!$A97,'Round 1 Data'!$A$10:$A$143,'Round 1 Data'!K$10:K$144,0)+_xlfn.XLOOKUP('Summary Data'!$A97,'Round 2 Data'!$A$10:$A$146,'Round 2 Data'!K$10:K$146,0)+_xlfn.XLOOKUP('Summary Data'!$A97,'Round 3 Data'!$A$10:$A$145,'Round 3 Data'!K$10:K$145,0)+_xlfn.XLOOKUP('Summary Data'!$A97,'Round 4 Data'!$A$10:$A$147,'Round 4 Data'!K$10:K$147,0))/$D97</f>
        <v>#VALUE!</v>
      </c>
      <c r="L97" s="57" t="e">
        <f>(_xlfn.XLOOKUP('Summary Data'!$A97,'Round 1 Data'!$A$10:$A$143,'Round 1 Data'!L$10:L$144,0)+_xlfn.XLOOKUP('Summary Data'!$A97,'Round 2 Data'!$A$10:$A$146,'Round 2 Data'!L$10:L$146,0)+_xlfn.XLOOKUP('Summary Data'!$A97,'Round 3 Data'!$A$10:$A$145,'Round 3 Data'!L$10:L$145,0)+_xlfn.XLOOKUP('Summary Data'!$A97,'Round 4 Data'!$A$10:$A$147,'Round 4 Data'!L$10:L$147,0))/$D97</f>
        <v>#VALUE!</v>
      </c>
      <c r="M97" s="57" t="e">
        <f>(_xlfn.XLOOKUP('Summary Data'!$A97,'Round 1 Data'!$A$10:$A$143,'Round 1 Data'!M$10:M$144,0)+_xlfn.XLOOKUP('Summary Data'!$A97,'Round 2 Data'!$A$10:$A$146,'Round 2 Data'!M$10:M$146,0)+_xlfn.XLOOKUP('Summary Data'!$A97,'Round 3 Data'!$A$10:$A$145,'Round 3 Data'!M$10:M$145,0)+_xlfn.XLOOKUP('Summary Data'!$A97,'Round 4 Data'!$A$10:$A$147,'Round 4 Data'!M$10:M$147,0))/$D97</f>
        <v>#VALUE!</v>
      </c>
      <c r="N97" s="57" t="e">
        <f>(_xlfn.XLOOKUP('Summary Data'!$A97,'Round 1 Data'!$A$10:$A$143,'Round 1 Data'!N$10:N$144,0)+_xlfn.XLOOKUP('Summary Data'!$A97,'Round 2 Data'!$A$10:$A$146,'Round 2 Data'!N$10:N$146,0)+_xlfn.XLOOKUP('Summary Data'!$A97,'Round 3 Data'!$A$10:$A$145,'Round 3 Data'!N$10:N$145,0)+_xlfn.XLOOKUP('Summary Data'!$A97,'Round 4 Data'!$A$10:$A$147,'Round 4 Data'!N$10:N$147,0))/$D97</f>
        <v>#VALUE!</v>
      </c>
      <c r="O97" s="57" t="e">
        <f>(_xlfn.XLOOKUP('Summary Data'!$A97,'Round 1 Data'!$A$10:$A$143,'Round 1 Data'!O$10:O$144,0)+_xlfn.XLOOKUP('Summary Data'!$A97,'Round 2 Data'!$A$10:$A$146,'Round 2 Data'!O$10:O$146,0)+_xlfn.XLOOKUP('Summary Data'!$A97,'Round 3 Data'!$A$10:$A$145,'Round 3 Data'!O$10:O$145,0)+_xlfn.XLOOKUP('Summary Data'!$A97,'Round 4 Data'!$A$10:$A$147,'Round 4 Data'!O$10:O$147,0))/$D97</f>
        <v>#VALUE!</v>
      </c>
      <c r="P97" s="57" t="e">
        <f>(_xlfn.XLOOKUP('Summary Data'!$A97,'Round 1 Data'!$A$10:$A$143,'Round 1 Data'!P$10:P$144,0)+_xlfn.XLOOKUP('Summary Data'!$A97,'Round 2 Data'!$A$10:$A$146,'Round 2 Data'!P$10:P$146,0)+_xlfn.XLOOKUP('Summary Data'!$A97,'Round 3 Data'!$A$10:$A$145,'Round 3 Data'!P$10:P$145,0)+_xlfn.XLOOKUP('Summary Data'!$A97,'Round 4 Data'!$A$10:$A$147,'Round 4 Data'!P$10:P$147,0))/$D97</f>
        <v>#VALUE!</v>
      </c>
      <c r="Q97" s="57" t="e">
        <f>(_xlfn.XLOOKUP('Summary Data'!$A97,'Round 1 Data'!$A$10:$A$143,'Round 1 Data'!Q$10:Q$144,0)+_xlfn.XLOOKUP('Summary Data'!$A97,'Round 2 Data'!$A$10:$A$146,'Round 2 Data'!Q$10:Q$146,0)+_xlfn.XLOOKUP('Summary Data'!$A97,'Round 3 Data'!$A$10:$A$145,'Round 3 Data'!Q$10:Q$145,0)+_xlfn.XLOOKUP('Summary Data'!$A97,'Round 4 Data'!$A$10:$A$147,'Round 4 Data'!Q$10:Q$147,0))/$D97</f>
        <v>#VALUE!</v>
      </c>
      <c r="R97" s="57" t="e">
        <f>(_xlfn.XLOOKUP('Summary Data'!$A97,'Round 1 Data'!$A$10:$A$143,'Round 1 Data'!R$10:R$144,0)+_xlfn.XLOOKUP('Summary Data'!$A97,'Round 2 Data'!$A$10:$A$146,'Round 2 Data'!R$10:R$146,0)+_xlfn.XLOOKUP('Summary Data'!$A97,'Round 3 Data'!$A$10:$A$145,'Round 3 Data'!R$10:R$145,0)+_xlfn.XLOOKUP('Summary Data'!$A97,'Round 4 Data'!$A$10:$A$147,'Round 4 Data'!R$10:R$147,0))/$D97</f>
        <v>#VALUE!</v>
      </c>
      <c r="S97" s="57" t="e">
        <f>(_xlfn.XLOOKUP('Summary Data'!$A97,'Round 1 Data'!$A$10:$A$143,'Round 1 Data'!S$10:S$144,0)+_xlfn.XLOOKUP('Summary Data'!$A97,'Round 2 Data'!$A$10:$A$146,'Round 2 Data'!S$10:S$146,0)+_xlfn.XLOOKUP('Summary Data'!$A97,'Round 3 Data'!$A$10:$A$145,'Round 3 Data'!S$10:S$145,0)+_xlfn.XLOOKUP('Summary Data'!$A97,'Round 4 Data'!$A$10:$A$147,'Round 4 Data'!S$10:S$147,0))/$D97</f>
        <v>#VALUE!</v>
      </c>
      <c r="T97" s="62" t="e">
        <f>(_xlfn.XLOOKUP('Summary Data'!$A97,'Round 1 Data'!$A$10:$A$143,'Round 1 Data'!U$10:U$144,0)+_xlfn.XLOOKUP('Summary Data'!$A97,'Round 2 Data'!$A$10:$A$146,'Round 2 Data'!U$10:U$146,0)+_xlfn.XLOOKUP('Summary Data'!$A97,'Round 3 Data'!$A$10:$A$145,'Round 3 Data'!U$10:U$145,0)+_xlfn.XLOOKUP('Summary Data'!$A97,'Round 4 Data'!$A$10:$A$147,'Round 4 Data'!U$10:U$147,0))</f>
        <v>#VALUE!</v>
      </c>
    </row>
    <row r="98" spans="1:20" ht="16" thickBot="1" x14ac:dyDescent="0.25">
      <c r="A98" s="63" t="s">
        <v>106</v>
      </c>
      <c r="B98" t="s">
        <v>192</v>
      </c>
      <c r="C98" t="s">
        <v>194</v>
      </c>
      <c r="D98" t="e">
        <f>IF(_xlfn.XLOOKUP('Summary Data'!A98,'Round 1 Data'!$A$10:$A$143,'Round 1 Data'!$E$10:$E$144,0)=0,0,1)+IF(_xlfn.XLOOKUP('Summary Data'!A98,'Round 2 Data'!$A$10:$A$146,'Round 2 Data'!$E$10:$E$146,0)=0,0,1)+IF(_xlfn.XLOOKUP('Summary Data'!A98,'Round 3 Data'!$A$10:$A$145,'Round 3 Data'!$E$10:$E$145,0)=0,0,1)+IF(_xlfn.XLOOKUP('Summary Data'!A98,'Round 4 Data'!$A$10:$A$147,'Round 4 Data'!$E$10:$E$147,0)=0,0,1)</f>
        <v>#VALUE!</v>
      </c>
      <c r="E98" s="57" t="e">
        <f>(_xlfn.XLOOKUP('Summary Data'!$A98,'Round 1 Data'!$A$10:$A$143,'Round 1 Data'!E$10:E$144,0)+_xlfn.XLOOKUP('Summary Data'!$A98,'Round 2 Data'!$A$10:$A$146,'Round 2 Data'!E$10:E$146,0)+_xlfn.XLOOKUP('Summary Data'!$A98,'Round 3 Data'!$A$10:$A$145,'Round 3 Data'!E$10:E$145,0)+_xlfn.XLOOKUP('Summary Data'!$A98,'Round 4 Data'!$A$10:$A$147,'Round 4 Data'!E$10:E$147,0))/$D98</f>
        <v>#VALUE!</v>
      </c>
      <c r="F98" s="57" t="e">
        <f>(_xlfn.XLOOKUP('Summary Data'!$A98,'Round 1 Data'!$A$10:$A$143,'Round 1 Data'!F$10:F$144,0)+_xlfn.XLOOKUP('Summary Data'!$A98,'Round 2 Data'!$A$10:$A$146,'Round 2 Data'!F$10:F$146,0)+_xlfn.XLOOKUP('Summary Data'!$A98,'Round 3 Data'!$A$10:$A$145,'Round 3 Data'!F$10:F$145,0)+_xlfn.XLOOKUP('Summary Data'!$A98,'Round 4 Data'!$A$10:$A$147,'Round 4 Data'!F$10:F$147,0))/$D98</f>
        <v>#VALUE!</v>
      </c>
      <c r="G98" s="57" t="e">
        <f>(_xlfn.XLOOKUP('Summary Data'!$A98,'Round 1 Data'!$A$10:$A$143,'Round 1 Data'!G$10:G$144,0)+_xlfn.XLOOKUP('Summary Data'!$A98,'Round 2 Data'!$A$10:$A$146,'Round 2 Data'!G$10:G$146,0)+_xlfn.XLOOKUP('Summary Data'!$A98,'Round 3 Data'!$A$10:$A$145,'Round 3 Data'!G$10:G$145,0)+_xlfn.XLOOKUP('Summary Data'!$A98,'Round 4 Data'!$A$10:$A$147,'Round 4 Data'!G$10:G$147,0))/$D98</f>
        <v>#VALUE!</v>
      </c>
      <c r="H98" s="57" t="e">
        <f>(_xlfn.XLOOKUP('Summary Data'!$A98,'Round 1 Data'!$A$10:$A$143,'Round 1 Data'!H$10:H$144,0)+_xlfn.XLOOKUP('Summary Data'!$A98,'Round 2 Data'!$A$10:$A$146,'Round 2 Data'!H$10:H$146,0)+_xlfn.XLOOKUP('Summary Data'!$A98,'Round 3 Data'!$A$10:$A$145,'Round 3 Data'!H$10:H$145,0)+_xlfn.XLOOKUP('Summary Data'!$A98,'Round 4 Data'!$A$10:$A$147,'Round 4 Data'!H$10:H$147,0))/$D98</f>
        <v>#VALUE!</v>
      </c>
      <c r="I98" s="57" t="e">
        <f>(_xlfn.XLOOKUP('Summary Data'!$A98,'Round 1 Data'!$A$10:$A$143,'Round 1 Data'!I$10:I$144,0)+_xlfn.XLOOKUP('Summary Data'!$A98,'Round 2 Data'!$A$10:$A$146,'Round 2 Data'!I$10:I$146,0)+_xlfn.XLOOKUP('Summary Data'!$A98,'Round 3 Data'!$A$10:$A$145,'Round 3 Data'!I$10:I$145,0)+_xlfn.XLOOKUP('Summary Data'!$A98,'Round 4 Data'!$A$10:$A$147,'Round 4 Data'!I$10:I$147,0))/$D98</f>
        <v>#VALUE!</v>
      </c>
      <c r="J98" s="57" t="e">
        <f>(_xlfn.XLOOKUP('Summary Data'!$A98,'Round 1 Data'!$A$10:$A$143,'Round 1 Data'!J$10:J$144,0)+_xlfn.XLOOKUP('Summary Data'!$A98,'Round 2 Data'!$A$10:$A$146,'Round 2 Data'!J$10:J$146,0)+_xlfn.XLOOKUP('Summary Data'!$A98,'Round 3 Data'!$A$10:$A$145,'Round 3 Data'!J$10:J$145,0)+_xlfn.XLOOKUP('Summary Data'!$A98,'Round 4 Data'!$A$10:$A$147,'Round 4 Data'!J$10:J$147,0))/$D98</f>
        <v>#VALUE!</v>
      </c>
      <c r="K98" s="57" t="e">
        <f>(_xlfn.XLOOKUP('Summary Data'!$A98,'Round 1 Data'!$A$10:$A$143,'Round 1 Data'!K$10:K$144,0)+_xlfn.XLOOKUP('Summary Data'!$A98,'Round 2 Data'!$A$10:$A$146,'Round 2 Data'!K$10:K$146,0)+_xlfn.XLOOKUP('Summary Data'!$A98,'Round 3 Data'!$A$10:$A$145,'Round 3 Data'!K$10:K$145,0)+_xlfn.XLOOKUP('Summary Data'!$A98,'Round 4 Data'!$A$10:$A$147,'Round 4 Data'!K$10:K$147,0))/$D98</f>
        <v>#VALUE!</v>
      </c>
      <c r="L98" s="57" t="e">
        <f>(_xlfn.XLOOKUP('Summary Data'!$A98,'Round 1 Data'!$A$10:$A$143,'Round 1 Data'!L$10:L$144,0)+_xlfn.XLOOKUP('Summary Data'!$A98,'Round 2 Data'!$A$10:$A$146,'Round 2 Data'!L$10:L$146,0)+_xlfn.XLOOKUP('Summary Data'!$A98,'Round 3 Data'!$A$10:$A$145,'Round 3 Data'!L$10:L$145,0)+_xlfn.XLOOKUP('Summary Data'!$A98,'Round 4 Data'!$A$10:$A$147,'Round 4 Data'!L$10:L$147,0))/$D98</f>
        <v>#VALUE!</v>
      </c>
      <c r="M98" s="57" t="e">
        <f>(_xlfn.XLOOKUP('Summary Data'!$A98,'Round 1 Data'!$A$10:$A$143,'Round 1 Data'!M$10:M$144,0)+_xlfn.XLOOKUP('Summary Data'!$A98,'Round 2 Data'!$A$10:$A$146,'Round 2 Data'!M$10:M$146,0)+_xlfn.XLOOKUP('Summary Data'!$A98,'Round 3 Data'!$A$10:$A$145,'Round 3 Data'!M$10:M$145,0)+_xlfn.XLOOKUP('Summary Data'!$A98,'Round 4 Data'!$A$10:$A$147,'Round 4 Data'!M$10:M$147,0))/$D98</f>
        <v>#VALUE!</v>
      </c>
      <c r="N98" s="57" t="e">
        <f>(_xlfn.XLOOKUP('Summary Data'!$A98,'Round 1 Data'!$A$10:$A$143,'Round 1 Data'!N$10:N$144,0)+_xlfn.XLOOKUP('Summary Data'!$A98,'Round 2 Data'!$A$10:$A$146,'Round 2 Data'!N$10:N$146,0)+_xlfn.XLOOKUP('Summary Data'!$A98,'Round 3 Data'!$A$10:$A$145,'Round 3 Data'!N$10:N$145,0)+_xlfn.XLOOKUP('Summary Data'!$A98,'Round 4 Data'!$A$10:$A$147,'Round 4 Data'!N$10:N$147,0))/$D98</f>
        <v>#VALUE!</v>
      </c>
      <c r="O98" s="57" t="e">
        <f>(_xlfn.XLOOKUP('Summary Data'!$A98,'Round 1 Data'!$A$10:$A$143,'Round 1 Data'!O$10:O$144,0)+_xlfn.XLOOKUP('Summary Data'!$A98,'Round 2 Data'!$A$10:$A$146,'Round 2 Data'!O$10:O$146,0)+_xlfn.XLOOKUP('Summary Data'!$A98,'Round 3 Data'!$A$10:$A$145,'Round 3 Data'!O$10:O$145,0)+_xlfn.XLOOKUP('Summary Data'!$A98,'Round 4 Data'!$A$10:$A$147,'Round 4 Data'!O$10:O$147,0))/$D98</f>
        <v>#VALUE!</v>
      </c>
      <c r="P98" s="57" t="e">
        <f>(_xlfn.XLOOKUP('Summary Data'!$A98,'Round 1 Data'!$A$10:$A$143,'Round 1 Data'!P$10:P$144,0)+_xlfn.XLOOKUP('Summary Data'!$A98,'Round 2 Data'!$A$10:$A$146,'Round 2 Data'!P$10:P$146,0)+_xlfn.XLOOKUP('Summary Data'!$A98,'Round 3 Data'!$A$10:$A$145,'Round 3 Data'!P$10:P$145,0)+_xlfn.XLOOKUP('Summary Data'!$A98,'Round 4 Data'!$A$10:$A$147,'Round 4 Data'!P$10:P$147,0))/$D98</f>
        <v>#VALUE!</v>
      </c>
      <c r="Q98" s="57" t="e">
        <f>(_xlfn.XLOOKUP('Summary Data'!$A98,'Round 1 Data'!$A$10:$A$143,'Round 1 Data'!Q$10:Q$144,0)+_xlfn.XLOOKUP('Summary Data'!$A98,'Round 2 Data'!$A$10:$A$146,'Round 2 Data'!Q$10:Q$146,0)+_xlfn.XLOOKUP('Summary Data'!$A98,'Round 3 Data'!$A$10:$A$145,'Round 3 Data'!Q$10:Q$145,0)+_xlfn.XLOOKUP('Summary Data'!$A98,'Round 4 Data'!$A$10:$A$147,'Round 4 Data'!Q$10:Q$147,0))/$D98</f>
        <v>#VALUE!</v>
      </c>
      <c r="R98" s="57" t="e">
        <f>(_xlfn.XLOOKUP('Summary Data'!$A98,'Round 1 Data'!$A$10:$A$143,'Round 1 Data'!R$10:R$144,0)+_xlfn.XLOOKUP('Summary Data'!$A98,'Round 2 Data'!$A$10:$A$146,'Round 2 Data'!R$10:R$146,0)+_xlfn.XLOOKUP('Summary Data'!$A98,'Round 3 Data'!$A$10:$A$145,'Round 3 Data'!R$10:R$145,0)+_xlfn.XLOOKUP('Summary Data'!$A98,'Round 4 Data'!$A$10:$A$147,'Round 4 Data'!R$10:R$147,0))/$D98</f>
        <v>#VALUE!</v>
      </c>
      <c r="S98" s="57" t="e">
        <f>(_xlfn.XLOOKUP('Summary Data'!$A98,'Round 1 Data'!$A$10:$A$143,'Round 1 Data'!S$10:S$144,0)+_xlfn.XLOOKUP('Summary Data'!$A98,'Round 2 Data'!$A$10:$A$146,'Round 2 Data'!S$10:S$146,0)+_xlfn.XLOOKUP('Summary Data'!$A98,'Round 3 Data'!$A$10:$A$145,'Round 3 Data'!S$10:S$145,0)+_xlfn.XLOOKUP('Summary Data'!$A98,'Round 4 Data'!$A$10:$A$147,'Round 4 Data'!S$10:S$147,0))/$D98</f>
        <v>#VALUE!</v>
      </c>
      <c r="T98" s="62" t="e">
        <f>(_xlfn.XLOOKUP('Summary Data'!$A98,'Round 1 Data'!$A$10:$A$143,'Round 1 Data'!U$10:U$144,0)+_xlfn.XLOOKUP('Summary Data'!$A98,'Round 2 Data'!$A$10:$A$146,'Round 2 Data'!U$10:U$146,0)+_xlfn.XLOOKUP('Summary Data'!$A98,'Round 3 Data'!$A$10:$A$145,'Round 3 Data'!U$10:U$145,0)+_xlfn.XLOOKUP('Summary Data'!$A98,'Round 4 Data'!$A$10:$A$147,'Round 4 Data'!U$10:U$147,0))</f>
        <v>#VALUE!</v>
      </c>
    </row>
    <row r="99" spans="1:20" ht="16" thickBot="1" x14ac:dyDescent="0.25">
      <c r="A99" s="61" t="s">
        <v>107</v>
      </c>
      <c r="B99" t="s">
        <v>192</v>
      </c>
      <c r="C99" t="s">
        <v>194</v>
      </c>
      <c r="D99" t="e">
        <f>IF(_xlfn.XLOOKUP('Summary Data'!A99,'Round 1 Data'!$A$10:$A$143,'Round 1 Data'!$E$10:$E$144,0)=0,0,1)+IF(_xlfn.XLOOKUP('Summary Data'!A99,'Round 2 Data'!$A$10:$A$146,'Round 2 Data'!$E$10:$E$146,0)=0,0,1)+IF(_xlfn.XLOOKUP('Summary Data'!A99,'Round 3 Data'!$A$10:$A$145,'Round 3 Data'!$E$10:$E$145,0)=0,0,1)+IF(_xlfn.XLOOKUP('Summary Data'!A99,'Round 4 Data'!$A$10:$A$147,'Round 4 Data'!$E$10:$E$147,0)=0,0,1)</f>
        <v>#VALUE!</v>
      </c>
      <c r="E99" s="57" t="e">
        <f>(_xlfn.XLOOKUP('Summary Data'!$A99,'Round 1 Data'!$A$10:$A$143,'Round 1 Data'!E$10:E$144,0)+_xlfn.XLOOKUP('Summary Data'!$A99,'Round 2 Data'!$A$10:$A$146,'Round 2 Data'!E$10:E$146,0)+_xlfn.XLOOKUP('Summary Data'!$A99,'Round 3 Data'!$A$10:$A$145,'Round 3 Data'!E$10:E$145,0)+_xlfn.XLOOKUP('Summary Data'!$A99,'Round 4 Data'!$A$10:$A$147,'Round 4 Data'!E$10:E$147,0))/$D99</f>
        <v>#VALUE!</v>
      </c>
      <c r="F99" s="57" t="e">
        <f>(_xlfn.XLOOKUP('Summary Data'!$A99,'Round 1 Data'!$A$10:$A$143,'Round 1 Data'!F$10:F$144,0)+_xlfn.XLOOKUP('Summary Data'!$A99,'Round 2 Data'!$A$10:$A$146,'Round 2 Data'!F$10:F$146,0)+_xlfn.XLOOKUP('Summary Data'!$A99,'Round 3 Data'!$A$10:$A$145,'Round 3 Data'!F$10:F$145,0)+_xlfn.XLOOKUP('Summary Data'!$A99,'Round 4 Data'!$A$10:$A$147,'Round 4 Data'!F$10:F$147,0))/$D99</f>
        <v>#VALUE!</v>
      </c>
      <c r="G99" s="57" t="e">
        <f>(_xlfn.XLOOKUP('Summary Data'!$A99,'Round 1 Data'!$A$10:$A$143,'Round 1 Data'!G$10:G$144,0)+_xlfn.XLOOKUP('Summary Data'!$A99,'Round 2 Data'!$A$10:$A$146,'Round 2 Data'!G$10:G$146,0)+_xlfn.XLOOKUP('Summary Data'!$A99,'Round 3 Data'!$A$10:$A$145,'Round 3 Data'!G$10:G$145,0)+_xlfn.XLOOKUP('Summary Data'!$A99,'Round 4 Data'!$A$10:$A$147,'Round 4 Data'!G$10:G$147,0))/$D99</f>
        <v>#VALUE!</v>
      </c>
      <c r="H99" s="57" t="e">
        <f>(_xlfn.XLOOKUP('Summary Data'!$A99,'Round 1 Data'!$A$10:$A$143,'Round 1 Data'!H$10:H$144,0)+_xlfn.XLOOKUP('Summary Data'!$A99,'Round 2 Data'!$A$10:$A$146,'Round 2 Data'!H$10:H$146,0)+_xlfn.XLOOKUP('Summary Data'!$A99,'Round 3 Data'!$A$10:$A$145,'Round 3 Data'!H$10:H$145,0)+_xlfn.XLOOKUP('Summary Data'!$A99,'Round 4 Data'!$A$10:$A$147,'Round 4 Data'!H$10:H$147,0))/$D99</f>
        <v>#VALUE!</v>
      </c>
      <c r="I99" s="57" t="e">
        <f>(_xlfn.XLOOKUP('Summary Data'!$A99,'Round 1 Data'!$A$10:$A$143,'Round 1 Data'!I$10:I$144,0)+_xlfn.XLOOKUP('Summary Data'!$A99,'Round 2 Data'!$A$10:$A$146,'Round 2 Data'!I$10:I$146,0)+_xlfn.XLOOKUP('Summary Data'!$A99,'Round 3 Data'!$A$10:$A$145,'Round 3 Data'!I$10:I$145,0)+_xlfn.XLOOKUP('Summary Data'!$A99,'Round 4 Data'!$A$10:$A$147,'Round 4 Data'!I$10:I$147,0))/$D99</f>
        <v>#VALUE!</v>
      </c>
      <c r="J99" s="57" t="e">
        <f>(_xlfn.XLOOKUP('Summary Data'!$A99,'Round 1 Data'!$A$10:$A$143,'Round 1 Data'!J$10:J$144,0)+_xlfn.XLOOKUP('Summary Data'!$A99,'Round 2 Data'!$A$10:$A$146,'Round 2 Data'!J$10:J$146,0)+_xlfn.XLOOKUP('Summary Data'!$A99,'Round 3 Data'!$A$10:$A$145,'Round 3 Data'!J$10:J$145,0)+_xlfn.XLOOKUP('Summary Data'!$A99,'Round 4 Data'!$A$10:$A$147,'Round 4 Data'!J$10:J$147,0))/$D99</f>
        <v>#VALUE!</v>
      </c>
      <c r="K99" s="57" t="e">
        <f>(_xlfn.XLOOKUP('Summary Data'!$A99,'Round 1 Data'!$A$10:$A$143,'Round 1 Data'!K$10:K$144,0)+_xlfn.XLOOKUP('Summary Data'!$A99,'Round 2 Data'!$A$10:$A$146,'Round 2 Data'!K$10:K$146,0)+_xlfn.XLOOKUP('Summary Data'!$A99,'Round 3 Data'!$A$10:$A$145,'Round 3 Data'!K$10:K$145,0)+_xlfn.XLOOKUP('Summary Data'!$A99,'Round 4 Data'!$A$10:$A$147,'Round 4 Data'!K$10:K$147,0))/$D99</f>
        <v>#VALUE!</v>
      </c>
      <c r="L99" s="57" t="e">
        <f>(_xlfn.XLOOKUP('Summary Data'!$A99,'Round 1 Data'!$A$10:$A$143,'Round 1 Data'!L$10:L$144,0)+_xlfn.XLOOKUP('Summary Data'!$A99,'Round 2 Data'!$A$10:$A$146,'Round 2 Data'!L$10:L$146,0)+_xlfn.XLOOKUP('Summary Data'!$A99,'Round 3 Data'!$A$10:$A$145,'Round 3 Data'!L$10:L$145,0)+_xlfn.XLOOKUP('Summary Data'!$A99,'Round 4 Data'!$A$10:$A$147,'Round 4 Data'!L$10:L$147,0))/$D99</f>
        <v>#VALUE!</v>
      </c>
      <c r="M99" s="57" t="e">
        <f>(_xlfn.XLOOKUP('Summary Data'!$A99,'Round 1 Data'!$A$10:$A$143,'Round 1 Data'!M$10:M$144,0)+_xlfn.XLOOKUP('Summary Data'!$A99,'Round 2 Data'!$A$10:$A$146,'Round 2 Data'!M$10:M$146,0)+_xlfn.XLOOKUP('Summary Data'!$A99,'Round 3 Data'!$A$10:$A$145,'Round 3 Data'!M$10:M$145,0)+_xlfn.XLOOKUP('Summary Data'!$A99,'Round 4 Data'!$A$10:$A$147,'Round 4 Data'!M$10:M$147,0))/$D99</f>
        <v>#VALUE!</v>
      </c>
      <c r="N99" s="57" t="e">
        <f>(_xlfn.XLOOKUP('Summary Data'!$A99,'Round 1 Data'!$A$10:$A$143,'Round 1 Data'!N$10:N$144,0)+_xlfn.XLOOKUP('Summary Data'!$A99,'Round 2 Data'!$A$10:$A$146,'Round 2 Data'!N$10:N$146,0)+_xlfn.XLOOKUP('Summary Data'!$A99,'Round 3 Data'!$A$10:$A$145,'Round 3 Data'!N$10:N$145,0)+_xlfn.XLOOKUP('Summary Data'!$A99,'Round 4 Data'!$A$10:$A$147,'Round 4 Data'!N$10:N$147,0))/$D99</f>
        <v>#VALUE!</v>
      </c>
      <c r="O99" s="57" t="e">
        <f>(_xlfn.XLOOKUP('Summary Data'!$A99,'Round 1 Data'!$A$10:$A$143,'Round 1 Data'!O$10:O$144,0)+_xlfn.XLOOKUP('Summary Data'!$A99,'Round 2 Data'!$A$10:$A$146,'Round 2 Data'!O$10:O$146,0)+_xlfn.XLOOKUP('Summary Data'!$A99,'Round 3 Data'!$A$10:$A$145,'Round 3 Data'!O$10:O$145,0)+_xlfn.XLOOKUP('Summary Data'!$A99,'Round 4 Data'!$A$10:$A$147,'Round 4 Data'!O$10:O$147,0))/$D99</f>
        <v>#VALUE!</v>
      </c>
      <c r="P99" s="57" t="e">
        <f>(_xlfn.XLOOKUP('Summary Data'!$A99,'Round 1 Data'!$A$10:$A$143,'Round 1 Data'!P$10:P$144,0)+_xlfn.XLOOKUP('Summary Data'!$A99,'Round 2 Data'!$A$10:$A$146,'Round 2 Data'!P$10:P$146,0)+_xlfn.XLOOKUP('Summary Data'!$A99,'Round 3 Data'!$A$10:$A$145,'Round 3 Data'!P$10:P$145,0)+_xlfn.XLOOKUP('Summary Data'!$A99,'Round 4 Data'!$A$10:$A$147,'Round 4 Data'!P$10:P$147,0))/$D99</f>
        <v>#VALUE!</v>
      </c>
      <c r="Q99" s="57" t="e">
        <f>(_xlfn.XLOOKUP('Summary Data'!$A99,'Round 1 Data'!$A$10:$A$143,'Round 1 Data'!Q$10:Q$144,0)+_xlfn.XLOOKUP('Summary Data'!$A99,'Round 2 Data'!$A$10:$A$146,'Round 2 Data'!Q$10:Q$146,0)+_xlfn.XLOOKUP('Summary Data'!$A99,'Round 3 Data'!$A$10:$A$145,'Round 3 Data'!Q$10:Q$145,0)+_xlfn.XLOOKUP('Summary Data'!$A99,'Round 4 Data'!$A$10:$A$147,'Round 4 Data'!Q$10:Q$147,0))/$D99</f>
        <v>#VALUE!</v>
      </c>
      <c r="R99" s="57" t="e">
        <f>(_xlfn.XLOOKUP('Summary Data'!$A99,'Round 1 Data'!$A$10:$A$143,'Round 1 Data'!R$10:R$144,0)+_xlfn.XLOOKUP('Summary Data'!$A99,'Round 2 Data'!$A$10:$A$146,'Round 2 Data'!R$10:R$146,0)+_xlfn.XLOOKUP('Summary Data'!$A99,'Round 3 Data'!$A$10:$A$145,'Round 3 Data'!R$10:R$145,0)+_xlfn.XLOOKUP('Summary Data'!$A99,'Round 4 Data'!$A$10:$A$147,'Round 4 Data'!R$10:R$147,0))/$D99</f>
        <v>#VALUE!</v>
      </c>
      <c r="S99" s="57" t="e">
        <f>(_xlfn.XLOOKUP('Summary Data'!$A99,'Round 1 Data'!$A$10:$A$143,'Round 1 Data'!S$10:S$144,0)+_xlfn.XLOOKUP('Summary Data'!$A99,'Round 2 Data'!$A$10:$A$146,'Round 2 Data'!S$10:S$146,0)+_xlfn.XLOOKUP('Summary Data'!$A99,'Round 3 Data'!$A$10:$A$145,'Round 3 Data'!S$10:S$145,0)+_xlfn.XLOOKUP('Summary Data'!$A99,'Round 4 Data'!$A$10:$A$147,'Round 4 Data'!S$10:S$147,0))/$D99</f>
        <v>#VALUE!</v>
      </c>
      <c r="T99" s="62" t="e">
        <f>(_xlfn.XLOOKUP('Summary Data'!$A99,'Round 1 Data'!$A$10:$A$143,'Round 1 Data'!U$10:U$144,0)+_xlfn.XLOOKUP('Summary Data'!$A99,'Round 2 Data'!$A$10:$A$146,'Round 2 Data'!U$10:U$146,0)+_xlfn.XLOOKUP('Summary Data'!$A99,'Round 3 Data'!$A$10:$A$145,'Round 3 Data'!U$10:U$145,0)+_xlfn.XLOOKUP('Summary Data'!$A99,'Round 4 Data'!$A$10:$A$147,'Round 4 Data'!U$10:U$147,0))</f>
        <v>#VALUE!</v>
      </c>
    </row>
    <row r="100" spans="1:20" ht="16" thickBot="1" x14ac:dyDescent="0.25">
      <c r="A100" s="63" t="s">
        <v>108</v>
      </c>
      <c r="B100" t="s">
        <v>192</v>
      </c>
      <c r="C100" t="s">
        <v>195</v>
      </c>
      <c r="D100" t="e">
        <f>IF(_xlfn.XLOOKUP('Summary Data'!A100,'Round 1 Data'!$A$10:$A$143,'Round 1 Data'!$E$10:$E$144,0)=0,0,1)+IF(_xlfn.XLOOKUP('Summary Data'!A100,'Round 2 Data'!$A$10:$A$146,'Round 2 Data'!$E$10:$E$146,0)=0,0,1)+IF(_xlfn.XLOOKUP('Summary Data'!A100,'Round 3 Data'!$A$10:$A$145,'Round 3 Data'!$E$10:$E$145,0)=0,0,1)+IF(_xlfn.XLOOKUP('Summary Data'!A100,'Round 4 Data'!$A$10:$A$147,'Round 4 Data'!$E$10:$E$147,0)=0,0,1)</f>
        <v>#VALUE!</v>
      </c>
      <c r="E100" s="57" t="e">
        <f>(_xlfn.XLOOKUP('Summary Data'!$A100,'Round 1 Data'!$A$10:$A$143,'Round 1 Data'!E$10:E$144,0)+_xlfn.XLOOKUP('Summary Data'!$A100,'Round 2 Data'!$A$10:$A$146,'Round 2 Data'!E$10:E$146,0)+_xlfn.XLOOKUP('Summary Data'!$A100,'Round 3 Data'!$A$10:$A$145,'Round 3 Data'!E$10:E$145,0)+_xlfn.XLOOKUP('Summary Data'!$A100,'Round 4 Data'!$A$10:$A$147,'Round 4 Data'!E$10:E$147,0))/$D100</f>
        <v>#VALUE!</v>
      </c>
      <c r="F100" s="57" t="e">
        <f>(_xlfn.XLOOKUP('Summary Data'!$A100,'Round 1 Data'!$A$10:$A$143,'Round 1 Data'!F$10:F$144,0)+_xlfn.XLOOKUP('Summary Data'!$A100,'Round 2 Data'!$A$10:$A$146,'Round 2 Data'!F$10:F$146,0)+_xlfn.XLOOKUP('Summary Data'!$A100,'Round 3 Data'!$A$10:$A$145,'Round 3 Data'!F$10:F$145,0)+_xlfn.XLOOKUP('Summary Data'!$A100,'Round 4 Data'!$A$10:$A$147,'Round 4 Data'!F$10:F$147,0))/$D100</f>
        <v>#VALUE!</v>
      </c>
      <c r="G100" s="57" t="e">
        <f>(_xlfn.XLOOKUP('Summary Data'!$A100,'Round 1 Data'!$A$10:$A$143,'Round 1 Data'!G$10:G$144,0)+_xlfn.XLOOKUP('Summary Data'!$A100,'Round 2 Data'!$A$10:$A$146,'Round 2 Data'!G$10:G$146,0)+_xlfn.XLOOKUP('Summary Data'!$A100,'Round 3 Data'!$A$10:$A$145,'Round 3 Data'!G$10:G$145,0)+_xlfn.XLOOKUP('Summary Data'!$A100,'Round 4 Data'!$A$10:$A$147,'Round 4 Data'!G$10:G$147,0))/$D100</f>
        <v>#VALUE!</v>
      </c>
      <c r="H100" s="57" t="e">
        <f>(_xlfn.XLOOKUP('Summary Data'!$A100,'Round 1 Data'!$A$10:$A$143,'Round 1 Data'!H$10:H$144,0)+_xlfn.XLOOKUP('Summary Data'!$A100,'Round 2 Data'!$A$10:$A$146,'Round 2 Data'!H$10:H$146,0)+_xlfn.XLOOKUP('Summary Data'!$A100,'Round 3 Data'!$A$10:$A$145,'Round 3 Data'!H$10:H$145,0)+_xlfn.XLOOKUP('Summary Data'!$A100,'Round 4 Data'!$A$10:$A$147,'Round 4 Data'!H$10:H$147,0))/$D100</f>
        <v>#VALUE!</v>
      </c>
      <c r="I100" s="57" t="e">
        <f>(_xlfn.XLOOKUP('Summary Data'!$A100,'Round 1 Data'!$A$10:$A$143,'Round 1 Data'!I$10:I$144,0)+_xlfn.XLOOKUP('Summary Data'!$A100,'Round 2 Data'!$A$10:$A$146,'Round 2 Data'!I$10:I$146,0)+_xlfn.XLOOKUP('Summary Data'!$A100,'Round 3 Data'!$A$10:$A$145,'Round 3 Data'!I$10:I$145,0)+_xlfn.XLOOKUP('Summary Data'!$A100,'Round 4 Data'!$A$10:$A$147,'Round 4 Data'!I$10:I$147,0))/$D100</f>
        <v>#VALUE!</v>
      </c>
      <c r="J100" s="57" t="e">
        <f>(_xlfn.XLOOKUP('Summary Data'!$A100,'Round 1 Data'!$A$10:$A$143,'Round 1 Data'!J$10:J$144,0)+_xlfn.XLOOKUP('Summary Data'!$A100,'Round 2 Data'!$A$10:$A$146,'Round 2 Data'!J$10:J$146,0)+_xlfn.XLOOKUP('Summary Data'!$A100,'Round 3 Data'!$A$10:$A$145,'Round 3 Data'!J$10:J$145,0)+_xlfn.XLOOKUP('Summary Data'!$A100,'Round 4 Data'!$A$10:$A$147,'Round 4 Data'!J$10:J$147,0))/$D100</f>
        <v>#VALUE!</v>
      </c>
      <c r="K100" s="57" t="e">
        <f>(_xlfn.XLOOKUP('Summary Data'!$A100,'Round 1 Data'!$A$10:$A$143,'Round 1 Data'!K$10:K$144,0)+_xlfn.XLOOKUP('Summary Data'!$A100,'Round 2 Data'!$A$10:$A$146,'Round 2 Data'!K$10:K$146,0)+_xlfn.XLOOKUP('Summary Data'!$A100,'Round 3 Data'!$A$10:$A$145,'Round 3 Data'!K$10:K$145,0)+_xlfn.XLOOKUP('Summary Data'!$A100,'Round 4 Data'!$A$10:$A$147,'Round 4 Data'!K$10:K$147,0))/$D100</f>
        <v>#VALUE!</v>
      </c>
      <c r="L100" s="57" t="e">
        <f>(_xlfn.XLOOKUP('Summary Data'!$A100,'Round 1 Data'!$A$10:$A$143,'Round 1 Data'!L$10:L$144,0)+_xlfn.XLOOKUP('Summary Data'!$A100,'Round 2 Data'!$A$10:$A$146,'Round 2 Data'!L$10:L$146,0)+_xlfn.XLOOKUP('Summary Data'!$A100,'Round 3 Data'!$A$10:$A$145,'Round 3 Data'!L$10:L$145,0)+_xlfn.XLOOKUP('Summary Data'!$A100,'Round 4 Data'!$A$10:$A$147,'Round 4 Data'!L$10:L$147,0))/$D100</f>
        <v>#VALUE!</v>
      </c>
      <c r="M100" s="57" t="e">
        <f>(_xlfn.XLOOKUP('Summary Data'!$A100,'Round 1 Data'!$A$10:$A$143,'Round 1 Data'!M$10:M$144,0)+_xlfn.XLOOKUP('Summary Data'!$A100,'Round 2 Data'!$A$10:$A$146,'Round 2 Data'!M$10:M$146,0)+_xlfn.XLOOKUP('Summary Data'!$A100,'Round 3 Data'!$A$10:$A$145,'Round 3 Data'!M$10:M$145,0)+_xlfn.XLOOKUP('Summary Data'!$A100,'Round 4 Data'!$A$10:$A$147,'Round 4 Data'!M$10:M$147,0))/$D100</f>
        <v>#VALUE!</v>
      </c>
      <c r="N100" s="57" t="e">
        <f>(_xlfn.XLOOKUP('Summary Data'!$A100,'Round 1 Data'!$A$10:$A$143,'Round 1 Data'!N$10:N$144,0)+_xlfn.XLOOKUP('Summary Data'!$A100,'Round 2 Data'!$A$10:$A$146,'Round 2 Data'!N$10:N$146,0)+_xlfn.XLOOKUP('Summary Data'!$A100,'Round 3 Data'!$A$10:$A$145,'Round 3 Data'!N$10:N$145,0)+_xlfn.XLOOKUP('Summary Data'!$A100,'Round 4 Data'!$A$10:$A$147,'Round 4 Data'!N$10:N$147,0))/$D100</f>
        <v>#VALUE!</v>
      </c>
      <c r="O100" s="57" t="e">
        <f>(_xlfn.XLOOKUP('Summary Data'!$A100,'Round 1 Data'!$A$10:$A$143,'Round 1 Data'!O$10:O$144,0)+_xlfn.XLOOKUP('Summary Data'!$A100,'Round 2 Data'!$A$10:$A$146,'Round 2 Data'!O$10:O$146,0)+_xlfn.XLOOKUP('Summary Data'!$A100,'Round 3 Data'!$A$10:$A$145,'Round 3 Data'!O$10:O$145,0)+_xlfn.XLOOKUP('Summary Data'!$A100,'Round 4 Data'!$A$10:$A$147,'Round 4 Data'!O$10:O$147,0))/$D100</f>
        <v>#VALUE!</v>
      </c>
      <c r="P100" s="57" t="e">
        <f>(_xlfn.XLOOKUP('Summary Data'!$A100,'Round 1 Data'!$A$10:$A$143,'Round 1 Data'!P$10:P$144,0)+_xlfn.XLOOKUP('Summary Data'!$A100,'Round 2 Data'!$A$10:$A$146,'Round 2 Data'!P$10:P$146,0)+_xlfn.XLOOKUP('Summary Data'!$A100,'Round 3 Data'!$A$10:$A$145,'Round 3 Data'!P$10:P$145,0)+_xlfn.XLOOKUP('Summary Data'!$A100,'Round 4 Data'!$A$10:$A$147,'Round 4 Data'!P$10:P$147,0))/$D100</f>
        <v>#VALUE!</v>
      </c>
      <c r="Q100" s="57" t="e">
        <f>(_xlfn.XLOOKUP('Summary Data'!$A100,'Round 1 Data'!$A$10:$A$143,'Round 1 Data'!Q$10:Q$144,0)+_xlfn.XLOOKUP('Summary Data'!$A100,'Round 2 Data'!$A$10:$A$146,'Round 2 Data'!Q$10:Q$146,0)+_xlfn.XLOOKUP('Summary Data'!$A100,'Round 3 Data'!$A$10:$A$145,'Round 3 Data'!Q$10:Q$145,0)+_xlfn.XLOOKUP('Summary Data'!$A100,'Round 4 Data'!$A$10:$A$147,'Round 4 Data'!Q$10:Q$147,0))/$D100</f>
        <v>#VALUE!</v>
      </c>
      <c r="R100" s="57" t="e">
        <f>(_xlfn.XLOOKUP('Summary Data'!$A100,'Round 1 Data'!$A$10:$A$143,'Round 1 Data'!R$10:R$144,0)+_xlfn.XLOOKUP('Summary Data'!$A100,'Round 2 Data'!$A$10:$A$146,'Round 2 Data'!R$10:R$146,0)+_xlfn.XLOOKUP('Summary Data'!$A100,'Round 3 Data'!$A$10:$A$145,'Round 3 Data'!R$10:R$145,0)+_xlfn.XLOOKUP('Summary Data'!$A100,'Round 4 Data'!$A$10:$A$147,'Round 4 Data'!R$10:R$147,0))/$D100</f>
        <v>#VALUE!</v>
      </c>
      <c r="S100" s="57" t="e">
        <f>(_xlfn.XLOOKUP('Summary Data'!$A100,'Round 1 Data'!$A$10:$A$143,'Round 1 Data'!S$10:S$144,0)+_xlfn.XLOOKUP('Summary Data'!$A100,'Round 2 Data'!$A$10:$A$146,'Round 2 Data'!S$10:S$146,0)+_xlfn.XLOOKUP('Summary Data'!$A100,'Round 3 Data'!$A$10:$A$145,'Round 3 Data'!S$10:S$145,0)+_xlfn.XLOOKUP('Summary Data'!$A100,'Round 4 Data'!$A$10:$A$147,'Round 4 Data'!S$10:S$147,0))/$D100</f>
        <v>#VALUE!</v>
      </c>
      <c r="T100" s="62" t="e">
        <f>(_xlfn.XLOOKUP('Summary Data'!$A100,'Round 1 Data'!$A$10:$A$143,'Round 1 Data'!U$10:U$144,0)+_xlfn.XLOOKUP('Summary Data'!$A100,'Round 2 Data'!$A$10:$A$146,'Round 2 Data'!U$10:U$146,0)+_xlfn.XLOOKUP('Summary Data'!$A100,'Round 3 Data'!$A$10:$A$145,'Round 3 Data'!U$10:U$145,0)+_xlfn.XLOOKUP('Summary Data'!$A100,'Round 4 Data'!$A$10:$A$147,'Round 4 Data'!U$10:U$147,0))</f>
        <v>#VALUE!</v>
      </c>
    </row>
    <row r="101" spans="1:20" ht="16" thickBot="1" x14ac:dyDescent="0.25">
      <c r="A101" s="61" t="s">
        <v>109</v>
      </c>
      <c r="B101" t="s">
        <v>192</v>
      </c>
      <c r="C101" t="s">
        <v>195</v>
      </c>
      <c r="D101" t="e">
        <f>IF(_xlfn.XLOOKUP('Summary Data'!A101,'Round 1 Data'!$A$10:$A$143,'Round 1 Data'!$E$10:$E$144,0)=0,0,1)+IF(_xlfn.XLOOKUP('Summary Data'!A101,'Round 2 Data'!$A$10:$A$146,'Round 2 Data'!$E$10:$E$146,0)=0,0,1)+IF(_xlfn.XLOOKUP('Summary Data'!A101,'Round 3 Data'!$A$10:$A$145,'Round 3 Data'!$E$10:$E$145,0)=0,0,1)+IF(_xlfn.XLOOKUP('Summary Data'!A101,'Round 4 Data'!$A$10:$A$147,'Round 4 Data'!$E$10:$E$147,0)=0,0,1)</f>
        <v>#VALUE!</v>
      </c>
      <c r="E101" s="57" t="e">
        <f>(_xlfn.XLOOKUP('Summary Data'!$A101,'Round 1 Data'!$A$10:$A$143,'Round 1 Data'!E$10:E$144,0)+_xlfn.XLOOKUP('Summary Data'!$A101,'Round 2 Data'!$A$10:$A$146,'Round 2 Data'!E$10:E$146,0)+_xlfn.XLOOKUP('Summary Data'!$A101,'Round 3 Data'!$A$10:$A$145,'Round 3 Data'!E$10:E$145,0)+_xlfn.XLOOKUP('Summary Data'!$A101,'Round 4 Data'!$A$10:$A$147,'Round 4 Data'!E$10:E$147,0))/$D101</f>
        <v>#VALUE!</v>
      </c>
      <c r="F101" s="57" t="e">
        <f>(_xlfn.XLOOKUP('Summary Data'!$A101,'Round 1 Data'!$A$10:$A$143,'Round 1 Data'!F$10:F$144,0)+_xlfn.XLOOKUP('Summary Data'!$A101,'Round 2 Data'!$A$10:$A$146,'Round 2 Data'!F$10:F$146,0)+_xlfn.XLOOKUP('Summary Data'!$A101,'Round 3 Data'!$A$10:$A$145,'Round 3 Data'!F$10:F$145,0)+_xlfn.XLOOKUP('Summary Data'!$A101,'Round 4 Data'!$A$10:$A$147,'Round 4 Data'!F$10:F$147,0))/$D101</f>
        <v>#VALUE!</v>
      </c>
      <c r="G101" s="57" t="e">
        <f>(_xlfn.XLOOKUP('Summary Data'!$A101,'Round 1 Data'!$A$10:$A$143,'Round 1 Data'!G$10:G$144,0)+_xlfn.XLOOKUP('Summary Data'!$A101,'Round 2 Data'!$A$10:$A$146,'Round 2 Data'!G$10:G$146,0)+_xlfn.XLOOKUP('Summary Data'!$A101,'Round 3 Data'!$A$10:$A$145,'Round 3 Data'!G$10:G$145,0)+_xlfn.XLOOKUP('Summary Data'!$A101,'Round 4 Data'!$A$10:$A$147,'Round 4 Data'!G$10:G$147,0))/$D101</f>
        <v>#VALUE!</v>
      </c>
      <c r="H101" s="57" t="e">
        <f>(_xlfn.XLOOKUP('Summary Data'!$A101,'Round 1 Data'!$A$10:$A$143,'Round 1 Data'!H$10:H$144,0)+_xlfn.XLOOKUP('Summary Data'!$A101,'Round 2 Data'!$A$10:$A$146,'Round 2 Data'!H$10:H$146,0)+_xlfn.XLOOKUP('Summary Data'!$A101,'Round 3 Data'!$A$10:$A$145,'Round 3 Data'!H$10:H$145,0)+_xlfn.XLOOKUP('Summary Data'!$A101,'Round 4 Data'!$A$10:$A$147,'Round 4 Data'!H$10:H$147,0))/$D101</f>
        <v>#VALUE!</v>
      </c>
      <c r="I101" s="57" t="e">
        <f>(_xlfn.XLOOKUP('Summary Data'!$A101,'Round 1 Data'!$A$10:$A$143,'Round 1 Data'!I$10:I$144,0)+_xlfn.XLOOKUP('Summary Data'!$A101,'Round 2 Data'!$A$10:$A$146,'Round 2 Data'!I$10:I$146,0)+_xlfn.XLOOKUP('Summary Data'!$A101,'Round 3 Data'!$A$10:$A$145,'Round 3 Data'!I$10:I$145,0)+_xlfn.XLOOKUP('Summary Data'!$A101,'Round 4 Data'!$A$10:$A$147,'Round 4 Data'!I$10:I$147,0))/$D101</f>
        <v>#VALUE!</v>
      </c>
      <c r="J101" s="57" t="e">
        <f>(_xlfn.XLOOKUP('Summary Data'!$A101,'Round 1 Data'!$A$10:$A$143,'Round 1 Data'!J$10:J$144,0)+_xlfn.XLOOKUP('Summary Data'!$A101,'Round 2 Data'!$A$10:$A$146,'Round 2 Data'!J$10:J$146,0)+_xlfn.XLOOKUP('Summary Data'!$A101,'Round 3 Data'!$A$10:$A$145,'Round 3 Data'!J$10:J$145,0)+_xlfn.XLOOKUP('Summary Data'!$A101,'Round 4 Data'!$A$10:$A$147,'Round 4 Data'!J$10:J$147,0))/$D101</f>
        <v>#VALUE!</v>
      </c>
      <c r="K101" s="57" t="e">
        <f>(_xlfn.XLOOKUP('Summary Data'!$A101,'Round 1 Data'!$A$10:$A$143,'Round 1 Data'!K$10:K$144,0)+_xlfn.XLOOKUP('Summary Data'!$A101,'Round 2 Data'!$A$10:$A$146,'Round 2 Data'!K$10:K$146,0)+_xlfn.XLOOKUP('Summary Data'!$A101,'Round 3 Data'!$A$10:$A$145,'Round 3 Data'!K$10:K$145,0)+_xlfn.XLOOKUP('Summary Data'!$A101,'Round 4 Data'!$A$10:$A$147,'Round 4 Data'!K$10:K$147,0))/$D101</f>
        <v>#VALUE!</v>
      </c>
      <c r="L101" s="57" t="e">
        <f>(_xlfn.XLOOKUP('Summary Data'!$A101,'Round 1 Data'!$A$10:$A$143,'Round 1 Data'!L$10:L$144,0)+_xlfn.XLOOKUP('Summary Data'!$A101,'Round 2 Data'!$A$10:$A$146,'Round 2 Data'!L$10:L$146,0)+_xlfn.XLOOKUP('Summary Data'!$A101,'Round 3 Data'!$A$10:$A$145,'Round 3 Data'!L$10:L$145,0)+_xlfn.XLOOKUP('Summary Data'!$A101,'Round 4 Data'!$A$10:$A$147,'Round 4 Data'!L$10:L$147,0))/$D101</f>
        <v>#VALUE!</v>
      </c>
      <c r="M101" s="57" t="e">
        <f>(_xlfn.XLOOKUP('Summary Data'!$A101,'Round 1 Data'!$A$10:$A$143,'Round 1 Data'!M$10:M$144,0)+_xlfn.XLOOKUP('Summary Data'!$A101,'Round 2 Data'!$A$10:$A$146,'Round 2 Data'!M$10:M$146,0)+_xlfn.XLOOKUP('Summary Data'!$A101,'Round 3 Data'!$A$10:$A$145,'Round 3 Data'!M$10:M$145,0)+_xlfn.XLOOKUP('Summary Data'!$A101,'Round 4 Data'!$A$10:$A$147,'Round 4 Data'!M$10:M$147,0))/$D101</f>
        <v>#VALUE!</v>
      </c>
      <c r="N101" s="57" t="e">
        <f>(_xlfn.XLOOKUP('Summary Data'!$A101,'Round 1 Data'!$A$10:$A$143,'Round 1 Data'!N$10:N$144,0)+_xlfn.XLOOKUP('Summary Data'!$A101,'Round 2 Data'!$A$10:$A$146,'Round 2 Data'!N$10:N$146,0)+_xlfn.XLOOKUP('Summary Data'!$A101,'Round 3 Data'!$A$10:$A$145,'Round 3 Data'!N$10:N$145,0)+_xlfn.XLOOKUP('Summary Data'!$A101,'Round 4 Data'!$A$10:$A$147,'Round 4 Data'!N$10:N$147,0))/$D101</f>
        <v>#VALUE!</v>
      </c>
      <c r="O101" s="57" t="e">
        <f>(_xlfn.XLOOKUP('Summary Data'!$A101,'Round 1 Data'!$A$10:$A$143,'Round 1 Data'!O$10:O$144,0)+_xlfn.XLOOKUP('Summary Data'!$A101,'Round 2 Data'!$A$10:$A$146,'Round 2 Data'!O$10:O$146,0)+_xlfn.XLOOKUP('Summary Data'!$A101,'Round 3 Data'!$A$10:$A$145,'Round 3 Data'!O$10:O$145,0)+_xlfn.XLOOKUP('Summary Data'!$A101,'Round 4 Data'!$A$10:$A$147,'Round 4 Data'!O$10:O$147,0))/$D101</f>
        <v>#VALUE!</v>
      </c>
      <c r="P101" s="57" t="e">
        <f>(_xlfn.XLOOKUP('Summary Data'!$A101,'Round 1 Data'!$A$10:$A$143,'Round 1 Data'!P$10:P$144,0)+_xlfn.XLOOKUP('Summary Data'!$A101,'Round 2 Data'!$A$10:$A$146,'Round 2 Data'!P$10:P$146,0)+_xlfn.XLOOKUP('Summary Data'!$A101,'Round 3 Data'!$A$10:$A$145,'Round 3 Data'!P$10:P$145,0)+_xlfn.XLOOKUP('Summary Data'!$A101,'Round 4 Data'!$A$10:$A$147,'Round 4 Data'!P$10:P$147,0))/$D101</f>
        <v>#VALUE!</v>
      </c>
      <c r="Q101" s="57" t="e">
        <f>(_xlfn.XLOOKUP('Summary Data'!$A101,'Round 1 Data'!$A$10:$A$143,'Round 1 Data'!Q$10:Q$144,0)+_xlfn.XLOOKUP('Summary Data'!$A101,'Round 2 Data'!$A$10:$A$146,'Round 2 Data'!Q$10:Q$146,0)+_xlfn.XLOOKUP('Summary Data'!$A101,'Round 3 Data'!$A$10:$A$145,'Round 3 Data'!Q$10:Q$145,0)+_xlfn.XLOOKUP('Summary Data'!$A101,'Round 4 Data'!$A$10:$A$147,'Round 4 Data'!Q$10:Q$147,0))/$D101</f>
        <v>#VALUE!</v>
      </c>
      <c r="R101" s="57" t="e">
        <f>(_xlfn.XLOOKUP('Summary Data'!$A101,'Round 1 Data'!$A$10:$A$143,'Round 1 Data'!R$10:R$144,0)+_xlfn.XLOOKUP('Summary Data'!$A101,'Round 2 Data'!$A$10:$A$146,'Round 2 Data'!R$10:R$146,0)+_xlfn.XLOOKUP('Summary Data'!$A101,'Round 3 Data'!$A$10:$A$145,'Round 3 Data'!R$10:R$145,0)+_xlfn.XLOOKUP('Summary Data'!$A101,'Round 4 Data'!$A$10:$A$147,'Round 4 Data'!R$10:R$147,0))/$D101</f>
        <v>#VALUE!</v>
      </c>
      <c r="S101" s="57" t="e">
        <f>(_xlfn.XLOOKUP('Summary Data'!$A101,'Round 1 Data'!$A$10:$A$143,'Round 1 Data'!S$10:S$144,0)+_xlfn.XLOOKUP('Summary Data'!$A101,'Round 2 Data'!$A$10:$A$146,'Round 2 Data'!S$10:S$146,0)+_xlfn.XLOOKUP('Summary Data'!$A101,'Round 3 Data'!$A$10:$A$145,'Round 3 Data'!S$10:S$145,0)+_xlfn.XLOOKUP('Summary Data'!$A101,'Round 4 Data'!$A$10:$A$147,'Round 4 Data'!S$10:S$147,0))/$D101</f>
        <v>#VALUE!</v>
      </c>
      <c r="T101" s="62" t="e">
        <f>(_xlfn.XLOOKUP('Summary Data'!$A101,'Round 1 Data'!$A$10:$A$143,'Round 1 Data'!U$10:U$144,0)+_xlfn.XLOOKUP('Summary Data'!$A101,'Round 2 Data'!$A$10:$A$146,'Round 2 Data'!U$10:U$146,0)+_xlfn.XLOOKUP('Summary Data'!$A101,'Round 3 Data'!$A$10:$A$145,'Round 3 Data'!U$10:U$145,0)+_xlfn.XLOOKUP('Summary Data'!$A101,'Round 4 Data'!$A$10:$A$147,'Round 4 Data'!U$10:U$147,0))</f>
        <v>#VALUE!</v>
      </c>
    </row>
    <row r="102" spans="1:20" ht="16" thickBot="1" x14ac:dyDescent="0.25">
      <c r="A102" s="63" t="s">
        <v>110</v>
      </c>
      <c r="B102" t="s">
        <v>192</v>
      </c>
      <c r="C102" t="s">
        <v>196</v>
      </c>
      <c r="D102" t="e">
        <f>IF(_xlfn.XLOOKUP('Summary Data'!A102,'Round 1 Data'!$A$10:$A$143,'Round 1 Data'!$E$10:$E$144,0)=0,0,1)+IF(_xlfn.XLOOKUP('Summary Data'!A102,'Round 2 Data'!$A$10:$A$146,'Round 2 Data'!$E$10:$E$146,0)=0,0,1)+IF(_xlfn.XLOOKUP('Summary Data'!A102,'Round 3 Data'!$A$10:$A$145,'Round 3 Data'!$E$10:$E$145,0)=0,0,1)+IF(_xlfn.XLOOKUP('Summary Data'!A102,'Round 4 Data'!$A$10:$A$147,'Round 4 Data'!$E$10:$E$147,0)=0,0,1)</f>
        <v>#VALUE!</v>
      </c>
      <c r="E102" s="57" t="e">
        <f>(_xlfn.XLOOKUP('Summary Data'!$A102,'Round 1 Data'!$A$10:$A$143,'Round 1 Data'!E$10:E$144,0)+_xlfn.XLOOKUP('Summary Data'!$A102,'Round 2 Data'!$A$10:$A$146,'Round 2 Data'!E$10:E$146,0)+_xlfn.XLOOKUP('Summary Data'!$A102,'Round 3 Data'!$A$10:$A$145,'Round 3 Data'!E$10:E$145,0)+_xlfn.XLOOKUP('Summary Data'!$A102,'Round 4 Data'!$A$10:$A$147,'Round 4 Data'!E$10:E$147,0))/$D102</f>
        <v>#VALUE!</v>
      </c>
      <c r="F102" s="57" t="e">
        <f>(_xlfn.XLOOKUP('Summary Data'!$A102,'Round 1 Data'!$A$10:$A$143,'Round 1 Data'!F$10:F$144,0)+_xlfn.XLOOKUP('Summary Data'!$A102,'Round 2 Data'!$A$10:$A$146,'Round 2 Data'!F$10:F$146,0)+_xlfn.XLOOKUP('Summary Data'!$A102,'Round 3 Data'!$A$10:$A$145,'Round 3 Data'!F$10:F$145,0)+_xlfn.XLOOKUP('Summary Data'!$A102,'Round 4 Data'!$A$10:$A$147,'Round 4 Data'!F$10:F$147,0))/$D102</f>
        <v>#VALUE!</v>
      </c>
      <c r="G102" s="57" t="e">
        <f>(_xlfn.XLOOKUP('Summary Data'!$A102,'Round 1 Data'!$A$10:$A$143,'Round 1 Data'!G$10:G$144,0)+_xlfn.XLOOKUP('Summary Data'!$A102,'Round 2 Data'!$A$10:$A$146,'Round 2 Data'!G$10:G$146,0)+_xlfn.XLOOKUP('Summary Data'!$A102,'Round 3 Data'!$A$10:$A$145,'Round 3 Data'!G$10:G$145,0)+_xlfn.XLOOKUP('Summary Data'!$A102,'Round 4 Data'!$A$10:$A$147,'Round 4 Data'!G$10:G$147,0))/$D102</f>
        <v>#VALUE!</v>
      </c>
      <c r="H102" s="57" t="e">
        <f>(_xlfn.XLOOKUP('Summary Data'!$A102,'Round 1 Data'!$A$10:$A$143,'Round 1 Data'!H$10:H$144,0)+_xlfn.XLOOKUP('Summary Data'!$A102,'Round 2 Data'!$A$10:$A$146,'Round 2 Data'!H$10:H$146,0)+_xlfn.XLOOKUP('Summary Data'!$A102,'Round 3 Data'!$A$10:$A$145,'Round 3 Data'!H$10:H$145,0)+_xlfn.XLOOKUP('Summary Data'!$A102,'Round 4 Data'!$A$10:$A$147,'Round 4 Data'!H$10:H$147,0))/$D102</f>
        <v>#VALUE!</v>
      </c>
      <c r="I102" s="57" t="e">
        <f>(_xlfn.XLOOKUP('Summary Data'!$A102,'Round 1 Data'!$A$10:$A$143,'Round 1 Data'!I$10:I$144,0)+_xlfn.XLOOKUP('Summary Data'!$A102,'Round 2 Data'!$A$10:$A$146,'Round 2 Data'!I$10:I$146,0)+_xlfn.XLOOKUP('Summary Data'!$A102,'Round 3 Data'!$A$10:$A$145,'Round 3 Data'!I$10:I$145,0)+_xlfn.XLOOKUP('Summary Data'!$A102,'Round 4 Data'!$A$10:$A$147,'Round 4 Data'!I$10:I$147,0))/$D102</f>
        <v>#VALUE!</v>
      </c>
      <c r="J102" s="57" t="e">
        <f>(_xlfn.XLOOKUP('Summary Data'!$A102,'Round 1 Data'!$A$10:$A$143,'Round 1 Data'!J$10:J$144,0)+_xlfn.XLOOKUP('Summary Data'!$A102,'Round 2 Data'!$A$10:$A$146,'Round 2 Data'!J$10:J$146,0)+_xlfn.XLOOKUP('Summary Data'!$A102,'Round 3 Data'!$A$10:$A$145,'Round 3 Data'!J$10:J$145,0)+_xlfn.XLOOKUP('Summary Data'!$A102,'Round 4 Data'!$A$10:$A$147,'Round 4 Data'!J$10:J$147,0))/$D102</f>
        <v>#VALUE!</v>
      </c>
      <c r="K102" s="57" t="e">
        <f>(_xlfn.XLOOKUP('Summary Data'!$A102,'Round 1 Data'!$A$10:$A$143,'Round 1 Data'!K$10:K$144,0)+_xlfn.XLOOKUP('Summary Data'!$A102,'Round 2 Data'!$A$10:$A$146,'Round 2 Data'!K$10:K$146,0)+_xlfn.XLOOKUP('Summary Data'!$A102,'Round 3 Data'!$A$10:$A$145,'Round 3 Data'!K$10:K$145,0)+_xlfn.XLOOKUP('Summary Data'!$A102,'Round 4 Data'!$A$10:$A$147,'Round 4 Data'!K$10:K$147,0))/$D102</f>
        <v>#VALUE!</v>
      </c>
      <c r="L102" s="57" t="e">
        <f>(_xlfn.XLOOKUP('Summary Data'!$A102,'Round 1 Data'!$A$10:$A$143,'Round 1 Data'!L$10:L$144,0)+_xlfn.XLOOKUP('Summary Data'!$A102,'Round 2 Data'!$A$10:$A$146,'Round 2 Data'!L$10:L$146,0)+_xlfn.XLOOKUP('Summary Data'!$A102,'Round 3 Data'!$A$10:$A$145,'Round 3 Data'!L$10:L$145,0)+_xlfn.XLOOKUP('Summary Data'!$A102,'Round 4 Data'!$A$10:$A$147,'Round 4 Data'!L$10:L$147,0))/$D102</f>
        <v>#VALUE!</v>
      </c>
      <c r="M102" s="57" t="e">
        <f>(_xlfn.XLOOKUP('Summary Data'!$A102,'Round 1 Data'!$A$10:$A$143,'Round 1 Data'!M$10:M$144,0)+_xlfn.XLOOKUP('Summary Data'!$A102,'Round 2 Data'!$A$10:$A$146,'Round 2 Data'!M$10:M$146,0)+_xlfn.XLOOKUP('Summary Data'!$A102,'Round 3 Data'!$A$10:$A$145,'Round 3 Data'!M$10:M$145,0)+_xlfn.XLOOKUP('Summary Data'!$A102,'Round 4 Data'!$A$10:$A$147,'Round 4 Data'!M$10:M$147,0))/$D102</f>
        <v>#VALUE!</v>
      </c>
      <c r="N102" s="57" t="e">
        <f>(_xlfn.XLOOKUP('Summary Data'!$A102,'Round 1 Data'!$A$10:$A$143,'Round 1 Data'!N$10:N$144,0)+_xlfn.XLOOKUP('Summary Data'!$A102,'Round 2 Data'!$A$10:$A$146,'Round 2 Data'!N$10:N$146,0)+_xlfn.XLOOKUP('Summary Data'!$A102,'Round 3 Data'!$A$10:$A$145,'Round 3 Data'!N$10:N$145,0)+_xlfn.XLOOKUP('Summary Data'!$A102,'Round 4 Data'!$A$10:$A$147,'Round 4 Data'!N$10:N$147,0))/$D102</f>
        <v>#VALUE!</v>
      </c>
      <c r="O102" s="57" t="e">
        <f>(_xlfn.XLOOKUP('Summary Data'!$A102,'Round 1 Data'!$A$10:$A$143,'Round 1 Data'!O$10:O$144,0)+_xlfn.XLOOKUP('Summary Data'!$A102,'Round 2 Data'!$A$10:$A$146,'Round 2 Data'!O$10:O$146,0)+_xlfn.XLOOKUP('Summary Data'!$A102,'Round 3 Data'!$A$10:$A$145,'Round 3 Data'!O$10:O$145,0)+_xlfn.XLOOKUP('Summary Data'!$A102,'Round 4 Data'!$A$10:$A$147,'Round 4 Data'!O$10:O$147,0))/$D102</f>
        <v>#VALUE!</v>
      </c>
      <c r="P102" s="57" t="e">
        <f>(_xlfn.XLOOKUP('Summary Data'!$A102,'Round 1 Data'!$A$10:$A$143,'Round 1 Data'!P$10:P$144,0)+_xlfn.XLOOKUP('Summary Data'!$A102,'Round 2 Data'!$A$10:$A$146,'Round 2 Data'!P$10:P$146,0)+_xlfn.XLOOKUP('Summary Data'!$A102,'Round 3 Data'!$A$10:$A$145,'Round 3 Data'!P$10:P$145,0)+_xlfn.XLOOKUP('Summary Data'!$A102,'Round 4 Data'!$A$10:$A$147,'Round 4 Data'!P$10:P$147,0))/$D102</f>
        <v>#VALUE!</v>
      </c>
      <c r="Q102" s="57" t="e">
        <f>(_xlfn.XLOOKUP('Summary Data'!$A102,'Round 1 Data'!$A$10:$A$143,'Round 1 Data'!Q$10:Q$144,0)+_xlfn.XLOOKUP('Summary Data'!$A102,'Round 2 Data'!$A$10:$A$146,'Round 2 Data'!Q$10:Q$146,0)+_xlfn.XLOOKUP('Summary Data'!$A102,'Round 3 Data'!$A$10:$A$145,'Round 3 Data'!Q$10:Q$145,0)+_xlfn.XLOOKUP('Summary Data'!$A102,'Round 4 Data'!$A$10:$A$147,'Round 4 Data'!Q$10:Q$147,0))/$D102</f>
        <v>#VALUE!</v>
      </c>
      <c r="R102" s="57" t="e">
        <f>(_xlfn.XLOOKUP('Summary Data'!$A102,'Round 1 Data'!$A$10:$A$143,'Round 1 Data'!R$10:R$144,0)+_xlfn.XLOOKUP('Summary Data'!$A102,'Round 2 Data'!$A$10:$A$146,'Round 2 Data'!R$10:R$146,0)+_xlfn.XLOOKUP('Summary Data'!$A102,'Round 3 Data'!$A$10:$A$145,'Round 3 Data'!R$10:R$145,0)+_xlfn.XLOOKUP('Summary Data'!$A102,'Round 4 Data'!$A$10:$A$147,'Round 4 Data'!R$10:R$147,0))/$D102</f>
        <v>#VALUE!</v>
      </c>
      <c r="S102" s="57" t="e">
        <f>(_xlfn.XLOOKUP('Summary Data'!$A102,'Round 1 Data'!$A$10:$A$143,'Round 1 Data'!S$10:S$144,0)+_xlfn.XLOOKUP('Summary Data'!$A102,'Round 2 Data'!$A$10:$A$146,'Round 2 Data'!S$10:S$146,0)+_xlfn.XLOOKUP('Summary Data'!$A102,'Round 3 Data'!$A$10:$A$145,'Round 3 Data'!S$10:S$145,0)+_xlfn.XLOOKUP('Summary Data'!$A102,'Round 4 Data'!$A$10:$A$147,'Round 4 Data'!S$10:S$147,0))/$D102</f>
        <v>#VALUE!</v>
      </c>
      <c r="T102" s="62" t="e">
        <f>(_xlfn.XLOOKUP('Summary Data'!$A102,'Round 1 Data'!$A$10:$A$143,'Round 1 Data'!U$10:U$144,0)+_xlfn.XLOOKUP('Summary Data'!$A102,'Round 2 Data'!$A$10:$A$146,'Round 2 Data'!U$10:U$146,0)+_xlfn.XLOOKUP('Summary Data'!$A102,'Round 3 Data'!$A$10:$A$145,'Round 3 Data'!U$10:U$145,0)+_xlfn.XLOOKUP('Summary Data'!$A102,'Round 4 Data'!$A$10:$A$147,'Round 4 Data'!U$10:U$147,0))</f>
        <v>#VALUE!</v>
      </c>
    </row>
    <row r="103" spans="1:20" ht="16" thickBot="1" x14ac:dyDescent="0.25">
      <c r="A103" s="61" t="s">
        <v>111</v>
      </c>
      <c r="B103" t="s">
        <v>192</v>
      </c>
      <c r="C103" t="s">
        <v>197</v>
      </c>
      <c r="D103" t="e">
        <f>IF(_xlfn.XLOOKUP('Summary Data'!A103,'Round 1 Data'!$A$10:$A$143,'Round 1 Data'!$E$10:$E$144,0)=0,0,1)+IF(_xlfn.XLOOKUP('Summary Data'!A103,'Round 2 Data'!$A$10:$A$146,'Round 2 Data'!$E$10:$E$146,0)=0,0,1)+IF(_xlfn.XLOOKUP('Summary Data'!A103,'Round 3 Data'!$A$10:$A$145,'Round 3 Data'!$E$10:$E$145,0)=0,0,1)+IF(_xlfn.XLOOKUP('Summary Data'!A103,'Round 4 Data'!$A$10:$A$147,'Round 4 Data'!$E$10:$E$147,0)=0,0,1)</f>
        <v>#VALUE!</v>
      </c>
      <c r="E103" s="57" t="e">
        <f>(_xlfn.XLOOKUP('Summary Data'!$A103,'Round 1 Data'!$A$10:$A$143,'Round 1 Data'!E$10:E$144,0)+_xlfn.XLOOKUP('Summary Data'!$A103,'Round 2 Data'!$A$10:$A$146,'Round 2 Data'!E$10:E$146,0)+_xlfn.XLOOKUP('Summary Data'!$A103,'Round 3 Data'!$A$10:$A$145,'Round 3 Data'!E$10:E$145,0)+_xlfn.XLOOKUP('Summary Data'!$A103,'Round 4 Data'!$A$10:$A$147,'Round 4 Data'!E$10:E$147,0))/$D103</f>
        <v>#VALUE!</v>
      </c>
      <c r="F103" s="57" t="e">
        <f>(_xlfn.XLOOKUP('Summary Data'!$A103,'Round 1 Data'!$A$10:$A$143,'Round 1 Data'!F$10:F$144,0)+_xlfn.XLOOKUP('Summary Data'!$A103,'Round 2 Data'!$A$10:$A$146,'Round 2 Data'!F$10:F$146,0)+_xlfn.XLOOKUP('Summary Data'!$A103,'Round 3 Data'!$A$10:$A$145,'Round 3 Data'!F$10:F$145,0)+_xlfn.XLOOKUP('Summary Data'!$A103,'Round 4 Data'!$A$10:$A$147,'Round 4 Data'!F$10:F$147,0))/$D103</f>
        <v>#VALUE!</v>
      </c>
      <c r="G103" s="57" t="e">
        <f>(_xlfn.XLOOKUP('Summary Data'!$A103,'Round 1 Data'!$A$10:$A$143,'Round 1 Data'!G$10:G$144,0)+_xlfn.XLOOKUP('Summary Data'!$A103,'Round 2 Data'!$A$10:$A$146,'Round 2 Data'!G$10:G$146,0)+_xlfn.XLOOKUP('Summary Data'!$A103,'Round 3 Data'!$A$10:$A$145,'Round 3 Data'!G$10:G$145,0)+_xlfn.XLOOKUP('Summary Data'!$A103,'Round 4 Data'!$A$10:$A$147,'Round 4 Data'!G$10:G$147,0))/$D103</f>
        <v>#VALUE!</v>
      </c>
      <c r="H103" s="57" t="e">
        <f>(_xlfn.XLOOKUP('Summary Data'!$A103,'Round 1 Data'!$A$10:$A$143,'Round 1 Data'!H$10:H$144,0)+_xlfn.XLOOKUP('Summary Data'!$A103,'Round 2 Data'!$A$10:$A$146,'Round 2 Data'!H$10:H$146,0)+_xlfn.XLOOKUP('Summary Data'!$A103,'Round 3 Data'!$A$10:$A$145,'Round 3 Data'!H$10:H$145,0)+_xlfn.XLOOKUP('Summary Data'!$A103,'Round 4 Data'!$A$10:$A$147,'Round 4 Data'!H$10:H$147,0))/$D103</f>
        <v>#VALUE!</v>
      </c>
      <c r="I103" s="57" t="e">
        <f>(_xlfn.XLOOKUP('Summary Data'!$A103,'Round 1 Data'!$A$10:$A$143,'Round 1 Data'!I$10:I$144,0)+_xlfn.XLOOKUP('Summary Data'!$A103,'Round 2 Data'!$A$10:$A$146,'Round 2 Data'!I$10:I$146,0)+_xlfn.XLOOKUP('Summary Data'!$A103,'Round 3 Data'!$A$10:$A$145,'Round 3 Data'!I$10:I$145,0)+_xlfn.XLOOKUP('Summary Data'!$A103,'Round 4 Data'!$A$10:$A$147,'Round 4 Data'!I$10:I$147,0))/$D103</f>
        <v>#VALUE!</v>
      </c>
      <c r="J103" s="57" t="e">
        <f>(_xlfn.XLOOKUP('Summary Data'!$A103,'Round 1 Data'!$A$10:$A$143,'Round 1 Data'!J$10:J$144,0)+_xlfn.XLOOKUP('Summary Data'!$A103,'Round 2 Data'!$A$10:$A$146,'Round 2 Data'!J$10:J$146,0)+_xlfn.XLOOKUP('Summary Data'!$A103,'Round 3 Data'!$A$10:$A$145,'Round 3 Data'!J$10:J$145,0)+_xlfn.XLOOKUP('Summary Data'!$A103,'Round 4 Data'!$A$10:$A$147,'Round 4 Data'!J$10:J$147,0))/$D103</f>
        <v>#VALUE!</v>
      </c>
      <c r="K103" s="57" t="e">
        <f>(_xlfn.XLOOKUP('Summary Data'!$A103,'Round 1 Data'!$A$10:$A$143,'Round 1 Data'!K$10:K$144,0)+_xlfn.XLOOKUP('Summary Data'!$A103,'Round 2 Data'!$A$10:$A$146,'Round 2 Data'!K$10:K$146,0)+_xlfn.XLOOKUP('Summary Data'!$A103,'Round 3 Data'!$A$10:$A$145,'Round 3 Data'!K$10:K$145,0)+_xlfn.XLOOKUP('Summary Data'!$A103,'Round 4 Data'!$A$10:$A$147,'Round 4 Data'!K$10:K$147,0))/$D103</f>
        <v>#VALUE!</v>
      </c>
      <c r="L103" s="57" t="e">
        <f>(_xlfn.XLOOKUP('Summary Data'!$A103,'Round 1 Data'!$A$10:$A$143,'Round 1 Data'!L$10:L$144,0)+_xlfn.XLOOKUP('Summary Data'!$A103,'Round 2 Data'!$A$10:$A$146,'Round 2 Data'!L$10:L$146,0)+_xlfn.XLOOKUP('Summary Data'!$A103,'Round 3 Data'!$A$10:$A$145,'Round 3 Data'!L$10:L$145,0)+_xlfn.XLOOKUP('Summary Data'!$A103,'Round 4 Data'!$A$10:$A$147,'Round 4 Data'!L$10:L$147,0))/$D103</f>
        <v>#VALUE!</v>
      </c>
      <c r="M103" s="57" t="e">
        <f>(_xlfn.XLOOKUP('Summary Data'!$A103,'Round 1 Data'!$A$10:$A$143,'Round 1 Data'!M$10:M$144,0)+_xlfn.XLOOKUP('Summary Data'!$A103,'Round 2 Data'!$A$10:$A$146,'Round 2 Data'!M$10:M$146,0)+_xlfn.XLOOKUP('Summary Data'!$A103,'Round 3 Data'!$A$10:$A$145,'Round 3 Data'!M$10:M$145,0)+_xlfn.XLOOKUP('Summary Data'!$A103,'Round 4 Data'!$A$10:$A$147,'Round 4 Data'!M$10:M$147,0))/$D103</f>
        <v>#VALUE!</v>
      </c>
      <c r="N103" s="57" t="e">
        <f>(_xlfn.XLOOKUP('Summary Data'!$A103,'Round 1 Data'!$A$10:$A$143,'Round 1 Data'!N$10:N$144,0)+_xlfn.XLOOKUP('Summary Data'!$A103,'Round 2 Data'!$A$10:$A$146,'Round 2 Data'!N$10:N$146,0)+_xlfn.XLOOKUP('Summary Data'!$A103,'Round 3 Data'!$A$10:$A$145,'Round 3 Data'!N$10:N$145,0)+_xlfn.XLOOKUP('Summary Data'!$A103,'Round 4 Data'!$A$10:$A$147,'Round 4 Data'!N$10:N$147,0))/$D103</f>
        <v>#VALUE!</v>
      </c>
      <c r="O103" s="57" t="e">
        <f>(_xlfn.XLOOKUP('Summary Data'!$A103,'Round 1 Data'!$A$10:$A$143,'Round 1 Data'!O$10:O$144,0)+_xlfn.XLOOKUP('Summary Data'!$A103,'Round 2 Data'!$A$10:$A$146,'Round 2 Data'!O$10:O$146,0)+_xlfn.XLOOKUP('Summary Data'!$A103,'Round 3 Data'!$A$10:$A$145,'Round 3 Data'!O$10:O$145,0)+_xlfn.XLOOKUP('Summary Data'!$A103,'Round 4 Data'!$A$10:$A$147,'Round 4 Data'!O$10:O$147,0))/$D103</f>
        <v>#VALUE!</v>
      </c>
      <c r="P103" s="57" t="e">
        <f>(_xlfn.XLOOKUP('Summary Data'!$A103,'Round 1 Data'!$A$10:$A$143,'Round 1 Data'!P$10:P$144,0)+_xlfn.XLOOKUP('Summary Data'!$A103,'Round 2 Data'!$A$10:$A$146,'Round 2 Data'!P$10:P$146,0)+_xlfn.XLOOKUP('Summary Data'!$A103,'Round 3 Data'!$A$10:$A$145,'Round 3 Data'!P$10:P$145,0)+_xlfn.XLOOKUP('Summary Data'!$A103,'Round 4 Data'!$A$10:$A$147,'Round 4 Data'!P$10:P$147,0))/$D103</f>
        <v>#VALUE!</v>
      </c>
      <c r="Q103" s="57" t="e">
        <f>(_xlfn.XLOOKUP('Summary Data'!$A103,'Round 1 Data'!$A$10:$A$143,'Round 1 Data'!Q$10:Q$144,0)+_xlfn.XLOOKUP('Summary Data'!$A103,'Round 2 Data'!$A$10:$A$146,'Round 2 Data'!Q$10:Q$146,0)+_xlfn.XLOOKUP('Summary Data'!$A103,'Round 3 Data'!$A$10:$A$145,'Round 3 Data'!Q$10:Q$145,0)+_xlfn.XLOOKUP('Summary Data'!$A103,'Round 4 Data'!$A$10:$A$147,'Round 4 Data'!Q$10:Q$147,0))/$D103</f>
        <v>#VALUE!</v>
      </c>
      <c r="R103" s="57" t="e">
        <f>(_xlfn.XLOOKUP('Summary Data'!$A103,'Round 1 Data'!$A$10:$A$143,'Round 1 Data'!R$10:R$144,0)+_xlfn.XLOOKUP('Summary Data'!$A103,'Round 2 Data'!$A$10:$A$146,'Round 2 Data'!R$10:R$146,0)+_xlfn.XLOOKUP('Summary Data'!$A103,'Round 3 Data'!$A$10:$A$145,'Round 3 Data'!R$10:R$145,0)+_xlfn.XLOOKUP('Summary Data'!$A103,'Round 4 Data'!$A$10:$A$147,'Round 4 Data'!R$10:R$147,0))/$D103</f>
        <v>#VALUE!</v>
      </c>
      <c r="S103" s="57" t="e">
        <f>(_xlfn.XLOOKUP('Summary Data'!$A103,'Round 1 Data'!$A$10:$A$143,'Round 1 Data'!S$10:S$144,0)+_xlfn.XLOOKUP('Summary Data'!$A103,'Round 2 Data'!$A$10:$A$146,'Round 2 Data'!S$10:S$146,0)+_xlfn.XLOOKUP('Summary Data'!$A103,'Round 3 Data'!$A$10:$A$145,'Round 3 Data'!S$10:S$145,0)+_xlfn.XLOOKUP('Summary Data'!$A103,'Round 4 Data'!$A$10:$A$147,'Round 4 Data'!S$10:S$147,0))/$D103</f>
        <v>#VALUE!</v>
      </c>
      <c r="T103" s="62" t="e">
        <f>(_xlfn.XLOOKUP('Summary Data'!$A103,'Round 1 Data'!$A$10:$A$143,'Round 1 Data'!U$10:U$144,0)+_xlfn.XLOOKUP('Summary Data'!$A103,'Round 2 Data'!$A$10:$A$146,'Round 2 Data'!U$10:U$146,0)+_xlfn.XLOOKUP('Summary Data'!$A103,'Round 3 Data'!$A$10:$A$145,'Round 3 Data'!U$10:U$145,0)+_xlfn.XLOOKUP('Summary Data'!$A103,'Round 4 Data'!$A$10:$A$147,'Round 4 Data'!U$10:U$147,0))</f>
        <v>#VALUE!</v>
      </c>
    </row>
    <row r="104" spans="1:20" ht="16" thickBot="1" x14ac:dyDescent="0.25">
      <c r="A104" s="63" t="s">
        <v>112</v>
      </c>
      <c r="B104" t="s">
        <v>192</v>
      </c>
      <c r="C104" t="s">
        <v>198</v>
      </c>
      <c r="D104" t="e">
        <f>IF(_xlfn.XLOOKUP('Summary Data'!A104,'Round 1 Data'!$A$10:$A$143,'Round 1 Data'!$E$10:$E$144,0)=0,0,1)+IF(_xlfn.XLOOKUP('Summary Data'!A104,'Round 2 Data'!$A$10:$A$146,'Round 2 Data'!$E$10:$E$146,0)=0,0,1)+IF(_xlfn.XLOOKUP('Summary Data'!A104,'Round 3 Data'!$A$10:$A$145,'Round 3 Data'!$E$10:$E$145,0)=0,0,1)+IF(_xlfn.XLOOKUP('Summary Data'!A104,'Round 4 Data'!$A$10:$A$147,'Round 4 Data'!$E$10:$E$147,0)=0,0,1)</f>
        <v>#VALUE!</v>
      </c>
      <c r="E104" s="57" t="e">
        <f>(_xlfn.XLOOKUP('Summary Data'!$A104,'Round 1 Data'!$A$10:$A$143,'Round 1 Data'!E$10:E$144,0)+_xlfn.XLOOKUP('Summary Data'!$A104,'Round 2 Data'!$A$10:$A$146,'Round 2 Data'!E$10:E$146,0)+_xlfn.XLOOKUP('Summary Data'!$A104,'Round 3 Data'!$A$10:$A$145,'Round 3 Data'!E$10:E$145,0)+_xlfn.XLOOKUP('Summary Data'!$A104,'Round 4 Data'!$A$10:$A$147,'Round 4 Data'!E$10:E$147,0))/$D104</f>
        <v>#VALUE!</v>
      </c>
      <c r="F104" s="57" t="e">
        <f>(_xlfn.XLOOKUP('Summary Data'!$A104,'Round 1 Data'!$A$10:$A$143,'Round 1 Data'!F$10:F$144,0)+_xlfn.XLOOKUP('Summary Data'!$A104,'Round 2 Data'!$A$10:$A$146,'Round 2 Data'!F$10:F$146,0)+_xlfn.XLOOKUP('Summary Data'!$A104,'Round 3 Data'!$A$10:$A$145,'Round 3 Data'!F$10:F$145,0)+_xlfn.XLOOKUP('Summary Data'!$A104,'Round 4 Data'!$A$10:$A$147,'Round 4 Data'!F$10:F$147,0))/$D104</f>
        <v>#VALUE!</v>
      </c>
      <c r="G104" s="57" t="e">
        <f>(_xlfn.XLOOKUP('Summary Data'!$A104,'Round 1 Data'!$A$10:$A$143,'Round 1 Data'!G$10:G$144,0)+_xlfn.XLOOKUP('Summary Data'!$A104,'Round 2 Data'!$A$10:$A$146,'Round 2 Data'!G$10:G$146,0)+_xlfn.XLOOKUP('Summary Data'!$A104,'Round 3 Data'!$A$10:$A$145,'Round 3 Data'!G$10:G$145,0)+_xlfn.XLOOKUP('Summary Data'!$A104,'Round 4 Data'!$A$10:$A$147,'Round 4 Data'!G$10:G$147,0))/$D104</f>
        <v>#VALUE!</v>
      </c>
      <c r="H104" s="57" t="e">
        <f>(_xlfn.XLOOKUP('Summary Data'!$A104,'Round 1 Data'!$A$10:$A$143,'Round 1 Data'!H$10:H$144,0)+_xlfn.XLOOKUP('Summary Data'!$A104,'Round 2 Data'!$A$10:$A$146,'Round 2 Data'!H$10:H$146,0)+_xlfn.XLOOKUP('Summary Data'!$A104,'Round 3 Data'!$A$10:$A$145,'Round 3 Data'!H$10:H$145,0)+_xlfn.XLOOKUP('Summary Data'!$A104,'Round 4 Data'!$A$10:$A$147,'Round 4 Data'!H$10:H$147,0))/$D104</f>
        <v>#VALUE!</v>
      </c>
      <c r="I104" s="57" t="e">
        <f>(_xlfn.XLOOKUP('Summary Data'!$A104,'Round 1 Data'!$A$10:$A$143,'Round 1 Data'!I$10:I$144,0)+_xlfn.XLOOKUP('Summary Data'!$A104,'Round 2 Data'!$A$10:$A$146,'Round 2 Data'!I$10:I$146,0)+_xlfn.XLOOKUP('Summary Data'!$A104,'Round 3 Data'!$A$10:$A$145,'Round 3 Data'!I$10:I$145,0)+_xlfn.XLOOKUP('Summary Data'!$A104,'Round 4 Data'!$A$10:$A$147,'Round 4 Data'!I$10:I$147,0))/$D104</f>
        <v>#VALUE!</v>
      </c>
      <c r="J104" s="57" t="e">
        <f>(_xlfn.XLOOKUP('Summary Data'!$A104,'Round 1 Data'!$A$10:$A$143,'Round 1 Data'!J$10:J$144,0)+_xlfn.XLOOKUP('Summary Data'!$A104,'Round 2 Data'!$A$10:$A$146,'Round 2 Data'!J$10:J$146,0)+_xlfn.XLOOKUP('Summary Data'!$A104,'Round 3 Data'!$A$10:$A$145,'Round 3 Data'!J$10:J$145,0)+_xlfn.XLOOKUP('Summary Data'!$A104,'Round 4 Data'!$A$10:$A$147,'Round 4 Data'!J$10:J$147,0))/$D104</f>
        <v>#VALUE!</v>
      </c>
      <c r="K104" s="57" t="e">
        <f>(_xlfn.XLOOKUP('Summary Data'!$A104,'Round 1 Data'!$A$10:$A$143,'Round 1 Data'!K$10:K$144,0)+_xlfn.XLOOKUP('Summary Data'!$A104,'Round 2 Data'!$A$10:$A$146,'Round 2 Data'!K$10:K$146,0)+_xlfn.XLOOKUP('Summary Data'!$A104,'Round 3 Data'!$A$10:$A$145,'Round 3 Data'!K$10:K$145,0)+_xlfn.XLOOKUP('Summary Data'!$A104,'Round 4 Data'!$A$10:$A$147,'Round 4 Data'!K$10:K$147,0))/$D104</f>
        <v>#VALUE!</v>
      </c>
      <c r="L104" s="57" t="e">
        <f>(_xlfn.XLOOKUP('Summary Data'!$A104,'Round 1 Data'!$A$10:$A$143,'Round 1 Data'!L$10:L$144,0)+_xlfn.XLOOKUP('Summary Data'!$A104,'Round 2 Data'!$A$10:$A$146,'Round 2 Data'!L$10:L$146,0)+_xlfn.XLOOKUP('Summary Data'!$A104,'Round 3 Data'!$A$10:$A$145,'Round 3 Data'!L$10:L$145,0)+_xlfn.XLOOKUP('Summary Data'!$A104,'Round 4 Data'!$A$10:$A$147,'Round 4 Data'!L$10:L$147,0))/$D104</f>
        <v>#VALUE!</v>
      </c>
      <c r="M104" s="57" t="e">
        <f>(_xlfn.XLOOKUP('Summary Data'!$A104,'Round 1 Data'!$A$10:$A$143,'Round 1 Data'!M$10:M$144,0)+_xlfn.XLOOKUP('Summary Data'!$A104,'Round 2 Data'!$A$10:$A$146,'Round 2 Data'!M$10:M$146,0)+_xlfn.XLOOKUP('Summary Data'!$A104,'Round 3 Data'!$A$10:$A$145,'Round 3 Data'!M$10:M$145,0)+_xlfn.XLOOKUP('Summary Data'!$A104,'Round 4 Data'!$A$10:$A$147,'Round 4 Data'!M$10:M$147,0))/$D104</f>
        <v>#VALUE!</v>
      </c>
      <c r="N104" s="57" t="e">
        <f>(_xlfn.XLOOKUP('Summary Data'!$A104,'Round 1 Data'!$A$10:$A$143,'Round 1 Data'!N$10:N$144,0)+_xlfn.XLOOKUP('Summary Data'!$A104,'Round 2 Data'!$A$10:$A$146,'Round 2 Data'!N$10:N$146,0)+_xlfn.XLOOKUP('Summary Data'!$A104,'Round 3 Data'!$A$10:$A$145,'Round 3 Data'!N$10:N$145,0)+_xlfn.XLOOKUP('Summary Data'!$A104,'Round 4 Data'!$A$10:$A$147,'Round 4 Data'!N$10:N$147,0))/$D104</f>
        <v>#VALUE!</v>
      </c>
      <c r="O104" s="57" t="e">
        <f>(_xlfn.XLOOKUP('Summary Data'!$A104,'Round 1 Data'!$A$10:$A$143,'Round 1 Data'!O$10:O$144,0)+_xlfn.XLOOKUP('Summary Data'!$A104,'Round 2 Data'!$A$10:$A$146,'Round 2 Data'!O$10:O$146,0)+_xlfn.XLOOKUP('Summary Data'!$A104,'Round 3 Data'!$A$10:$A$145,'Round 3 Data'!O$10:O$145,0)+_xlfn.XLOOKUP('Summary Data'!$A104,'Round 4 Data'!$A$10:$A$147,'Round 4 Data'!O$10:O$147,0))/$D104</f>
        <v>#VALUE!</v>
      </c>
      <c r="P104" s="57" t="e">
        <f>(_xlfn.XLOOKUP('Summary Data'!$A104,'Round 1 Data'!$A$10:$A$143,'Round 1 Data'!P$10:P$144,0)+_xlfn.XLOOKUP('Summary Data'!$A104,'Round 2 Data'!$A$10:$A$146,'Round 2 Data'!P$10:P$146,0)+_xlfn.XLOOKUP('Summary Data'!$A104,'Round 3 Data'!$A$10:$A$145,'Round 3 Data'!P$10:P$145,0)+_xlfn.XLOOKUP('Summary Data'!$A104,'Round 4 Data'!$A$10:$A$147,'Round 4 Data'!P$10:P$147,0))/$D104</f>
        <v>#VALUE!</v>
      </c>
      <c r="Q104" s="57" t="e">
        <f>(_xlfn.XLOOKUP('Summary Data'!$A104,'Round 1 Data'!$A$10:$A$143,'Round 1 Data'!Q$10:Q$144,0)+_xlfn.XLOOKUP('Summary Data'!$A104,'Round 2 Data'!$A$10:$A$146,'Round 2 Data'!Q$10:Q$146,0)+_xlfn.XLOOKUP('Summary Data'!$A104,'Round 3 Data'!$A$10:$A$145,'Round 3 Data'!Q$10:Q$145,0)+_xlfn.XLOOKUP('Summary Data'!$A104,'Round 4 Data'!$A$10:$A$147,'Round 4 Data'!Q$10:Q$147,0))/$D104</f>
        <v>#VALUE!</v>
      </c>
      <c r="R104" s="57" t="e">
        <f>(_xlfn.XLOOKUP('Summary Data'!$A104,'Round 1 Data'!$A$10:$A$143,'Round 1 Data'!R$10:R$144,0)+_xlfn.XLOOKUP('Summary Data'!$A104,'Round 2 Data'!$A$10:$A$146,'Round 2 Data'!R$10:R$146,0)+_xlfn.XLOOKUP('Summary Data'!$A104,'Round 3 Data'!$A$10:$A$145,'Round 3 Data'!R$10:R$145,0)+_xlfn.XLOOKUP('Summary Data'!$A104,'Round 4 Data'!$A$10:$A$147,'Round 4 Data'!R$10:R$147,0))/$D104</f>
        <v>#VALUE!</v>
      </c>
      <c r="S104" s="57" t="e">
        <f>(_xlfn.XLOOKUP('Summary Data'!$A104,'Round 1 Data'!$A$10:$A$143,'Round 1 Data'!S$10:S$144,0)+_xlfn.XLOOKUP('Summary Data'!$A104,'Round 2 Data'!$A$10:$A$146,'Round 2 Data'!S$10:S$146,0)+_xlfn.XLOOKUP('Summary Data'!$A104,'Round 3 Data'!$A$10:$A$145,'Round 3 Data'!S$10:S$145,0)+_xlfn.XLOOKUP('Summary Data'!$A104,'Round 4 Data'!$A$10:$A$147,'Round 4 Data'!S$10:S$147,0))/$D104</f>
        <v>#VALUE!</v>
      </c>
      <c r="T104" s="62" t="e">
        <f>(_xlfn.XLOOKUP('Summary Data'!$A104,'Round 1 Data'!$A$10:$A$143,'Round 1 Data'!U$10:U$144,0)+_xlfn.XLOOKUP('Summary Data'!$A104,'Round 2 Data'!$A$10:$A$146,'Round 2 Data'!U$10:U$146,0)+_xlfn.XLOOKUP('Summary Data'!$A104,'Round 3 Data'!$A$10:$A$145,'Round 3 Data'!U$10:U$145,0)+_xlfn.XLOOKUP('Summary Data'!$A104,'Round 4 Data'!$A$10:$A$147,'Round 4 Data'!U$10:U$147,0))</f>
        <v>#VALUE!</v>
      </c>
    </row>
    <row r="105" spans="1:20" ht="16" thickBot="1" x14ac:dyDescent="0.25">
      <c r="A105" s="61" t="s">
        <v>113</v>
      </c>
      <c r="B105" t="s">
        <v>192</v>
      </c>
      <c r="C105" t="s">
        <v>198</v>
      </c>
      <c r="D105" t="e">
        <f>IF(_xlfn.XLOOKUP('Summary Data'!A105,'Round 1 Data'!$A$10:$A$143,'Round 1 Data'!$E$10:$E$144,0)=0,0,1)+IF(_xlfn.XLOOKUP('Summary Data'!A105,'Round 2 Data'!$A$10:$A$146,'Round 2 Data'!$E$10:$E$146,0)=0,0,1)+IF(_xlfn.XLOOKUP('Summary Data'!A105,'Round 3 Data'!$A$10:$A$145,'Round 3 Data'!$E$10:$E$145,0)=0,0,1)+IF(_xlfn.XLOOKUP('Summary Data'!A105,'Round 4 Data'!$A$10:$A$147,'Round 4 Data'!$E$10:$E$147,0)=0,0,1)</f>
        <v>#VALUE!</v>
      </c>
      <c r="E105" s="57" t="e">
        <f>(_xlfn.XLOOKUP('Summary Data'!$A105,'Round 1 Data'!$A$10:$A$143,'Round 1 Data'!E$10:E$144,0)+_xlfn.XLOOKUP('Summary Data'!$A105,'Round 2 Data'!$A$10:$A$146,'Round 2 Data'!E$10:E$146,0)+_xlfn.XLOOKUP('Summary Data'!$A105,'Round 3 Data'!$A$10:$A$145,'Round 3 Data'!E$10:E$145,0)+_xlfn.XLOOKUP('Summary Data'!$A105,'Round 4 Data'!$A$10:$A$147,'Round 4 Data'!E$10:E$147,0))/$D105</f>
        <v>#VALUE!</v>
      </c>
      <c r="F105" s="57" t="e">
        <f>(_xlfn.XLOOKUP('Summary Data'!$A105,'Round 1 Data'!$A$10:$A$143,'Round 1 Data'!F$10:F$144,0)+_xlfn.XLOOKUP('Summary Data'!$A105,'Round 2 Data'!$A$10:$A$146,'Round 2 Data'!F$10:F$146,0)+_xlfn.XLOOKUP('Summary Data'!$A105,'Round 3 Data'!$A$10:$A$145,'Round 3 Data'!F$10:F$145,0)+_xlfn.XLOOKUP('Summary Data'!$A105,'Round 4 Data'!$A$10:$A$147,'Round 4 Data'!F$10:F$147,0))/$D105</f>
        <v>#VALUE!</v>
      </c>
      <c r="G105" s="57" t="e">
        <f>(_xlfn.XLOOKUP('Summary Data'!$A105,'Round 1 Data'!$A$10:$A$143,'Round 1 Data'!G$10:G$144,0)+_xlfn.XLOOKUP('Summary Data'!$A105,'Round 2 Data'!$A$10:$A$146,'Round 2 Data'!G$10:G$146,0)+_xlfn.XLOOKUP('Summary Data'!$A105,'Round 3 Data'!$A$10:$A$145,'Round 3 Data'!G$10:G$145,0)+_xlfn.XLOOKUP('Summary Data'!$A105,'Round 4 Data'!$A$10:$A$147,'Round 4 Data'!G$10:G$147,0))/$D105</f>
        <v>#VALUE!</v>
      </c>
      <c r="H105" s="57" t="e">
        <f>(_xlfn.XLOOKUP('Summary Data'!$A105,'Round 1 Data'!$A$10:$A$143,'Round 1 Data'!H$10:H$144,0)+_xlfn.XLOOKUP('Summary Data'!$A105,'Round 2 Data'!$A$10:$A$146,'Round 2 Data'!H$10:H$146,0)+_xlfn.XLOOKUP('Summary Data'!$A105,'Round 3 Data'!$A$10:$A$145,'Round 3 Data'!H$10:H$145,0)+_xlfn.XLOOKUP('Summary Data'!$A105,'Round 4 Data'!$A$10:$A$147,'Round 4 Data'!H$10:H$147,0))/$D105</f>
        <v>#VALUE!</v>
      </c>
      <c r="I105" s="57" t="e">
        <f>(_xlfn.XLOOKUP('Summary Data'!$A105,'Round 1 Data'!$A$10:$A$143,'Round 1 Data'!I$10:I$144,0)+_xlfn.XLOOKUP('Summary Data'!$A105,'Round 2 Data'!$A$10:$A$146,'Round 2 Data'!I$10:I$146,0)+_xlfn.XLOOKUP('Summary Data'!$A105,'Round 3 Data'!$A$10:$A$145,'Round 3 Data'!I$10:I$145,0)+_xlfn.XLOOKUP('Summary Data'!$A105,'Round 4 Data'!$A$10:$A$147,'Round 4 Data'!I$10:I$147,0))/$D105</f>
        <v>#VALUE!</v>
      </c>
      <c r="J105" s="57" t="e">
        <f>(_xlfn.XLOOKUP('Summary Data'!$A105,'Round 1 Data'!$A$10:$A$143,'Round 1 Data'!J$10:J$144,0)+_xlfn.XLOOKUP('Summary Data'!$A105,'Round 2 Data'!$A$10:$A$146,'Round 2 Data'!J$10:J$146,0)+_xlfn.XLOOKUP('Summary Data'!$A105,'Round 3 Data'!$A$10:$A$145,'Round 3 Data'!J$10:J$145,0)+_xlfn.XLOOKUP('Summary Data'!$A105,'Round 4 Data'!$A$10:$A$147,'Round 4 Data'!J$10:J$147,0))/$D105</f>
        <v>#VALUE!</v>
      </c>
      <c r="K105" s="57" t="e">
        <f>(_xlfn.XLOOKUP('Summary Data'!$A105,'Round 1 Data'!$A$10:$A$143,'Round 1 Data'!K$10:K$144,0)+_xlfn.XLOOKUP('Summary Data'!$A105,'Round 2 Data'!$A$10:$A$146,'Round 2 Data'!K$10:K$146,0)+_xlfn.XLOOKUP('Summary Data'!$A105,'Round 3 Data'!$A$10:$A$145,'Round 3 Data'!K$10:K$145,0)+_xlfn.XLOOKUP('Summary Data'!$A105,'Round 4 Data'!$A$10:$A$147,'Round 4 Data'!K$10:K$147,0))/$D105</f>
        <v>#VALUE!</v>
      </c>
      <c r="L105" s="57" t="e">
        <f>(_xlfn.XLOOKUP('Summary Data'!$A105,'Round 1 Data'!$A$10:$A$143,'Round 1 Data'!L$10:L$144,0)+_xlfn.XLOOKUP('Summary Data'!$A105,'Round 2 Data'!$A$10:$A$146,'Round 2 Data'!L$10:L$146,0)+_xlfn.XLOOKUP('Summary Data'!$A105,'Round 3 Data'!$A$10:$A$145,'Round 3 Data'!L$10:L$145,0)+_xlfn.XLOOKUP('Summary Data'!$A105,'Round 4 Data'!$A$10:$A$147,'Round 4 Data'!L$10:L$147,0))/$D105</f>
        <v>#VALUE!</v>
      </c>
      <c r="M105" s="57" t="e">
        <f>(_xlfn.XLOOKUP('Summary Data'!$A105,'Round 1 Data'!$A$10:$A$143,'Round 1 Data'!M$10:M$144,0)+_xlfn.XLOOKUP('Summary Data'!$A105,'Round 2 Data'!$A$10:$A$146,'Round 2 Data'!M$10:M$146,0)+_xlfn.XLOOKUP('Summary Data'!$A105,'Round 3 Data'!$A$10:$A$145,'Round 3 Data'!M$10:M$145,0)+_xlfn.XLOOKUP('Summary Data'!$A105,'Round 4 Data'!$A$10:$A$147,'Round 4 Data'!M$10:M$147,0))/$D105</f>
        <v>#VALUE!</v>
      </c>
      <c r="N105" s="57" t="e">
        <f>(_xlfn.XLOOKUP('Summary Data'!$A105,'Round 1 Data'!$A$10:$A$143,'Round 1 Data'!N$10:N$144,0)+_xlfn.XLOOKUP('Summary Data'!$A105,'Round 2 Data'!$A$10:$A$146,'Round 2 Data'!N$10:N$146,0)+_xlfn.XLOOKUP('Summary Data'!$A105,'Round 3 Data'!$A$10:$A$145,'Round 3 Data'!N$10:N$145,0)+_xlfn.XLOOKUP('Summary Data'!$A105,'Round 4 Data'!$A$10:$A$147,'Round 4 Data'!N$10:N$147,0))/$D105</f>
        <v>#VALUE!</v>
      </c>
      <c r="O105" s="57" t="e">
        <f>(_xlfn.XLOOKUP('Summary Data'!$A105,'Round 1 Data'!$A$10:$A$143,'Round 1 Data'!O$10:O$144,0)+_xlfn.XLOOKUP('Summary Data'!$A105,'Round 2 Data'!$A$10:$A$146,'Round 2 Data'!O$10:O$146,0)+_xlfn.XLOOKUP('Summary Data'!$A105,'Round 3 Data'!$A$10:$A$145,'Round 3 Data'!O$10:O$145,0)+_xlfn.XLOOKUP('Summary Data'!$A105,'Round 4 Data'!$A$10:$A$147,'Round 4 Data'!O$10:O$147,0))/$D105</f>
        <v>#VALUE!</v>
      </c>
      <c r="P105" s="57" t="e">
        <f>(_xlfn.XLOOKUP('Summary Data'!$A105,'Round 1 Data'!$A$10:$A$143,'Round 1 Data'!P$10:P$144,0)+_xlfn.XLOOKUP('Summary Data'!$A105,'Round 2 Data'!$A$10:$A$146,'Round 2 Data'!P$10:P$146,0)+_xlfn.XLOOKUP('Summary Data'!$A105,'Round 3 Data'!$A$10:$A$145,'Round 3 Data'!P$10:P$145,0)+_xlfn.XLOOKUP('Summary Data'!$A105,'Round 4 Data'!$A$10:$A$147,'Round 4 Data'!P$10:P$147,0))/$D105</f>
        <v>#VALUE!</v>
      </c>
      <c r="Q105" s="57" t="e">
        <f>(_xlfn.XLOOKUP('Summary Data'!$A105,'Round 1 Data'!$A$10:$A$143,'Round 1 Data'!Q$10:Q$144,0)+_xlfn.XLOOKUP('Summary Data'!$A105,'Round 2 Data'!$A$10:$A$146,'Round 2 Data'!Q$10:Q$146,0)+_xlfn.XLOOKUP('Summary Data'!$A105,'Round 3 Data'!$A$10:$A$145,'Round 3 Data'!Q$10:Q$145,0)+_xlfn.XLOOKUP('Summary Data'!$A105,'Round 4 Data'!$A$10:$A$147,'Round 4 Data'!Q$10:Q$147,0))/$D105</f>
        <v>#VALUE!</v>
      </c>
      <c r="R105" s="57" t="e">
        <f>(_xlfn.XLOOKUP('Summary Data'!$A105,'Round 1 Data'!$A$10:$A$143,'Round 1 Data'!R$10:R$144,0)+_xlfn.XLOOKUP('Summary Data'!$A105,'Round 2 Data'!$A$10:$A$146,'Round 2 Data'!R$10:R$146,0)+_xlfn.XLOOKUP('Summary Data'!$A105,'Round 3 Data'!$A$10:$A$145,'Round 3 Data'!R$10:R$145,0)+_xlfn.XLOOKUP('Summary Data'!$A105,'Round 4 Data'!$A$10:$A$147,'Round 4 Data'!R$10:R$147,0))/$D105</f>
        <v>#VALUE!</v>
      </c>
      <c r="S105" s="57" t="e">
        <f>(_xlfn.XLOOKUP('Summary Data'!$A105,'Round 1 Data'!$A$10:$A$143,'Round 1 Data'!S$10:S$144,0)+_xlfn.XLOOKUP('Summary Data'!$A105,'Round 2 Data'!$A$10:$A$146,'Round 2 Data'!S$10:S$146,0)+_xlfn.XLOOKUP('Summary Data'!$A105,'Round 3 Data'!$A$10:$A$145,'Round 3 Data'!S$10:S$145,0)+_xlfn.XLOOKUP('Summary Data'!$A105,'Round 4 Data'!$A$10:$A$147,'Round 4 Data'!S$10:S$147,0))/$D105</f>
        <v>#VALUE!</v>
      </c>
      <c r="T105" s="62" t="e">
        <f>(_xlfn.XLOOKUP('Summary Data'!$A105,'Round 1 Data'!$A$10:$A$143,'Round 1 Data'!U$10:U$144,0)+_xlfn.XLOOKUP('Summary Data'!$A105,'Round 2 Data'!$A$10:$A$146,'Round 2 Data'!U$10:U$146,0)+_xlfn.XLOOKUP('Summary Data'!$A105,'Round 3 Data'!$A$10:$A$145,'Round 3 Data'!U$10:U$145,0)+_xlfn.XLOOKUP('Summary Data'!$A105,'Round 4 Data'!$A$10:$A$147,'Round 4 Data'!U$10:U$147,0))</f>
        <v>#VALUE!</v>
      </c>
    </row>
    <row r="106" spans="1:20" ht="16" thickBot="1" x14ac:dyDescent="0.25">
      <c r="A106" s="63" t="s">
        <v>114</v>
      </c>
      <c r="B106" t="s">
        <v>192</v>
      </c>
      <c r="C106" t="s">
        <v>198</v>
      </c>
      <c r="D106" t="e">
        <f>IF(_xlfn.XLOOKUP('Summary Data'!A106,'Round 1 Data'!$A$10:$A$143,'Round 1 Data'!$E$10:$E$144,0)=0,0,1)+IF(_xlfn.XLOOKUP('Summary Data'!A106,'Round 2 Data'!$A$10:$A$146,'Round 2 Data'!$E$10:$E$146,0)=0,0,1)+IF(_xlfn.XLOOKUP('Summary Data'!A106,'Round 3 Data'!$A$10:$A$145,'Round 3 Data'!$E$10:$E$145,0)=0,0,1)+IF(_xlfn.XLOOKUP('Summary Data'!A106,'Round 4 Data'!$A$10:$A$147,'Round 4 Data'!$E$10:$E$147,0)=0,0,1)</f>
        <v>#VALUE!</v>
      </c>
      <c r="E106" s="57" t="e">
        <f>(_xlfn.XLOOKUP('Summary Data'!$A106,'Round 1 Data'!$A$10:$A$143,'Round 1 Data'!E$10:E$144,0)+_xlfn.XLOOKUP('Summary Data'!$A106,'Round 2 Data'!$A$10:$A$146,'Round 2 Data'!E$10:E$146,0)+_xlfn.XLOOKUP('Summary Data'!$A106,'Round 3 Data'!$A$10:$A$145,'Round 3 Data'!E$10:E$145,0)+_xlfn.XLOOKUP('Summary Data'!$A106,'Round 4 Data'!$A$10:$A$147,'Round 4 Data'!E$10:E$147,0))/$D106</f>
        <v>#VALUE!</v>
      </c>
      <c r="F106" s="57" t="e">
        <f>(_xlfn.XLOOKUP('Summary Data'!$A106,'Round 1 Data'!$A$10:$A$143,'Round 1 Data'!F$10:F$144,0)+_xlfn.XLOOKUP('Summary Data'!$A106,'Round 2 Data'!$A$10:$A$146,'Round 2 Data'!F$10:F$146,0)+_xlfn.XLOOKUP('Summary Data'!$A106,'Round 3 Data'!$A$10:$A$145,'Round 3 Data'!F$10:F$145,0)+_xlfn.XLOOKUP('Summary Data'!$A106,'Round 4 Data'!$A$10:$A$147,'Round 4 Data'!F$10:F$147,0))/$D106</f>
        <v>#VALUE!</v>
      </c>
      <c r="G106" s="57" t="e">
        <f>(_xlfn.XLOOKUP('Summary Data'!$A106,'Round 1 Data'!$A$10:$A$143,'Round 1 Data'!G$10:G$144,0)+_xlfn.XLOOKUP('Summary Data'!$A106,'Round 2 Data'!$A$10:$A$146,'Round 2 Data'!G$10:G$146,0)+_xlfn.XLOOKUP('Summary Data'!$A106,'Round 3 Data'!$A$10:$A$145,'Round 3 Data'!G$10:G$145,0)+_xlfn.XLOOKUP('Summary Data'!$A106,'Round 4 Data'!$A$10:$A$147,'Round 4 Data'!G$10:G$147,0))/$D106</f>
        <v>#VALUE!</v>
      </c>
      <c r="H106" s="57" t="e">
        <f>(_xlfn.XLOOKUP('Summary Data'!$A106,'Round 1 Data'!$A$10:$A$143,'Round 1 Data'!H$10:H$144,0)+_xlfn.XLOOKUP('Summary Data'!$A106,'Round 2 Data'!$A$10:$A$146,'Round 2 Data'!H$10:H$146,0)+_xlfn.XLOOKUP('Summary Data'!$A106,'Round 3 Data'!$A$10:$A$145,'Round 3 Data'!H$10:H$145,0)+_xlfn.XLOOKUP('Summary Data'!$A106,'Round 4 Data'!$A$10:$A$147,'Round 4 Data'!H$10:H$147,0))/$D106</f>
        <v>#VALUE!</v>
      </c>
      <c r="I106" s="57" t="e">
        <f>(_xlfn.XLOOKUP('Summary Data'!$A106,'Round 1 Data'!$A$10:$A$143,'Round 1 Data'!I$10:I$144,0)+_xlfn.XLOOKUP('Summary Data'!$A106,'Round 2 Data'!$A$10:$A$146,'Round 2 Data'!I$10:I$146,0)+_xlfn.XLOOKUP('Summary Data'!$A106,'Round 3 Data'!$A$10:$A$145,'Round 3 Data'!I$10:I$145,0)+_xlfn.XLOOKUP('Summary Data'!$A106,'Round 4 Data'!$A$10:$A$147,'Round 4 Data'!I$10:I$147,0))/$D106</f>
        <v>#VALUE!</v>
      </c>
      <c r="J106" s="57" t="e">
        <f>(_xlfn.XLOOKUP('Summary Data'!$A106,'Round 1 Data'!$A$10:$A$143,'Round 1 Data'!J$10:J$144,0)+_xlfn.XLOOKUP('Summary Data'!$A106,'Round 2 Data'!$A$10:$A$146,'Round 2 Data'!J$10:J$146,0)+_xlfn.XLOOKUP('Summary Data'!$A106,'Round 3 Data'!$A$10:$A$145,'Round 3 Data'!J$10:J$145,0)+_xlfn.XLOOKUP('Summary Data'!$A106,'Round 4 Data'!$A$10:$A$147,'Round 4 Data'!J$10:J$147,0))/$D106</f>
        <v>#VALUE!</v>
      </c>
      <c r="K106" s="57" t="e">
        <f>(_xlfn.XLOOKUP('Summary Data'!$A106,'Round 1 Data'!$A$10:$A$143,'Round 1 Data'!K$10:K$144,0)+_xlfn.XLOOKUP('Summary Data'!$A106,'Round 2 Data'!$A$10:$A$146,'Round 2 Data'!K$10:K$146,0)+_xlfn.XLOOKUP('Summary Data'!$A106,'Round 3 Data'!$A$10:$A$145,'Round 3 Data'!K$10:K$145,0)+_xlfn.XLOOKUP('Summary Data'!$A106,'Round 4 Data'!$A$10:$A$147,'Round 4 Data'!K$10:K$147,0))/$D106</f>
        <v>#VALUE!</v>
      </c>
      <c r="L106" s="57" t="e">
        <f>(_xlfn.XLOOKUP('Summary Data'!$A106,'Round 1 Data'!$A$10:$A$143,'Round 1 Data'!L$10:L$144,0)+_xlfn.XLOOKUP('Summary Data'!$A106,'Round 2 Data'!$A$10:$A$146,'Round 2 Data'!L$10:L$146,0)+_xlfn.XLOOKUP('Summary Data'!$A106,'Round 3 Data'!$A$10:$A$145,'Round 3 Data'!L$10:L$145,0)+_xlfn.XLOOKUP('Summary Data'!$A106,'Round 4 Data'!$A$10:$A$147,'Round 4 Data'!L$10:L$147,0))/$D106</f>
        <v>#VALUE!</v>
      </c>
      <c r="M106" s="57" t="e">
        <f>(_xlfn.XLOOKUP('Summary Data'!$A106,'Round 1 Data'!$A$10:$A$143,'Round 1 Data'!M$10:M$144,0)+_xlfn.XLOOKUP('Summary Data'!$A106,'Round 2 Data'!$A$10:$A$146,'Round 2 Data'!M$10:M$146,0)+_xlfn.XLOOKUP('Summary Data'!$A106,'Round 3 Data'!$A$10:$A$145,'Round 3 Data'!M$10:M$145,0)+_xlfn.XLOOKUP('Summary Data'!$A106,'Round 4 Data'!$A$10:$A$147,'Round 4 Data'!M$10:M$147,0))/$D106</f>
        <v>#VALUE!</v>
      </c>
      <c r="N106" s="57" t="e">
        <f>(_xlfn.XLOOKUP('Summary Data'!$A106,'Round 1 Data'!$A$10:$A$143,'Round 1 Data'!N$10:N$144,0)+_xlfn.XLOOKUP('Summary Data'!$A106,'Round 2 Data'!$A$10:$A$146,'Round 2 Data'!N$10:N$146,0)+_xlfn.XLOOKUP('Summary Data'!$A106,'Round 3 Data'!$A$10:$A$145,'Round 3 Data'!N$10:N$145,0)+_xlfn.XLOOKUP('Summary Data'!$A106,'Round 4 Data'!$A$10:$A$147,'Round 4 Data'!N$10:N$147,0))/$D106</f>
        <v>#VALUE!</v>
      </c>
      <c r="O106" s="57" t="e">
        <f>(_xlfn.XLOOKUP('Summary Data'!$A106,'Round 1 Data'!$A$10:$A$143,'Round 1 Data'!O$10:O$144,0)+_xlfn.XLOOKUP('Summary Data'!$A106,'Round 2 Data'!$A$10:$A$146,'Round 2 Data'!O$10:O$146,0)+_xlfn.XLOOKUP('Summary Data'!$A106,'Round 3 Data'!$A$10:$A$145,'Round 3 Data'!O$10:O$145,0)+_xlfn.XLOOKUP('Summary Data'!$A106,'Round 4 Data'!$A$10:$A$147,'Round 4 Data'!O$10:O$147,0))/$D106</f>
        <v>#VALUE!</v>
      </c>
      <c r="P106" s="57" t="e">
        <f>(_xlfn.XLOOKUP('Summary Data'!$A106,'Round 1 Data'!$A$10:$A$143,'Round 1 Data'!P$10:P$144,0)+_xlfn.XLOOKUP('Summary Data'!$A106,'Round 2 Data'!$A$10:$A$146,'Round 2 Data'!P$10:P$146,0)+_xlfn.XLOOKUP('Summary Data'!$A106,'Round 3 Data'!$A$10:$A$145,'Round 3 Data'!P$10:P$145,0)+_xlfn.XLOOKUP('Summary Data'!$A106,'Round 4 Data'!$A$10:$A$147,'Round 4 Data'!P$10:P$147,0))/$D106</f>
        <v>#VALUE!</v>
      </c>
      <c r="Q106" s="57" t="e">
        <f>(_xlfn.XLOOKUP('Summary Data'!$A106,'Round 1 Data'!$A$10:$A$143,'Round 1 Data'!Q$10:Q$144,0)+_xlfn.XLOOKUP('Summary Data'!$A106,'Round 2 Data'!$A$10:$A$146,'Round 2 Data'!Q$10:Q$146,0)+_xlfn.XLOOKUP('Summary Data'!$A106,'Round 3 Data'!$A$10:$A$145,'Round 3 Data'!Q$10:Q$145,0)+_xlfn.XLOOKUP('Summary Data'!$A106,'Round 4 Data'!$A$10:$A$147,'Round 4 Data'!Q$10:Q$147,0))/$D106</f>
        <v>#VALUE!</v>
      </c>
      <c r="R106" s="57" t="e">
        <f>(_xlfn.XLOOKUP('Summary Data'!$A106,'Round 1 Data'!$A$10:$A$143,'Round 1 Data'!R$10:R$144,0)+_xlfn.XLOOKUP('Summary Data'!$A106,'Round 2 Data'!$A$10:$A$146,'Round 2 Data'!R$10:R$146,0)+_xlfn.XLOOKUP('Summary Data'!$A106,'Round 3 Data'!$A$10:$A$145,'Round 3 Data'!R$10:R$145,0)+_xlfn.XLOOKUP('Summary Data'!$A106,'Round 4 Data'!$A$10:$A$147,'Round 4 Data'!R$10:R$147,0))/$D106</f>
        <v>#VALUE!</v>
      </c>
      <c r="S106" s="57" t="e">
        <f>(_xlfn.XLOOKUP('Summary Data'!$A106,'Round 1 Data'!$A$10:$A$143,'Round 1 Data'!S$10:S$144,0)+_xlfn.XLOOKUP('Summary Data'!$A106,'Round 2 Data'!$A$10:$A$146,'Round 2 Data'!S$10:S$146,0)+_xlfn.XLOOKUP('Summary Data'!$A106,'Round 3 Data'!$A$10:$A$145,'Round 3 Data'!S$10:S$145,0)+_xlfn.XLOOKUP('Summary Data'!$A106,'Round 4 Data'!$A$10:$A$147,'Round 4 Data'!S$10:S$147,0))/$D106</f>
        <v>#VALUE!</v>
      </c>
      <c r="T106" s="62" t="e">
        <f>(_xlfn.XLOOKUP('Summary Data'!$A106,'Round 1 Data'!$A$10:$A$143,'Round 1 Data'!U$10:U$144,0)+_xlfn.XLOOKUP('Summary Data'!$A106,'Round 2 Data'!$A$10:$A$146,'Round 2 Data'!U$10:U$146,0)+_xlfn.XLOOKUP('Summary Data'!$A106,'Round 3 Data'!$A$10:$A$145,'Round 3 Data'!U$10:U$145,0)+_xlfn.XLOOKUP('Summary Data'!$A106,'Round 4 Data'!$A$10:$A$147,'Round 4 Data'!U$10:U$147,0))</f>
        <v>#VALUE!</v>
      </c>
    </row>
    <row r="107" spans="1:20" ht="16" thickBot="1" x14ac:dyDescent="0.25">
      <c r="A107" s="61" t="s">
        <v>154</v>
      </c>
      <c r="B107" t="s">
        <v>192</v>
      </c>
      <c r="C107" t="s">
        <v>198</v>
      </c>
      <c r="D107" t="e">
        <f>IF(_xlfn.XLOOKUP('Summary Data'!A107,'Round 1 Data'!$A$10:$A$143,'Round 1 Data'!$E$10:$E$144,0)=0,0,1)+IF(_xlfn.XLOOKUP('Summary Data'!A107,'Round 2 Data'!$A$10:$A$146,'Round 2 Data'!$E$10:$E$146,0)=0,0,1)+IF(_xlfn.XLOOKUP('Summary Data'!A107,'Round 3 Data'!$A$10:$A$145,'Round 3 Data'!$E$10:$E$145,0)=0,0,1)+IF(_xlfn.XLOOKUP('Summary Data'!A107,'Round 4 Data'!$A$10:$A$147,'Round 4 Data'!$E$10:$E$147,0)=0,0,1)</f>
        <v>#VALUE!</v>
      </c>
      <c r="E107" s="57" t="e">
        <f>(_xlfn.XLOOKUP('Summary Data'!$A107,'Round 1 Data'!$A$10:$A$143,'Round 1 Data'!E$10:E$144,0)+_xlfn.XLOOKUP('Summary Data'!$A107,'Round 2 Data'!$A$10:$A$146,'Round 2 Data'!E$10:E$146,0)+_xlfn.XLOOKUP('Summary Data'!$A107,'Round 3 Data'!$A$10:$A$145,'Round 3 Data'!E$10:E$145,0)+_xlfn.XLOOKUP('Summary Data'!$A107,'Round 4 Data'!$A$10:$A$147,'Round 4 Data'!E$10:E$147,0))/$D107</f>
        <v>#VALUE!</v>
      </c>
      <c r="F107" s="57" t="e">
        <f>(_xlfn.XLOOKUP('Summary Data'!$A107,'Round 1 Data'!$A$10:$A$143,'Round 1 Data'!F$10:F$144,0)+_xlfn.XLOOKUP('Summary Data'!$A107,'Round 2 Data'!$A$10:$A$146,'Round 2 Data'!F$10:F$146,0)+_xlfn.XLOOKUP('Summary Data'!$A107,'Round 3 Data'!$A$10:$A$145,'Round 3 Data'!F$10:F$145,0)+_xlfn.XLOOKUP('Summary Data'!$A107,'Round 4 Data'!$A$10:$A$147,'Round 4 Data'!F$10:F$147,0))/$D107</f>
        <v>#VALUE!</v>
      </c>
      <c r="G107" s="57" t="e">
        <f>(_xlfn.XLOOKUP('Summary Data'!$A107,'Round 1 Data'!$A$10:$A$143,'Round 1 Data'!G$10:G$144,0)+_xlfn.XLOOKUP('Summary Data'!$A107,'Round 2 Data'!$A$10:$A$146,'Round 2 Data'!G$10:G$146,0)+_xlfn.XLOOKUP('Summary Data'!$A107,'Round 3 Data'!$A$10:$A$145,'Round 3 Data'!G$10:G$145,0)+_xlfn.XLOOKUP('Summary Data'!$A107,'Round 4 Data'!$A$10:$A$147,'Round 4 Data'!G$10:G$147,0))/$D107</f>
        <v>#VALUE!</v>
      </c>
      <c r="H107" s="57" t="e">
        <f>(_xlfn.XLOOKUP('Summary Data'!$A107,'Round 1 Data'!$A$10:$A$143,'Round 1 Data'!H$10:H$144,0)+_xlfn.XLOOKUP('Summary Data'!$A107,'Round 2 Data'!$A$10:$A$146,'Round 2 Data'!H$10:H$146,0)+_xlfn.XLOOKUP('Summary Data'!$A107,'Round 3 Data'!$A$10:$A$145,'Round 3 Data'!H$10:H$145,0)+_xlfn.XLOOKUP('Summary Data'!$A107,'Round 4 Data'!$A$10:$A$147,'Round 4 Data'!H$10:H$147,0))/$D107</f>
        <v>#VALUE!</v>
      </c>
      <c r="I107" s="57" t="e">
        <f>(_xlfn.XLOOKUP('Summary Data'!$A107,'Round 1 Data'!$A$10:$A$143,'Round 1 Data'!I$10:I$144,0)+_xlfn.XLOOKUP('Summary Data'!$A107,'Round 2 Data'!$A$10:$A$146,'Round 2 Data'!I$10:I$146,0)+_xlfn.XLOOKUP('Summary Data'!$A107,'Round 3 Data'!$A$10:$A$145,'Round 3 Data'!I$10:I$145,0)+_xlfn.XLOOKUP('Summary Data'!$A107,'Round 4 Data'!$A$10:$A$147,'Round 4 Data'!I$10:I$147,0))/$D107</f>
        <v>#VALUE!</v>
      </c>
      <c r="J107" s="57" t="e">
        <f>(_xlfn.XLOOKUP('Summary Data'!$A107,'Round 1 Data'!$A$10:$A$143,'Round 1 Data'!J$10:J$144,0)+_xlfn.XLOOKUP('Summary Data'!$A107,'Round 2 Data'!$A$10:$A$146,'Round 2 Data'!J$10:J$146,0)+_xlfn.XLOOKUP('Summary Data'!$A107,'Round 3 Data'!$A$10:$A$145,'Round 3 Data'!J$10:J$145,0)+_xlfn.XLOOKUP('Summary Data'!$A107,'Round 4 Data'!$A$10:$A$147,'Round 4 Data'!J$10:J$147,0))/$D107</f>
        <v>#VALUE!</v>
      </c>
      <c r="K107" s="57" t="e">
        <f>(_xlfn.XLOOKUP('Summary Data'!$A107,'Round 1 Data'!$A$10:$A$143,'Round 1 Data'!K$10:K$144,0)+_xlfn.XLOOKUP('Summary Data'!$A107,'Round 2 Data'!$A$10:$A$146,'Round 2 Data'!K$10:K$146,0)+_xlfn.XLOOKUP('Summary Data'!$A107,'Round 3 Data'!$A$10:$A$145,'Round 3 Data'!K$10:K$145,0)+_xlfn.XLOOKUP('Summary Data'!$A107,'Round 4 Data'!$A$10:$A$147,'Round 4 Data'!K$10:K$147,0))/$D107</f>
        <v>#VALUE!</v>
      </c>
      <c r="L107" s="57" t="e">
        <f>(_xlfn.XLOOKUP('Summary Data'!$A107,'Round 1 Data'!$A$10:$A$143,'Round 1 Data'!L$10:L$144,0)+_xlfn.XLOOKUP('Summary Data'!$A107,'Round 2 Data'!$A$10:$A$146,'Round 2 Data'!L$10:L$146,0)+_xlfn.XLOOKUP('Summary Data'!$A107,'Round 3 Data'!$A$10:$A$145,'Round 3 Data'!L$10:L$145,0)+_xlfn.XLOOKUP('Summary Data'!$A107,'Round 4 Data'!$A$10:$A$147,'Round 4 Data'!L$10:L$147,0))/$D107</f>
        <v>#VALUE!</v>
      </c>
      <c r="M107" s="57" t="e">
        <f>(_xlfn.XLOOKUP('Summary Data'!$A107,'Round 1 Data'!$A$10:$A$143,'Round 1 Data'!M$10:M$144,0)+_xlfn.XLOOKUP('Summary Data'!$A107,'Round 2 Data'!$A$10:$A$146,'Round 2 Data'!M$10:M$146,0)+_xlfn.XLOOKUP('Summary Data'!$A107,'Round 3 Data'!$A$10:$A$145,'Round 3 Data'!M$10:M$145,0)+_xlfn.XLOOKUP('Summary Data'!$A107,'Round 4 Data'!$A$10:$A$147,'Round 4 Data'!M$10:M$147,0))/$D107</f>
        <v>#VALUE!</v>
      </c>
      <c r="N107" s="57" t="e">
        <f>(_xlfn.XLOOKUP('Summary Data'!$A107,'Round 1 Data'!$A$10:$A$143,'Round 1 Data'!N$10:N$144,0)+_xlfn.XLOOKUP('Summary Data'!$A107,'Round 2 Data'!$A$10:$A$146,'Round 2 Data'!N$10:N$146,0)+_xlfn.XLOOKUP('Summary Data'!$A107,'Round 3 Data'!$A$10:$A$145,'Round 3 Data'!N$10:N$145,0)+_xlfn.XLOOKUP('Summary Data'!$A107,'Round 4 Data'!$A$10:$A$147,'Round 4 Data'!N$10:N$147,0))/$D107</f>
        <v>#VALUE!</v>
      </c>
      <c r="O107" s="57" t="e">
        <f>(_xlfn.XLOOKUP('Summary Data'!$A107,'Round 1 Data'!$A$10:$A$143,'Round 1 Data'!O$10:O$144,0)+_xlfn.XLOOKUP('Summary Data'!$A107,'Round 2 Data'!$A$10:$A$146,'Round 2 Data'!O$10:O$146,0)+_xlfn.XLOOKUP('Summary Data'!$A107,'Round 3 Data'!$A$10:$A$145,'Round 3 Data'!O$10:O$145,0)+_xlfn.XLOOKUP('Summary Data'!$A107,'Round 4 Data'!$A$10:$A$147,'Round 4 Data'!O$10:O$147,0))/$D107</f>
        <v>#VALUE!</v>
      </c>
      <c r="P107" s="57" t="e">
        <f>(_xlfn.XLOOKUP('Summary Data'!$A107,'Round 1 Data'!$A$10:$A$143,'Round 1 Data'!P$10:P$144,0)+_xlfn.XLOOKUP('Summary Data'!$A107,'Round 2 Data'!$A$10:$A$146,'Round 2 Data'!P$10:P$146,0)+_xlfn.XLOOKUP('Summary Data'!$A107,'Round 3 Data'!$A$10:$A$145,'Round 3 Data'!P$10:P$145,0)+_xlfn.XLOOKUP('Summary Data'!$A107,'Round 4 Data'!$A$10:$A$147,'Round 4 Data'!P$10:P$147,0))/$D107</f>
        <v>#VALUE!</v>
      </c>
      <c r="Q107" s="57" t="e">
        <f>(_xlfn.XLOOKUP('Summary Data'!$A107,'Round 1 Data'!$A$10:$A$143,'Round 1 Data'!Q$10:Q$144,0)+_xlfn.XLOOKUP('Summary Data'!$A107,'Round 2 Data'!$A$10:$A$146,'Round 2 Data'!Q$10:Q$146,0)+_xlfn.XLOOKUP('Summary Data'!$A107,'Round 3 Data'!$A$10:$A$145,'Round 3 Data'!Q$10:Q$145,0)+_xlfn.XLOOKUP('Summary Data'!$A107,'Round 4 Data'!$A$10:$A$147,'Round 4 Data'!Q$10:Q$147,0))/$D107</f>
        <v>#VALUE!</v>
      </c>
      <c r="R107" s="57" t="e">
        <f>(_xlfn.XLOOKUP('Summary Data'!$A107,'Round 1 Data'!$A$10:$A$143,'Round 1 Data'!R$10:R$144,0)+_xlfn.XLOOKUP('Summary Data'!$A107,'Round 2 Data'!$A$10:$A$146,'Round 2 Data'!R$10:R$146,0)+_xlfn.XLOOKUP('Summary Data'!$A107,'Round 3 Data'!$A$10:$A$145,'Round 3 Data'!R$10:R$145,0)+_xlfn.XLOOKUP('Summary Data'!$A107,'Round 4 Data'!$A$10:$A$147,'Round 4 Data'!R$10:R$147,0))/$D107</f>
        <v>#VALUE!</v>
      </c>
      <c r="S107" s="57" t="e">
        <f>(_xlfn.XLOOKUP('Summary Data'!$A107,'Round 1 Data'!$A$10:$A$143,'Round 1 Data'!S$10:S$144,0)+_xlfn.XLOOKUP('Summary Data'!$A107,'Round 2 Data'!$A$10:$A$146,'Round 2 Data'!S$10:S$146,0)+_xlfn.XLOOKUP('Summary Data'!$A107,'Round 3 Data'!$A$10:$A$145,'Round 3 Data'!S$10:S$145,0)+_xlfn.XLOOKUP('Summary Data'!$A107,'Round 4 Data'!$A$10:$A$147,'Round 4 Data'!S$10:S$147,0))/$D107</f>
        <v>#VALUE!</v>
      </c>
      <c r="T107" s="62" t="e">
        <f>(_xlfn.XLOOKUP('Summary Data'!$A107,'Round 1 Data'!$A$10:$A$143,'Round 1 Data'!U$10:U$144,0)+_xlfn.XLOOKUP('Summary Data'!$A107,'Round 2 Data'!$A$10:$A$146,'Round 2 Data'!U$10:U$146,0)+_xlfn.XLOOKUP('Summary Data'!$A107,'Round 3 Data'!$A$10:$A$145,'Round 3 Data'!U$10:U$145,0)+_xlfn.XLOOKUP('Summary Data'!$A107,'Round 4 Data'!$A$10:$A$147,'Round 4 Data'!U$10:U$147,0))</f>
        <v>#VALUE!</v>
      </c>
    </row>
    <row r="108" spans="1:20" ht="16" thickBot="1" x14ac:dyDescent="0.25">
      <c r="A108" s="63" t="s">
        <v>117</v>
      </c>
      <c r="B108" t="s">
        <v>192</v>
      </c>
      <c r="C108" t="s">
        <v>199</v>
      </c>
      <c r="D108" t="e">
        <f>IF(_xlfn.XLOOKUP('Summary Data'!A108,'Round 1 Data'!$A$10:$A$143,'Round 1 Data'!$E$10:$E$144,0)=0,0,1)+IF(_xlfn.XLOOKUP('Summary Data'!A108,'Round 2 Data'!$A$10:$A$146,'Round 2 Data'!$E$10:$E$146,0)=0,0,1)+IF(_xlfn.XLOOKUP('Summary Data'!A108,'Round 3 Data'!$A$10:$A$145,'Round 3 Data'!$E$10:$E$145,0)=0,0,1)+IF(_xlfn.XLOOKUP('Summary Data'!A108,'Round 4 Data'!$A$10:$A$147,'Round 4 Data'!$E$10:$E$147,0)=0,0,1)</f>
        <v>#VALUE!</v>
      </c>
      <c r="E108" s="57" t="e">
        <f>(_xlfn.XLOOKUP('Summary Data'!$A108,'Round 1 Data'!$A$10:$A$143,'Round 1 Data'!E$10:E$144,0)+_xlfn.XLOOKUP('Summary Data'!$A108,'Round 2 Data'!$A$10:$A$146,'Round 2 Data'!E$10:E$146,0)+_xlfn.XLOOKUP('Summary Data'!$A108,'Round 3 Data'!$A$10:$A$145,'Round 3 Data'!E$10:E$145,0)+_xlfn.XLOOKUP('Summary Data'!$A108,'Round 4 Data'!$A$10:$A$147,'Round 4 Data'!E$10:E$147,0))/$D108</f>
        <v>#VALUE!</v>
      </c>
      <c r="F108" s="57" t="e">
        <f>(_xlfn.XLOOKUP('Summary Data'!$A108,'Round 1 Data'!$A$10:$A$143,'Round 1 Data'!F$10:F$144,0)+_xlfn.XLOOKUP('Summary Data'!$A108,'Round 2 Data'!$A$10:$A$146,'Round 2 Data'!F$10:F$146,0)+_xlfn.XLOOKUP('Summary Data'!$A108,'Round 3 Data'!$A$10:$A$145,'Round 3 Data'!F$10:F$145,0)+_xlfn.XLOOKUP('Summary Data'!$A108,'Round 4 Data'!$A$10:$A$147,'Round 4 Data'!F$10:F$147,0))/$D108</f>
        <v>#VALUE!</v>
      </c>
      <c r="G108" s="57" t="e">
        <f>(_xlfn.XLOOKUP('Summary Data'!$A108,'Round 1 Data'!$A$10:$A$143,'Round 1 Data'!G$10:G$144,0)+_xlfn.XLOOKUP('Summary Data'!$A108,'Round 2 Data'!$A$10:$A$146,'Round 2 Data'!G$10:G$146,0)+_xlfn.XLOOKUP('Summary Data'!$A108,'Round 3 Data'!$A$10:$A$145,'Round 3 Data'!G$10:G$145,0)+_xlfn.XLOOKUP('Summary Data'!$A108,'Round 4 Data'!$A$10:$A$147,'Round 4 Data'!G$10:G$147,0))/$D108</f>
        <v>#VALUE!</v>
      </c>
      <c r="H108" s="57" t="e">
        <f>(_xlfn.XLOOKUP('Summary Data'!$A108,'Round 1 Data'!$A$10:$A$143,'Round 1 Data'!H$10:H$144,0)+_xlfn.XLOOKUP('Summary Data'!$A108,'Round 2 Data'!$A$10:$A$146,'Round 2 Data'!H$10:H$146,0)+_xlfn.XLOOKUP('Summary Data'!$A108,'Round 3 Data'!$A$10:$A$145,'Round 3 Data'!H$10:H$145,0)+_xlfn.XLOOKUP('Summary Data'!$A108,'Round 4 Data'!$A$10:$A$147,'Round 4 Data'!H$10:H$147,0))/$D108</f>
        <v>#VALUE!</v>
      </c>
      <c r="I108" s="57" t="e">
        <f>(_xlfn.XLOOKUP('Summary Data'!$A108,'Round 1 Data'!$A$10:$A$143,'Round 1 Data'!I$10:I$144,0)+_xlfn.XLOOKUP('Summary Data'!$A108,'Round 2 Data'!$A$10:$A$146,'Round 2 Data'!I$10:I$146,0)+_xlfn.XLOOKUP('Summary Data'!$A108,'Round 3 Data'!$A$10:$A$145,'Round 3 Data'!I$10:I$145,0)+_xlfn.XLOOKUP('Summary Data'!$A108,'Round 4 Data'!$A$10:$A$147,'Round 4 Data'!I$10:I$147,0))/$D108</f>
        <v>#VALUE!</v>
      </c>
      <c r="J108" s="57" t="e">
        <f>(_xlfn.XLOOKUP('Summary Data'!$A108,'Round 1 Data'!$A$10:$A$143,'Round 1 Data'!J$10:J$144,0)+_xlfn.XLOOKUP('Summary Data'!$A108,'Round 2 Data'!$A$10:$A$146,'Round 2 Data'!J$10:J$146,0)+_xlfn.XLOOKUP('Summary Data'!$A108,'Round 3 Data'!$A$10:$A$145,'Round 3 Data'!J$10:J$145,0)+_xlfn.XLOOKUP('Summary Data'!$A108,'Round 4 Data'!$A$10:$A$147,'Round 4 Data'!J$10:J$147,0))/$D108</f>
        <v>#VALUE!</v>
      </c>
      <c r="K108" s="57" t="e">
        <f>(_xlfn.XLOOKUP('Summary Data'!$A108,'Round 1 Data'!$A$10:$A$143,'Round 1 Data'!K$10:K$144,0)+_xlfn.XLOOKUP('Summary Data'!$A108,'Round 2 Data'!$A$10:$A$146,'Round 2 Data'!K$10:K$146,0)+_xlfn.XLOOKUP('Summary Data'!$A108,'Round 3 Data'!$A$10:$A$145,'Round 3 Data'!K$10:K$145,0)+_xlfn.XLOOKUP('Summary Data'!$A108,'Round 4 Data'!$A$10:$A$147,'Round 4 Data'!K$10:K$147,0))/$D108</f>
        <v>#VALUE!</v>
      </c>
      <c r="L108" s="57" t="e">
        <f>(_xlfn.XLOOKUP('Summary Data'!$A108,'Round 1 Data'!$A$10:$A$143,'Round 1 Data'!L$10:L$144,0)+_xlfn.XLOOKUP('Summary Data'!$A108,'Round 2 Data'!$A$10:$A$146,'Round 2 Data'!L$10:L$146,0)+_xlfn.XLOOKUP('Summary Data'!$A108,'Round 3 Data'!$A$10:$A$145,'Round 3 Data'!L$10:L$145,0)+_xlfn.XLOOKUP('Summary Data'!$A108,'Round 4 Data'!$A$10:$A$147,'Round 4 Data'!L$10:L$147,0))/$D108</f>
        <v>#VALUE!</v>
      </c>
      <c r="M108" s="57" t="e">
        <f>(_xlfn.XLOOKUP('Summary Data'!$A108,'Round 1 Data'!$A$10:$A$143,'Round 1 Data'!M$10:M$144,0)+_xlfn.XLOOKUP('Summary Data'!$A108,'Round 2 Data'!$A$10:$A$146,'Round 2 Data'!M$10:M$146,0)+_xlfn.XLOOKUP('Summary Data'!$A108,'Round 3 Data'!$A$10:$A$145,'Round 3 Data'!M$10:M$145,0)+_xlfn.XLOOKUP('Summary Data'!$A108,'Round 4 Data'!$A$10:$A$147,'Round 4 Data'!M$10:M$147,0))/$D108</f>
        <v>#VALUE!</v>
      </c>
      <c r="N108" s="57" t="e">
        <f>(_xlfn.XLOOKUP('Summary Data'!$A108,'Round 1 Data'!$A$10:$A$143,'Round 1 Data'!N$10:N$144,0)+_xlfn.XLOOKUP('Summary Data'!$A108,'Round 2 Data'!$A$10:$A$146,'Round 2 Data'!N$10:N$146,0)+_xlfn.XLOOKUP('Summary Data'!$A108,'Round 3 Data'!$A$10:$A$145,'Round 3 Data'!N$10:N$145,0)+_xlfn.XLOOKUP('Summary Data'!$A108,'Round 4 Data'!$A$10:$A$147,'Round 4 Data'!N$10:N$147,0))/$D108</f>
        <v>#VALUE!</v>
      </c>
      <c r="O108" s="57" t="e">
        <f>(_xlfn.XLOOKUP('Summary Data'!$A108,'Round 1 Data'!$A$10:$A$143,'Round 1 Data'!O$10:O$144,0)+_xlfn.XLOOKUP('Summary Data'!$A108,'Round 2 Data'!$A$10:$A$146,'Round 2 Data'!O$10:O$146,0)+_xlfn.XLOOKUP('Summary Data'!$A108,'Round 3 Data'!$A$10:$A$145,'Round 3 Data'!O$10:O$145,0)+_xlfn.XLOOKUP('Summary Data'!$A108,'Round 4 Data'!$A$10:$A$147,'Round 4 Data'!O$10:O$147,0))/$D108</f>
        <v>#VALUE!</v>
      </c>
      <c r="P108" s="57" t="e">
        <f>(_xlfn.XLOOKUP('Summary Data'!$A108,'Round 1 Data'!$A$10:$A$143,'Round 1 Data'!P$10:P$144,0)+_xlfn.XLOOKUP('Summary Data'!$A108,'Round 2 Data'!$A$10:$A$146,'Round 2 Data'!P$10:P$146,0)+_xlfn.XLOOKUP('Summary Data'!$A108,'Round 3 Data'!$A$10:$A$145,'Round 3 Data'!P$10:P$145,0)+_xlfn.XLOOKUP('Summary Data'!$A108,'Round 4 Data'!$A$10:$A$147,'Round 4 Data'!P$10:P$147,0))/$D108</f>
        <v>#VALUE!</v>
      </c>
      <c r="Q108" s="57" t="e">
        <f>(_xlfn.XLOOKUP('Summary Data'!$A108,'Round 1 Data'!$A$10:$A$143,'Round 1 Data'!Q$10:Q$144,0)+_xlfn.XLOOKUP('Summary Data'!$A108,'Round 2 Data'!$A$10:$A$146,'Round 2 Data'!Q$10:Q$146,0)+_xlfn.XLOOKUP('Summary Data'!$A108,'Round 3 Data'!$A$10:$A$145,'Round 3 Data'!Q$10:Q$145,0)+_xlfn.XLOOKUP('Summary Data'!$A108,'Round 4 Data'!$A$10:$A$147,'Round 4 Data'!Q$10:Q$147,0))/$D108</f>
        <v>#VALUE!</v>
      </c>
      <c r="R108" s="57" t="e">
        <f>(_xlfn.XLOOKUP('Summary Data'!$A108,'Round 1 Data'!$A$10:$A$143,'Round 1 Data'!R$10:R$144,0)+_xlfn.XLOOKUP('Summary Data'!$A108,'Round 2 Data'!$A$10:$A$146,'Round 2 Data'!R$10:R$146,0)+_xlfn.XLOOKUP('Summary Data'!$A108,'Round 3 Data'!$A$10:$A$145,'Round 3 Data'!R$10:R$145,0)+_xlfn.XLOOKUP('Summary Data'!$A108,'Round 4 Data'!$A$10:$A$147,'Round 4 Data'!R$10:R$147,0))/$D108</f>
        <v>#VALUE!</v>
      </c>
      <c r="S108" s="57" t="e">
        <f>(_xlfn.XLOOKUP('Summary Data'!$A108,'Round 1 Data'!$A$10:$A$143,'Round 1 Data'!S$10:S$144,0)+_xlfn.XLOOKUP('Summary Data'!$A108,'Round 2 Data'!$A$10:$A$146,'Round 2 Data'!S$10:S$146,0)+_xlfn.XLOOKUP('Summary Data'!$A108,'Round 3 Data'!$A$10:$A$145,'Round 3 Data'!S$10:S$145,0)+_xlfn.XLOOKUP('Summary Data'!$A108,'Round 4 Data'!$A$10:$A$147,'Round 4 Data'!S$10:S$147,0))/$D108</f>
        <v>#VALUE!</v>
      </c>
      <c r="T108" s="62" t="e">
        <f>(_xlfn.XLOOKUP('Summary Data'!$A108,'Round 1 Data'!$A$10:$A$143,'Round 1 Data'!U$10:U$144,0)+_xlfn.XLOOKUP('Summary Data'!$A108,'Round 2 Data'!$A$10:$A$146,'Round 2 Data'!U$10:U$146,0)+_xlfn.XLOOKUP('Summary Data'!$A108,'Round 3 Data'!$A$10:$A$145,'Round 3 Data'!U$10:U$145,0)+_xlfn.XLOOKUP('Summary Data'!$A108,'Round 4 Data'!$A$10:$A$147,'Round 4 Data'!U$10:U$147,0))</f>
        <v>#VALUE!</v>
      </c>
    </row>
    <row r="109" spans="1:20" ht="16" thickBot="1" x14ac:dyDescent="0.25">
      <c r="A109" s="61" t="s">
        <v>116</v>
      </c>
      <c r="B109" t="s">
        <v>192</v>
      </c>
      <c r="C109" t="s">
        <v>199</v>
      </c>
      <c r="D109" t="e">
        <f>IF(_xlfn.XLOOKUP('Summary Data'!A109,'Round 1 Data'!$A$10:$A$143,'Round 1 Data'!$E$10:$E$144,0)=0,0,1)+IF(_xlfn.XLOOKUP('Summary Data'!A109,'Round 2 Data'!$A$10:$A$146,'Round 2 Data'!$E$10:$E$146,0)=0,0,1)+IF(_xlfn.XLOOKUP('Summary Data'!A109,'Round 3 Data'!$A$10:$A$145,'Round 3 Data'!$E$10:$E$145,0)=0,0,1)+IF(_xlfn.XLOOKUP('Summary Data'!A109,'Round 4 Data'!$A$10:$A$147,'Round 4 Data'!$E$10:$E$147,0)=0,0,1)</f>
        <v>#VALUE!</v>
      </c>
      <c r="E109" s="57" t="e">
        <f>(_xlfn.XLOOKUP('Summary Data'!$A109,'Round 1 Data'!$A$10:$A$143,'Round 1 Data'!E$10:E$144,0)+_xlfn.XLOOKUP('Summary Data'!$A109,'Round 2 Data'!$A$10:$A$146,'Round 2 Data'!E$10:E$146,0)+_xlfn.XLOOKUP('Summary Data'!$A109,'Round 3 Data'!$A$10:$A$145,'Round 3 Data'!E$10:E$145,0)+_xlfn.XLOOKUP('Summary Data'!$A109,'Round 4 Data'!$A$10:$A$147,'Round 4 Data'!E$10:E$147,0))/$D109</f>
        <v>#VALUE!</v>
      </c>
      <c r="F109" s="57" t="e">
        <f>(_xlfn.XLOOKUP('Summary Data'!$A109,'Round 1 Data'!$A$10:$A$143,'Round 1 Data'!F$10:F$144,0)+_xlfn.XLOOKUP('Summary Data'!$A109,'Round 2 Data'!$A$10:$A$146,'Round 2 Data'!F$10:F$146,0)+_xlfn.XLOOKUP('Summary Data'!$A109,'Round 3 Data'!$A$10:$A$145,'Round 3 Data'!F$10:F$145,0)+_xlfn.XLOOKUP('Summary Data'!$A109,'Round 4 Data'!$A$10:$A$147,'Round 4 Data'!F$10:F$147,0))/$D109</f>
        <v>#VALUE!</v>
      </c>
      <c r="G109" s="57" t="e">
        <f>(_xlfn.XLOOKUP('Summary Data'!$A109,'Round 1 Data'!$A$10:$A$143,'Round 1 Data'!G$10:G$144,0)+_xlfn.XLOOKUP('Summary Data'!$A109,'Round 2 Data'!$A$10:$A$146,'Round 2 Data'!G$10:G$146,0)+_xlfn.XLOOKUP('Summary Data'!$A109,'Round 3 Data'!$A$10:$A$145,'Round 3 Data'!G$10:G$145,0)+_xlfn.XLOOKUP('Summary Data'!$A109,'Round 4 Data'!$A$10:$A$147,'Round 4 Data'!G$10:G$147,0))/$D109</f>
        <v>#VALUE!</v>
      </c>
      <c r="H109" s="57" t="e">
        <f>(_xlfn.XLOOKUP('Summary Data'!$A109,'Round 1 Data'!$A$10:$A$143,'Round 1 Data'!H$10:H$144,0)+_xlfn.XLOOKUP('Summary Data'!$A109,'Round 2 Data'!$A$10:$A$146,'Round 2 Data'!H$10:H$146,0)+_xlfn.XLOOKUP('Summary Data'!$A109,'Round 3 Data'!$A$10:$A$145,'Round 3 Data'!H$10:H$145,0)+_xlfn.XLOOKUP('Summary Data'!$A109,'Round 4 Data'!$A$10:$A$147,'Round 4 Data'!H$10:H$147,0))/$D109</f>
        <v>#VALUE!</v>
      </c>
      <c r="I109" s="57" t="e">
        <f>(_xlfn.XLOOKUP('Summary Data'!$A109,'Round 1 Data'!$A$10:$A$143,'Round 1 Data'!I$10:I$144,0)+_xlfn.XLOOKUP('Summary Data'!$A109,'Round 2 Data'!$A$10:$A$146,'Round 2 Data'!I$10:I$146,0)+_xlfn.XLOOKUP('Summary Data'!$A109,'Round 3 Data'!$A$10:$A$145,'Round 3 Data'!I$10:I$145,0)+_xlfn.XLOOKUP('Summary Data'!$A109,'Round 4 Data'!$A$10:$A$147,'Round 4 Data'!I$10:I$147,0))/$D109</f>
        <v>#VALUE!</v>
      </c>
      <c r="J109" s="57" t="e">
        <f>(_xlfn.XLOOKUP('Summary Data'!$A109,'Round 1 Data'!$A$10:$A$143,'Round 1 Data'!J$10:J$144,0)+_xlfn.XLOOKUP('Summary Data'!$A109,'Round 2 Data'!$A$10:$A$146,'Round 2 Data'!J$10:J$146,0)+_xlfn.XLOOKUP('Summary Data'!$A109,'Round 3 Data'!$A$10:$A$145,'Round 3 Data'!J$10:J$145,0)+_xlfn.XLOOKUP('Summary Data'!$A109,'Round 4 Data'!$A$10:$A$147,'Round 4 Data'!J$10:J$147,0))/$D109</f>
        <v>#VALUE!</v>
      </c>
      <c r="K109" s="57" t="e">
        <f>(_xlfn.XLOOKUP('Summary Data'!$A109,'Round 1 Data'!$A$10:$A$143,'Round 1 Data'!K$10:K$144,0)+_xlfn.XLOOKUP('Summary Data'!$A109,'Round 2 Data'!$A$10:$A$146,'Round 2 Data'!K$10:K$146,0)+_xlfn.XLOOKUP('Summary Data'!$A109,'Round 3 Data'!$A$10:$A$145,'Round 3 Data'!K$10:K$145,0)+_xlfn.XLOOKUP('Summary Data'!$A109,'Round 4 Data'!$A$10:$A$147,'Round 4 Data'!K$10:K$147,0))/$D109</f>
        <v>#VALUE!</v>
      </c>
      <c r="L109" s="57" t="e">
        <f>(_xlfn.XLOOKUP('Summary Data'!$A109,'Round 1 Data'!$A$10:$A$143,'Round 1 Data'!L$10:L$144,0)+_xlfn.XLOOKUP('Summary Data'!$A109,'Round 2 Data'!$A$10:$A$146,'Round 2 Data'!L$10:L$146,0)+_xlfn.XLOOKUP('Summary Data'!$A109,'Round 3 Data'!$A$10:$A$145,'Round 3 Data'!L$10:L$145,0)+_xlfn.XLOOKUP('Summary Data'!$A109,'Round 4 Data'!$A$10:$A$147,'Round 4 Data'!L$10:L$147,0))/$D109</f>
        <v>#VALUE!</v>
      </c>
      <c r="M109" s="57" t="e">
        <f>(_xlfn.XLOOKUP('Summary Data'!$A109,'Round 1 Data'!$A$10:$A$143,'Round 1 Data'!M$10:M$144,0)+_xlfn.XLOOKUP('Summary Data'!$A109,'Round 2 Data'!$A$10:$A$146,'Round 2 Data'!M$10:M$146,0)+_xlfn.XLOOKUP('Summary Data'!$A109,'Round 3 Data'!$A$10:$A$145,'Round 3 Data'!M$10:M$145,0)+_xlfn.XLOOKUP('Summary Data'!$A109,'Round 4 Data'!$A$10:$A$147,'Round 4 Data'!M$10:M$147,0))/$D109</f>
        <v>#VALUE!</v>
      </c>
      <c r="N109" s="57" t="e">
        <f>(_xlfn.XLOOKUP('Summary Data'!$A109,'Round 1 Data'!$A$10:$A$143,'Round 1 Data'!N$10:N$144,0)+_xlfn.XLOOKUP('Summary Data'!$A109,'Round 2 Data'!$A$10:$A$146,'Round 2 Data'!N$10:N$146,0)+_xlfn.XLOOKUP('Summary Data'!$A109,'Round 3 Data'!$A$10:$A$145,'Round 3 Data'!N$10:N$145,0)+_xlfn.XLOOKUP('Summary Data'!$A109,'Round 4 Data'!$A$10:$A$147,'Round 4 Data'!N$10:N$147,0))/$D109</f>
        <v>#VALUE!</v>
      </c>
      <c r="O109" s="57" t="e">
        <f>(_xlfn.XLOOKUP('Summary Data'!$A109,'Round 1 Data'!$A$10:$A$143,'Round 1 Data'!O$10:O$144,0)+_xlfn.XLOOKUP('Summary Data'!$A109,'Round 2 Data'!$A$10:$A$146,'Round 2 Data'!O$10:O$146,0)+_xlfn.XLOOKUP('Summary Data'!$A109,'Round 3 Data'!$A$10:$A$145,'Round 3 Data'!O$10:O$145,0)+_xlfn.XLOOKUP('Summary Data'!$A109,'Round 4 Data'!$A$10:$A$147,'Round 4 Data'!O$10:O$147,0))/$D109</f>
        <v>#VALUE!</v>
      </c>
      <c r="P109" s="57" t="e">
        <f>(_xlfn.XLOOKUP('Summary Data'!$A109,'Round 1 Data'!$A$10:$A$143,'Round 1 Data'!P$10:P$144,0)+_xlfn.XLOOKUP('Summary Data'!$A109,'Round 2 Data'!$A$10:$A$146,'Round 2 Data'!P$10:P$146,0)+_xlfn.XLOOKUP('Summary Data'!$A109,'Round 3 Data'!$A$10:$A$145,'Round 3 Data'!P$10:P$145,0)+_xlfn.XLOOKUP('Summary Data'!$A109,'Round 4 Data'!$A$10:$A$147,'Round 4 Data'!P$10:P$147,0))/$D109</f>
        <v>#VALUE!</v>
      </c>
      <c r="Q109" s="57" t="e">
        <f>(_xlfn.XLOOKUP('Summary Data'!$A109,'Round 1 Data'!$A$10:$A$143,'Round 1 Data'!Q$10:Q$144,0)+_xlfn.XLOOKUP('Summary Data'!$A109,'Round 2 Data'!$A$10:$A$146,'Round 2 Data'!Q$10:Q$146,0)+_xlfn.XLOOKUP('Summary Data'!$A109,'Round 3 Data'!$A$10:$A$145,'Round 3 Data'!Q$10:Q$145,0)+_xlfn.XLOOKUP('Summary Data'!$A109,'Round 4 Data'!$A$10:$A$147,'Round 4 Data'!Q$10:Q$147,0))/$D109</f>
        <v>#VALUE!</v>
      </c>
      <c r="R109" s="57" t="e">
        <f>(_xlfn.XLOOKUP('Summary Data'!$A109,'Round 1 Data'!$A$10:$A$143,'Round 1 Data'!R$10:R$144,0)+_xlfn.XLOOKUP('Summary Data'!$A109,'Round 2 Data'!$A$10:$A$146,'Round 2 Data'!R$10:R$146,0)+_xlfn.XLOOKUP('Summary Data'!$A109,'Round 3 Data'!$A$10:$A$145,'Round 3 Data'!R$10:R$145,0)+_xlfn.XLOOKUP('Summary Data'!$A109,'Round 4 Data'!$A$10:$A$147,'Round 4 Data'!R$10:R$147,0))/$D109</f>
        <v>#VALUE!</v>
      </c>
      <c r="S109" s="57" t="e">
        <f>(_xlfn.XLOOKUP('Summary Data'!$A109,'Round 1 Data'!$A$10:$A$143,'Round 1 Data'!S$10:S$144,0)+_xlfn.XLOOKUP('Summary Data'!$A109,'Round 2 Data'!$A$10:$A$146,'Round 2 Data'!S$10:S$146,0)+_xlfn.XLOOKUP('Summary Data'!$A109,'Round 3 Data'!$A$10:$A$145,'Round 3 Data'!S$10:S$145,0)+_xlfn.XLOOKUP('Summary Data'!$A109,'Round 4 Data'!$A$10:$A$147,'Round 4 Data'!S$10:S$147,0))/$D109</f>
        <v>#VALUE!</v>
      </c>
      <c r="T109" s="62" t="e">
        <f>(_xlfn.XLOOKUP('Summary Data'!$A109,'Round 1 Data'!$A$10:$A$143,'Round 1 Data'!U$10:U$144,0)+_xlfn.XLOOKUP('Summary Data'!$A109,'Round 2 Data'!$A$10:$A$146,'Round 2 Data'!U$10:U$146,0)+_xlfn.XLOOKUP('Summary Data'!$A109,'Round 3 Data'!$A$10:$A$145,'Round 3 Data'!U$10:U$145,0)+_xlfn.XLOOKUP('Summary Data'!$A109,'Round 4 Data'!$A$10:$A$147,'Round 4 Data'!U$10:U$147,0))</f>
        <v>#VALUE!</v>
      </c>
    </row>
    <row r="110" spans="1:20" ht="16" thickBot="1" x14ac:dyDescent="0.25">
      <c r="A110" s="63" t="s">
        <v>118</v>
      </c>
      <c r="B110" t="s">
        <v>192</v>
      </c>
      <c r="C110" t="s">
        <v>199</v>
      </c>
      <c r="D110" t="e">
        <f>IF(_xlfn.XLOOKUP('Summary Data'!A110,'Round 1 Data'!$A$10:$A$143,'Round 1 Data'!$E$10:$E$144,0)=0,0,1)+IF(_xlfn.XLOOKUP('Summary Data'!A110,'Round 2 Data'!$A$10:$A$146,'Round 2 Data'!$E$10:$E$146,0)=0,0,1)+IF(_xlfn.XLOOKUP('Summary Data'!A110,'Round 3 Data'!$A$10:$A$145,'Round 3 Data'!$E$10:$E$145,0)=0,0,1)+IF(_xlfn.XLOOKUP('Summary Data'!A110,'Round 4 Data'!$A$10:$A$147,'Round 4 Data'!$E$10:$E$147,0)=0,0,1)</f>
        <v>#VALUE!</v>
      </c>
      <c r="E110" s="57" t="e">
        <f>(_xlfn.XLOOKUP('Summary Data'!$A110,'Round 1 Data'!$A$10:$A$143,'Round 1 Data'!E$10:E$144,0)+_xlfn.XLOOKUP('Summary Data'!$A110,'Round 2 Data'!$A$10:$A$146,'Round 2 Data'!E$10:E$146,0)+_xlfn.XLOOKUP('Summary Data'!$A110,'Round 3 Data'!$A$10:$A$145,'Round 3 Data'!E$10:E$145,0)+_xlfn.XLOOKUP('Summary Data'!$A110,'Round 4 Data'!$A$10:$A$147,'Round 4 Data'!E$10:E$147,0))/$D110</f>
        <v>#VALUE!</v>
      </c>
      <c r="F110" s="57" t="e">
        <f>(_xlfn.XLOOKUP('Summary Data'!$A110,'Round 1 Data'!$A$10:$A$143,'Round 1 Data'!F$10:F$144,0)+_xlfn.XLOOKUP('Summary Data'!$A110,'Round 2 Data'!$A$10:$A$146,'Round 2 Data'!F$10:F$146,0)+_xlfn.XLOOKUP('Summary Data'!$A110,'Round 3 Data'!$A$10:$A$145,'Round 3 Data'!F$10:F$145,0)+_xlfn.XLOOKUP('Summary Data'!$A110,'Round 4 Data'!$A$10:$A$147,'Round 4 Data'!F$10:F$147,0))/$D110</f>
        <v>#VALUE!</v>
      </c>
      <c r="G110" s="57" t="e">
        <f>(_xlfn.XLOOKUP('Summary Data'!$A110,'Round 1 Data'!$A$10:$A$143,'Round 1 Data'!G$10:G$144,0)+_xlfn.XLOOKUP('Summary Data'!$A110,'Round 2 Data'!$A$10:$A$146,'Round 2 Data'!G$10:G$146,0)+_xlfn.XLOOKUP('Summary Data'!$A110,'Round 3 Data'!$A$10:$A$145,'Round 3 Data'!G$10:G$145,0)+_xlfn.XLOOKUP('Summary Data'!$A110,'Round 4 Data'!$A$10:$A$147,'Round 4 Data'!G$10:G$147,0))/$D110</f>
        <v>#VALUE!</v>
      </c>
      <c r="H110" s="57" t="e">
        <f>(_xlfn.XLOOKUP('Summary Data'!$A110,'Round 1 Data'!$A$10:$A$143,'Round 1 Data'!H$10:H$144,0)+_xlfn.XLOOKUP('Summary Data'!$A110,'Round 2 Data'!$A$10:$A$146,'Round 2 Data'!H$10:H$146,0)+_xlfn.XLOOKUP('Summary Data'!$A110,'Round 3 Data'!$A$10:$A$145,'Round 3 Data'!H$10:H$145,0)+_xlfn.XLOOKUP('Summary Data'!$A110,'Round 4 Data'!$A$10:$A$147,'Round 4 Data'!H$10:H$147,0))/$D110</f>
        <v>#VALUE!</v>
      </c>
      <c r="I110" s="57" t="e">
        <f>(_xlfn.XLOOKUP('Summary Data'!$A110,'Round 1 Data'!$A$10:$A$143,'Round 1 Data'!I$10:I$144,0)+_xlfn.XLOOKUP('Summary Data'!$A110,'Round 2 Data'!$A$10:$A$146,'Round 2 Data'!I$10:I$146,0)+_xlfn.XLOOKUP('Summary Data'!$A110,'Round 3 Data'!$A$10:$A$145,'Round 3 Data'!I$10:I$145,0)+_xlfn.XLOOKUP('Summary Data'!$A110,'Round 4 Data'!$A$10:$A$147,'Round 4 Data'!I$10:I$147,0))/$D110</f>
        <v>#VALUE!</v>
      </c>
      <c r="J110" s="57" t="e">
        <f>(_xlfn.XLOOKUP('Summary Data'!$A110,'Round 1 Data'!$A$10:$A$143,'Round 1 Data'!J$10:J$144,0)+_xlfn.XLOOKUP('Summary Data'!$A110,'Round 2 Data'!$A$10:$A$146,'Round 2 Data'!J$10:J$146,0)+_xlfn.XLOOKUP('Summary Data'!$A110,'Round 3 Data'!$A$10:$A$145,'Round 3 Data'!J$10:J$145,0)+_xlfn.XLOOKUP('Summary Data'!$A110,'Round 4 Data'!$A$10:$A$147,'Round 4 Data'!J$10:J$147,0))/$D110</f>
        <v>#VALUE!</v>
      </c>
      <c r="K110" s="57" t="e">
        <f>(_xlfn.XLOOKUP('Summary Data'!$A110,'Round 1 Data'!$A$10:$A$143,'Round 1 Data'!K$10:K$144,0)+_xlfn.XLOOKUP('Summary Data'!$A110,'Round 2 Data'!$A$10:$A$146,'Round 2 Data'!K$10:K$146,0)+_xlfn.XLOOKUP('Summary Data'!$A110,'Round 3 Data'!$A$10:$A$145,'Round 3 Data'!K$10:K$145,0)+_xlfn.XLOOKUP('Summary Data'!$A110,'Round 4 Data'!$A$10:$A$147,'Round 4 Data'!K$10:K$147,0))/$D110</f>
        <v>#VALUE!</v>
      </c>
      <c r="L110" s="57" t="e">
        <f>(_xlfn.XLOOKUP('Summary Data'!$A110,'Round 1 Data'!$A$10:$A$143,'Round 1 Data'!L$10:L$144,0)+_xlfn.XLOOKUP('Summary Data'!$A110,'Round 2 Data'!$A$10:$A$146,'Round 2 Data'!L$10:L$146,0)+_xlfn.XLOOKUP('Summary Data'!$A110,'Round 3 Data'!$A$10:$A$145,'Round 3 Data'!L$10:L$145,0)+_xlfn.XLOOKUP('Summary Data'!$A110,'Round 4 Data'!$A$10:$A$147,'Round 4 Data'!L$10:L$147,0))/$D110</f>
        <v>#VALUE!</v>
      </c>
      <c r="M110" s="57" t="e">
        <f>(_xlfn.XLOOKUP('Summary Data'!$A110,'Round 1 Data'!$A$10:$A$143,'Round 1 Data'!M$10:M$144,0)+_xlfn.XLOOKUP('Summary Data'!$A110,'Round 2 Data'!$A$10:$A$146,'Round 2 Data'!M$10:M$146,0)+_xlfn.XLOOKUP('Summary Data'!$A110,'Round 3 Data'!$A$10:$A$145,'Round 3 Data'!M$10:M$145,0)+_xlfn.XLOOKUP('Summary Data'!$A110,'Round 4 Data'!$A$10:$A$147,'Round 4 Data'!M$10:M$147,0))/$D110</f>
        <v>#VALUE!</v>
      </c>
      <c r="N110" s="57" t="e">
        <f>(_xlfn.XLOOKUP('Summary Data'!$A110,'Round 1 Data'!$A$10:$A$143,'Round 1 Data'!N$10:N$144,0)+_xlfn.XLOOKUP('Summary Data'!$A110,'Round 2 Data'!$A$10:$A$146,'Round 2 Data'!N$10:N$146,0)+_xlfn.XLOOKUP('Summary Data'!$A110,'Round 3 Data'!$A$10:$A$145,'Round 3 Data'!N$10:N$145,0)+_xlfn.XLOOKUP('Summary Data'!$A110,'Round 4 Data'!$A$10:$A$147,'Round 4 Data'!N$10:N$147,0))/$D110</f>
        <v>#VALUE!</v>
      </c>
      <c r="O110" s="57" t="e">
        <f>(_xlfn.XLOOKUP('Summary Data'!$A110,'Round 1 Data'!$A$10:$A$143,'Round 1 Data'!O$10:O$144,0)+_xlfn.XLOOKUP('Summary Data'!$A110,'Round 2 Data'!$A$10:$A$146,'Round 2 Data'!O$10:O$146,0)+_xlfn.XLOOKUP('Summary Data'!$A110,'Round 3 Data'!$A$10:$A$145,'Round 3 Data'!O$10:O$145,0)+_xlfn.XLOOKUP('Summary Data'!$A110,'Round 4 Data'!$A$10:$A$147,'Round 4 Data'!O$10:O$147,0))/$D110</f>
        <v>#VALUE!</v>
      </c>
      <c r="P110" s="57" t="e">
        <f>(_xlfn.XLOOKUP('Summary Data'!$A110,'Round 1 Data'!$A$10:$A$143,'Round 1 Data'!P$10:P$144,0)+_xlfn.XLOOKUP('Summary Data'!$A110,'Round 2 Data'!$A$10:$A$146,'Round 2 Data'!P$10:P$146,0)+_xlfn.XLOOKUP('Summary Data'!$A110,'Round 3 Data'!$A$10:$A$145,'Round 3 Data'!P$10:P$145,0)+_xlfn.XLOOKUP('Summary Data'!$A110,'Round 4 Data'!$A$10:$A$147,'Round 4 Data'!P$10:P$147,0))/$D110</f>
        <v>#VALUE!</v>
      </c>
      <c r="Q110" s="57" t="e">
        <f>(_xlfn.XLOOKUP('Summary Data'!$A110,'Round 1 Data'!$A$10:$A$143,'Round 1 Data'!Q$10:Q$144,0)+_xlfn.XLOOKUP('Summary Data'!$A110,'Round 2 Data'!$A$10:$A$146,'Round 2 Data'!Q$10:Q$146,0)+_xlfn.XLOOKUP('Summary Data'!$A110,'Round 3 Data'!$A$10:$A$145,'Round 3 Data'!Q$10:Q$145,0)+_xlfn.XLOOKUP('Summary Data'!$A110,'Round 4 Data'!$A$10:$A$147,'Round 4 Data'!Q$10:Q$147,0))/$D110</f>
        <v>#VALUE!</v>
      </c>
      <c r="R110" s="57" t="e">
        <f>(_xlfn.XLOOKUP('Summary Data'!$A110,'Round 1 Data'!$A$10:$A$143,'Round 1 Data'!R$10:R$144,0)+_xlfn.XLOOKUP('Summary Data'!$A110,'Round 2 Data'!$A$10:$A$146,'Round 2 Data'!R$10:R$146,0)+_xlfn.XLOOKUP('Summary Data'!$A110,'Round 3 Data'!$A$10:$A$145,'Round 3 Data'!R$10:R$145,0)+_xlfn.XLOOKUP('Summary Data'!$A110,'Round 4 Data'!$A$10:$A$147,'Round 4 Data'!R$10:R$147,0))/$D110</f>
        <v>#VALUE!</v>
      </c>
      <c r="S110" s="57" t="e">
        <f>(_xlfn.XLOOKUP('Summary Data'!$A110,'Round 1 Data'!$A$10:$A$143,'Round 1 Data'!S$10:S$144,0)+_xlfn.XLOOKUP('Summary Data'!$A110,'Round 2 Data'!$A$10:$A$146,'Round 2 Data'!S$10:S$146,0)+_xlfn.XLOOKUP('Summary Data'!$A110,'Round 3 Data'!$A$10:$A$145,'Round 3 Data'!S$10:S$145,0)+_xlfn.XLOOKUP('Summary Data'!$A110,'Round 4 Data'!$A$10:$A$147,'Round 4 Data'!S$10:S$147,0))/$D110</f>
        <v>#VALUE!</v>
      </c>
      <c r="T110" s="62" t="e">
        <f>(_xlfn.XLOOKUP('Summary Data'!$A110,'Round 1 Data'!$A$10:$A$143,'Round 1 Data'!U$10:U$144,0)+_xlfn.XLOOKUP('Summary Data'!$A110,'Round 2 Data'!$A$10:$A$146,'Round 2 Data'!U$10:U$146,0)+_xlfn.XLOOKUP('Summary Data'!$A110,'Round 3 Data'!$A$10:$A$145,'Round 3 Data'!U$10:U$145,0)+_xlfn.XLOOKUP('Summary Data'!$A110,'Round 4 Data'!$A$10:$A$147,'Round 4 Data'!U$10:U$147,0))</f>
        <v>#VALUE!</v>
      </c>
    </row>
    <row r="111" spans="1:20" ht="16" thickBot="1" x14ac:dyDescent="0.25">
      <c r="A111" s="61" t="s">
        <v>119</v>
      </c>
      <c r="B111" t="s">
        <v>192</v>
      </c>
      <c r="C111" t="s">
        <v>199</v>
      </c>
      <c r="D111" t="e">
        <f>IF(_xlfn.XLOOKUP('Summary Data'!A111,'Round 1 Data'!$A$10:$A$143,'Round 1 Data'!$E$10:$E$144,0)=0,0,1)+IF(_xlfn.XLOOKUP('Summary Data'!A111,'Round 2 Data'!$A$10:$A$146,'Round 2 Data'!$E$10:$E$146,0)=0,0,1)+IF(_xlfn.XLOOKUP('Summary Data'!A111,'Round 3 Data'!$A$10:$A$145,'Round 3 Data'!$E$10:$E$145,0)=0,0,1)+IF(_xlfn.XLOOKUP('Summary Data'!A111,'Round 4 Data'!$A$10:$A$147,'Round 4 Data'!$E$10:$E$147,0)=0,0,1)</f>
        <v>#VALUE!</v>
      </c>
      <c r="E111" s="57" t="e">
        <f>(_xlfn.XLOOKUP('Summary Data'!$A111,'Round 1 Data'!$A$10:$A$143,'Round 1 Data'!E$10:E$144,0)+_xlfn.XLOOKUP('Summary Data'!$A111,'Round 2 Data'!$A$10:$A$146,'Round 2 Data'!E$10:E$146,0)+_xlfn.XLOOKUP('Summary Data'!$A111,'Round 3 Data'!$A$10:$A$145,'Round 3 Data'!E$10:E$145,0)+_xlfn.XLOOKUP('Summary Data'!$A111,'Round 4 Data'!$A$10:$A$147,'Round 4 Data'!E$10:E$147,0))/$D111</f>
        <v>#VALUE!</v>
      </c>
      <c r="F111" s="57" t="e">
        <f>(_xlfn.XLOOKUP('Summary Data'!$A111,'Round 1 Data'!$A$10:$A$143,'Round 1 Data'!F$10:F$144,0)+_xlfn.XLOOKUP('Summary Data'!$A111,'Round 2 Data'!$A$10:$A$146,'Round 2 Data'!F$10:F$146,0)+_xlfn.XLOOKUP('Summary Data'!$A111,'Round 3 Data'!$A$10:$A$145,'Round 3 Data'!F$10:F$145,0)+_xlfn.XLOOKUP('Summary Data'!$A111,'Round 4 Data'!$A$10:$A$147,'Round 4 Data'!F$10:F$147,0))/$D111</f>
        <v>#VALUE!</v>
      </c>
      <c r="G111" s="57" t="e">
        <f>(_xlfn.XLOOKUP('Summary Data'!$A111,'Round 1 Data'!$A$10:$A$143,'Round 1 Data'!G$10:G$144,0)+_xlfn.XLOOKUP('Summary Data'!$A111,'Round 2 Data'!$A$10:$A$146,'Round 2 Data'!G$10:G$146,0)+_xlfn.XLOOKUP('Summary Data'!$A111,'Round 3 Data'!$A$10:$A$145,'Round 3 Data'!G$10:G$145,0)+_xlfn.XLOOKUP('Summary Data'!$A111,'Round 4 Data'!$A$10:$A$147,'Round 4 Data'!G$10:G$147,0))/$D111</f>
        <v>#VALUE!</v>
      </c>
      <c r="H111" s="57" t="e">
        <f>(_xlfn.XLOOKUP('Summary Data'!$A111,'Round 1 Data'!$A$10:$A$143,'Round 1 Data'!H$10:H$144,0)+_xlfn.XLOOKUP('Summary Data'!$A111,'Round 2 Data'!$A$10:$A$146,'Round 2 Data'!H$10:H$146,0)+_xlfn.XLOOKUP('Summary Data'!$A111,'Round 3 Data'!$A$10:$A$145,'Round 3 Data'!H$10:H$145,0)+_xlfn.XLOOKUP('Summary Data'!$A111,'Round 4 Data'!$A$10:$A$147,'Round 4 Data'!H$10:H$147,0))/$D111</f>
        <v>#VALUE!</v>
      </c>
      <c r="I111" s="57" t="e">
        <f>(_xlfn.XLOOKUP('Summary Data'!$A111,'Round 1 Data'!$A$10:$A$143,'Round 1 Data'!I$10:I$144,0)+_xlfn.XLOOKUP('Summary Data'!$A111,'Round 2 Data'!$A$10:$A$146,'Round 2 Data'!I$10:I$146,0)+_xlfn.XLOOKUP('Summary Data'!$A111,'Round 3 Data'!$A$10:$A$145,'Round 3 Data'!I$10:I$145,0)+_xlfn.XLOOKUP('Summary Data'!$A111,'Round 4 Data'!$A$10:$A$147,'Round 4 Data'!I$10:I$147,0))/$D111</f>
        <v>#VALUE!</v>
      </c>
      <c r="J111" s="57" t="e">
        <f>(_xlfn.XLOOKUP('Summary Data'!$A111,'Round 1 Data'!$A$10:$A$143,'Round 1 Data'!J$10:J$144,0)+_xlfn.XLOOKUP('Summary Data'!$A111,'Round 2 Data'!$A$10:$A$146,'Round 2 Data'!J$10:J$146,0)+_xlfn.XLOOKUP('Summary Data'!$A111,'Round 3 Data'!$A$10:$A$145,'Round 3 Data'!J$10:J$145,0)+_xlfn.XLOOKUP('Summary Data'!$A111,'Round 4 Data'!$A$10:$A$147,'Round 4 Data'!J$10:J$147,0))/$D111</f>
        <v>#VALUE!</v>
      </c>
      <c r="K111" s="57" t="e">
        <f>(_xlfn.XLOOKUP('Summary Data'!$A111,'Round 1 Data'!$A$10:$A$143,'Round 1 Data'!K$10:K$144,0)+_xlfn.XLOOKUP('Summary Data'!$A111,'Round 2 Data'!$A$10:$A$146,'Round 2 Data'!K$10:K$146,0)+_xlfn.XLOOKUP('Summary Data'!$A111,'Round 3 Data'!$A$10:$A$145,'Round 3 Data'!K$10:K$145,0)+_xlfn.XLOOKUP('Summary Data'!$A111,'Round 4 Data'!$A$10:$A$147,'Round 4 Data'!K$10:K$147,0))/$D111</f>
        <v>#VALUE!</v>
      </c>
      <c r="L111" s="57" t="e">
        <f>(_xlfn.XLOOKUP('Summary Data'!$A111,'Round 1 Data'!$A$10:$A$143,'Round 1 Data'!L$10:L$144,0)+_xlfn.XLOOKUP('Summary Data'!$A111,'Round 2 Data'!$A$10:$A$146,'Round 2 Data'!L$10:L$146,0)+_xlfn.XLOOKUP('Summary Data'!$A111,'Round 3 Data'!$A$10:$A$145,'Round 3 Data'!L$10:L$145,0)+_xlfn.XLOOKUP('Summary Data'!$A111,'Round 4 Data'!$A$10:$A$147,'Round 4 Data'!L$10:L$147,0))/$D111</f>
        <v>#VALUE!</v>
      </c>
      <c r="M111" s="57" t="e">
        <f>(_xlfn.XLOOKUP('Summary Data'!$A111,'Round 1 Data'!$A$10:$A$143,'Round 1 Data'!M$10:M$144,0)+_xlfn.XLOOKUP('Summary Data'!$A111,'Round 2 Data'!$A$10:$A$146,'Round 2 Data'!M$10:M$146,0)+_xlfn.XLOOKUP('Summary Data'!$A111,'Round 3 Data'!$A$10:$A$145,'Round 3 Data'!M$10:M$145,0)+_xlfn.XLOOKUP('Summary Data'!$A111,'Round 4 Data'!$A$10:$A$147,'Round 4 Data'!M$10:M$147,0))/$D111</f>
        <v>#VALUE!</v>
      </c>
      <c r="N111" s="57" t="e">
        <f>(_xlfn.XLOOKUP('Summary Data'!$A111,'Round 1 Data'!$A$10:$A$143,'Round 1 Data'!N$10:N$144,0)+_xlfn.XLOOKUP('Summary Data'!$A111,'Round 2 Data'!$A$10:$A$146,'Round 2 Data'!N$10:N$146,0)+_xlfn.XLOOKUP('Summary Data'!$A111,'Round 3 Data'!$A$10:$A$145,'Round 3 Data'!N$10:N$145,0)+_xlfn.XLOOKUP('Summary Data'!$A111,'Round 4 Data'!$A$10:$A$147,'Round 4 Data'!N$10:N$147,0))/$D111</f>
        <v>#VALUE!</v>
      </c>
      <c r="O111" s="57" t="e">
        <f>(_xlfn.XLOOKUP('Summary Data'!$A111,'Round 1 Data'!$A$10:$A$143,'Round 1 Data'!O$10:O$144,0)+_xlfn.XLOOKUP('Summary Data'!$A111,'Round 2 Data'!$A$10:$A$146,'Round 2 Data'!O$10:O$146,0)+_xlfn.XLOOKUP('Summary Data'!$A111,'Round 3 Data'!$A$10:$A$145,'Round 3 Data'!O$10:O$145,0)+_xlfn.XLOOKUP('Summary Data'!$A111,'Round 4 Data'!$A$10:$A$147,'Round 4 Data'!O$10:O$147,0))/$D111</f>
        <v>#VALUE!</v>
      </c>
      <c r="P111" s="57" t="e">
        <f>(_xlfn.XLOOKUP('Summary Data'!$A111,'Round 1 Data'!$A$10:$A$143,'Round 1 Data'!P$10:P$144,0)+_xlfn.XLOOKUP('Summary Data'!$A111,'Round 2 Data'!$A$10:$A$146,'Round 2 Data'!P$10:P$146,0)+_xlfn.XLOOKUP('Summary Data'!$A111,'Round 3 Data'!$A$10:$A$145,'Round 3 Data'!P$10:P$145,0)+_xlfn.XLOOKUP('Summary Data'!$A111,'Round 4 Data'!$A$10:$A$147,'Round 4 Data'!P$10:P$147,0))/$D111</f>
        <v>#VALUE!</v>
      </c>
      <c r="Q111" s="57" t="e">
        <f>(_xlfn.XLOOKUP('Summary Data'!$A111,'Round 1 Data'!$A$10:$A$143,'Round 1 Data'!Q$10:Q$144,0)+_xlfn.XLOOKUP('Summary Data'!$A111,'Round 2 Data'!$A$10:$A$146,'Round 2 Data'!Q$10:Q$146,0)+_xlfn.XLOOKUP('Summary Data'!$A111,'Round 3 Data'!$A$10:$A$145,'Round 3 Data'!Q$10:Q$145,0)+_xlfn.XLOOKUP('Summary Data'!$A111,'Round 4 Data'!$A$10:$A$147,'Round 4 Data'!Q$10:Q$147,0))/$D111</f>
        <v>#VALUE!</v>
      </c>
      <c r="R111" s="57" t="e">
        <f>(_xlfn.XLOOKUP('Summary Data'!$A111,'Round 1 Data'!$A$10:$A$143,'Round 1 Data'!R$10:R$144,0)+_xlfn.XLOOKUP('Summary Data'!$A111,'Round 2 Data'!$A$10:$A$146,'Round 2 Data'!R$10:R$146,0)+_xlfn.XLOOKUP('Summary Data'!$A111,'Round 3 Data'!$A$10:$A$145,'Round 3 Data'!R$10:R$145,0)+_xlfn.XLOOKUP('Summary Data'!$A111,'Round 4 Data'!$A$10:$A$147,'Round 4 Data'!R$10:R$147,0))/$D111</f>
        <v>#VALUE!</v>
      </c>
      <c r="S111" s="57" t="e">
        <f>(_xlfn.XLOOKUP('Summary Data'!$A111,'Round 1 Data'!$A$10:$A$143,'Round 1 Data'!S$10:S$144,0)+_xlfn.XLOOKUP('Summary Data'!$A111,'Round 2 Data'!$A$10:$A$146,'Round 2 Data'!S$10:S$146,0)+_xlfn.XLOOKUP('Summary Data'!$A111,'Round 3 Data'!$A$10:$A$145,'Round 3 Data'!S$10:S$145,0)+_xlfn.XLOOKUP('Summary Data'!$A111,'Round 4 Data'!$A$10:$A$147,'Round 4 Data'!S$10:S$147,0))/$D111</f>
        <v>#VALUE!</v>
      </c>
      <c r="T111" s="62" t="e">
        <f>(_xlfn.XLOOKUP('Summary Data'!$A111,'Round 1 Data'!$A$10:$A$143,'Round 1 Data'!U$10:U$144,0)+_xlfn.XLOOKUP('Summary Data'!$A111,'Round 2 Data'!$A$10:$A$146,'Round 2 Data'!U$10:U$146,0)+_xlfn.XLOOKUP('Summary Data'!$A111,'Round 3 Data'!$A$10:$A$145,'Round 3 Data'!U$10:U$145,0)+_xlfn.XLOOKUP('Summary Data'!$A111,'Round 4 Data'!$A$10:$A$147,'Round 4 Data'!U$10:U$147,0))</f>
        <v>#VALUE!</v>
      </c>
    </row>
    <row r="112" spans="1:20" ht="16" thickBot="1" x14ac:dyDescent="0.25">
      <c r="A112" s="63" t="s">
        <v>187</v>
      </c>
      <c r="B112" t="s">
        <v>192</v>
      </c>
      <c r="C112" t="s">
        <v>200</v>
      </c>
      <c r="D112" t="e">
        <f>IF(_xlfn.XLOOKUP('Summary Data'!A112,'Round 1 Data'!$A$10:$A$143,'Round 1 Data'!$E$10:$E$144,0)=0,0,1)+IF(_xlfn.XLOOKUP('Summary Data'!A112,'Round 2 Data'!$A$10:$A$146,'Round 2 Data'!$E$10:$E$146,0)=0,0,1)+IF(_xlfn.XLOOKUP('Summary Data'!A112,'Round 3 Data'!$A$10:$A$145,'Round 3 Data'!$E$10:$E$145,0)=0,0,1)+IF(_xlfn.XLOOKUP('Summary Data'!A112,'Round 4 Data'!$A$10:$A$147,'Round 4 Data'!$E$10:$E$147,0)=0,0,1)</f>
        <v>#VALUE!</v>
      </c>
      <c r="E112" s="57" t="e">
        <f>(_xlfn.XLOOKUP('Summary Data'!$A112,'Round 1 Data'!$A$10:$A$143,'Round 1 Data'!E$10:E$144,0)+_xlfn.XLOOKUP('Summary Data'!$A112,'Round 2 Data'!$A$10:$A$146,'Round 2 Data'!E$10:E$146,0)+_xlfn.XLOOKUP('Summary Data'!$A112,'Round 3 Data'!$A$10:$A$145,'Round 3 Data'!E$10:E$145,0)+_xlfn.XLOOKUP('Summary Data'!$A112,'Round 4 Data'!$A$10:$A$147,'Round 4 Data'!E$10:E$147,0))/$D112</f>
        <v>#VALUE!</v>
      </c>
      <c r="F112" s="57" t="e">
        <f>(_xlfn.XLOOKUP('Summary Data'!$A112,'Round 1 Data'!$A$10:$A$143,'Round 1 Data'!F$10:F$144,0)+_xlfn.XLOOKUP('Summary Data'!$A112,'Round 2 Data'!$A$10:$A$146,'Round 2 Data'!F$10:F$146,0)+_xlfn.XLOOKUP('Summary Data'!$A112,'Round 3 Data'!$A$10:$A$145,'Round 3 Data'!F$10:F$145,0)+_xlfn.XLOOKUP('Summary Data'!$A112,'Round 4 Data'!$A$10:$A$147,'Round 4 Data'!F$10:F$147,0))/$D112</f>
        <v>#VALUE!</v>
      </c>
      <c r="G112" s="57" t="e">
        <f>(_xlfn.XLOOKUP('Summary Data'!$A112,'Round 1 Data'!$A$10:$A$143,'Round 1 Data'!G$10:G$144,0)+_xlfn.XLOOKUP('Summary Data'!$A112,'Round 2 Data'!$A$10:$A$146,'Round 2 Data'!G$10:G$146,0)+_xlfn.XLOOKUP('Summary Data'!$A112,'Round 3 Data'!$A$10:$A$145,'Round 3 Data'!G$10:G$145,0)+_xlfn.XLOOKUP('Summary Data'!$A112,'Round 4 Data'!$A$10:$A$147,'Round 4 Data'!G$10:G$147,0))/$D112</f>
        <v>#VALUE!</v>
      </c>
      <c r="H112" s="57" t="e">
        <f>(_xlfn.XLOOKUP('Summary Data'!$A112,'Round 1 Data'!$A$10:$A$143,'Round 1 Data'!H$10:H$144,0)+_xlfn.XLOOKUP('Summary Data'!$A112,'Round 2 Data'!$A$10:$A$146,'Round 2 Data'!H$10:H$146,0)+_xlfn.XLOOKUP('Summary Data'!$A112,'Round 3 Data'!$A$10:$A$145,'Round 3 Data'!H$10:H$145,0)+_xlfn.XLOOKUP('Summary Data'!$A112,'Round 4 Data'!$A$10:$A$147,'Round 4 Data'!H$10:H$147,0))/$D112</f>
        <v>#VALUE!</v>
      </c>
      <c r="I112" s="57" t="e">
        <f>(_xlfn.XLOOKUP('Summary Data'!$A112,'Round 1 Data'!$A$10:$A$143,'Round 1 Data'!I$10:I$144,0)+_xlfn.XLOOKUP('Summary Data'!$A112,'Round 2 Data'!$A$10:$A$146,'Round 2 Data'!I$10:I$146,0)+_xlfn.XLOOKUP('Summary Data'!$A112,'Round 3 Data'!$A$10:$A$145,'Round 3 Data'!I$10:I$145,0)+_xlfn.XLOOKUP('Summary Data'!$A112,'Round 4 Data'!$A$10:$A$147,'Round 4 Data'!I$10:I$147,0))/$D112</f>
        <v>#VALUE!</v>
      </c>
      <c r="J112" s="57" t="e">
        <f>(_xlfn.XLOOKUP('Summary Data'!$A112,'Round 1 Data'!$A$10:$A$143,'Round 1 Data'!J$10:J$144,0)+_xlfn.XLOOKUP('Summary Data'!$A112,'Round 2 Data'!$A$10:$A$146,'Round 2 Data'!J$10:J$146,0)+_xlfn.XLOOKUP('Summary Data'!$A112,'Round 3 Data'!$A$10:$A$145,'Round 3 Data'!J$10:J$145,0)+_xlfn.XLOOKUP('Summary Data'!$A112,'Round 4 Data'!$A$10:$A$147,'Round 4 Data'!J$10:J$147,0))/$D112</f>
        <v>#VALUE!</v>
      </c>
      <c r="K112" s="57" t="e">
        <f>(_xlfn.XLOOKUP('Summary Data'!$A112,'Round 1 Data'!$A$10:$A$143,'Round 1 Data'!K$10:K$144,0)+_xlfn.XLOOKUP('Summary Data'!$A112,'Round 2 Data'!$A$10:$A$146,'Round 2 Data'!K$10:K$146,0)+_xlfn.XLOOKUP('Summary Data'!$A112,'Round 3 Data'!$A$10:$A$145,'Round 3 Data'!K$10:K$145,0)+_xlfn.XLOOKUP('Summary Data'!$A112,'Round 4 Data'!$A$10:$A$147,'Round 4 Data'!K$10:K$147,0))/$D112</f>
        <v>#VALUE!</v>
      </c>
      <c r="L112" s="57" t="e">
        <f>(_xlfn.XLOOKUP('Summary Data'!$A112,'Round 1 Data'!$A$10:$A$143,'Round 1 Data'!L$10:L$144,0)+_xlfn.XLOOKUP('Summary Data'!$A112,'Round 2 Data'!$A$10:$A$146,'Round 2 Data'!L$10:L$146,0)+_xlfn.XLOOKUP('Summary Data'!$A112,'Round 3 Data'!$A$10:$A$145,'Round 3 Data'!L$10:L$145,0)+_xlfn.XLOOKUP('Summary Data'!$A112,'Round 4 Data'!$A$10:$A$147,'Round 4 Data'!L$10:L$147,0))/$D112</f>
        <v>#VALUE!</v>
      </c>
      <c r="M112" s="57" t="e">
        <f>(_xlfn.XLOOKUP('Summary Data'!$A112,'Round 1 Data'!$A$10:$A$143,'Round 1 Data'!M$10:M$144,0)+_xlfn.XLOOKUP('Summary Data'!$A112,'Round 2 Data'!$A$10:$A$146,'Round 2 Data'!M$10:M$146,0)+_xlfn.XLOOKUP('Summary Data'!$A112,'Round 3 Data'!$A$10:$A$145,'Round 3 Data'!M$10:M$145,0)+_xlfn.XLOOKUP('Summary Data'!$A112,'Round 4 Data'!$A$10:$A$147,'Round 4 Data'!M$10:M$147,0))/$D112</f>
        <v>#VALUE!</v>
      </c>
      <c r="N112" s="57" t="e">
        <f>(_xlfn.XLOOKUP('Summary Data'!$A112,'Round 1 Data'!$A$10:$A$143,'Round 1 Data'!N$10:N$144,0)+_xlfn.XLOOKUP('Summary Data'!$A112,'Round 2 Data'!$A$10:$A$146,'Round 2 Data'!N$10:N$146,0)+_xlfn.XLOOKUP('Summary Data'!$A112,'Round 3 Data'!$A$10:$A$145,'Round 3 Data'!N$10:N$145,0)+_xlfn.XLOOKUP('Summary Data'!$A112,'Round 4 Data'!$A$10:$A$147,'Round 4 Data'!N$10:N$147,0))/$D112</f>
        <v>#VALUE!</v>
      </c>
      <c r="O112" s="57" t="e">
        <f>(_xlfn.XLOOKUP('Summary Data'!$A112,'Round 1 Data'!$A$10:$A$143,'Round 1 Data'!O$10:O$144,0)+_xlfn.XLOOKUP('Summary Data'!$A112,'Round 2 Data'!$A$10:$A$146,'Round 2 Data'!O$10:O$146,0)+_xlfn.XLOOKUP('Summary Data'!$A112,'Round 3 Data'!$A$10:$A$145,'Round 3 Data'!O$10:O$145,0)+_xlfn.XLOOKUP('Summary Data'!$A112,'Round 4 Data'!$A$10:$A$147,'Round 4 Data'!O$10:O$147,0))/$D112</f>
        <v>#VALUE!</v>
      </c>
      <c r="P112" s="57" t="e">
        <f>(_xlfn.XLOOKUP('Summary Data'!$A112,'Round 1 Data'!$A$10:$A$143,'Round 1 Data'!P$10:P$144,0)+_xlfn.XLOOKUP('Summary Data'!$A112,'Round 2 Data'!$A$10:$A$146,'Round 2 Data'!P$10:P$146,0)+_xlfn.XLOOKUP('Summary Data'!$A112,'Round 3 Data'!$A$10:$A$145,'Round 3 Data'!P$10:P$145,0)+_xlfn.XLOOKUP('Summary Data'!$A112,'Round 4 Data'!$A$10:$A$147,'Round 4 Data'!P$10:P$147,0))/$D112</f>
        <v>#VALUE!</v>
      </c>
      <c r="Q112" s="57" t="e">
        <f>(_xlfn.XLOOKUP('Summary Data'!$A112,'Round 1 Data'!$A$10:$A$143,'Round 1 Data'!Q$10:Q$144,0)+_xlfn.XLOOKUP('Summary Data'!$A112,'Round 2 Data'!$A$10:$A$146,'Round 2 Data'!Q$10:Q$146,0)+_xlfn.XLOOKUP('Summary Data'!$A112,'Round 3 Data'!$A$10:$A$145,'Round 3 Data'!Q$10:Q$145,0)+_xlfn.XLOOKUP('Summary Data'!$A112,'Round 4 Data'!$A$10:$A$147,'Round 4 Data'!Q$10:Q$147,0))/$D112</f>
        <v>#VALUE!</v>
      </c>
      <c r="R112" s="57" t="e">
        <f>(_xlfn.XLOOKUP('Summary Data'!$A112,'Round 1 Data'!$A$10:$A$143,'Round 1 Data'!R$10:R$144,0)+_xlfn.XLOOKUP('Summary Data'!$A112,'Round 2 Data'!$A$10:$A$146,'Round 2 Data'!R$10:R$146,0)+_xlfn.XLOOKUP('Summary Data'!$A112,'Round 3 Data'!$A$10:$A$145,'Round 3 Data'!R$10:R$145,0)+_xlfn.XLOOKUP('Summary Data'!$A112,'Round 4 Data'!$A$10:$A$147,'Round 4 Data'!R$10:R$147,0))/$D112</f>
        <v>#VALUE!</v>
      </c>
      <c r="S112" s="57" t="e">
        <f>(_xlfn.XLOOKUP('Summary Data'!$A112,'Round 1 Data'!$A$10:$A$143,'Round 1 Data'!S$10:S$144,0)+_xlfn.XLOOKUP('Summary Data'!$A112,'Round 2 Data'!$A$10:$A$146,'Round 2 Data'!S$10:S$146,0)+_xlfn.XLOOKUP('Summary Data'!$A112,'Round 3 Data'!$A$10:$A$145,'Round 3 Data'!S$10:S$145,0)+_xlfn.XLOOKUP('Summary Data'!$A112,'Round 4 Data'!$A$10:$A$147,'Round 4 Data'!S$10:S$147,0))/$D112</f>
        <v>#VALUE!</v>
      </c>
      <c r="T112" s="62" t="e">
        <f>(_xlfn.XLOOKUP('Summary Data'!$A112,'Round 1 Data'!$A$10:$A$143,'Round 1 Data'!U$10:U$144,0)+_xlfn.XLOOKUP('Summary Data'!$A112,'Round 2 Data'!$A$10:$A$146,'Round 2 Data'!U$10:U$146,0)+_xlfn.XLOOKUP('Summary Data'!$A112,'Round 3 Data'!$A$10:$A$145,'Round 3 Data'!U$10:U$145,0)+_xlfn.XLOOKUP('Summary Data'!$A112,'Round 4 Data'!$A$10:$A$147,'Round 4 Data'!U$10:U$147,0))</f>
        <v>#VALUE!</v>
      </c>
    </row>
    <row r="113" spans="1:20" ht="16" thickBot="1" x14ac:dyDescent="0.25">
      <c r="A113" s="61" t="s">
        <v>120</v>
      </c>
      <c r="B113" t="s">
        <v>192</v>
      </c>
      <c r="C113" t="s">
        <v>200</v>
      </c>
      <c r="D113" t="e">
        <f>IF(_xlfn.XLOOKUP('Summary Data'!A113,'Round 1 Data'!$A$10:$A$143,'Round 1 Data'!$E$10:$E$144,0)=0,0,1)+IF(_xlfn.XLOOKUP('Summary Data'!A113,'Round 2 Data'!$A$10:$A$146,'Round 2 Data'!$E$10:$E$146,0)=0,0,1)+IF(_xlfn.XLOOKUP('Summary Data'!A113,'Round 3 Data'!$A$10:$A$145,'Round 3 Data'!$E$10:$E$145,0)=0,0,1)+IF(_xlfn.XLOOKUP('Summary Data'!A113,'Round 4 Data'!$A$10:$A$147,'Round 4 Data'!$E$10:$E$147,0)=0,0,1)</f>
        <v>#VALUE!</v>
      </c>
      <c r="E113" s="57" t="e">
        <f>(_xlfn.XLOOKUP('Summary Data'!$A113,'Round 1 Data'!$A$10:$A$143,'Round 1 Data'!E$10:E$144,0)+_xlfn.XLOOKUP('Summary Data'!$A113,'Round 2 Data'!$A$10:$A$146,'Round 2 Data'!E$10:E$146,0)+_xlfn.XLOOKUP('Summary Data'!$A113,'Round 3 Data'!$A$10:$A$145,'Round 3 Data'!E$10:E$145,0)+_xlfn.XLOOKUP('Summary Data'!$A113,'Round 4 Data'!$A$10:$A$147,'Round 4 Data'!E$10:E$147,0))/$D113</f>
        <v>#VALUE!</v>
      </c>
      <c r="F113" s="57" t="e">
        <f>(_xlfn.XLOOKUP('Summary Data'!$A113,'Round 1 Data'!$A$10:$A$143,'Round 1 Data'!F$10:F$144,0)+_xlfn.XLOOKUP('Summary Data'!$A113,'Round 2 Data'!$A$10:$A$146,'Round 2 Data'!F$10:F$146,0)+_xlfn.XLOOKUP('Summary Data'!$A113,'Round 3 Data'!$A$10:$A$145,'Round 3 Data'!F$10:F$145,0)+_xlfn.XLOOKUP('Summary Data'!$A113,'Round 4 Data'!$A$10:$A$147,'Round 4 Data'!F$10:F$147,0))/$D113</f>
        <v>#VALUE!</v>
      </c>
      <c r="G113" s="57" t="e">
        <f>(_xlfn.XLOOKUP('Summary Data'!$A113,'Round 1 Data'!$A$10:$A$143,'Round 1 Data'!G$10:G$144,0)+_xlfn.XLOOKUP('Summary Data'!$A113,'Round 2 Data'!$A$10:$A$146,'Round 2 Data'!G$10:G$146,0)+_xlfn.XLOOKUP('Summary Data'!$A113,'Round 3 Data'!$A$10:$A$145,'Round 3 Data'!G$10:G$145,0)+_xlfn.XLOOKUP('Summary Data'!$A113,'Round 4 Data'!$A$10:$A$147,'Round 4 Data'!G$10:G$147,0))/$D113</f>
        <v>#VALUE!</v>
      </c>
      <c r="H113" s="57" t="e">
        <f>(_xlfn.XLOOKUP('Summary Data'!$A113,'Round 1 Data'!$A$10:$A$143,'Round 1 Data'!H$10:H$144,0)+_xlfn.XLOOKUP('Summary Data'!$A113,'Round 2 Data'!$A$10:$A$146,'Round 2 Data'!H$10:H$146,0)+_xlfn.XLOOKUP('Summary Data'!$A113,'Round 3 Data'!$A$10:$A$145,'Round 3 Data'!H$10:H$145,0)+_xlfn.XLOOKUP('Summary Data'!$A113,'Round 4 Data'!$A$10:$A$147,'Round 4 Data'!H$10:H$147,0))/$D113</f>
        <v>#VALUE!</v>
      </c>
      <c r="I113" s="57" t="e">
        <f>(_xlfn.XLOOKUP('Summary Data'!$A113,'Round 1 Data'!$A$10:$A$143,'Round 1 Data'!I$10:I$144,0)+_xlfn.XLOOKUP('Summary Data'!$A113,'Round 2 Data'!$A$10:$A$146,'Round 2 Data'!I$10:I$146,0)+_xlfn.XLOOKUP('Summary Data'!$A113,'Round 3 Data'!$A$10:$A$145,'Round 3 Data'!I$10:I$145,0)+_xlfn.XLOOKUP('Summary Data'!$A113,'Round 4 Data'!$A$10:$A$147,'Round 4 Data'!I$10:I$147,0))/$D113</f>
        <v>#VALUE!</v>
      </c>
      <c r="J113" s="57" t="e">
        <f>(_xlfn.XLOOKUP('Summary Data'!$A113,'Round 1 Data'!$A$10:$A$143,'Round 1 Data'!J$10:J$144,0)+_xlfn.XLOOKUP('Summary Data'!$A113,'Round 2 Data'!$A$10:$A$146,'Round 2 Data'!J$10:J$146,0)+_xlfn.XLOOKUP('Summary Data'!$A113,'Round 3 Data'!$A$10:$A$145,'Round 3 Data'!J$10:J$145,0)+_xlfn.XLOOKUP('Summary Data'!$A113,'Round 4 Data'!$A$10:$A$147,'Round 4 Data'!J$10:J$147,0))/$D113</f>
        <v>#VALUE!</v>
      </c>
      <c r="K113" s="57" t="e">
        <f>(_xlfn.XLOOKUP('Summary Data'!$A113,'Round 1 Data'!$A$10:$A$143,'Round 1 Data'!K$10:K$144,0)+_xlfn.XLOOKUP('Summary Data'!$A113,'Round 2 Data'!$A$10:$A$146,'Round 2 Data'!K$10:K$146,0)+_xlfn.XLOOKUP('Summary Data'!$A113,'Round 3 Data'!$A$10:$A$145,'Round 3 Data'!K$10:K$145,0)+_xlfn.XLOOKUP('Summary Data'!$A113,'Round 4 Data'!$A$10:$A$147,'Round 4 Data'!K$10:K$147,0))/$D113</f>
        <v>#VALUE!</v>
      </c>
      <c r="L113" s="57" t="e">
        <f>(_xlfn.XLOOKUP('Summary Data'!$A113,'Round 1 Data'!$A$10:$A$143,'Round 1 Data'!L$10:L$144,0)+_xlfn.XLOOKUP('Summary Data'!$A113,'Round 2 Data'!$A$10:$A$146,'Round 2 Data'!L$10:L$146,0)+_xlfn.XLOOKUP('Summary Data'!$A113,'Round 3 Data'!$A$10:$A$145,'Round 3 Data'!L$10:L$145,0)+_xlfn.XLOOKUP('Summary Data'!$A113,'Round 4 Data'!$A$10:$A$147,'Round 4 Data'!L$10:L$147,0))/$D113</f>
        <v>#VALUE!</v>
      </c>
      <c r="M113" s="57" t="e">
        <f>(_xlfn.XLOOKUP('Summary Data'!$A113,'Round 1 Data'!$A$10:$A$143,'Round 1 Data'!M$10:M$144,0)+_xlfn.XLOOKUP('Summary Data'!$A113,'Round 2 Data'!$A$10:$A$146,'Round 2 Data'!M$10:M$146,0)+_xlfn.XLOOKUP('Summary Data'!$A113,'Round 3 Data'!$A$10:$A$145,'Round 3 Data'!M$10:M$145,0)+_xlfn.XLOOKUP('Summary Data'!$A113,'Round 4 Data'!$A$10:$A$147,'Round 4 Data'!M$10:M$147,0))/$D113</f>
        <v>#VALUE!</v>
      </c>
      <c r="N113" s="57" t="e">
        <f>(_xlfn.XLOOKUP('Summary Data'!$A113,'Round 1 Data'!$A$10:$A$143,'Round 1 Data'!N$10:N$144,0)+_xlfn.XLOOKUP('Summary Data'!$A113,'Round 2 Data'!$A$10:$A$146,'Round 2 Data'!N$10:N$146,0)+_xlfn.XLOOKUP('Summary Data'!$A113,'Round 3 Data'!$A$10:$A$145,'Round 3 Data'!N$10:N$145,0)+_xlfn.XLOOKUP('Summary Data'!$A113,'Round 4 Data'!$A$10:$A$147,'Round 4 Data'!N$10:N$147,0))/$D113</f>
        <v>#VALUE!</v>
      </c>
      <c r="O113" s="57" t="e">
        <f>(_xlfn.XLOOKUP('Summary Data'!$A113,'Round 1 Data'!$A$10:$A$143,'Round 1 Data'!O$10:O$144,0)+_xlfn.XLOOKUP('Summary Data'!$A113,'Round 2 Data'!$A$10:$A$146,'Round 2 Data'!O$10:O$146,0)+_xlfn.XLOOKUP('Summary Data'!$A113,'Round 3 Data'!$A$10:$A$145,'Round 3 Data'!O$10:O$145,0)+_xlfn.XLOOKUP('Summary Data'!$A113,'Round 4 Data'!$A$10:$A$147,'Round 4 Data'!O$10:O$147,0))/$D113</f>
        <v>#VALUE!</v>
      </c>
      <c r="P113" s="57" t="e">
        <f>(_xlfn.XLOOKUP('Summary Data'!$A113,'Round 1 Data'!$A$10:$A$143,'Round 1 Data'!P$10:P$144,0)+_xlfn.XLOOKUP('Summary Data'!$A113,'Round 2 Data'!$A$10:$A$146,'Round 2 Data'!P$10:P$146,0)+_xlfn.XLOOKUP('Summary Data'!$A113,'Round 3 Data'!$A$10:$A$145,'Round 3 Data'!P$10:P$145,0)+_xlfn.XLOOKUP('Summary Data'!$A113,'Round 4 Data'!$A$10:$A$147,'Round 4 Data'!P$10:P$147,0))/$D113</f>
        <v>#VALUE!</v>
      </c>
      <c r="Q113" s="57" t="e">
        <f>(_xlfn.XLOOKUP('Summary Data'!$A113,'Round 1 Data'!$A$10:$A$143,'Round 1 Data'!Q$10:Q$144,0)+_xlfn.XLOOKUP('Summary Data'!$A113,'Round 2 Data'!$A$10:$A$146,'Round 2 Data'!Q$10:Q$146,0)+_xlfn.XLOOKUP('Summary Data'!$A113,'Round 3 Data'!$A$10:$A$145,'Round 3 Data'!Q$10:Q$145,0)+_xlfn.XLOOKUP('Summary Data'!$A113,'Round 4 Data'!$A$10:$A$147,'Round 4 Data'!Q$10:Q$147,0))/$D113</f>
        <v>#VALUE!</v>
      </c>
      <c r="R113" s="57" t="e">
        <f>(_xlfn.XLOOKUP('Summary Data'!$A113,'Round 1 Data'!$A$10:$A$143,'Round 1 Data'!R$10:R$144,0)+_xlfn.XLOOKUP('Summary Data'!$A113,'Round 2 Data'!$A$10:$A$146,'Round 2 Data'!R$10:R$146,0)+_xlfn.XLOOKUP('Summary Data'!$A113,'Round 3 Data'!$A$10:$A$145,'Round 3 Data'!R$10:R$145,0)+_xlfn.XLOOKUP('Summary Data'!$A113,'Round 4 Data'!$A$10:$A$147,'Round 4 Data'!R$10:R$147,0))/$D113</f>
        <v>#VALUE!</v>
      </c>
      <c r="S113" s="57" t="e">
        <f>(_xlfn.XLOOKUP('Summary Data'!$A113,'Round 1 Data'!$A$10:$A$143,'Round 1 Data'!S$10:S$144,0)+_xlfn.XLOOKUP('Summary Data'!$A113,'Round 2 Data'!$A$10:$A$146,'Round 2 Data'!S$10:S$146,0)+_xlfn.XLOOKUP('Summary Data'!$A113,'Round 3 Data'!$A$10:$A$145,'Round 3 Data'!S$10:S$145,0)+_xlfn.XLOOKUP('Summary Data'!$A113,'Round 4 Data'!$A$10:$A$147,'Round 4 Data'!S$10:S$147,0))/$D113</f>
        <v>#VALUE!</v>
      </c>
      <c r="T113" s="62" t="e">
        <f>(_xlfn.XLOOKUP('Summary Data'!$A113,'Round 1 Data'!$A$10:$A$143,'Round 1 Data'!U$10:U$144,0)+_xlfn.XLOOKUP('Summary Data'!$A113,'Round 2 Data'!$A$10:$A$146,'Round 2 Data'!U$10:U$146,0)+_xlfn.XLOOKUP('Summary Data'!$A113,'Round 3 Data'!$A$10:$A$145,'Round 3 Data'!U$10:U$145,0)+_xlfn.XLOOKUP('Summary Data'!$A113,'Round 4 Data'!$A$10:$A$147,'Round 4 Data'!U$10:U$147,0))</f>
        <v>#VALUE!</v>
      </c>
    </row>
    <row r="114" spans="1:20" ht="16" thickBot="1" x14ac:dyDescent="0.25">
      <c r="A114" s="63" t="s">
        <v>121</v>
      </c>
      <c r="B114" t="s">
        <v>192</v>
      </c>
      <c r="C114" t="s">
        <v>200</v>
      </c>
      <c r="D114" t="e">
        <f>IF(_xlfn.XLOOKUP('Summary Data'!A114,'Round 1 Data'!$A$10:$A$143,'Round 1 Data'!$E$10:$E$144,0)=0,0,1)+IF(_xlfn.XLOOKUP('Summary Data'!A114,'Round 2 Data'!$A$10:$A$146,'Round 2 Data'!$E$10:$E$146,0)=0,0,1)+IF(_xlfn.XLOOKUP('Summary Data'!A114,'Round 3 Data'!$A$10:$A$145,'Round 3 Data'!$E$10:$E$145,0)=0,0,1)+IF(_xlfn.XLOOKUP('Summary Data'!A114,'Round 4 Data'!$A$10:$A$147,'Round 4 Data'!$E$10:$E$147,0)=0,0,1)</f>
        <v>#VALUE!</v>
      </c>
      <c r="E114" s="57" t="e">
        <f>(_xlfn.XLOOKUP('Summary Data'!$A114,'Round 1 Data'!$A$10:$A$143,'Round 1 Data'!E$10:E$144,0)+_xlfn.XLOOKUP('Summary Data'!$A114,'Round 2 Data'!$A$10:$A$146,'Round 2 Data'!E$10:E$146,0)+_xlfn.XLOOKUP('Summary Data'!$A114,'Round 3 Data'!$A$10:$A$145,'Round 3 Data'!E$10:E$145,0)+_xlfn.XLOOKUP('Summary Data'!$A114,'Round 4 Data'!$A$10:$A$147,'Round 4 Data'!E$10:E$147,0))/$D114</f>
        <v>#VALUE!</v>
      </c>
      <c r="F114" s="57" t="e">
        <f>(_xlfn.XLOOKUP('Summary Data'!$A114,'Round 1 Data'!$A$10:$A$143,'Round 1 Data'!F$10:F$144,0)+_xlfn.XLOOKUP('Summary Data'!$A114,'Round 2 Data'!$A$10:$A$146,'Round 2 Data'!F$10:F$146,0)+_xlfn.XLOOKUP('Summary Data'!$A114,'Round 3 Data'!$A$10:$A$145,'Round 3 Data'!F$10:F$145,0)+_xlfn.XLOOKUP('Summary Data'!$A114,'Round 4 Data'!$A$10:$A$147,'Round 4 Data'!F$10:F$147,0))/$D114</f>
        <v>#VALUE!</v>
      </c>
      <c r="G114" s="57" t="e">
        <f>(_xlfn.XLOOKUP('Summary Data'!$A114,'Round 1 Data'!$A$10:$A$143,'Round 1 Data'!G$10:G$144,0)+_xlfn.XLOOKUP('Summary Data'!$A114,'Round 2 Data'!$A$10:$A$146,'Round 2 Data'!G$10:G$146,0)+_xlfn.XLOOKUP('Summary Data'!$A114,'Round 3 Data'!$A$10:$A$145,'Round 3 Data'!G$10:G$145,0)+_xlfn.XLOOKUP('Summary Data'!$A114,'Round 4 Data'!$A$10:$A$147,'Round 4 Data'!G$10:G$147,0))/$D114</f>
        <v>#VALUE!</v>
      </c>
      <c r="H114" s="57" t="e">
        <f>(_xlfn.XLOOKUP('Summary Data'!$A114,'Round 1 Data'!$A$10:$A$143,'Round 1 Data'!H$10:H$144,0)+_xlfn.XLOOKUP('Summary Data'!$A114,'Round 2 Data'!$A$10:$A$146,'Round 2 Data'!H$10:H$146,0)+_xlfn.XLOOKUP('Summary Data'!$A114,'Round 3 Data'!$A$10:$A$145,'Round 3 Data'!H$10:H$145,0)+_xlfn.XLOOKUP('Summary Data'!$A114,'Round 4 Data'!$A$10:$A$147,'Round 4 Data'!H$10:H$147,0))/$D114</f>
        <v>#VALUE!</v>
      </c>
      <c r="I114" s="57" t="e">
        <f>(_xlfn.XLOOKUP('Summary Data'!$A114,'Round 1 Data'!$A$10:$A$143,'Round 1 Data'!I$10:I$144,0)+_xlfn.XLOOKUP('Summary Data'!$A114,'Round 2 Data'!$A$10:$A$146,'Round 2 Data'!I$10:I$146,0)+_xlfn.XLOOKUP('Summary Data'!$A114,'Round 3 Data'!$A$10:$A$145,'Round 3 Data'!I$10:I$145,0)+_xlfn.XLOOKUP('Summary Data'!$A114,'Round 4 Data'!$A$10:$A$147,'Round 4 Data'!I$10:I$147,0))/$D114</f>
        <v>#VALUE!</v>
      </c>
      <c r="J114" s="57" t="e">
        <f>(_xlfn.XLOOKUP('Summary Data'!$A114,'Round 1 Data'!$A$10:$A$143,'Round 1 Data'!J$10:J$144,0)+_xlfn.XLOOKUP('Summary Data'!$A114,'Round 2 Data'!$A$10:$A$146,'Round 2 Data'!J$10:J$146,0)+_xlfn.XLOOKUP('Summary Data'!$A114,'Round 3 Data'!$A$10:$A$145,'Round 3 Data'!J$10:J$145,0)+_xlfn.XLOOKUP('Summary Data'!$A114,'Round 4 Data'!$A$10:$A$147,'Round 4 Data'!J$10:J$147,0))/$D114</f>
        <v>#VALUE!</v>
      </c>
      <c r="K114" s="57" t="e">
        <f>(_xlfn.XLOOKUP('Summary Data'!$A114,'Round 1 Data'!$A$10:$A$143,'Round 1 Data'!K$10:K$144,0)+_xlfn.XLOOKUP('Summary Data'!$A114,'Round 2 Data'!$A$10:$A$146,'Round 2 Data'!K$10:K$146,0)+_xlfn.XLOOKUP('Summary Data'!$A114,'Round 3 Data'!$A$10:$A$145,'Round 3 Data'!K$10:K$145,0)+_xlfn.XLOOKUP('Summary Data'!$A114,'Round 4 Data'!$A$10:$A$147,'Round 4 Data'!K$10:K$147,0))/$D114</f>
        <v>#VALUE!</v>
      </c>
      <c r="L114" s="57" t="e">
        <f>(_xlfn.XLOOKUP('Summary Data'!$A114,'Round 1 Data'!$A$10:$A$143,'Round 1 Data'!L$10:L$144,0)+_xlfn.XLOOKUP('Summary Data'!$A114,'Round 2 Data'!$A$10:$A$146,'Round 2 Data'!L$10:L$146,0)+_xlfn.XLOOKUP('Summary Data'!$A114,'Round 3 Data'!$A$10:$A$145,'Round 3 Data'!L$10:L$145,0)+_xlfn.XLOOKUP('Summary Data'!$A114,'Round 4 Data'!$A$10:$A$147,'Round 4 Data'!L$10:L$147,0))/$D114</f>
        <v>#VALUE!</v>
      </c>
      <c r="M114" s="57" t="e">
        <f>(_xlfn.XLOOKUP('Summary Data'!$A114,'Round 1 Data'!$A$10:$A$143,'Round 1 Data'!M$10:M$144,0)+_xlfn.XLOOKUP('Summary Data'!$A114,'Round 2 Data'!$A$10:$A$146,'Round 2 Data'!M$10:M$146,0)+_xlfn.XLOOKUP('Summary Data'!$A114,'Round 3 Data'!$A$10:$A$145,'Round 3 Data'!M$10:M$145,0)+_xlfn.XLOOKUP('Summary Data'!$A114,'Round 4 Data'!$A$10:$A$147,'Round 4 Data'!M$10:M$147,0))/$D114</f>
        <v>#VALUE!</v>
      </c>
      <c r="N114" s="57" t="e">
        <f>(_xlfn.XLOOKUP('Summary Data'!$A114,'Round 1 Data'!$A$10:$A$143,'Round 1 Data'!N$10:N$144,0)+_xlfn.XLOOKUP('Summary Data'!$A114,'Round 2 Data'!$A$10:$A$146,'Round 2 Data'!N$10:N$146,0)+_xlfn.XLOOKUP('Summary Data'!$A114,'Round 3 Data'!$A$10:$A$145,'Round 3 Data'!N$10:N$145,0)+_xlfn.XLOOKUP('Summary Data'!$A114,'Round 4 Data'!$A$10:$A$147,'Round 4 Data'!N$10:N$147,0))/$D114</f>
        <v>#VALUE!</v>
      </c>
      <c r="O114" s="57" t="e">
        <f>(_xlfn.XLOOKUP('Summary Data'!$A114,'Round 1 Data'!$A$10:$A$143,'Round 1 Data'!O$10:O$144,0)+_xlfn.XLOOKUP('Summary Data'!$A114,'Round 2 Data'!$A$10:$A$146,'Round 2 Data'!O$10:O$146,0)+_xlfn.XLOOKUP('Summary Data'!$A114,'Round 3 Data'!$A$10:$A$145,'Round 3 Data'!O$10:O$145,0)+_xlfn.XLOOKUP('Summary Data'!$A114,'Round 4 Data'!$A$10:$A$147,'Round 4 Data'!O$10:O$147,0))/$D114</f>
        <v>#VALUE!</v>
      </c>
      <c r="P114" s="57" t="e">
        <f>(_xlfn.XLOOKUP('Summary Data'!$A114,'Round 1 Data'!$A$10:$A$143,'Round 1 Data'!P$10:P$144,0)+_xlfn.XLOOKUP('Summary Data'!$A114,'Round 2 Data'!$A$10:$A$146,'Round 2 Data'!P$10:P$146,0)+_xlfn.XLOOKUP('Summary Data'!$A114,'Round 3 Data'!$A$10:$A$145,'Round 3 Data'!P$10:P$145,0)+_xlfn.XLOOKUP('Summary Data'!$A114,'Round 4 Data'!$A$10:$A$147,'Round 4 Data'!P$10:P$147,0))/$D114</f>
        <v>#VALUE!</v>
      </c>
      <c r="Q114" s="57" t="e">
        <f>(_xlfn.XLOOKUP('Summary Data'!$A114,'Round 1 Data'!$A$10:$A$143,'Round 1 Data'!Q$10:Q$144,0)+_xlfn.XLOOKUP('Summary Data'!$A114,'Round 2 Data'!$A$10:$A$146,'Round 2 Data'!Q$10:Q$146,0)+_xlfn.XLOOKUP('Summary Data'!$A114,'Round 3 Data'!$A$10:$A$145,'Round 3 Data'!Q$10:Q$145,0)+_xlfn.XLOOKUP('Summary Data'!$A114,'Round 4 Data'!$A$10:$A$147,'Round 4 Data'!Q$10:Q$147,0))/$D114</f>
        <v>#VALUE!</v>
      </c>
      <c r="R114" s="57" t="e">
        <f>(_xlfn.XLOOKUP('Summary Data'!$A114,'Round 1 Data'!$A$10:$A$143,'Round 1 Data'!R$10:R$144,0)+_xlfn.XLOOKUP('Summary Data'!$A114,'Round 2 Data'!$A$10:$A$146,'Round 2 Data'!R$10:R$146,0)+_xlfn.XLOOKUP('Summary Data'!$A114,'Round 3 Data'!$A$10:$A$145,'Round 3 Data'!R$10:R$145,0)+_xlfn.XLOOKUP('Summary Data'!$A114,'Round 4 Data'!$A$10:$A$147,'Round 4 Data'!R$10:R$147,0))/$D114</f>
        <v>#VALUE!</v>
      </c>
      <c r="S114" s="57" t="e">
        <f>(_xlfn.XLOOKUP('Summary Data'!$A114,'Round 1 Data'!$A$10:$A$143,'Round 1 Data'!S$10:S$144,0)+_xlfn.XLOOKUP('Summary Data'!$A114,'Round 2 Data'!$A$10:$A$146,'Round 2 Data'!S$10:S$146,0)+_xlfn.XLOOKUP('Summary Data'!$A114,'Round 3 Data'!$A$10:$A$145,'Round 3 Data'!S$10:S$145,0)+_xlfn.XLOOKUP('Summary Data'!$A114,'Round 4 Data'!$A$10:$A$147,'Round 4 Data'!S$10:S$147,0))/$D114</f>
        <v>#VALUE!</v>
      </c>
      <c r="T114" s="62" t="e">
        <f>(_xlfn.XLOOKUP('Summary Data'!$A114,'Round 1 Data'!$A$10:$A$143,'Round 1 Data'!U$10:U$144,0)+_xlfn.XLOOKUP('Summary Data'!$A114,'Round 2 Data'!$A$10:$A$146,'Round 2 Data'!U$10:U$146,0)+_xlfn.XLOOKUP('Summary Data'!$A114,'Round 3 Data'!$A$10:$A$145,'Round 3 Data'!U$10:U$145,0)+_xlfn.XLOOKUP('Summary Data'!$A114,'Round 4 Data'!$A$10:$A$147,'Round 4 Data'!U$10:U$147,0))</f>
        <v>#VALUE!</v>
      </c>
    </row>
    <row r="115" spans="1:20" ht="16" thickBot="1" x14ac:dyDescent="0.25">
      <c r="A115" s="61" t="s">
        <v>123</v>
      </c>
      <c r="B115" t="s">
        <v>192</v>
      </c>
      <c r="C115" t="s">
        <v>200</v>
      </c>
      <c r="D115" t="e">
        <f>IF(_xlfn.XLOOKUP('Summary Data'!A115,'Round 1 Data'!$A$10:$A$143,'Round 1 Data'!$E$10:$E$144,0)=0,0,1)+IF(_xlfn.XLOOKUP('Summary Data'!A115,'Round 2 Data'!$A$10:$A$146,'Round 2 Data'!$E$10:$E$146,0)=0,0,1)+IF(_xlfn.XLOOKUP('Summary Data'!A115,'Round 3 Data'!$A$10:$A$145,'Round 3 Data'!$E$10:$E$145,0)=0,0,1)+IF(_xlfn.XLOOKUP('Summary Data'!A115,'Round 4 Data'!$A$10:$A$147,'Round 4 Data'!$E$10:$E$147,0)=0,0,1)</f>
        <v>#VALUE!</v>
      </c>
      <c r="E115" s="57" t="e">
        <f>(_xlfn.XLOOKUP('Summary Data'!$A115,'Round 1 Data'!$A$10:$A$143,'Round 1 Data'!E$10:E$144,0)+_xlfn.XLOOKUP('Summary Data'!$A115,'Round 2 Data'!$A$10:$A$146,'Round 2 Data'!E$10:E$146,0)+_xlfn.XLOOKUP('Summary Data'!$A115,'Round 3 Data'!$A$10:$A$145,'Round 3 Data'!E$10:E$145,0)+_xlfn.XLOOKUP('Summary Data'!$A115,'Round 4 Data'!$A$10:$A$147,'Round 4 Data'!E$10:E$147,0))/$D115</f>
        <v>#VALUE!</v>
      </c>
      <c r="F115" s="57" t="e">
        <f>(_xlfn.XLOOKUP('Summary Data'!$A115,'Round 1 Data'!$A$10:$A$143,'Round 1 Data'!F$10:F$144,0)+_xlfn.XLOOKUP('Summary Data'!$A115,'Round 2 Data'!$A$10:$A$146,'Round 2 Data'!F$10:F$146,0)+_xlfn.XLOOKUP('Summary Data'!$A115,'Round 3 Data'!$A$10:$A$145,'Round 3 Data'!F$10:F$145,0)+_xlfn.XLOOKUP('Summary Data'!$A115,'Round 4 Data'!$A$10:$A$147,'Round 4 Data'!F$10:F$147,0))/$D115</f>
        <v>#VALUE!</v>
      </c>
      <c r="G115" s="57" t="e">
        <f>(_xlfn.XLOOKUP('Summary Data'!$A115,'Round 1 Data'!$A$10:$A$143,'Round 1 Data'!G$10:G$144,0)+_xlfn.XLOOKUP('Summary Data'!$A115,'Round 2 Data'!$A$10:$A$146,'Round 2 Data'!G$10:G$146,0)+_xlfn.XLOOKUP('Summary Data'!$A115,'Round 3 Data'!$A$10:$A$145,'Round 3 Data'!G$10:G$145,0)+_xlfn.XLOOKUP('Summary Data'!$A115,'Round 4 Data'!$A$10:$A$147,'Round 4 Data'!G$10:G$147,0))/$D115</f>
        <v>#VALUE!</v>
      </c>
      <c r="H115" s="57" t="e">
        <f>(_xlfn.XLOOKUP('Summary Data'!$A115,'Round 1 Data'!$A$10:$A$143,'Round 1 Data'!H$10:H$144,0)+_xlfn.XLOOKUP('Summary Data'!$A115,'Round 2 Data'!$A$10:$A$146,'Round 2 Data'!H$10:H$146,0)+_xlfn.XLOOKUP('Summary Data'!$A115,'Round 3 Data'!$A$10:$A$145,'Round 3 Data'!H$10:H$145,0)+_xlfn.XLOOKUP('Summary Data'!$A115,'Round 4 Data'!$A$10:$A$147,'Round 4 Data'!H$10:H$147,0))/$D115</f>
        <v>#VALUE!</v>
      </c>
      <c r="I115" s="57" t="e">
        <f>(_xlfn.XLOOKUP('Summary Data'!$A115,'Round 1 Data'!$A$10:$A$143,'Round 1 Data'!I$10:I$144,0)+_xlfn.XLOOKUP('Summary Data'!$A115,'Round 2 Data'!$A$10:$A$146,'Round 2 Data'!I$10:I$146,0)+_xlfn.XLOOKUP('Summary Data'!$A115,'Round 3 Data'!$A$10:$A$145,'Round 3 Data'!I$10:I$145,0)+_xlfn.XLOOKUP('Summary Data'!$A115,'Round 4 Data'!$A$10:$A$147,'Round 4 Data'!I$10:I$147,0))/$D115</f>
        <v>#VALUE!</v>
      </c>
      <c r="J115" s="57" t="e">
        <f>(_xlfn.XLOOKUP('Summary Data'!$A115,'Round 1 Data'!$A$10:$A$143,'Round 1 Data'!J$10:J$144,0)+_xlfn.XLOOKUP('Summary Data'!$A115,'Round 2 Data'!$A$10:$A$146,'Round 2 Data'!J$10:J$146,0)+_xlfn.XLOOKUP('Summary Data'!$A115,'Round 3 Data'!$A$10:$A$145,'Round 3 Data'!J$10:J$145,0)+_xlfn.XLOOKUP('Summary Data'!$A115,'Round 4 Data'!$A$10:$A$147,'Round 4 Data'!J$10:J$147,0))/$D115</f>
        <v>#VALUE!</v>
      </c>
      <c r="K115" s="57" t="e">
        <f>(_xlfn.XLOOKUP('Summary Data'!$A115,'Round 1 Data'!$A$10:$A$143,'Round 1 Data'!K$10:K$144,0)+_xlfn.XLOOKUP('Summary Data'!$A115,'Round 2 Data'!$A$10:$A$146,'Round 2 Data'!K$10:K$146,0)+_xlfn.XLOOKUP('Summary Data'!$A115,'Round 3 Data'!$A$10:$A$145,'Round 3 Data'!K$10:K$145,0)+_xlfn.XLOOKUP('Summary Data'!$A115,'Round 4 Data'!$A$10:$A$147,'Round 4 Data'!K$10:K$147,0))/$D115</f>
        <v>#VALUE!</v>
      </c>
      <c r="L115" s="57" t="e">
        <f>(_xlfn.XLOOKUP('Summary Data'!$A115,'Round 1 Data'!$A$10:$A$143,'Round 1 Data'!L$10:L$144,0)+_xlfn.XLOOKUP('Summary Data'!$A115,'Round 2 Data'!$A$10:$A$146,'Round 2 Data'!L$10:L$146,0)+_xlfn.XLOOKUP('Summary Data'!$A115,'Round 3 Data'!$A$10:$A$145,'Round 3 Data'!L$10:L$145,0)+_xlfn.XLOOKUP('Summary Data'!$A115,'Round 4 Data'!$A$10:$A$147,'Round 4 Data'!L$10:L$147,0))/$D115</f>
        <v>#VALUE!</v>
      </c>
      <c r="M115" s="57" t="e">
        <f>(_xlfn.XLOOKUP('Summary Data'!$A115,'Round 1 Data'!$A$10:$A$143,'Round 1 Data'!M$10:M$144,0)+_xlfn.XLOOKUP('Summary Data'!$A115,'Round 2 Data'!$A$10:$A$146,'Round 2 Data'!M$10:M$146,0)+_xlfn.XLOOKUP('Summary Data'!$A115,'Round 3 Data'!$A$10:$A$145,'Round 3 Data'!M$10:M$145,0)+_xlfn.XLOOKUP('Summary Data'!$A115,'Round 4 Data'!$A$10:$A$147,'Round 4 Data'!M$10:M$147,0))/$D115</f>
        <v>#VALUE!</v>
      </c>
      <c r="N115" s="57" t="e">
        <f>(_xlfn.XLOOKUP('Summary Data'!$A115,'Round 1 Data'!$A$10:$A$143,'Round 1 Data'!N$10:N$144,0)+_xlfn.XLOOKUP('Summary Data'!$A115,'Round 2 Data'!$A$10:$A$146,'Round 2 Data'!N$10:N$146,0)+_xlfn.XLOOKUP('Summary Data'!$A115,'Round 3 Data'!$A$10:$A$145,'Round 3 Data'!N$10:N$145,0)+_xlfn.XLOOKUP('Summary Data'!$A115,'Round 4 Data'!$A$10:$A$147,'Round 4 Data'!N$10:N$147,0))/$D115</f>
        <v>#VALUE!</v>
      </c>
      <c r="O115" s="57" t="e">
        <f>(_xlfn.XLOOKUP('Summary Data'!$A115,'Round 1 Data'!$A$10:$A$143,'Round 1 Data'!O$10:O$144,0)+_xlfn.XLOOKUP('Summary Data'!$A115,'Round 2 Data'!$A$10:$A$146,'Round 2 Data'!O$10:O$146,0)+_xlfn.XLOOKUP('Summary Data'!$A115,'Round 3 Data'!$A$10:$A$145,'Round 3 Data'!O$10:O$145,0)+_xlfn.XLOOKUP('Summary Data'!$A115,'Round 4 Data'!$A$10:$A$147,'Round 4 Data'!O$10:O$147,0))/$D115</f>
        <v>#VALUE!</v>
      </c>
      <c r="P115" s="57" t="e">
        <f>(_xlfn.XLOOKUP('Summary Data'!$A115,'Round 1 Data'!$A$10:$A$143,'Round 1 Data'!P$10:P$144,0)+_xlfn.XLOOKUP('Summary Data'!$A115,'Round 2 Data'!$A$10:$A$146,'Round 2 Data'!P$10:P$146,0)+_xlfn.XLOOKUP('Summary Data'!$A115,'Round 3 Data'!$A$10:$A$145,'Round 3 Data'!P$10:P$145,0)+_xlfn.XLOOKUP('Summary Data'!$A115,'Round 4 Data'!$A$10:$A$147,'Round 4 Data'!P$10:P$147,0))/$D115</f>
        <v>#VALUE!</v>
      </c>
      <c r="Q115" s="57" t="e">
        <f>(_xlfn.XLOOKUP('Summary Data'!$A115,'Round 1 Data'!$A$10:$A$143,'Round 1 Data'!Q$10:Q$144,0)+_xlfn.XLOOKUP('Summary Data'!$A115,'Round 2 Data'!$A$10:$A$146,'Round 2 Data'!Q$10:Q$146,0)+_xlfn.XLOOKUP('Summary Data'!$A115,'Round 3 Data'!$A$10:$A$145,'Round 3 Data'!Q$10:Q$145,0)+_xlfn.XLOOKUP('Summary Data'!$A115,'Round 4 Data'!$A$10:$A$147,'Round 4 Data'!Q$10:Q$147,0))/$D115</f>
        <v>#VALUE!</v>
      </c>
      <c r="R115" s="57" t="e">
        <f>(_xlfn.XLOOKUP('Summary Data'!$A115,'Round 1 Data'!$A$10:$A$143,'Round 1 Data'!R$10:R$144,0)+_xlfn.XLOOKUP('Summary Data'!$A115,'Round 2 Data'!$A$10:$A$146,'Round 2 Data'!R$10:R$146,0)+_xlfn.XLOOKUP('Summary Data'!$A115,'Round 3 Data'!$A$10:$A$145,'Round 3 Data'!R$10:R$145,0)+_xlfn.XLOOKUP('Summary Data'!$A115,'Round 4 Data'!$A$10:$A$147,'Round 4 Data'!R$10:R$147,0))/$D115</f>
        <v>#VALUE!</v>
      </c>
      <c r="S115" s="57" t="e">
        <f>(_xlfn.XLOOKUP('Summary Data'!$A115,'Round 1 Data'!$A$10:$A$143,'Round 1 Data'!S$10:S$144,0)+_xlfn.XLOOKUP('Summary Data'!$A115,'Round 2 Data'!$A$10:$A$146,'Round 2 Data'!S$10:S$146,0)+_xlfn.XLOOKUP('Summary Data'!$A115,'Round 3 Data'!$A$10:$A$145,'Round 3 Data'!S$10:S$145,0)+_xlfn.XLOOKUP('Summary Data'!$A115,'Round 4 Data'!$A$10:$A$147,'Round 4 Data'!S$10:S$147,0))/$D115</f>
        <v>#VALUE!</v>
      </c>
      <c r="T115" s="62" t="e">
        <f>(_xlfn.XLOOKUP('Summary Data'!$A115,'Round 1 Data'!$A$10:$A$143,'Round 1 Data'!U$10:U$144,0)+_xlfn.XLOOKUP('Summary Data'!$A115,'Round 2 Data'!$A$10:$A$146,'Round 2 Data'!U$10:U$146,0)+_xlfn.XLOOKUP('Summary Data'!$A115,'Round 3 Data'!$A$10:$A$145,'Round 3 Data'!U$10:U$145,0)+_xlfn.XLOOKUP('Summary Data'!$A115,'Round 4 Data'!$A$10:$A$147,'Round 4 Data'!U$10:U$147,0))</f>
        <v>#VALUE!</v>
      </c>
    </row>
    <row r="116" spans="1:20" ht="16" thickBot="1" x14ac:dyDescent="0.25">
      <c r="A116" s="63" t="s">
        <v>124</v>
      </c>
      <c r="B116" t="s">
        <v>192</v>
      </c>
      <c r="C116" t="s">
        <v>201</v>
      </c>
      <c r="D116" t="e">
        <f>IF(_xlfn.XLOOKUP('Summary Data'!A116,'Round 1 Data'!$A$10:$A$143,'Round 1 Data'!$E$10:$E$144,0)=0,0,1)+IF(_xlfn.XLOOKUP('Summary Data'!A116,'Round 2 Data'!$A$10:$A$146,'Round 2 Data'!$E$10:$E$146,0)=0,0,1)+IF(_xlfn.XLOOKUP('Summary Data'!A116,'Round 3 Data'!$A$10:$A$145,'Round 3 Data'!$E$10:$E$145,0)=0,0,1)+IF(_xlfn.XLOOKUP('Summary Data'!A116,'Round 4 Data'!$A$10:$A$147,'Round 4 Data'!$E$10:$E$147,0)=0,0,1)</f>
        <v>#VALUE!</v>
      </c>
      <c r="E116" s="57" t="e">
        <f>(_xlfn.XLOOKUP('Summary Data'!$A116,'Round 1 Data'!$A$10:$A$143,'Round 1 Data'!E$10:E$144,0)+_xlfn.XLOOKUP('Summary Data'!$A116,'Round 2 Data'!$A$10:$A$146,'Round 2 Data'!E$10:E$146,0)+_xlfn.XLOOKUP('Summary Data'!$A116,'Round 3 Data'!$A$10:$A$145,'Round 3 Data'!E$10:E$145,0)+_xlfn.XLOOKUP('Summary Data'!$A116,'Round 4 Data'!$A$10:$A$147,'Round 4 Data'!E$10:E$147,0))/$D116</f>
        <v>#VALUE!</v>
      </c>
      <c r="F116" s="57" t="e">
        <f>(_xlfn.XLOOKUP('Summary Data'!$A116,'Round 1 Data'!$A$10:$A$143,'Round 1 Data'!F$10:F$144,0)+_xlfn.XLOOKUP('Summary Data'!$A116,'Round 2 Data'!$A$10:$A$146,'Round 2 Data'!F$10:F$146,0)+_xlfn.XLOOKUP('Summary Data'!$A116,'Round 3 Data'!$A$10:$A$145,'Round 3 Data'!F$10:F$145,0)+_xlfn.XLOOKUP('Summary Data'!$A116,'Round 4 Data'!$A$10:$A$147,'Round 4 Data'!F$10:F$147,0))/$D116</f>
        <v>#VALUE!</v>
      </c>
      <c r="G116" s="57" t="e">
        <f>(_xlfn.XLOOKUP('Summary Data'!$A116,'Round 1 Data'!$A$10:$A$143,'Round 1 Data'!G$10:G$144,0)+_xlfn.XLOOKUP('Summary Data'!$A116,'Round 2 Data'!$A$10:$A$146,'Round 2 Data'!G$10:G$146,0)+_xlfn.XLOOKUP('Summary Data'!$A116,'Round 3 Data'!$A$10:$A$145,'Round 3 Data'!G$10:G$145,0)+_xlfn.XLOOKUP('Summary Data'!$A116,'Round 4 Data'!$A$10:$A$147,'Round 4 Data'!G$10:G$147,0))/$D116</f>
        <v>#VALUE!</v>
      </c>
      <c r="H116" s="57" t="e">
        <f>(_xlfn.XLOOKUP('Summary Data'!$A116,'Round 1 Data'!$A$10:$A$143,'Round 1 Data'!H$10:H$144,0)+_xlfn.XLOOKUP('Summary Data'!$A116,'Round 2 Data'!$A$10:$A$146,'Round 2 Data'!H$10:H$146,0)+_xlfn.XLOOKUP('Summary Data'!$A116,'Round 3 Data'!$A$10:$A$145,'Round 3 Data'!H$10:H$145,0)+_xlfn.XLOOKUP('Summary Data'!$A116,'Round 4 Data'!$A$10:$A$147,'Round 4 Data'!H$10:H$147,0))/$D116</f>
        <v>#VALUE!</v>
      </c>
      <c r="I116" s="57" t="e">
        <f>(_xlfn.XLOOKUP('Summary Data'!$A116,'Round 1 Data'!$A$10:$A$143,'Round 1 Data'!I$10:I$144,0)+_xlfn.XLOOKUP('Summary Data'!$A116,'Round 2 Data'!$A$10:$A$146,'Round 2 Data'!I$10:I$146,0)+_xlfn.XLOOKUP('Summary Data'!$A116,'Round 3 Data'!$A$10:$A$145,'Round 3 Data'!I$10:I$145,0)+_xlfn.XLOOKUP('Summary Data'!$A116,'Round 4 Data'!$A$10:$A$147,'Round 4 Data'!I$10:I$147,0))/$D116</f>
        <v>#VALUE!</v>
      </c>
      <c r="J116" s="57" t="e">
        <f>(_xlfn.XLOOKUP('Summary Data'!$A116,'Round 1 Data'!$A$10:$A$143,'Round 1 Data'!J$10:J$144,0)+_xlfn.XLOOKUP('Summary Data'!$A116,'Round 2 Data'!$A$10:$A$146,'Round 2 Data'!J$10:J$146,0)+_xlfn.XLOOKUP('Summary Data'!$A116,'Round 3 Data'!$A$10:$A$145,'Round 3 Data'!J$10:J$145,0)+_xlfn.XLOOKUP('Summary Data'!$A116,'Round 4 Data'!$A$10:$A$147,'Round 4 Data'!J$10:J$147,0))/$D116</f>
        <v>#VALUE!</v>
      </c>
      <c r="K116" s="57" t="e">
        <f>(_xlfn.XLOOKUP('Summary Data'!$A116,'Round 1 Data'!$A$10:$A$143,'Round 1 Data'!K$10:K$144,0)+_xlfn.XLOOKUP('Summary Data'!$A116,'Round 2 Data'!$A$10:$A$146,'Round 2 Data'!K$10:K$146,0)+_xlfn.XLOOKUP('Summary Data'!$A116,'Round 3 Data'!$A$10:$A$145,'Round 3 Data'!K$10:K$145,0)+_xlfn.XLOOKUP('Summary Data'!$A116,'Round 4 Data'!$A$10:$A$147,'Round 4 Data'!K$10:K$147,0))/$D116</f>
        <v>#VALUE!</v>
      </c>
      <c r="L116" s="57" t="e">
        <f>(_xlfn.XLOOKUP('Summary Data'!$A116,'Round 1 Data'!$A$10:$A$143,'Round 1 Data'!L$10:L$144,0)+_xlfn.XLOOKUP('Summary Data'!$A116,'Round 2 Data'!$A$10:$A$146,'Round 2 Data'!L$10:L$146,0)+_xlfn.XLOOKUP('Summary Data'!$A116,'Round 3 Data'!$A$10:$A$145,'Round 3 Data'!L$10:L$145,0)+_xlfn.XLOOKUP('Summary Data'!$A116,'Round 4 Data'!$A$10:$A$147,'Round 4 Data'!L$10:L$147,0))/$D116</f>
        <v>#VALUE!</v>
      </c>
      <c r="M116" s="57" t="e">
        <f>(_xlfn.XLOOKUP('Summary Data'!$A116,'Round 1 Data'!$A$10:$A$143,'Round 1 Data'!M$10:M$144,0)+_xlfn.XLOOKUP('Summary Data'!$A116,'Round 2 Data'!$A$10:$A$146,'Round 2 Data'!M$10:M$146,0)+_xlfn.XLOOKUP('Summary Data'!$A116,'Round 3 Data'!$A$10:$A$145,'Round 3 Data'!M$10:M$145,0)+_xlfn.XLOOKUP('Summary Data'!$A116,'Round 4 Data'!$A$10:$A$147,'Round 4 Data'!M$10:M$147,0))/$D116</f>
        <v>#VALUE!</v>
      </c>
      <c r="N116" s="57" t="e">
        <f>(_xlfn.XLOOKUP('Summary Data'!$A116,'Round 1 Data'!$A$10:$A$143,'Round 1 Data'!N$10:N$144,0)+_xlfn.XLOOKUP('Summary Data'!$A116,'Round 2 Data'!$A$10:$A$146,'Round 2 Data'!N$10:N$146,0)+_xlfn.XLOOKUP('Summary Data'!$A116,'Round 3 Data'!$A$10:$A$145,'Round 3 Data'!N$10:N$145,0)+_xlfn.XLOOKUP('Summary Data'!$A116,'Round 4 Data'!$A$10:$A$147,'Round 4 Data'!N$10:N$147,0))/$D116</f>
        <v>#VALUE!</v>
      </c>
      <c r="O116" s="57" t="e">
        <f>(_xlfn.XLOOKUP('Summary Data'!$A116,'Round 1 Data'!$A$10:$A$143,'Round 1 Data'!O$10:O$144,0)+_xlfn.XLOOKUP('Summary Data'!$A116,'Round 2 Data'!$A$10:$A$146,'Round 2 Data'!O$10:O$146,0)+_xlfn.XLOOKUP('Summary Data'!$A116,'Round 3 Data'!$A$10:$A$145,'Round 3 Data'!O$10:O$145,0)+_xlfn.XLOOKUP('Summary Data'!$A116,'Round 4 Data'!$A$10:$A$147,'Round 4 Data'!O$10:O$147,0))/$D116</f>
        <v>#VALUE!</v>
      </c>
      <c r="P116" s="57" t="e">
        <f>(_xlfn.XLOOKUP('Summary Data'!$A116,'Round 1 Data'!$A$10:$A$143,'Round 1 Data'!P$10:P$144,0)+_xlfn.XLOOKUP('Summary Data'!$A116,'Round 2 Data'!$A$10:$A$146,'Round 2 Data'!P$10:P$146,0)+_xlfn.XLOOKUP('Summary Data'!$A116,'Round 3 Data'!$A$10:$A$145,'Round 3 Data'!P$10:P$145,0)+_xlfn.XLOOKUP('Summary Data'!$A116,'Round 4 Data'!$A$10:$A$147,'Round 4 Data'!P$10:P$147,0))/$D116</f>
        <v>#VALUE!</v>
      </c>
      <c r="Q116" s="57" t="e">
        <f>(_xlfn.XLOOKUP('Summary Data'!$A116,'Round 1 Data'!$A$10:$A$143,'Round 1 Data'!Q$10:Q$144,0)+_xlfn.XLOOKUP('Summary Data'!$A116,'Round 2 Data'!$A$10:$A$146,'Round 2 Data'!Q$10:Q$146,0)+_xlfn.XLOOKUP('Summary Data'!$A116,'Round 3 Data'!$A$10:$A$145,'Round 3 Data'!Q$10:Q$145,0)+_xlfn.XLOOKUP('Summary Data'!$A116,'Round 4 Data'!$A$10:$A$147,'Round 4 Data'!Q$10:Q$147,0))/$D116</f>
        <v>#VALUE!</v>
      </c>
      <c r="R116" s="57" t="e">
        <f>(_xlfn.XLOOKUP('Summary Data'!$A116,'Round 1 Data'!$A$10:$A$143,'Round 1 Data'!R$10:R$144,0)+_xlfn.XLOOKUP('Summary Data'!$A116,'Round 2 Data'!$A$10:$A$146,'Round 2 Data'!R$10:R$146,0)+_xlfn.XLOOKUP('Summary Data'!$A116,'Round 3 Data'!$A$10:$A$145,'Round 3 Data'!R$10:R$145,0)+_xlfn.XLOOKUP('Summary Data'!$A116,'Round 4 Data'!$A$10:$A$147,'Round 4 Data'!R$10:R$147,0))/$D116</f>
        <v>#VALUE!</v>
      </c>
      <c r="S116" s="57" t="e">
        <f>(_xlfn.XLOOKUP('Summary Data'!$A116,'Round 1 Data'!$A$10:$A$143,'Round 1 Data'!S$10:S$144,0)+_xlfn.XLOOKUP('Summary Data'!$A116,'Round 2 Data'!$A$10:$A$146,'Round 2 Data'!S$10:S$146,0)+_xlfn.XLOOKUP('Summary Data'!$A116,'Round 3 Data'!$A$10:$A$145,'Round 3 Data'!S$10:S$145,0)+_xlfn.XLOOKUP('Summary Data'!$A116,'Round 4 Data'!$A$10:$A$147,'Round 4 Data'!S$10:S$147,0))/$D116</f>
        <v>#VALUE!</v>
      </c>
      <c r="T116" s="62" t="e">
        <f>(_xlfn.XLOOKUP('Summary Data'!$A116,'Round 1 Data'!$A$10:$A$143,'Round 1 Data'!U$10:U$144,0)+_xlfn.XLOOKUP('Summary Data'!$A116,'Round 2 Data'!$A$10:$A$146,'Round 2 Data'!U$10:U$146,0)+_xlfn.XLOOKUP('Summary Data'!$A116,'Round 3 Data'!$A$10:$A$145,'Round 3 Data'!U$10:U$145,0)+_xlfn.XLOOKUP('Summary Data'!$A116,'Round 4 Data'!$A$10:$A$147,'Round 4 Data'!U$10:U$147,0))</f>
        <v>#VALUE!</v>
      </c>
    </row>
    <row r="117" spans="1:20" ht="16" thickBot="1" x14ac:dyDescent="0.25">
      <c r="A117" s="61" t="s">
        <v>125</v>
      </c>
      <c r="B117" t="s">
        <v>192</v>
      </c>
      <c r="C117" t="s">
        <v>201</v>
      </c>
      <c r="D117" t="e">
        <f>IF(_xlfn.XLOOKUP('Summary Data'!A117,'Round 1 Data'!$A$10:$A$143,'Round 1 Data'!$E$10:$E$144,0)=0,0,1)+IF(_xlfn.XLOOKUP('Summary Data'!A117,'Round 2 Data'!$A$10:$A$146,'Round 2 Data'!$E$10:$E$146,0)=0,0,1)+IF(_xlfn.XLOOKUP('Summary Data'!A117,'Round 3 Data'!$A$10:$A$145,'Round 3 Data'!$E$10:$E$145,0)=0,0,1)+IF(_xlfn.XLOOKUP('Summary Data'!A117,'Round 4 Data'!$A$10:$A$147,'Round 4 Data'!$E$10:$E$147,0)=0,0,1)</f>
        <v>#VALUE!</v>
      </c>
      <c r="E117" s="57" t="e">
        <f>(_xlfn.XLOOKUP('Summary Data'!$A117,'Round 1 Data'!$A$10:$A$143,'Round 1 Data'!E$10:E$144,0)+_xlfn.XLOOKUP('Summary Data'!$A117,'Round 2 Data'!$A$10:$A$146,'Round 2 Data'!E$10:E$146,0)+_xlfn.XLOOKUP('Summary Data'!$A117,'Round 3 Data'!$A$10:$A$145,'Round 3 Data'!E$10:E$145,0)+_xlfn.XLOOKUP('Summary Data'!$A117,'Round 4 Data'!$A$10:$A$147,'Round 4 Data'!E$10:E$147,0))/$D117</f>
        <v>#VALUE!</v>
      </c>
      <c r="F117" s="57" t="e">
        <f>(_xlfn.XLOOKUP('Summary Data'!$A117,'Round 1 Data'!$A$10:$A$143,'Round 1 Data'!F$10:F$144,0)+_xlfn.XLOOKUP('Summary Data'!$A117,'Round 2 Data'!$A$10:$A$146,'Round 2 Data'!F$10:F$146,0)+_xlfn.XLOOKUP('Summary Data'!$A117,'Round 3 Data'!$A$10:$A$145,'Round 3 Data'!F$10:F$145,0)+_xlfn.XLOOKUP('Summary Data'!$A117,'Round 4 Data'!$A$10:$A$147,'Round 4 Data'!F$10:F$147,0))/$D117</f>
        <v>#VALUE!</v>
      </c>
      <c r="G117" s="57" t="e">
        <f>(_xlfn.XLOOKUP('Summary Data'!$A117,'Round 1 Data'!$A$10:$A$143,'Round 1 Data'!G$10:G$144,0)+_xlfn.XLOOKUP('Summary Data'!$A117,'Round 2 Data'!$A$10:$A$146,'Round 2 Data'!G$10:G$146,0)+_xlfn.XLOOKUP('Summary Data'!$A117,'Round 3 Data'!$A$10:$A$145,'Round 3 Data'!G$10:G$145,0)+_xlfn.XLOOKUP('Summary Data'!$A117,'Round 4 Data'!$A$10:$A$147,'Round 4 Data'!G$10:G$147,0))/$D117</f>
        <v>#VALUE!</v>
      </c>
      <c r="H117" s="57" t="e">
        <f>(_xlfn.XLOOKUP('Summary Data'!$A117,'Round 1 Data'!$A$10:$A$143,'Round 1 Data'!H$10:H$144,0)+_xlfn.XLOOKUP('Summary Data'!$A117,'Round 2 Data'!$A$10:$A$146,'Round 2 Data'!H$10:H$146,0)+_xlfn.XLOOKUP('Summary Data'!$A117,'Round 3 Data'!$A$10:$A$145,'Round 3 Data'!H$10:H$145,0)+_xlfn.XLOOKUP('Summary Data'!$A117,'Round 4 Data'!$A$10:$A$147,'Round 4 Data'!H$10:H$147,0))/$D117</f>
        <v>#VALUE!</v>
      </c>
      <c r="I117" s="57" t="e">
        <f>(_xlfn.XLOOKUP('Summary Data'!$A117,'Round 1 Data'!$A$10:$A$143,'Round 1 Data'!I$10:I$144,0)+_xlfn.XLOOKUP('Summary Data'!$A117,'Round 2 Data'!$A$10:$A$146,'Round 2 Data'!I$10:I$146,0)+_xlfn.XLOOKUP('Summary Data'!$A117,'Round 3 Data'!$A$10:$A$145,'Round 3 Data'!I$10:I$145,0)+_xlfn.XLOOKUP('Summary Data'!$A117,'Round 4 Data'!$A$10:$A$147,'Round 4 Data'!I$10:I$147,0))/$D117</f>
        <v>#VALUE!</v>
      </c>
      <c r="J117" s="57" t="e">
        <f>(_xlfn.XLOOKUP('Summary Data'!$A117,'Round 1 Data'!$A$10:$A$143,'Round 1 Data'!J$10:J$144,0)+_xlfn.XLOOKUP('Summary Data'!$A117,'Round 2 Data'!$A$10:$A$146,'Round 2 Data'!J$10:J$146,0)+_xlfn.XLOOKUP('Summary Data'!$A117,'Round 3 Data'!$A$10:$A$145,'Round 3 Data'!J$10:J$145,0)+_xlfn.XLOOKUP('Summary Data'!$A117,'Round 4 Data'!$A$10:$A$147,'Round 4 Data'!J$10:J$147,0))/$D117</f>
        <v>#VALUE!</v>
      </c>
      <c r="K117" s="57" t="e">
        <f>(_xlfn.XLOOKUP('Summary Data'!$A117,'Round 1 Data'!$A$10:$A$143,'Round 1 Data'!K$10:K$144,0)+_xlfn.XLOOKUP('Summary Data'!$A117,'Round 2 Data'!$A$10:$A$146,'Round 2 Data'!K$10:K$146,0)+_xlfn.XLOOKUP('Summary Data'!$A117,'Round 3 Data'!$A$10:$A$145,'Round 3 Data'!K$10:K$145,0)+_xlfn.XLOOKUP('Summary Data'!$A117,'Round 4 Data'!$A$10:$A$147,'Round 4 Data'!K$10:K$147,0))/$D117</f>
        <v>#VALUE!</v>
      </c>
      <c r="L117" s="57" t="e">
        <f>(_xlfn.XLOOKUP('Summary Data'!$A117,'Round 1 Data'!$A$10:$A$143,'Round 1 Data'!L$10:L$144,0)+_xlfn.XLOOKUP('Summary Data'!$A117,'Round 2 Data'!$A$10:$A$146,'Round 2 Data'!L$10:L$146,0)+_xlfn.XLOOKUP('Summary Data'!$A117,'Round 3 Data'!$A$10:$A$145,'Round 3 Data'!L$10:L$145,0)+_xlfn.XLOOKUP('Summary Data'!$A117,'Round 4 Data'!$A$10:$A$147,'Round 4 Data'!L$10:L$147,0))/$D117</f>
        <v>#VALUE!</v>
      </c>
      <c r="M117" s="57" t="e">
        <f>(_xlfn.XLOOKUP('Summary Data'!$A117,'Round 1 Data'!$A$10:$A$143,'Round 1 Data'!M$10:M$144,0)+_xlfn.XLOOKUP('Summary Data'!$A117,'Round 2 Data'!$A$10:$A$146,'Round 2 Data'!M$10:M$146,0)+_xlfn.XLOOKUP('Summary Data'!$A117,'Round 3 Data'!$A$10:$A$145,'Round 3 Data'!M$10:M$145,0)+_xlfn.XLOOKUP('Summary Data'!$A117,'Round 4 Data'!$A$10:$A$147,'Round 4 Data'!M$10:M$147,0))/$D117</f>
        <v>#VALUE!</v>
      </c>
      <c r="N117" s="57" t="e">
        <f>(_xlfn.XLOOKUP('Summary Data'!$A117,'Round 1 Data'!$A$10:$A$143,'Round 1 Data'!N$10:N$144,0)+_xlfn.XLOOKUP('Summary Data'!$A117,'Round 2 Data'!$A$10:$A$146,'Round 2 Data'!N$10:N$146,0)+_xlfn.XLOOKUP('Summary Data'!$A117,'Round 3 Data'!$A$10:$A$145,'Round 3 Data'!N$10:N$145,0)+_xlfn.XLOOKUP('Summary Data'!$A117,'Round 4 Data'!$A$10:$A$147,'Round 4 Data'!N$10:N$147,0))/$D117</f>
        <v>#VALUE!</v>
      </c>
      <c r="O117" s="57" t="e">
        <f>(_xlfn.XLOOKUP('Summary Data'!$A117,'Round 1 Data'!$A$10:$A$143,'Round 1 Data'!O$10:O$144,0)+_xlfn.XLOOKUP('Summary Data'!$A117,'Round 2 Data'!$A$10:$A$146,'Round 2 Data'!O$10:O$146,0)+_xlfn.XLOOKUP('Summary Data'!$A117,'Round 3 Data'!$A$10:$A$145,'Round 3 Data'!O$10:O$145,0)+_xlfn.XLOOKUP('Summary Data'!$A117,'Round 4 Data'!$A$10:$A$147,'Round 4 Data'!O$10:O$147,0))/$D117</f>
        <v>#VALUE!</v>
      </c>
      <c r="P117" s="57" t="e">
        <f>(_xlfn.XLOOKUP('Summary Data'!$A117,'Round 1 Data'!$A$10:$A$143,'Round 1 Data'!P$10:P$144,0)+_xlfn.XLOOKUP('Summary Data'!$A117,'Round 2 Data'!$A$10:$A$146,'Round 2 Data'!P$10:P$146,0)+_xlfn.XLOOKUP('Summary Data'!$A117,'Round 3 Data'!$A$10:$A$145,'Round 3 Data'!P$10:P$145,0)+_xlfn.XLOOKUP('Summary Data'!$A117,'Round 4 Data'!$A$10:$A$147,'Round 4 Data'!P$10:P$147,0))/$D117</f>
        <v>#VALUE!</v>
      </c>
      <c r="Q117" s="57" t="e">
        <f>(_xlfn.XLOOKUP('Summary Data'!$A117,'Round 1 Data'!$A$10:$A$143,'Round 1 Data'!Q$10:Q$144,0)+_xlfn.XLOOKUP('Summary Data'!$A117,'Round 2 Data'!$A$10:$A$146,'Round 2 Data'!Q$10:Q$146,0)+_xlfn.XLOOKUP('Summary Data'!$A117,'Round 3 Data'!$A$10:$A$145,'Round 3 Data'!Q$10:Q$145,0)+_xlfn.XLOOKUP('Summary Data'!$A117,'Round 4 Data'!$A$10:$A$147,'Round 4 Data'!Q$10:Q$147,0))/$D117</f>
        <v>#VALUE!</v>
      </c>
      <c r="R117" s="57" t="e">
        <f>(_xlfn.XLOOKUP('Summary Data'!$A117,'Round 1 Data'!$A$10:$A$143,'Round 1 Data'!R$10:R$144,0)+_xlfn.XLOOKUP('Summary Data'!$A117,'Round 2 Data'!$A$10:$A$146,'Round 2 Data'!R$10:R$146,0)+_xlfn.XLOOKUP('Summary Data'!$A117,'Round 3 Data'!$A$10:$A$145,'Round 3 Data'!R$10:R$145,0)+_xlfn.XLOOKUP('Summary Data'!$A117,'Round 4 Data'!$A$10:$A$147,'Round 4 Data'!R$10:R$147,0))/$D117</f>
        <v>#VALUE!</v>
      </c>
      <c r="S117" s="57" t="e">
        <f>(_xlfn.XLOOKUP('Summary Data'!$A117,'Round 1 Data'!$A$10:$A$143,'Round 1 Data'!S$10:S$144,0)+_xlfn.XLOOKUP('Summary Data'!$A117,'Round 2 Data'!$A$10:$A$146,'Round 2 Data'!S$10:S$146,0)+_xlfn.XLOOKUP('Summary Data'!$A117,'Round 3 Data'!$A$10:$A$145,'Round 3 Data'!S$10:S$145,0)+_xlfn.XLOOKUP('Summary Data'!$A117,'Round 4 Data'!$A$10:$A$147,'Round 4 Data'!S$10:S$147,0))/$D117</f>
        <v>#VALUE!</v>
      </c>
      <c r="T117" s="62" t="e">
        <f>(_xlfn.XLOOKUP('Summary Data'!$A117,'Round 1 Data'!$A$10:$A$143,'Round 1 Data'!U$10:U$144,0)+_xlfn.XLOOKUP('Summary Data'!$A117,'Round 2 Data'!$A$10:$A$146,'Round 2 Data'!U$10:U$146,0)+_xlfn.XLOOKUP('Summary Data'!$A117,'Round 3 Data'!$A$10:$A$145,'Round 3 Data'!U$10:U$145,0)+_xlfn.XLOOKUP('Summary Data'!$A117,'Round 4 Data'!$A$10:$A$147,'Round 4 Data'!U$10:U$147,0))</f>
        <v>#VALUE!</v>
      </c>
    </row>
    <row r="118" spans="1:20" ht="16" thickBot="1" x14ac:dyDescent="0.25">
      <c r="A118" s="61" t="s">
        <v>12</v>
      </c>
      <c r="B118" t="s">
        <v>193</v>
      </c>
      <c r="C118" t="s">
        <v>194</v>
      </c>
      <c r="D118" t="e">
        <f>IF(_xlfn.XLOOKUP('Summary Data'!A118,'Round 1 Data'!$A$10:$A$143,'Round 1 Data'!$E$10:$E$144,0)=0,0,1)+IF(_xlfn.XLOOKUP('Summary Data'!A118,'Round 2 Data'!$A$10:$A$146,'Round 2 Data'!$E$10:$E$146,0)=0,0,1)+IF(_xlfn.XLOOKUP('Summary Data'!A118,'Round 3 Data'!$A$10:$A$145,'Round 3 Data'!$E$10:$E$145,0)=0,0,1)+IF(_xlfn.XLOOKUP('Summary Data'!A118,'Round 4 Data'!$A$10:$A$147,'Round 4 Data'!$E$10:$E$147,0)=0,0,1)</f>
        <v>#VALUE!</v>
      </c>
      <c r="E118" s="57" t="e">
        <f>(_xlfn.XLOOKUP('Summary Data'!$A118,'Round 1 Data'!$A$10:$A$143,'Round 1 Data'!E$10:E$144,0)+_xlfn.XLOOKUP('Summary Data'!$A118,'Round 2 Data'!$A$10:$A$146,'Round 2 Data'!E$10:E$146,0)+_xlfn.XLOOKUP('Summary Data'!$A118,'Round 3 Data'!$A$10:$A$145,'Round 3 Data'!E$10:E$145,0)+_xlfn.XLOOKUP('Summary Data'!$A118,'Round 4 Data'!$A$10:$A$147,'Round 4 Data'!E$10:E$147,0))/$D118</f>
        <v>#VALUE!</v>
      </c>
      <c r="F118" s="57" t="e">
        <f>(_xlfn.XLOOKUP('Summary Data'!$A118,'Round 1 Data'!$A$10:$A$143,'Round 1 Data'!F$10:F$144,0)+_xlfn.XLOOKUP('Summary Data'!$A118,'Round 2 Data'!$A$10:$A$146,'Round 2 Data'!F$10:F$146,0)+_xlfn.XLOOKUP('Summary Data'!$A118,'Round 3 Data'!$A$10:$A$145,'Round 3 Data'!F$10:F$145,0)+_xlfn.XLOOKUP('Summary Data'!$A118,'Round 4 Data'!$A$10:$A$147,'Round 4 Data'!F$10:F$147,0))/$D118</f>
        <v>#VALUE!</v>
      </c>
      <c r="G118" s="57" t="e">
        <f>(_xlfn.XLOOKUP('Summary Data'!$A118,'Round 1 Data'!$A$10:$A$143,'Round 1 Data'!G$10:G$144,0)+_xlfn.XLOOKUP('Summary Data'!$A118,'Round 2 Data'!$A$10:$A$146,'Round 2 Data'!G$10:G$146,0)+_xlfn.XLOOKUP('Summary Data'!$A118,'Round 3 Data'!$A$10:$A$145,'Round 3 Data'!G$10:G$145,0)+_xlfn.XLOOKUP('Summary Data'!$A118,'Round 4 Data'!$A$10:$A$147,'Round 4 Data'!G$10:G$147,0))/$D118</f>
        <v>#VALUE!</v>
      </c>
      <c r="H118" s="57" t="e">
        <f>(_xlfn.XLOOKUP('Summary Data'!$A118,'Round 1 Data'!$A$10:$A$143,'Round 1 Data'!H$10:H$144,0)+_xlfn.XLOOKUP('Summary Data'!$A118,'Round 2 Data'!$A$10:$A$146,'Round 2 Data'!H$10:H$146,0)+_xlfn.XLOOKUP('Summary Data'!$A118,'Round 3 Data'!$A$10:$A$145,'Round 3 Data'!H$10:H$145,0)+_xlfn.XLOOKUP('Summary Data'!$A118,'Round 4 Data'!$A$10:$A$147,'Round 4 Data'!H$10:H$147,0))/$D118</f>
        <v>#VALUE!</v>
      </c>
      <c r="I118" s="57" t="e">
        <f>(_xlfn.XLOOKUP('Summary Data'!$A118,'Round 1 Data'!$A$10:$A$143,'Round 1 Data'!I$10:I$144,0)+_xlfn.XLOOKUP('Summary Data'!$A118,'Round 2 Data'!$A$10:$A$146,'Round 2 Data'!I$10:I$146,0)+_xlfn.XLOOKUP('Summary Data'!$A118,'Round 3 Data'!$A$10:$A$145,'Round 3 Data'!I$10:I$145,0)+_xlfn.XLOOKUP('Summary Data'!$A118,'Round 4 Data'!$A$10:$A$147,'Round 4 Data'!I$10:I$147,0))/$D118</f>
        <v>#VALUE!</v>
      </c>
      <c r="J118" s="57" t="e">
        <f>(_xlfn.XLOOKUP('Summary Data'!$A118,'Round 1 Data'!$A$10:$A$143,'Round 1 Data'!J$10:J$144,0)+_xlfn.XLOOKUP('Summary Data'!$A118,'Round 2 Data'!$A$10:$A$146,'Round 2 Data'!J$10:J$146,0)+_xlfn.XLOOKUP('Summary Data'!$A118,'Round 3 Data'!$A$10:$A$145,'Round 3 Data'!J$10:J$145,0)+_xlfn.XLOOKUP('Summary Data'!$A118,'Round 4 Data'!$A$10:$A$147,'Round 4 Data'!J$10:J$147,0))/$D118</f>
        <v>#VALUE!</v>
      </c>
      <c r="K118" s="57" t="e">
        <f>(_xlfn.XLOOKUP('Summary Data'!$A118,'Round 1 Data'!$A$10:$A$143,'Round 1 Data'!K$10:K$144,0)+_xlfn.XLOOKUP('Summary Data'!$A118,'Round 2 Data'!$A$10:$A$146,'Round 2 Data'!K$10:K$146,0)+_xlfn.XLOOKUP('Summary Data'!$A118,'Round 3 Data'!$A$10:$A$145,'Round 3 Data'!K$10:K$145,0)+_xlfn.XLOOKUP('Summary Data'!$A118,'Round 4 Data'!$A$10:$A$147,'Round 4 Data'!K$10:K$147,0))/$D118</f>
        <v>#VALUE!</v>
      </c>
      <c r="L118" s="57" t="e">
        <f>(_xlfn.XLOOKUP('Summary Data'!$A118,'Round 1 Data'!$A$10:$A$143,'Round 1 Data'!L$10:L$144,0)+_xlfn.XLOOKUP('Summary Data'!$A118,'Round 2 Data'!$A$10:$A$146,'Round 2 Data'!L$10:L$146,0)+_xlfn.XLOOKUP('Summary Data'!$A118,'Round 3 Data'!$A$10:$A$145,'Round 3 Data'!L$10:L$145,0)+_xlfn.XLOOKUP('Summary Data'!$A118,'Round 4 Data'!$A$10:$A$147,'Round 4 Data'!L$10:L$147,0))/$D118</f>
        <v>#VALUE!</v>
      </c>
      <c r="M118" s="57" t="e">
        <f>(_xlfn.XLOOKUP('Summary Data'!$A118,'Round 1 Data'!$A$10:$A$143,'Round 1 Data'!M$10:M$144,0)+_xlfn.XLOOKUP('Summary Data'!$A118,'Round 2 Data'!$A$10:$A$146,'Round 2 Data'!M$10:M$146,0)+_xlfn.XLOOKUP('Summary Data'!$A118,'Round 3 Data'!$A$10:$A$145,'Round 3 Data'!M$10:M$145,0)+_xlfn.XLOOKUP('Summary Data'!$A118,'Round 4 Data'!$A$10:$A$147,'Round 4 Data'!M$10:M$147,0))/$D118</f>
        <v>#VALUE!</v>
      </c>
      <c r="N118" s="57" t="e">
        <f>(_xlfn.XLOOKUP('Summary Data'!$A118,'Round 1 Data'!$A$10:$A$143,'Round 1 Data'!N$10:N$144,0)+_xlfn.XLOOKUP('Summary Data'!$A118,'Round 2 Data'!$A$10:$A$146,'Round 2 Data'!N$10:N$146,0)+_xlfn.XLOOKUP('Summary Data'!$A118,'Round 3 Data'!$A$10:$A$145,'Round 3 Data'!N$10:N$145,0)+_xlfn.XLOOKUP('Summary Data'!$A118,'Round 4 Data'!$A$10:$A$147,'Round 4 Data'!N$10:N$147,0))/$D118</f>
        <v>#VALUE!</v>
      </c>
      <c r="O118" s="57" t="e">
        <f>(_xlfn.XLOOKUP('Summary Data'!$A118,'Round 1 Data'!$A$10:$A$143,'Round 1 Data'!O$10:O$144,0)+_xlfn.XLOOKUP('Summary Data'!$A118,'Round 2 Data'!$A$10:$A$146,'Round 2 Data'!O$10:O$146,0)+_xlfn.XLOOKUP('Summary Data'!$A118,'Round 3 Data'!$A$10:$A$145,'Round 3 Data'!O$10:O$145,0)+_xlfn.XLOOKUP('Summary Data'!$A118,'Round 4 Data'!$A$10:$A$147,'Round 4 Data'!O$10:O$147,0))/$D118</f>
        <v>#VALUE!</v>
      </c>
      <c r="P118" s="57" t="e">
        <f>(_xlfn.XLOOKUP('Summary Data'!$A118,'Round 1 Data'!$A$10:$A$143,'Round 1 Data'!P$10:P$144,0)+_xlfn.XLOOKUP('Summary Data'!$A118,'Round 2 Data'!$A$10:$A$146,'Round 2 Data'!P$10:P$146,0)+_xlfn.XLOOKUP('Summary Data'!$A118,'Round 3 Data'!$A$10:$A$145,'Round 3 Data'!P$10:P$145,0)+_xlfn.XLOOKUP('Summary Data'!$A118,'Round 4 Data'!$A$10:$A$147,'Round 4 Data'!P$10:P$147,0))/$D118</f>
        <v>#VALUE!</v>
      </c>
      <c r="Q118" s="57" t="e">
        <f>(_xlfn.XLOOKUP('Summary Data'!$A118,'Round 1 Data'!$A$10:$A$143,'Round 1 Data'!Q$10:Q$144,0)+_xlfn.XLOOKUP('Summary Data'!$A118,'Round 2 Data'!$A$10:$A$146,'Round 2 Data'!Q$10:Q$146,0)+_xlfn.XLOOKUP('Summary Data'!$A118,'Round 3 Data'!$A$10:$A$145,'Round 3 Data'!Q$10:Q$145,0)+_xlfn.XLOOKUP('Summary Data'!$A118,'Round 4 Data'!$A$10:$A$147,'Round 4 Data'!Q$10:Q$147,0))/$D118</f>
        <v>#VALUE!</v>
      </c>
      <c r="R118" s="57" t="e">
        <f>(_xlfn.XLOOKUP('Summary Data'!$A118,'Round 1 Data'!$A$10:$A$143,'Round 1 Data'!R$10:R$144,0)+_xlfn.XLOOKUP('Summary Data'!$A118,'Round 2 Data'!$A$10:$A$146,'Round 2 Data'!R$10:R$146,0)+_xlfn.XLOOKUP('Summary Data'!$A118,'Round 3 Data'!$A$10:$A$145,'Round 3 Data'!R$10:R$145,0)+_xlfn.XLOOKUP('Summary Data'!$A118,'Round 4 Data'!$A$10:$A$147,'Round 4 Data'!R$10:R$147,0))/$D118</f>
        <v>#VALUE!</v>
      </c>
      <c r="S118" s="57" t="e">
        <f>(_xlfn.XLOOKUP('Summary Data'!$A118,'Round 1 Data'!$A$10:$A$143,'Round 1 Data'!S$10:S$144,0)+_xlfn.XLOOKUP('Summary Data'!$A118,'Round 2 Data'!$A$10:$A$146,'Round 2 Data'!S$10:S$146,0)+_xlfn.XLOOKUP('Summary Data'!$A118,'Round 3 Data'!$A$10:$A$145,'Round 3 Data'!S$10:S$145,0)+_xlfn.XLOOKUP('Summary Data'!$A118,'Round 4 Data'!$A$10:$A$147,'Round 4 Data'!S$10:S$147,0))/$D118</f>
        <v>#VALUE!</v>
      </c>
      <c r="T118" s="62" t="e">
        <f>(_xlfn.XLOOKUP('Summary Data'!$A118,'Round 1 Data'!$A$10:$A$143,'Round 1 Data'!U$10:U$144,0)+_xlfn.XLOOKUP('Summary Data'!$A118,'Round 2 Data'!$A$10:$A$146,'Round 2 Data'!U$10:U$146,0)+_xlfn.XLOOKUP('Summary Data'!$A118,'Round 3 Data'!$A$10:$A$145,'Round 3 Data'!U$10:U$145,0)+_xlfn.XLOOKUP('Summary Data'!$A118,'Round 4 Data'!$A$10:$A$147,'Round 4 Data'!U$10:U$147,0))</f>
        <v>#VALUE!</v>
      </c>
    </row>
    <row r="119" spans="1:20" ht="16" thickBot="1" x14ac:dyDescent="0.25">
      <c r="A119" s="63" t="s">
        <v>13</v>
      </c>
      <c r="B119" t="s">
        <v>193</v>
      </c>
      <c r="C119" t="s">
        <v>194</v>
      </c>
      <c r="D119" t="e">
        <f>IF(_xlfn.XLOOKUP('Summary Data'!A119,'Round 1 Data'!$A$10:$A$143,'Round 1 Data'!$E$10:$E$144,0)=0,0,1)+IF(_xlfn.XLOOKUP('Summary Data'!A119,'Round 2 Data'!$A$10:$A$146,'Round 2 Data'!$E$10:$E$146,0)=0,0,1)+IF(_xlfn.XLOOKUP('Summary Data'!A119,'Round 3 Data'!$A$10:$A$145,'Round 3 Data'!$E$10:$E$145,0)=0,0,1)+IF(_xlfn.XLOOKUP('Summary Data'!A119,'Round 4 Data'!$A$10:$A$147,'Round 4 Data'!$E$10:$E$147,0)=0,0,1)</f>
        <v>#VALUE!</v>
      </c>
      <c r="E119" s="57" t="e">
        <f>(_xlfn.XLOOKUP('Summary Data'!$A119,'Round 1 Data'!$A$10:$A$143,'Round 1 Data'!E$10:E$144,0)+_xlfn.XLOOKUP('Summary Data'!$A119,'Round 2 Data'!$A$10:$A$146,'Round 2 Data'!E$10:E$146,0)+_xlfn.XLOOKUP('Summary Data'!$A119,'Round 3 Data'!$A$10:$A$145,'Round 3 Data'!E$10:E$145,0)+_xlfn.XLOOKUP('Summary Data'!$A119,'Round 4 Data'!$A$10:$A$147,'Round 4 Data'!E$10:E$147,0))/$D119</f>
        <v>#VALUE!</v>
      </c>
      <c r="F119" s="57" t="e">
        <f>(_xlfn.XLOOKUP('Summary Data'!$A119,'Round 1 Data'!$A$10:$A$143,'Round 1 Data'!F$10:F$144,0)+_xlfn.XLOOKUP('Summary Data'!$A119,'Round 2 Data'!$A$10:$A$146,'Round 2 Data'!F$10:F$146,0)+_xlfn.XLOOKUP('Summary Data'!$A119,'Round 3 Data'!$A$10:$A$145,'Round 3 Data'!F$10:F$145,0)+_xlfn.XLOOKUP('Summary Data'!$A119,'Round 4 Data'!$A$10:$A$147,'Round 4 Data'!F$10:F$147,0))/$D119</f>
        <v>#VALUE!</v>
      </c>
      <c r="G119" s="57" t="e">
        <f>(_xlfn.XLOOKUP('Summary Data'!$A119,'Round 1 Data'!$A$10:$A$143,'Round 1 Data'!G$10:G$144,0)+_xlfn.XLOOKUP('Summary Data'!$A119,'Round 2 Data'!$A$10:$A$146,'Round 2 Data'!G$10:G$146,0)+_xlfn.XLOOKUP('Summary Data'!$A119,'Round 3 Data'!$A$10:$A$145,'Round 3 Data'!G$10:G$145,0)+_xlfn.XLOOKUP('Summary Data'!$A119,'Round 4 Data'!$A$10:$A$147,'Round 4 Data'!G$10:G$147,0))/$D119</f>
        <v>#VALUE!</v>
      </c>
      <c r="H119" s="57" t="e">
        <f>(_xlfn.XLOOKUP('Summary Data'!$A119,'Round 1 Data'!$A$10:$A$143,'Round 1 Data'!H$10:H$144,0)+_xlfn.XLOOKUP('Summary Data'!$A119,'Round 2 Data'!$A$10:$A$146,'Round 2 Data'!H$10:H$146,0)+_xlfn.XLOOKUP('Summary Data'!$A119,'Round 3 Data'!$A$10:$A$145,'Round 3 Data'!H$10:H$145,0)+_xlfn.XLOOKUP('Summary Data'!$A119,'Round 4 Data'!$A$10:$A$147,'Round 4 Data'!H$10:H$147,0))/$D119</f>
        <v>#VALUE!</v>
      </c>
      <c r="I119" s="57" t="e">
        <f>(_xlfn.XLOOKUP('Summary Data'!$A119,'Round 1 Data'!$A$10:$A$143,'Round 1 Data'!I$10:I$144,0)+_xlfn.XLOOKUP('Summary Data'!$A119,'Round 2 Data'!$A$10:$A$146,'Round 2 Data'!I$10:I$146,0)+_xlfn.XLOOKUP('Summary Data'!$A119,'Round 3 Data'!$A$10:$A$145,'Round 3 Data'!I$10:I$145,0)+_xlfn.XLOOKUP('Summary Data'!$A119,'Round 4 Data'!$A$10:$A$147,'Round 4 Data'!I$10:I$147,0))/$D119</f>
        <v>#VALUE!</v>
      </c>
      <c r="J119" s="57" t="e">
        <f>(_xlfn.XLOOKUP('Summary Data'!$A119,'Round 1 Data'!$A$10:$A$143,'Round 1 Data'!J$10:J$144,0)+_xlfn.XLOOKUP('Summary Data'!$A119,'Round 2 Data'!$A$10:$A$146,'Round 2 Data'!J$10:J$146,0)+_xlfn.XLOOKUP('Summary Data'!$A119,'Round 3 Data'!$A$10:$A$145,'Round 3 Data'!J$10:J$145,0)+_xlfn.XLOOKUP('Summary Data'!$A119,'Round 4 Data'!$A$10:$A$147,'Round 4 Data'!J$10:J$147,0))/$D119</f>
        <v>#VALUE!</v>
      </c>
      <c r="K119" s="57" t="e">
        <f>(_xlfn.XLOOKUP('Summary Data'!$A119,'Round 1 Data'!$A$10:$A$143,'Round 1 Data'!K$10:K$144,0)+_xlfn.XLOOKUP('Summary Data'!$A119,'Round 2 Data'!$A$10:$A$146,'Round 2 Data'!K$10:K$146,0)+_xlfn.XLOOKUP('Summary Data'!$A119,'Round 3 Data'!$A$10:$A$145,'Round 3 Data'!K$10:K$145,0)+_xlfn.XLOOKUP('Summary Data'!$A119,'Round 4 Data'!$A$10:$A$147,'Round 4 Data'!K$10:K$147,0))/$D119</f>
        <v>#VALUE!</v>
      </c>
      <c r="L119" s="57" t="e">
        <f>(_xlfn.XLOOKUP('Summary Data'!$A119,'Round 1 Data'!$A$10:$A$143,'Round 1 Data'!L$10:L$144,0)+_xlfn.XLOOKUP('Summary Data'!$A119,'Round 2 Data'!$A$10:$A$146,'Round 2 Data'!L$10:L$146,0)+_xlfn.XLOOKUP('Summary Data'!$A119,'Round 3 Data'!$A$10:$A$145,'Round 3 Data'!L$10:L$145,0)+_xlfn.XLOOKUP('Summary Data'!$A119,'Round 4 Data'!$A$10:$A$147,'Round 4 Data'!L$10:L$147,0))/$D119</f>
        <v>#VALUE!</v>
      </c>
      <c r="M119" s="57" t="e">
        <f>(_xlfn.XLOOKUP('Summary Data'!$A119,'Round 1 Data'!$A$10:$A$143,'Round 1 Data'!M$10:M$144,0)+_xlfn.XLOOKUP('Summary Data'!$A119,'Round 2 Data'!$A$10:$A$146,'Round 2 Data'!M$10:M$146,0)+_xlfn.XLOOKUP('Summary Data'!$A119,'Round 3 Data'!$A$10:$A$145,'Round 3 Data'!M$10:M$145,0)+_xlfn.XLOOKUP('Summary Data'!$A119,'Round 4 Data'!$A$10:$A$147,'Round 4 Data'!M$10:M$147,0))/$D119</f>
        <v>#VALUE!</v>
      </c>
      <c r="N119" s="57" t="e">
        <f>(_xlfn.XLOOKUP('Summary Data'!$A119,'Round 1 Data'!$A$10:$A$143,'Round 1 Data'!N$10:N$144,0)+_xlfn.XLOOKUP('Summary Data'!$A119,'Round 2 Data'!$A$10:$A$146,'Round 2 Data'!N$10:N$146,0)+_xlfn.XLOOKUP('Summary Data'!$A119,'Round 3 Data'!$A$10:$A$145,'Round 3 Data'!N$10:N$145,0)+_xlfn.XLOOKUP('Summary Data'!$A119,'Round 4 Data'!$A$10:$A$147,'Round 4 Data'!N$10:N$147,0))/$D119</f>
        <v>#VALUE!</v>
      </c>
      <c r="O119" s="57" t="e">
        <f>(_xlfn.XLOOKUP('Summary Data'!$A119,'Round 1 Data'!$A$10:$A$143,'Round 1 Data'!O$10:O$144,0)+_xlfn.XLOOKUP('Summary Data'!$A119,'Round 2 Data'!$A$10:$A$146,'Round 2 Data'!O$10:O$146,0)+_xlfn.XLOOKUP('Summary Data'!$A119,'Round 3 Data'!$A$10:$A$145,'Round 3 Data'!O$10:O$145,0)+_xlfn.XLOOKUP('Summary Data'!$A119,'Round 4 Data'!$A$10:$A$147,'Round 4 Data'!O$10:O$147,0))/$D119</f>
        <v>#VALUE!</v>
      </c>
      <c r="P119" s="57" t="e">
        <f>(_xlfn.XLOOKUP('Summary Data'!$A119,'Round 1 Data'!$A$10:$A$143,'Round 1 Data'!P$10:P$144,0)+_xlfn.XLOOKUP('Summary Data'!$A119,'Round 2 Data'!$A$10:$A$146,'Round 2 Data'!P$10:P$146,0)+_xlfn.XLOOKUP('Summary Data'!$A119,'Round 3 Data'!$A$10:$A$145,'Round 3 Data'!P$10:P$145,0)+_xlfn.XLOOKUP('Summary Data'!$A119,'Round 4 Data'!$A$10:$A$147,'Round 4 Data'!P$10:P$147,0))/$D119</f>
        <v>#VALUE!</v>
      </c>
      <c r="Q119" s="57" t="e">
        <f>(_xlfn.XLOOKUP('Summary Data'!$A119,'Round 1 Data'!$A$10:$A$143,'Round 1 Data'!Q$10:Q$144,0)+_xlfn.XLOOKUP('Summary Data'!$A119,'Round 2 Data'!$A$10:$A$146,'Round 2 Data'!Q$10:Q$146,0)+_xlfn.XLOOKUP('Summary Data'!$A119,'Round 3 Data'!$A$10:$A$145,'Round 3 Data'!Q$10:Q$145,0)+_xlfn.XLOOKUP('Summary Data'!$A119,'Round 4 Data'!$A$10:$A$147,'Round 4 Data'!Q$10:Q$147,0))/$D119</f>
        <v>#VALUE!</v>
      </c>
      <c r="R119" s="57" t="e">
        <f>(_xlfn.XLOOKUP('Summary Data'!$A119,'Round 1 Data'!$A$10:$A$143,'Round 1 Data'!R$10:R$144,0)+_xlfn.XLOOKUP('Summary Data'!$A119,'Round 2 Data'!$A$10:$A$146,'Round 2 Data'!R$10:R$146,0)+_xlfn.XLOOKUP('Summary Data'!$A119,'Round 3 Data'!$A$10:$A$145,'Round 3 Data'!R$10:R$145,0)+_xlfn.XLOOKUP('Summary Data'!$A119,'Round 4 Data'!$A$10:$A$147,'Round 4 Data'!R$10:R$147,0))/$D119</f>
        <v>#VALUE!</v>
      </c>
      <c r="S119" s="57" t="e">
        <f>(_xlfn.XLOOKUP('Summary Data'!$A119,'Round 1 Data'!$A$10:$A$143,'Round 1 Data'!S$10:S$144,0)+_xlfn.XLOOKUP('Summary Data'!$A119,'Round 2 Data'!$A$10:$A$146,'Round 2 Data'!S$10:S$146,0)+_xlfn.XLOOKUP('Summary Data'!$A119,'Round 3 Data'!$A$10:$A$145,'Round 3 Data'!S$10:S$145,0)+_xlfn.XLOOKUP('Summary Data'!$A119,'Round 4 Data'!$A$10:$A$147,'Round 4 Data'!S$10:S$147,0))/$D119</f>
        <v>#VALUE!</v>
      </c>
      <c r="T119" s="62" t="e">
        <f>(_xlfn.XLOOKUP('Summary Data'!$A119,'Round 1 Data'!$A$10:$A$143,'Round 1 Data'!U$10:U$144,0)+_xlfn.XLOOKUP('Summary Data'!$A119,'Round 2 Data'!$A$10:$A$146,'Round 2 Data'!U$10:U$146,0)+_xlfn.XLOOKUP('Summary Data'!$A119,'Round 3 Data'!$A$10:$A$145,'Round 3 Data'!U$10:U$145,0)+_xlfn.XLOOKUP('Summary Data'!$A119,'Round 4 Data'!$A$10:$A$147,'Round 4 Data'!U$10:U$147,0))</f>
        <v>#VALUE!</v>
      </c>
    </row>
    <row r="120" spans="1:20" ht="16" thickBot="1" x14ac:dyDescent="0.25">
      <c r="A120" s="61" t="s">
        <v>14</v>
      </c>
      <c r="B120" t="s">
        <v>193</v>
      </c>
      <c r="C120" t="s">
        <v>195</v>
      </c>
      <c r="D120" t="e">
        <f>IF(_xlfn.XLOOKUP('Summary Data'!A120,'Round 1 Data'!$A$10:$A$143,'Round 1 Data'!$E$10:$E$144,0)=0,0,1)+IF(_xlfn.XLOOKUP('Summary Data'!A120,'Round 2 Data'!$A$10:$A$146,'Round 2 Data'!$E$10:$E$146,0)=0,0,1)+IF(_xlfn.XLOOKUP('Summary Data'!A120,'Round 3 Data'!$A$10:$A$145,'Round 3 Data'!$E$10:$E$145,0)=0,0,1)+IF(_xlfn.XLOOKUP('Summary Data'!A120,'Round 4 Data'!$A$10:$A$147,'Round 4 Data'!$E$10:$E$147,0)=0,0,1)</f>
        <v>#VALUE!</v>
      </c>
      <c r="E120" s="57" t="e">
        <f>(_xlfn.XLOOKUP('Summary Data'!$A120,'Round 1 Data'!$A$10:$A$143,'Round 1 Data'!E$10:E$144,0)+_xlfn.XLOOKUP('Summary Data'!$A120,'Round 2 Data'!$A$10:$A$146,'Round 2 Data'!E$10:E$146,0)+_xlfn.XLOOKUP('Summary Data'!$A120,'Round 3 Data'!$A$10:$A$145,'Round 3 Data'!E$10:E$145,0)+_xlfn.XLOOKUP('Summary Data'!$A120,'Round 4 Data'!$A$10:$A$147,'Round 4 Data'!E$10:E$147,0))/$D120</f>
        <v>#VALUE!</v>
      </c>
      <c r="F120" s="57" t="e">
        <f>(_xlfn.XLOOKUP('Summary Data'!$A120,'Round 1 Data'!$A$10:$A$143,'Round 1 Data'!F$10:F$144,0)+_xlfn.XLOOKUP('Summary Data'!$A120,'Round 2 Data'!$A$10:$A$146,'Round 2 Data'!F$10:F$146,0)+_xlfn.XLOOKUP('Summary Data'!$A120,'Round 3 Data'!$A$10:$A$145,'Round 3 Data'!F$10:F$145,0)+_xlfn.XLOOKUP('Summary Data'!$A120,'Round 4 Data'!$A$10:$A$147,'Round 4 Data'!F$10:F$147,0))/$D120</f>
        <v>#VALUE!</v>
      </c>
      <c r="G120" s="57" t="e">
        <f>(_xlfn.XLOOKUP('Summary Data'!$A120,'Round 1 Data'!$A$10:$A$143,'Round 1 Data'!G$10:G$144,0)+_xlfn.XLOOKUP('Summary Data'!$A120,'Round 2 Data'!$A$10:$A$146,'Round 2 Data'!G$10:G$146,0)+_xlfn.XLOOKUP('Summary Data'!$A120,'Round 3 Data'!$A$10:$A$145,'Round 3 Data'!G$10:G$145,0)+_xlfn.XLOOKUP('Summary Data'!$A120,'Round 4 Data'!$A$10:$A$147,'Round 4 Data'!G$10:G$147,0))/$D120</f>
        <v>#VALUE!</v>
      </c>
      <c r="H120" s="57" t="e">
        <f>(_xlfn.XLOOKUP('Summary Data'!$A120,'Round 1 Data'!$A$10:$A$143,'Round 1 Data'!H$10:H$144,0)+_xlfn.XLOOKUP('Summary Data'!$A120,'Round 2 Data'!$A$10:$A$146,'Round 2 Data'!H$10:H$146,0)+_xlfn.XLOOKUP('Summary Data'!$A120,'Round 3 Data'!$A$10:$A$145,'Round 3 Data'!H$10:H$145,0)+_xlfn.XLOOKUP('Summary Data'!$A120,'Round 4 Data'!$A$10:$A$147,'Round 4 Data'!H$10:H$147,0))/$D120</f>
        <v>#VALUE!</v>
      </c>
      <c r="I120" s="57" t="e">
        <f>(_xlfn.XLOOKUP('Summary Data'!$A120,'Round 1 Data'!$A$10:$A$143,'Round 1 Data'!I$10:I$144,0)+_xlfn.XLOOKUP('Summary Data'!$A120,'Round 2 Data'!$A$10:$A$146,'Round 2 Data'!I$10:I$146,0)+_xlfn.XLOOKUP('Summary Data'!$A120,'Round 3 Data'!$A$10:$A$145,'Round 3 Data'!I$10:I$145,0)+_xlfn.XLOOKUP('Summary Data'!$A120,'Round 4 Data'!$A$10:$A$147,'Round 4 Data'!I$10:I$147,0))/$D120</f>
        <v>#VALUE!</v>
      </c>
      <c r="J120" s="57" t="e">
        <f>(_xlfn.XLOOKUP('Summary Data'!$A120,'Round 1 Data'!$A$10:$A$143,'Round 1 Data'!J$10:J$144,0)+_xlfn.XLOOKUP('Summary Data'!$A120,'Round 2 Data'!$A$10:$A$146,'Round 2 Data'!J$10:J$146,0)+_xlfn.XLOOKUP('Summary Data'!$A120,'Round 3 Data'!$A$10:$A$145,'Round 3 Data'!J$10:J$145,0)+_xlfn.XLOOKUP('Summary Data'!$A120,'Round 4 Data'!$A$10:$A$147,'Round 4 Data'!J$10:J$147,0))/$D120</f>
        <v>#VALUE!</v>
      </c>
      <c r="K120" s="57" t="e">
        <f>(_xlfn.XLOOKUP('Summary Data'!$A120,'Round 1 Data'!$A$10:$A$143,'Round 1 Data'!K$10:K$144,0)+_xlfn.XLOOKUP('Summary Data'!$A120,'Round 2 Data'!$A$10:$A$146,'Round 2 Data'!K$10:K$146,0)+_xlfn.XLOOKUP('Summary Data'!$A120,'Round 3 Data'!$A$10:$A$145,'Round 3 Data'!K$10:K$145,0)+_xlfn.XLOOKUP('Summary Data'!$A120,'Round 4 Data'!$A$10:$A$147,'Round 4 Data'!K$10:K$147,0))/$D120</f>
        <v>#VALUE!</v>
      </c>
      <c r="L120" s="57" t="e">
        <f>(_xlfn.XLOOKUP('Summary Data'!$A120,'Round 1 Data'!$A$10:$A$143,'Round 1 Data'!L$10:L$144,0)+_xlfn.XLOOKUP('Summary Data'!$A120,'Round 2 Data'!$A$10:$A$146,'Round 2 Data'!L$10:L$146,0)+_xlfn.XLOOKUP('Summary Data'!$A120,'Round 3 Data'!$A$10:$A$145,'Round 3 Data'!L$10:L$145,0)+_xlfn.XLOOKUP('Summary Data'!$A120,'Round 4 Data'!$A$10:$A$147,'Round 4 Data'!L$10:L$147,0))/$D120</f>
        <v>#VALUE!</v>
      </c>
      <c r="M120" s="57" t="e">
        <f>(_xlfn.XLOOKUP('Summary Data'!$A120,'Round 1 Data'!$A$10:$A$143,'Round 1 Data'!M$10:M$144,0)+_xlfn.XLOOKUP('Summary Data'!$A120,'Round 2 Data'!$A$10:$A$146,'Round 2 Data'!M$10:M$146,0)+_xlfn.XLOOKUP('Summary Data'!$A120,'Round 3 Data'!$A$10:$A$145,'Round 3 Data'!M$10:M$145,0)+_xlfn.XLOOKUP('Summary Data'!$A120,'Round 4 Data'!$A$10:$A$147,'Round 4 Data'!M$10:M$147,0))/$D120</f>
        <v>#VALUE!</v>
      </c>
      <c r="N120" s="57" t="e">
        <f>(_xlfn.XLOOKUP('Summary Data'!$A120,'Round 1 Data'!$A$10:$A$143,'Round 1 Data'!N$10:N$144,0)+_xlfn.XLOOKUP('Summary Data'!$A120,'Round 2 Data'!$A$10:$A$146,'Round 2 Data'!N$10:N$146,0)+_xlfn.XLOOKUP('Summary Data'!$A120,'Round 3 Data'!$A$10:$A$145,'Round 3 Data'!N$10:N$145,0)+_xlfn.XLOOKUP('Summary Data'!$A120,'Round 4 Data'!$A$10:$A$147,'Round 4 Data'!N$10:N$147,0))/$D120</f>
        <v>#VALUE!</v>
      </c>
      <c r="O120" s="57" t="e">
        <f>(_xlfn.XLOOKUP('Summary Data'!$A120,'Round 1 Data'!$A$10:$A$143,'Round 1 Data'!O$10:O$144,0)+_xlfn.XLOOKUP('Summary Data'!$A120,'Round 2 Data'!$A$10:$A$146,'Round 2 Data'!O$10:O$146,0)+_xlfn.XLOOKUP('Summary Data'!$A120,'Round 3 Data'!$A$10:$A$145,'Round 3 Data'!O$10:O$145,0)+_xlfn.XLOOKUP('Summary Data'!$A120,'Round 4 Data'!$A$10:$A$147,'Round 4 Data'!O$10:O$147,0))/$D120</f>
        <v>#VALUE!</v>
      </c>
      <c r="P120" s="57" t="e">
        <f>(_xlfn.XLOOKUP('Summary Data'!$A120,'Round 1 Data'!$A$10:$A$143,'Round 1 Data'!P$10:P$144,0)+_xlfn.XLOOKUP('Summary Data'!$A120,'Round 2 Data'!$A$10:$A$146,'Round 2 Data'!P$10:P$146,0)+_xlfn.XLOOKUP('Summary Data'!$A120,'Round 3 Data'!$A$10:$A$145,'Round 3 Data'!P$10:P$145,0)+_xlfn.XLOOKUP('Summary Data'!$A120,'Round 4 Data'!$A$10:$A$147,'Round 4 Data'!P$10:P$147,0))/$D120</f>
        <v>#VALUE!</v>
      </c>
      <c r="Q120" s="57" t="e">
        <f>(_xlfn.XLOOKUP('Summary Data'!$A120,'Round 1 Data'!$A$10:$A$143,'Round 1 Data'!Q$10:Q$144,0)+_xlfn.XLOOKUP('Summary Data'!$A120,'Round 2 Data'!$A$10:$A$146,'Round 2 Data'!Q$10:Q$146,0)+_xlfn.XLOOKUP('Summary Data'!$A120,'Round 3 Data'!$A$10:$A$145,'Round 3 Data'!Q$10:Q$145,0)+_xlfn.XLOOKUP('Summary Data'!$A120,'Round 4 Data'!$A$10:$A$147,'Round 4 Data'!Q$10:Q$147,0))/$D120</f>
        <v>#VALUE!</v>
      </c>
      <c r="R120" s="57" t="e">
        <f>(_xlfn.XLOOKUP('Summary Data'!$A120,'Round 1 Data'!$A$10:$A$143,'Round 1 Data'!R$10:R$144,0)+_xlfn.XLOOKUP('Summary Data'!$A120,'Round 2 Data'!$A$10:$A$146,'Round 2 Data'!R$10:R$146,0)+_xlfn.XLOOKUP('Summary Data'!$A120,'Round 3 Data'!$A$10:$A$145,'Round 3 Data'!R$10:R$145,0)+_xlfn.XLOOKUP('Summary Data'!$A120,'Round 4 Data'!$A$10:$A$147,'Round 4 Data'!R$10:R$147,0))/$D120</f>
        <v>#VALUE!</v>
      </c>
      <c r="S120" s="57" t="e">
        <f>(_xlfn.XLOOKUP('Summary Data'!$A120,'Round 1 Data'!$A$10:$A$143,'Round 1 Data'!S$10:S$144,0)+_xlfn.XLOOKUP('Summary Data'!$A120,'Round 2 Data'!$A$10:$A$146,'Round 2 Data'!S$10:S$146,0)+_xlfn.XLOOKUP('Summary Data'!$A120,'Round 3 Data'!$A$10:$A$145,'Round 3 Data'!S$10:S$145,0)+_xlfn.XLOOKUP('Summary Data'!$A120,'Round 4 Data'!$A$10:$A$147,'Round 4 Data'!S$10:S$147,0))/$D120</f>
        <v>#VALUE!</v>
      </c>
      <c r="T120" s="62" t="e">
        <f>(_xlfn.XLOOKUP('Summary Data'!$A120,'Round 1 Data'!$A$10:$A$143,'Round 1 Data'!U$10:U$144,0)+_xlfn.XLOOKUP('Summary Data'!$A120,'Round 2 Data'!$A$10:$A$146,'Round 2 Data'!U$10:U$146,0)+_xlfn.XLOOKUP('Summary Data'!$A120,'Round 3 Data'!$A$10:$A$145,'Round 3 Data'!U$10:U$145,0)+_xlfn.XLOOKUP('Summary Data'!$A120,'Round 4 Data'!$A$10:$A$147,'Round 4 Data'!U$10:U$147,0))</f>
        <v>#VALUE!</v>
      </c>
    </row>
    <row r="121" spans="1:20" ht="16" thickBot="1" x14ac:dyDescent="0.25">
      <c r="A121" s="63" t="s">
        <v>15</v>
      </c>
      <c r="B121" t="s">
        <v>193</v>
      </c>
      <c r="C121" t="s">
        <v>195</v>
      </c>
      <c r="D121" t="e">
        <f>IF(_xlfn.XLOOKUP('Summary Data'!A121,'Round 1 Data'!$A$10:$A$143,'Round 1 Data'!$E$10:$E$144,0)=0,0,1)+IF(_xlfn.XLOOKUP('Summary Data'!A121,'Round 2 Data'!$A$10:$A$146,'Round 2 Data'!$E$10:$E$146,0)=0,0,1)+IF(_xlfn.XLOOKUP('Summary Data'!A121,'Round 3 Data'!$A$10:$A$145,'Round 3 Data'!$E$10:$E$145,0)=0,0,1)+IF(_xlfn.XLOOKUP('Summary Data'!A121,'Round 4 Data'!$A$10:$A$147,'Round 4 Data'!$E$10:$E$147,0)=0,0,1)</f>
        <v>#VALUE!</v>
      </c>
      <c r="E121" s="57" t="e">
        <f>(_xlfn.XLOOKUP('Summary Data'!$A121,'Round 1 Data'!$A$10:$A$143,'Round 1 Data'!E$10:E$144,0)+_xlfn.XLOOKUP('Summary Data'!$A121,'Round 2 Data'!$A$10:$A$146,'Round 2 Data'!E$10:E$146,0)+_xlfn.XLOOKUP('Summary Data'!$A121,'Round 3 Data'!$A$10:$A$145,'Round 3 Data'!E$10:E$145,0)+_xlfn.XLOOKUP('Summary Data'!$A121,'Round 4 Data'!$A$10:$A$147,'Round 4 Data'!E$10:E$147,0))/$D121</f>
        <v>#VALUE!</v>
      </c>
      <c r="F121" s="57" t="e">
        <f>(_xlfn.XLOOKUP('Summary Data'!$A121,'Round 1 Data'!$A$10:$A$143,'Round 1 Data'!F$10:F$144,0)+_xlfn.XLOOKUP('Summary Data'!$A121,'Round 2 Data'!$A$10:$A$146,'Round 2 Data'!F$10:F$146,0)+_xlfn.XLOOKUP('Summary Data'!$A121,'Round 3 Data'!$A$10:$A$145,'Round 3 Data'!F$10:F$145,0)+_xlfn.XLOOKUP('Summary Data'!$A121,'Round 4 Data'!$A$10:$A$147,'Round 4 Data'!F$10:F$147,0))/$D121</f>
        <v>#VALUE!</v>
      </c>
      <c r="G121" s="57" t="e">
        <f>(_xlfn.XLOOKUP('Summary Data'!$A121,'Round 1 Data'!$A$10:$A$143,'Round 1 Data'!G$10:G$144,0)+_xlfn.XLOOKUP('Summary Data'!$A121,'Round 2 Data'!$A$10:$A$146,'Round 2 Data'!G$10:G$146,0)+_xlfn.XLOOKUP('Summary Data'!$A121,'Round 3 Data'!$A$10:$A$145,'Round 3 Data'!G$10:G$145,0)+_xlfn.XLOOKUP('Summary Data'!$A121,'Round 4 Data'!$A$10:$A$147,'Round 4 Data'!G$10:G$147,0))/$D121</f>
        <v>#VALUE!</v>
      </c>
      <c r="H121" s="57" t="e">
        <f>(_xlfn.XLOOKUP('Summary Data'!$A121,'Round 1 Data'!$A$10:$A$143,'Round 1 Data'!H$10:H$144,0)+_xlfn.XLOOKUP('Summary Data'!$A121,'Round 2 Data'!$A$10:$A$146,'Round 2 Data'!H$10:H$146,0)+_xlfn.XLOOKUP('Summary Data'!$A121,'Round 3 Data'!$A$10:$A$145,'Round 3 Data'!H$10:H$145,0)+_xlfn.XLOOKUP('Summary Data'!$A121,'Round 4 Data'!$A$10:$A$147,'Round 4 Data'!H$10:H$147,0))/$D121</f>
        <v>#VALUE!</v>
      </c>
      <c r="I121" s="57" t="e">
        <f>(_xlfn.XLOOKUP('Summary Data'!$A121,'Round 1 Data'!$A$10:$A$143,'Round 1 Data'!I$10:I$144,0)+_xlfn.XLOOKUP('Summary Data'!$A121,'Round 2 Data'!$A$10:$A$146,'Round 2 Data'!I$10:I$146,0)+_xlfn.XLOOKUP('Summary Data'!$A121,'Round 3 Data'!$A$10:$A$145,'Round 3 Data'!I$10:I$145,0)+_xlfn.XLOOKUP('Summary Data'!$A121,'Round 4 Data'!$A$10:$A$147,'Round 4 Data'!I$10:I$147,0))/$D121</f>
        <v>#VALUE!</v>
      </c>
      <c r="J121" s="57" t="e">
        <f>(_xlfn.XLOOKUP('Summary Data'!$A121,'Round 1 Data'!$A$10:$A$143,'Round 1 Data'!J$10:J$144,0)+_xlfn.XLOOKUP('Summary Data'!$A121,'Round 2 Data'!$A$10:$A$146,'Round 2 Data'!J$10:J$146,0)+_xlfn.XLOOKUP('Summary Data'!$A121,'Round 3 Data'!$A$10:$A$145,'Round 3 Data'!J$10:J$145,0)+_xlfn.XLOOKUP('Summary Data'!$A121,'Round 4 Data'!$A$10:$A$147,'Round 4 Data'!J$10:J$147,0))/$D121</f>
        <v>#VALUE!</v>
      </c>
      <c r="K121" s="57" t="e">
        <f>(_xlfn.XLOOKUP('Summary Data'!$A121,'Round 1 Data'!$A$10:$A$143,'Round 1 Data'!K$10:K$144,0)+_xlfn.XLOOKUP('Summary Data'!$A121,'Round 2 Data'!$A$10:$A$146,'Round 2 Data'!K$10:K$146,0)+_xlfn.XLOOKUP('Summary Data'!$A121,'Round 3 Data'!$A$10:$A$145,'Round 3 Data'!K$10:K$145,0)+_xlfn.XLOOKUP('Summary Data'!$A121,'Round 4 Data'!$A$10:$A$147,'Round 4 Data'!K$10:K$147,0))/$D121</f>
        <v>#VALUE!</v>
      </c>
      <c r="L121" s="57" t="e">
        <f>(_xlfn.XLOOKUP('Summary Data'!$A121,'Round 1 Data'!$A$10:$A$143,'Round 1 Data'!L$10:L$144,0)+_xlfn.XLOOKUP('Summary Data'!$A121,'Round 2 Data'!$A$10:$A$146,'Round 2 Data'!L$10:L$146,0)+_xlfn.XLOOKUP('Summary Data'!$A121,'Round 3 Data'!$A$10:$A$145,'Round 3 Data'!L$10:L$145,0)+_xlfn.XLOOKUP('Summary Data'!$A121,'Round 4 Data'!$A$10:$A$147,'Round 4 Data'!L$10:L$147,0))/$D121</f>
        <v>#VALUE!</v>
      </c>
      <c r="M121" s="57" t="e">
        <f>(_xlfn.XLOOKUP('Summary Data'!$A121,'Round 1 Data'!$A$10:$A$143,'Round 1 Data'!M$10:M$144,0)+_xlfn.XLOOKUP('Summary Data'!$A121,'Round 2 Data'!$A$10:$A$146,'Round 2 Data'!M$10:M$146,0)+_xlfn.XLOOKUP('Summary Data'!$A121,'Round 3 Data'!$A$10:$A$145,'Round 3 Data'!M$10:M$145,0)+_xlfn.XLOOKUP('Summary Data'!$A121,'Round 4 Data'!$A$10:$A$147,'Round 4 Data'!M$10:M$147,0))/$D121</f>
        <v>#VALUE!</v>
      </c>
      <c r="N121" s="57" t="e">
        <f>(_xlfn.XLOOKUP('Summary Data'!$A121,'Round 1 Data'!$A$10:$A$143,'Round 1 Data'!N$10:N$144,0)+_xlfn.XLOOKUP('Summary Data'!$A121,'Round 2 Data'!$A$10:$A$146,'Round 2 Data'!N$10:N$146,0)+_xlfn.XLOOKUP('Summary Data'!$A121,'Round 3 Data'!$A$10:$A$145,'Round 3 Data'!N$10:N$145,0)+_xlfn.XLOOKUP('Summary Data'!$A121,'Round 4 Data'!$A$10:$A$147,'Round 4 Data'!N$10:N$147,0))/$D121</f>
        <v>#VALUE!</v>
      </c>
      <c r="O121" s="57" t="e">
        <f>(_xlfn.XLOOKUP('Summary Data'!$A121,'Round 1 Data'!$A$10:$A$143,'Round 1 Data'!O$10:O$144,0)+_xlfn.XLOOKUP('Summary Data'!$A121,'Round 2 Data'!$A$10:$A$146,'Round 2 Data'!O$10:O$146,0)+_xlfn.XLOOKUP('Summary Data'!$A121,'Round 3 Data'!$A$10:$A$145,'Round 3 Data'!O$10:O$145,0)+_xlfn.XLOOKUP('Summary Data'!$A121,'Round 4 Data'!$A$10:$A$147,'Round 4 Data'!O$10:O$147,0))/$D121</f>
        <v>#VALUE!</v>
      </c>
      <c r="P121" s="57" t="e">
        <f>(_xlfn.XLOOKUP('Summary Data'!$A121,'Round 1 Data'!$A$10:$A$143,'Round 1 Data'!P$10:P$144,0)+_xlfn.XLOOKUP('Summary Data'!$A121,'Round 2 Data'!$A$10:$A$146,'Round 2 Data'!P$10:P$146,0)+_xlfn.XLOOKUP('Summary Data'!$A121,'Round 3 Data'!$A$10:$A$145,'Round 3 Data'!P$10:P$145,0)+_xlfn.XLOOKUP('Summary Data'!$A121,'Round 4 Data'!$A$10:$A$147,'Round 4 Data'!P$10:P$147,0))/$D121</f>
        <v>#VALUE!</v>
      </c>
      <c r="Q121" s="57" t="e">
        <f>(_xlfn.XLOOKUP('Summary Data'!$A121,'Round 1 Data'!$A$10:$A$143,'Round 1 Data'!Q$10:Q$144,0)+_xlfn.XLOOKUP('Summary Data'!$A121,'Round 2 Data'!$A$10:$A$146,'Round 2 Data'!Q$10:Q$146,0)+_xlfn.XLOOKUP('Summary Data'!$A121,'Round 3 Data'!$A$10:$A$145,'Round 3 Data'!Q$10:Q$145,0)+_xlfn.XLOOKUP('Summary Data'!$A121,'Round 4 Data'!$A$10:$A$147,'Round 4 Data'!Q$10:Q$147,0))/$D121</f>
        <v>#VALUE!</v>
      </c>
      <c r="R121" s="57" t="e">
        <f>(_xlfn.XLOOKUP('Summary Data'!$A121,'Round 1 Data'!$A$10:$A$143,'Round 1 Data'!R$10:R$144,0)+_xlfn.XLOOKUP('Summary Data'!$A121,'Round 2 Data'!$A$10:$A$146,'Round 2 Data'!R$10:R$146,0)+_xlfn.XLOOKUP('Summary Data'!$A121,'Round 3 Data'!$A$10:$A$145,'Round 3 Data'!R$10:R$145,0)+_xlfn.XLOOKUP('Summary Data'!$A121,'Round 4 Data'!$A$10:$A$147,'Round 4 Data'!R$10:R$147,0))/$D121</f>
        <v>#VALUE!</v>
      </c>
      <c r="S121" s="57" t="e">
        <f>(_xlfn.XLOOKUP('Summary Data'!$A121,'Round 1 Data'!$A$10:$A$143,'Round 1 Data'!S$10:S$144,0)+_xlfn.XLOOKUP('Summary Data'!$A121,'Round 2 Data'!$A$10:$A$146,'Round 2 Data'!S$10:S$146,0)+_xlfn.XLOOKUP('Summary Data'!$A121,'Round 3 Data'!$A$10:$A$145,'Round 3 Data'!S$10:S$145,0)+_xlfn.XLOOKUP('Summary Data'!$A121,'Round 4 Data'!$A$10:$A$147,'Round 4 Data'!S$10:S$147,0))/$D121</f>
        <v>#VALUE!</v>
      </c>
      <c r="T121" s="62" t="e">
        <f>(_xlfn.XLOOKUP('Summary Data'!$A121,'Round 1 Data'!$A$10:$A$143,'Round 1 Data'!U$10:U$144,0)+_xlfn.XLOOKUP('Summary Data'!$A121,'Round 2 Data'!$A$10:$A$146,'Round 2 Data'!U$10:U$146,0)+_xlfn.XLOOKUP('Summary Data'!$A121,'Round 3 Data'!$A$10:$A$145,'Round 3 Data'!U$10:U$145,0)+_xlfn.XLOOKUP('Summary Data'!$A121,'Round 4 Data'!$A$10:$A$147,'Round 4 Data'!U$10:U$147,0))</f>
        <v>#VALUE!</v>
      </c>
    </row>
    <row r="122" spans="1:20" ht="16" thickBot="1" x14ac:dyDescent="0.25">
      <c r="A122" s="61" t="s">
        <v>16</v>
      </c>
      <c r="B122" t="s">
        <v>193</v>
      </c>
      <c r="C122" t="s">
        <v>195</v>
      </c>
      <c r="D122" t="e">
        <f>IF(_xlfn.XLOOKUP('Summary Data'!A122,'Round 1 Data'!$A$10:$A$143,'Round 1 Data'!$E$10:$E$144,0)=0,0,1)+IF(_xlfn.XLOOKUP('Summary Data'!A122,'Round 2 Data'!$A$10:$A$146,'Round 2 Data'!$E$10:$E$146,0)=0,0,1)+IF(_xlfn.XLOOKUP('Summary Data'!A122,'Round 3 Data'!$A$10:$A$145,'Round 3 Data'!$E$10:$E$145,0)=0,0,1)+IF(_xlfn.XLOOKUP('Summary Data'!A122,'Round 4 Data'!$A$10:$A$147,'Round 4 Data'!$E$10:$E$147,0)=0,0,1)</f>
        <v>#VALUE!</v>
      </c>
      <c r="E122" s="57" t="e">
        <f>(_xlfn.XLOOKUP('Summary Data'!$A122,'Round 1 Data'!$A$10:$A$143,'Round 1 Data'!E$10:E$144,0)+_xlfn.XLOOKUP('Summary Data'!$A122,'Round 2 Data'!$A$10:$A$146,'Round 2 Data'!E$10:E$146,0)+_xlfn.XLOOKUP('Summary Data'!$A122,'Round 3 Data'!$A$10:$A$145,'Round 3 Data'!E$10:E$145,0)+_xlfn.XLOOKUP('Summary Data'!$A122,'Round 4 Data'!$A$10:$A$147,'Round 4 Data'!E$10:E$147,0))/$D122</f>
        <v>#VALUE!</v>
      </c>
      <c r="F122" s="57" t="e">
        <f>(_xlfn.XLOOKUP('Summary Data'!$A122,'Round 1 Data'!$A$10:$A$143,'Round 1 Data'!F$10:F$144,0)+_xlfn.XLOOKUP('Summary Data'!$A122,'Round 2 Data'!$A$10:$A$146,'Round 2 Data'!F$10:F$146,0)+_xlfn.XLOOKUP('Summary Data'!$A122,'Round 3 Data'!$A$10:$A$145,'Round 3 Data'!F$10:F$145,0)+_xlfn.XLOOKUP('Summary Data'!$A122,'Round 4 Data'!$A$10:$A$147,'Round 4 Data'!F$10:F$147,0))/$D122</f>
        <v>#VALUE!</v>
      </c>
      <c r="G122" s="57" t="e">
        <f>(_xlfn.XLOOKUP('Summary Data'!$A122,'Round 1 Data'!$A$10:$A$143,'Round 1 Data'!G$10:G$144,0)+_xlfn.XLOOKUP('Summary Data'!$A122,'Round 2 Data'!$A$10:$A$146,'Round 2 Data'!G$10:G$146,0)+_xlfn.XLOOKUP('Summary Data'!$A122,'Round 3 Data'!$A$10:$A$145,'Round 3 Data'!G$10:G$145,0)+_xlfn.XLOOKUP('Summary Data'!$A122,'Round 4 Data'!$A$10:$A$147,'Round 4 Data'!G$10:G$147,0))/$D122</f>
        <v>#VALUE!</v>
      </c>
      <c r="H122" s="57" t="e">
        <f>(_xlfn.XLOOKUP('Summary Data'!$A122,'Round 1 Data'!$A$10:$A$143,'Round 1 Data'!H$10:H$144,0)+_xlfn.XLOOKUP('Summary Data'!$A122,'Round 2 Data'!$A$10:$A$146,'Round 2 Data'!H$10:H$146,0)+_xlfn.XLOOKUP('Summary Data'!$A122,'Round 3 Data'!$A$10:$A$145,'Round 3 Data'!H$10:H$145,0)+_xlfn.XLOOKUP('Summary Data'!$A122,'Round 4 Data'!$A$10:$A$147,'Round 4 Data'!H$10:H$147,0))/$D122</f>
        <v>#VALUE!</v>
      </c>
      <c r="I122" s="57" t="e">
        <f>(_xlfn.XLOOKUP('Summary Data'!$A122,'Round 1 Data'!$A$10:$A$143,'Round 1 Data'!I$10:I$144,0)+_xlfn.XLOOKUP('Summary Data'!$A122,'Round 2 Data'!$A$10:$A$146,'Round 2 Data'!I$10:I$146,0)+_xlfn.XLOOKUP('Summary Data'!$A122,'Round 3 Data'!$A$10:$A$145,'Round 3 Data'!I$10:I$145,0)+_xlfn.XLOOKUP('Summary Data'!$A122,'Round 4 Data'!$A$10:$A$147,'Round 4 Data'!I$10:I$147,0))/$D122</f>
        <v>#VALUE!</v>
      </c>
      <c r="J122" s="57" t="e">
        <f>(_xlfn.XLOOKUP('Summary Data'!$A122,'Round 1 Data'!$A$10:$A$143,'Round 1 Data'!J$10:J$144,0)+_xlfn.XLOOKUP('Summary Data'!$A122,'Round 2 Data'!$A$10:$A$146,'Round 2 Data'!J$10:J$146,0)+_xlfn.XLOOKUP('Summary Data'!$A122,'Round 3 Data'!$A$10:$A$145,'Round 3 Data'!J$10:J$145,0)+_xlfn.XLOOKUP('Summary Data'!$A122,'Round 4 Data'!$A$10:$A$147,'Round 4 Data'!J$10:J$147,0))/$D122</f>
        <v>#VALUE!</v>
      </c>
      <c r="K122" s="57" t="e">
        <f>(_xlfn.XLOOKUP('Summary Data'!$A122,'Round 1 Data'!$A$10:$A$143,'Round 1 Data'!K$10:K$144,0)+_xlfn.XLOOKUP('Summary Data'!$A122,'Round 2 Data'!$A$10:$A$146,'Round 2 Data'!K$10:K$146,0)+_xlfn.XLOOKUP('Summary Data'!$A122,'Round 3 Data'!$A$10:$A$145,'Round 3 Data'!K$10:K$145,0)+_xlfn.XLOOKUP('Summary Data'!$A122,'Round 4 Data'!$A$10:$A$147,'Round 4 Data'!K$10:K$147,0))/$D122</f>
        <v>#VALUE!</v>
      </c>
      <c r="L122" s="57" t="e">
        <f>(_xlfn.XLOOKUP('Summary Data'!$A122,'Round 1 Data'!$A$10:$A$143,'Round 1 Data'!L$10:L$144,0)+_xlfn.XLOOKUP('Summary Data'!$A122,'Round 2 Data'!$A$10:$A$146,'Round 2 Data'!L$10:L$146,0)+_xlfn.XLOOKUP('Summary Data'!$A122,'Round 3 Data'!$A$10:$A$145,'Round 3 Data'!L$10:L$145,0)+_xlfn.XLOOKUP('Summary Data'!$A122,'Round 4 Data'!$A$10:$A$147,'Round 4 Data'!L$10:L$147,0))/$D122</f>
        <v>#VALUE!</v>
      </c>
      <c r="M122" s="57" t="e">
        <f>(_xlfn.XLOOKUP('Summary Data'!$A122,'Round 1 Data'!$A$10:$A$143,'Round 1 Data'!M$10:M$144,0)+_xlfn.XLOOKUP('Summary Data'!$A122,'Round 2 Data'!$A$10:$A$146,'Round 2 Data'!M$10:M$146,0)+_xlfn.XLOOKUP('Summary Data'!$A122,'Round 3 Data'!$A$10:$A$145,'Round 3 Data'!M$10:M$145,0)+_xlfn.XLOOKUP('Summary Data'!$A122,'Round 4 Data'!$A$10:$A$147,'Round 4 Data'!M$10:M$147,0))/$D122</f>
        <v>#VALUE!</v>
      </c>
      <c r="N122" s="57" t="e">
        <f>(_xlfn.XLOOKUP('Summary Data'!$A122,'Round 1 Data'!$A$10:$A$143,'Round 1 Data'!N$10:N$144,0)+_xlfn.XLOOKUP('Summary Data'!$A122,'Round 2 Data'!$A$10:$A$146,'Round 2 Data'!N$10:N$146,0)+_xlfn.XLOOKUP('Summary Data'!$A122,'Round 3 Data'!$A$10:$A$145,'Round 3 Data'!N$10:N$145,0)+_xlfn.XLOOKUP('Summary Data'!$A122,'Round 4 Data'!$A$10:$A$147,'Round 4 Data'!N$10:N$147,0))/$D122</f>
        <v>#VALUE!</v>
      </c>
      <c r="O122" s="57" t="e">
        <f>(_xlfn.XLOOKUP('Summary Data'!$A122,'Round 1 Data'!$A$10:$A$143,'Round 1 Data'!O$10:O$144,0)+_xlfn.XLOOKUP('Summary Data'!$A122,'Round 2 Data'!$A$10:$A$146,'Round 2 Data'!O$10:O$146,0)+_xlfn.XLOOKUP('Summary Data'!$A122,'Round 3 Data'!$A$10:$A$145,'Round 3 Data'!O$10:O$145,0)+_xlfn.XLOOKUP('Summary Data'!$A122,'Round 4 Data'!$A$10:$A$147,'Round 4 Data'!O$10:O$147,0))/$D122</f>
        <v>#VALUE!</v>
      </c>
      <c r="P122" s="57" t="e">
        <f>(_xlfn.XLOOKUP('Summary Data'!$A122,'Round 1 Data'!$A$10:$A$143,'Round 1 Data'!P$10:P$144,0)+_xlfn.XLOOKUP('Summary Data'!$A122,'Round 2 Data'!$A$10:$A$146,'Round 2 Data'!P$10:P$146,0)+_xlfn.XLOOKUP('Summary Data'!$A122,'Round 3 Data'!$A$10:$A$145,'Round 3 Data'!P$10:P$145,0)+_xlfn.XLOOKUP('Summary Data'!$A122,'Round 4 Data'!$A$10:$A$147,'Round 4 Data'!P$10:P$147,0))/$D122</f>
        <v>#VALUE!</v>
      </c>
      <c r="Q122" s="57" t="e">
        <f>(_xlfn.XLOOKUP('Summary Data'!$A122,'Round 1 Data'!$A$10:$A$143,'Round 1 Data'!Q$10:Q$144,0)+_xlfn.XLOOKUP('Summary Data'!$A122,'Round 2 Data'!$A$10:$A$146,'Round 2 Data'!Q$10:Q$146,0)+_xlfn.XLOOKUP('Summary Data'!$A122,'Round 3 Data'!$A$10:$A$145,'Round 3 Data'!Q$10:Q$145,0)+_xlfn.XLOOKUP('Summary Data'!$A122,'Round 4 Data'!$A$10:$A$147,'Round 4 Data'!Q$10:Q$147,0))/$D122</f>
        <v>#VALUE!</v>
      </c>
      <c r="R122" s="57" t="e">
        <f>(_xlfn.XLOOKUP('Summary Data'!$A122,'Round 1 Data'!$A$10:$A$143,'Round 1 Data'!R$10:R$144,0)+_xlfn.XLOOKUP('Summary Data'!$A122,'Round 2 Data'!$A$10:$A$146,'Round 2 Data'!R$10:R$146,0)+_xlfn.XLOOKUP('Summary Data'!$A122,'Round 3 Data'!$A$10:$A$145,'Round 3 Data'!R$10:R$145,0)+_xlfn.XLOOKUP('Summary Data'!$A122,'Round 4 Data'!$A$10:$A$147,'Round 4 Data'!R$10:R$147,0))/$D122</f>
        <v>#VALUE!</v>
      </c>
      <c r="S122" s="57" t="e">
        <f>(_xlfn.XLOOKUP('Summary Data'!$A122,'Round 1 Data'!$A$10:$A$143,'Round 1 Data'!S$10:S$144,0)+_xlfn.XLOOKUP('Summary Data'!$A122,'Round 2 Data'!$A$10:$A$146,'Round 2 Data'!S$10:S$146,0)+_xlfn.XLOOKUP('Summary Data'!$A122,'Round 3 Data'!$A$10:$A$145,'Round 3 Data'!S$10:S$145,0)+_xlfn.XLOOKUP('Summary Data'!$A122,'Round 4 Data'!$A$10:$A$147,'Round 4 Data'!S$10:S$147,0))/$D122</f>
        <v>#VALUE!</v>
      </c>
      <c r="T122" s="62" t="e">
        <f>(_xlfn.XLOOKUP('Summary Data'!$A122,'Round 1 Data'!$A$10:$A$143,'Round 1 Data'!U$10:U$144,0)+_xlfn.XLOOKUP('Summary Data'!$A122,'Round 2 Data'!$A$10:$A$146,'Round 2 Data'!U$10:U$146,0)+_xlfn.XLOOKUP('Summary Data'!$A122,'Round 3 Data'!$A$10:$A$145,'Round 3 Data'!U$10:U$145,0)+_xlfn.XLOOKUP('Summary Data'!$A122,'Round 4 Data'!$A$10:$A$147,'Round 4 Data'!U$10:U$147,0))</f>
        <v>#VALUE!</v>
      </c>
    </row>
    <row r="123" spans="1:20" ht="16" thickBot="1" x14ac:dyDescent="0.25">
      <c r="A123" s="63" t="s">
        <v>17</v>
      </c>
      <c r="B123" t="s">
        <v>193</v>
      </c>
      <c r="C123" t="s">
        <v>196</v>
      </c>
      <c r="D123" t="e">
        <f>IF(_xlfn.XLOOKUP('Summary Data'!A123,'Round 1 Data'!$A$10:$A$143,'Round 1 Data'!$E$10:$E$144,0)=0,0,1)+IF(_xlfn.XLOOKUP('Summary Data'!A123,'Round 2 Data'!$A$10:$A$146,'Round 2 Data'!$E$10:$E$146,0)=0,0,1)+IF(_xlfn.XLOOKUP('Summary Data'!A123,'Round 3 Data'!$A$10:$A$145,'Round 3 Data'!$E$10:$E$145,0)=0,0,1)+IF(_xlfn.XLOOKUP('Summary Data'!A123,'Round 4 Data'!$A$10:$A$147,'Round 4 Data'!$E$10:$E$147,0)=0,0,1)</f>
        <v>#VALUE!</v>
      </c>
      <c r="E123" s="57" t="e">
        <f>(_xlfn.XLOOKUP('Summary Data'!$A123,'Round 1 Data'!$A$10:$A$143,'Round 1 Data'!E$10:E$144,0)+_xlfn.XLOOKUP('Summary Data'!$A123,'Round 2 Data'!$A$10:$A$146,'Round 2 Data'!E$10:E$146,0)+_xlfn.XLOOKUP('Summary Data'!$A123,'Round 3 Data'!$A$10:$A$145,'Round 3 Data'!E$10:E$145,0)+_xlfn.XLOOKUP('Summary Data'!$A123,'Round 4 Data'!$A$10:$A$147,'Round 4 Data'!E$10:E$147,0))/$D123</f>
        <v>#VALUE!</v>
      </c>
      <c r="F123" s="57" t="e">
        <f>(_xlfn.XLOOKUP('Summary Data'!$A123,'Round 1 Data'!$A$10:$A$143,'Round 1 Data'!F$10:F$144,0)+_xlfn.XLOOKUP('Summary Data'!$A123,'Round 2 Data'!$A$10:$A$146,'Round 2 Data'!F$10:F$146,0)+_xlfn.XLOOKUP('Summary Data'!$A123,'Round 3 Data'!$A$10:$A$145,'Round 3 Data'!F$10:F$145,0)+_xlfn.XLOOKUP('Summary Data'!$A123,'Round 4 Data'!$A$10:$A$147,'Round 4 Data'!F$10:F$147,0))/$D123</f>
        <v>#VALUE!</v>
      </c>
      <c r="G123" s="57" t="e">
        <f>(_xlfn.XLOOKUP('Summary Data'!$A123,'Round 1 Data'!$A$10:$A$143,'Round 1 Data'!G$10:G$144,0)+_xlfn.XLOOKUP('Summary Data'!$A123,'Round 2 Data'!$A$10:$A$146,'Round 2 Data'!G$10:G$146,0)+_xlfn.XLOOKUP('Summary Data'!$A123,'Round 3 Data'!$A$10:$A$145,'Round 3 Data'!G$10:G$145,0)+_xlfn.XLOOKUP('Summary Data'!$A123,'Round 4 Data'!$A$10:$A$147,'Round 4 Data'!G$10:G$147,0))/$D123</f>
        <v>#VALUE!</v>
      </c>
      <c r="H123" s="57" t="e">
        <f>(_xlfn.XLOOKUP('Summary Data'!$A123,'Round 1 Data'!$A$10:$A$143,'Round 1 Data'!H$10:H$144,0)+_xlfn.XLOOKUP('Summary Data'!$A123,'Round 2 Data'!$A$10:$A$146,'Round 2 Data'!H$10:H$146,0)+_xlfn.XLOOKUP('Summary Data'!$A123,'Round 3 Data'!$A$10:$A$145,'Round 3 Data'!H$10:H$145,0)+_xlfn.XLOOKUP('Summary Data'!$A123,'Round 4 Data'!$A$10:$A$147,'Round 4 Data'!H$10:H$147,0))/$D123</f>
        <v>#VALUE!</v>
      </c>
      <c r="I123" s="57" t="e">
        <f>(_xlfn.XLOOKUP('Summary Data'!$A123,'Round 1 Data'!$A$10:$A$143,'Round 1 Data'!I$10:I$144,0)+_xlfn.XLOOKUP('Summary Data'!$A123,'Round 2 Data'!$A$10:$A$146,'Round 2 Data'!I$10:I$146,0)+_xlfn.XLOOKUP('Summary Data'!$A123,'Round 3 Data'!$A$10:$A$145,'Round 3 Data'!I$10:I$145,0)+_xlfn.XLOOKUP('Summary Data'!$A123,'Round 4 Data'!$A$10:$A$147,'Round 4 Data'!I$10:I$147,0))/$D123</f>
        <v>#VALUE!</v>
      </c>
      <c r="J123" s="57" t="e">
        <f>(_xlfn.XLOOKUP('Summary Data'!$A123,'Round 1 Data'!$A$10:$A$143,'Round 1 Data'!J$10:J$144,0)+_xlfn.XLOOKUP('Summary Data'!$A123,'Round 2 Data'!$A$10:$A$146,'Round 2 Data'!J$10:J$146,0)+_xlfn.XLOOKUP('Summary Data'!$A123,'Round 3 Data'!$A$10:$A$145,'Round 3 Data'!J$10:J$145,0)+_xlfn.XLOOKUP('Summary Data'!$A123,'Round 4 Data'!$A$10:$A$147,'Round 4 Data'!J$10:J$147,0))/$D123</f>
        <v>#VALUE!</v>
      </c>
      <c r="K123" s="57" t="e">
        <f>(_xlfn.XLOOKUP('Summary Data'!$A123,'Round 1 Data'!$A$10:$A$143,'Round 1 Data'!K$10:K$144,0)+_xlfn.XLOOKUP('Summary Data'!$A123,'Round 2 Data'!$A$10:$A$146,'Round 2 Data'!K$10:K$146,0)+_xlfn.XLOOKUP('Summary Data'!$A123,'Round 3 Data'!$A$10:$A$145,'Round 3 Data'!K$10:K$145,0)+_xlfn.XLOOKUP('Summary Data'!$A123,'Round 4 Data'!$A$10:$A$147,'Round 4 Data'!K$10:K$147,0))/$D123</f>
        <v>#VALUE!</v>
      </c>
      <c r="L123" s="57" t="e">
        <f>(_xlfn.XLOOKUP('Summary Data'!$A123,'Round 1 Data'!$A$10:$A$143,'Round 1 Data'!L$10:L$144,0)+_xlfn.XLOOKUP('Summary Data'!$A123,'Round 2 Data'!$A$10:$A$146,'Round 2 Data'!L$10:L$146,0)+_xlfn.XLOOKUP('Summary Data'!$A123,'Round 3 Data'!$A$10:$A$145,'Round 3 Data'!L$10:L$145,0)+_xlfn.XLOOKUP('Summary Data'!$A123,'Round 4 Data'!$A$10:$A$147,'Round 4 Data'!L$10:L$147,0))/$D123</f>
        <v>#VALUE!</v>
      </c>
      <c r="M123" s="57" t="e">
        <f>(_xlfn.XLOOKUP('Summary Data'!$A123,'Round 1 Data'!$A$10:$A$143,'Round 1 Data'!M$10:M$144,0)+_xlfn.XLOOKUP('Summary Data'!$A123,'Round 2 Data'!$A$10:$A$146,'Round 2 Data'!M$10:M$146,0)+_xlfn.XLOOKUP('Summary Data'!$A123,'Round 3 Data'!$A$10:$A$145,'Round 3 Data'!M$10:M$145,0)+_xlfn.XLOOKUP('Summary Data'!$A123,'Round 4 Data'!$A$10:$A$147,'Round 4 Data'!M$10:M$147,0))/$D123</f>
        <v>#VALUE!</v>
      </c>
      <c r="N123" s="57" t="e">
        <f>(_xlfn.XLOOKUP('Summary Data'!$A123,'Round 1 Data'!$A$10:$A$143,'Round 1 Data'!N$10:N$144,0)+_xlfn.XLOOKUP('Summary Data'!$A123,'Round 2 Data'!$A$10:$A$146,'Round 2 Data'!N$10:N$146,0)+_xlfn.XLOOKUP('Summary Data'!$A123,'Round 3 Data'!$A$10:$A$145,'Round 3 Data'!N$10:N$145,0)+_xlfn.XLOOKUP('Summary Data'!$A123,'Round 4 Data'!$A$10:$A$147,'Round 4 Data'!N$10:N$147,0))/$D123</f>
        <v>#VALUE!</v>
      </c>
      <c r="O123" s="57" t="e">
        <f>(_xlfn.XLOOKUP('Summary Data'!$A123,'Round 1 Data'!$A$10:$A$143,'Round 1 Data'!O$10:O$144,0)+_xlfn.XLOOKUP('Summary Data'!$A123,'Round 2 Data'!$A$10:$A$146,'Round 2 Data'!O$10:O$146,0)+_xlfn.XLOOKUP('Summary Data'!$A123,'Round 3 Data'!$A$10:$A$145,'Round 3 Data'!O$10:O$145,0)+_xlfn.XLOOKUP('Summary Data'!$A123,'Round 4 Data'!$A$10:$A$147,'Round 4 Data'!O$10:O$147,0))/$D123</f>
        <v>#VALUE!</v>
      </c>
      <c r="P123" s="57" t="e">
        <f>(_xlfn.XLOOKUP('Summary Data'!$A123,'Round 1 Data'!$A$10:$A$143,'Round 1 Data'!P$10:P$144,0)+_xlfn.XLOOKUP('Summary Data'!$A123,'Round 2 Data'!$A$10:$A$146,'Round 2 Data'!P$10:P$146,0)+_xlfn.XLOOKUP('Summary Data'!$A123,'Round 3 Data'!$A$10:$A$145,'Round 3 Data'!P$10:P$145,0)+_xlfn.XLOOKUP('Summary Data'!$A123,'Round 4 Data'!$A$10:$A$147,'Round 4 Data'!P$10:P$147,0))/$D123</f>
        <v>#VALUE!</v>
      </c>
      <c r="Q123" s="57" t="e">
        <f>(_xlfn.XLOOKUP('Summary Data'!$A123,'Round 1 Data'!$A$10:$A$143,'Round 1 Data'!Q$10:Q$144,0)+_xlfn.XLOOKUP('Summary Data'!$A123,'Round 2 Data'!$A$10:$A$146,'Round 2 Data'!Q$10:Q$146,0)+_xlfn.XLOOKUP('Summary Data'!$A123,'Round 3 Data'!$A$10:$A$145,'Round 3 Data'!Q$10:Q$145,0)+_xlfn.XLOOKUP('Summary Data'!$A123,'Round 4 Data'!$A$10:$A$147,'Round 4 Data'!Q$10:Q$147,0))/$D123</f>
        <v>#VALUE!</v>
      </c>
      <c r="R123" s="57" t="e">
        <f>(_xlfn.XLOOKUP('Summary Data'!$A123,'Round 1 Data'!$A$10:$A$143,'Round 1 Data'!R$10:R$144,0)+_xlfn.XLOOKUP('Summary Data'!$A123,'Round 2 Data'!$A$10:$A$146,'Round 2 Data'!R$10:R$146,0)+_xlfn.XLOOKUP('Summary Data'!$A123,'Round 3 Data'!$A$10:$A$145,'Round 3 Data'!R$10:R$145,0)+_xlfn.XLOOKUP('Summary Data'!$A123,'Round 4 Data'!$A$10:$A$147,'Round 4 Data'!R$10:R$147,0))/$D123</f>
        <v>#VALUE!</v>
      </c>
      <c r="S123" s="57" t="e">
        <f>(_xlfn.XLOOKUP('Summary Data'!$A123,'Round 1 Data'!$A$10:$A$143,'Round 1 Data'!S$10:S$144,0)+_xlfn.XLOOKUP('Summary Data'!$A123,'Round 2 Data'!$A$10:$A$146,'Round 2 Data'!S$10:S$146,0)+_xlfn.XLOOKUP('Summary Data'!$A123,'Round 3 Data'!$A$10:$A$145,'Round 3 Data'!S$10:S$145,0)+_xlfn.XLOOKUP('Summary Data'!$A123,'Round 4 Data'!$A$10:$A$147,'Round 4 Data'!S$10:S$147,0))/$D123</f>
        <v>#VALUE!</v>
      </c>
      <c r="T123" s="62" t="e">
        <f>(_xlfn.XLOOKUP('Summary Data'!$A123,'Round 1 Data'!$A$10:$A$143,'Round 1 Data'!U$10:U$144,0)+_xlfn.XLOOKUP('Summary Data'!$A123,'Round 2 Data'!$A$10:$A$146,'Round 2 Data'!U$10:U$146,0)+_xlfn.XLOOKUP('Summary Data'!$A123,'Round 3 Data'!$A$10:$A$145,'Round 3 Data'!U$10:U$145,0)+_xlfn.XLOOKUP('Summary Data'!$A123,'Round 4 Data'!$A$10:$A$147,'Round 4 Data'!U$10:U$147,0))</f>
        <v>#VALUE!</v>
      </c>
    </row>
    <row r="124" spans="1:20" ht="16" thickBot="1" x14ac:dyDescent="0.25">
      <c r="A124" s="61" t="s">
        <v>18</v>
      </c>
      <c r="B124" t="s">
        <v>193</v>
      </c>
      <c r="C124" t="s">
        <v>196</v>
      </c>
      <c r="D124" t="e">
        <f>IF(_xlfn.XLOOKUP('Summary Data'!A124,'Round 1 Data'!$A$10:$A$143,'Round 1 Data'!$E$10:$E$144,0)=0,0,1)+IF(_xlfn.XLOOKUP('Summary Data'!A124,'Round 2 Data'!$A$10:$A$146,'Round 2 Data'!$E$10:$E$146,0)=0,0,1)+IF(_xlfn.XLOOKUP('Summary Data'!A124,'Round 3 Data'!$A$10:$A$145,'Round 3 Data'!$E$10:$E$145,0)=0,0,1)+IF(_xlfn.XLOOKUP('Summary Data'!A124,'Round 4 Data'!$A$10:$A$147,'Round 4 Data'!$E$10:$E$147,0)=0,0,1)</f>
        <v>#VALUE!</v>
      </c>
      <c r="E124" s="57" t="e">
        <f>(_xlfn.XLOOKUP('Summary Data'!$A124,'Round 1 Data'!$A$10:$A$143,'Round 1 Data'!E$10:E$144,0)+_xlfn.XLOOKUP('Summary Data'!$A124,'Round 2 Data'!$A$10:$A$146,'Round 2 Data'!E$10:E$146,0)+_xlfn.XLOOKUP('Summary Data'!$A124,'Round 3 Data'!$A$10:$A$145,'Round 3 Data'!E$10:E$145,0)+_xlfn.XLOOKUP('Summary Data'!$A124,'Round 4 Data'!$A$10:$A$147,'Round 4 Data'!E$10:E$147,0))/$D124</f>
        <v>#VALUE!</v>
      </c>
      <c r="F124" s="57" t="e">
        <f>(_xlfn.XLOOKUP('Summary Data'!$A124,'Round 1 Data'!$A$10:$A$143,'Round 1 Data'!F$10:F$144,0)+_xlfn.XLOOKUP('Summary Data'!$A124,'Round 2 Data'!$A$10:$A$146,'Round 2 Data'!F$10:F$146,0)+_xlfn.XLOOKUP('Summary Data'!$A124,'Round 3 Data'!$A$10:$A$145,'Round 3 Data'!F$10:F$145,0)+_xlfn.XLOOKUP('Summary Data'!$A124,'Round 4 Data'!$A$10:$A$147,'Round 4 Data'!F$10:F$147,0))/$D124</f>
        <v>#VALUE!</v>
      </c>
      <c r="G124" s="57" t="e">
        <f>(_xlfn.XLOOKUP('Summary Data'!$A124,'Round 1 Data'!$A$10:$A$143,'Round 1 Data'!G$10:G$144,0)+_xlfn.XLOOKUP('Summary Data'!$A124,'Round 2 Data'!$A$10:$A$146,'Round 2 Data'!G$10:G$146,0)+_xlfn.XLOOKUP('Summary Data'!$A124,'Round 3 Data'!$A$10:$A$145,'Round 3 Data'!G$10:G$145,0)+_xlfn.XLOOKUP('Summary Data'!$A124,'Round 4 Data'!$A$10:$A$147,'Round 4 Data'!G$10:G$147,0))/$D124</f>
        <v>#VALUE!</v>
      </c>
      <c r="H124" s="57" t="e">
        <f>(_xlfn.XLOOKUP('Summary Data'!$A124,'Round 1 Data'!$A$10:$A$143,'Round 1 Data'!H$10:H$144,0)+_xlfn.XLOOKUP('Summary Data'!$A124,'Round 2 Data'!$A$10:$A$146,'Round 2 Data'!H$10:H$146,0)+_xlfn.XLOOKUP('Summary Data'!$A124,'Round 3 Data'!$A$10:$A$145,'Round 3 Data'!H$10:H$145,0)+_xlfn.XLOOKUP('Summary Data'!$A124,'Round 4 Data'!$A$10:$A$147,'Round 4 Data'!H$10:H$147,0))/$D124</f>
        <v>#VALUE!</v>
      </c>
      <c r="I124" s="57" t="e">
        <f>(_xlfn.XLOOKUP('Summary Data'!$A124,'Round 1 Data'!$A$10:$A$143,'Round 1 Data'!I$10:I$144,0)+_xlfn.XLOOKUP('Summary Data'!$A124,'Round 2 Data'!$A$10:$A$146,'Round 2 Data'!I$10:I$146,0)+_xlfn.XLOOKUP('Summary Data'!$A124,'Round 3 Data'!$A$10:$A$145,'Round 3 Data'!I$10:I$145,0)+_xlfn.XLOOKUP('Summary Data'!$A124,'Round 4 Data'!$A$10:$A$147,'Round 4 Data'!I$10:I$147,0))/$D124</f>
        <v>#VALUE!</v>
      </c>
      <c r="J124" s="57" t="e">
        <f>(_xlfn.XLOOKUP('Summary Data'!$A124,'Round 1 Data'!$A$10:$A$143,'Round 1 Data'!J$10:J$144,0)+_xlfn.XLOOKUP('Summary Data'!$A124,'Round 2 Data'!$A$10:$A$146,'Round 2 Data'!J$10:J$146,0)+_xlfn.XLOOKUP('Summary Data'!$A124,'Round 3 Data'!$A$10:$A$145,'Round 3 Data'!J$10:J$145,0)+_xlfn.XLOOKUP('Summary Data'!$A124,'Round 4 Data'!$A$10:$A$147,'Round 4 Data'!J$10:J$147,0))/$D124</f>
        <v>#VALUE!</v>
      </c>
      <c r="K124" s="57" t="e">
        <f>(_xlfn.XLOOKUP('Summary Data'!$A124,'Round 1 Data'!$A$10:$A$143,'Round 1 Data'!K$10:K$144,0)+_xlfn.XLOOKUP('Summary Data'!$A124,'Round 2 Data'!$A$10:$A$146,'Round 2 Data'!K$10:K$146,0)+_xlfn.XLOOKUP('Summary Data'!$A124,'Round 3 Data'!$A$10:$A$145,'Round 3 Data'!K$10:K$145,0)+_xlfn.XLOOKUP('Summary Data'!$A124,'Round 4 Data'!$A$10:$A$147,'Round 4 Data'!K$10:K$147,0))/$D124</f>
        <v>#VALUE!</v>
      </c>
      <c r="L124" s="57" t="e">
        <f>(_xlfn.XLOOKUP('Summary Data'!$A124,'Round 1 Data'!$A$10:$A$143,'Round 1 Data'!L$10:L$144,0)+_xlfn.XLOOKUP('Summary Data'!$A124,'Round 2 Data'!$A$10:$A$146,'Round 2 Data'!L$10:L$146,0)+_xlfn.XLOOKUP('Summary Data'!$A124,'Round 3 Data'!$A$10:$A$145,'Round 3 Data'!L$10:L$145,0)+_xlfn.XLOOKUP('Summary Data'!$A124,'Round 4 Data'!$A$10:$A$147,'Round 4 Data'!L$10:L$147,0))/$D124</f>
        <v>#VALUE!</v>
      </c>
      <c r="M124" s="57" t="e">
        <f>(_xlfn.XLOOKUP('Summary Data'!$A124,'Round 1 Data'!$A$10:$A$143,'Round 1 Data'!M$10:M$144,0)+_xlfn.XLOOKUP('Summary Data'!$A124,'Round 2 Data'!$A$10:$A$146,'Round 2 Data'!M$10:M$146,0)+_xlfn.XLOOKUP('Summary Data'!$A124,'Round 3 Data'!$A$10:$A$145,'Round 3 Data'!M$10:M$145,0)+_xlfn.XLOOKUP('Summary Data'!$A124,'Round 4 Data'!$A$10:$A$147,'Round 4 Data'!M$10:M$147,0))/$D124</f>
        <v>#VALUE!</v>
      </c>
      <c r="N124" s="57" t="e">
        <f>(_xlfn.XLOOKUP('Summary Data'!$A124,'Round 1 Data'!$A$10:$A$143,'Round 1 Data'!N$10:N$144,0)+_xlfn.XLOOKUP('Summary Data'!$A124,'Round 2 Data'!$A$10:$A$146,'Round 2 Data'!N$10:N$146,0)+_xlfn.XLOOKUP('Summary Data'!$A124,'Round 3 Data'!$A$10:$A$145,'Round 3 Data'!N$10:N$145,0)+_xlfn.XLOOKUP('Summary Data'!$A124,'Round 4 Data'!$A$10:$A$147,'Round 4 Data'!N$10:N$147,0))/$D124</f>
        <v>#VALUE!</v>
      </c>
      <c r="O124" s="57" t="e">
        <f>(_xlfn.XLOOKUP('Summary Data'!$A124,'Round 1 Data'!$A$10:$A$143,'Round 1 Data'!O$10:O$144,0)+_xlfn.XLOOKUP('Summary Data'!$A124,'Round 2 Data'!$A$10:$A$146,'Round 2 Data'!O$10:O$146,0)+_xlfn.XLOOKUP('Summary Data'!$A124,'Round 3 Data'!$A$10:$A$145,'Round 3 Data'!O$10:O$145,0)+_xlfn.XLOOKUP('Summary Data'!$A124,'Round 4 Data'!$A$10:$A$147,'Round 4 Data'!O$10:O$147,0))/$D124</f>
        <v>#VALUE!</v>
      </c>
      <c r="P124" s="57" t="e">
        <f>(_xlfn.XLOOKUP('Summary Data'!$A124,'Round 1 Data'!$A$10:$A$143,'Round 1 Data'!P$10:P$144,0)+_xlfn.XLOOKUP('Summary Data'!$A124,'Round 2 Data'!$A$10:$A$146,'Round 2 Data'!P$10:P$146,0)+_xlfn.XLOOKUP('Summary Data'!$A124,'Round 3 Data'!$A$10:$A$145,'Round 3 Data'!P$10:P$145,0)+_xlfn.XLOOKUP('Summary Data'!$A124,'Round 4 Data'!$A$10:$A$147,'Round 4 Data'!P$10:P$147,0))/$D124</f>
        <v>#VALUE!</v>
      </c>
      <c r="Q124" s="57" t="e">
        <f>(_xlfn.XLOOKUP('Summary Data'!$A124,'Round 1 Data'!$A$10:$A$143,'Round 1 Data'!Q$10:Q$144,0)+_xlfn.XLOOKUP('Summary Data'!$A124,'Round 2 Data'!$A$10:$A$146,'Round 2 Data'!Q$10:Q$146,0)+_xlfn.XLOOKUP('Summary Data'!$A124,'Round 3 Data'!$A$10:$A$145,'Round 3 Data'!Q$10:Q$145,0)+_xlfn.XLOOKUP('Summary Data'!$A124,'Round 4 Data'!$A$10:$A$147,'Round 4 Data'!Q$10:Q$147,0))/$D124</f>
        <v>#VALUE!</v>
      </c>
      <c r="R124" s="57" t="e">
        <f>(_xlfn.XLOOKUP('Summary Data'!$A124,'Round 1 Data'!$A$10:$A$143,'Round 1 Data'!R$10:R$144,0)+_xlfn.XLOOKUP('Summary Data'!$A124,'Round 2 Data'!$A$10:$A$146,'Round 2 Data'!R$10:R$146,0)+_xlfn.XLOOKUP('Summary Data'!$A124,'Round 3 Data'!$A$10:$A$145,'Round 3 Data'!R$10:R$145,0)+_xlfn.XLOOKUP('Summary Data'!$A124,'Round 4 Data'!$A$10:$A$147,'Round 4 Data'!R$10:R$147,0))/$D124</f>
        <v>#VALUE!</v>
      </c>
      <c r="S124" s="57" t="e">
        <f>(_xlfn.XLOOKUP('Summary Data'!$A124,'Round 1 Data'!$A$10:$A$143,'Round 1 Data'!S$10:S$144,0)+_xlfn.XLOOKUP('Summary Data'!$A124,'Round 2 Data'!$A$10:$A$146,'Round 2 Data'!S$10:S$146,0)+_xlfn.XLOOKUP('Summary Data'!$A124,'Round 3 Data'!$A$10:$A$145,'Round 3 Data'!S$10:S$145,0)+_xlfn.XLOOKUP('Summary Data'!$A124,'Round 4 Data'!$A$10:$A$147,'Round 4 Data'!S$10:S$147,0))/$D124</f>
        <v>#VALUE!</v>
      </c>
      <c r="T124" s="62" t="e">
        <f>(_xlfn.XLOOKUP('Summary Data'!$A124,'Round 1 Data'!$A$10:$A$143,'Round 1 Data'!U$10:U$144,0)+_xlfn.XLOOKUP('Summary Data'!$A124,'Round 2 Data'!$A$10:$A$146,'Round 2 Data'!U$10:U$146,0)+_xlfn.XLOOKUP('Summary Data'!$A124,'Round 3 Data'!$A$10:$A$145,'Round 3 Data'!U$10:U$145,0)+_xlfn.XLOOKUP('Summary Data'!$A124,'Round 4 Data'!$A$10:$A$147,'Round 4 Data'!U$10:U$147,0))</f>
        <v>#VALUE!</v>
      </c>
    </row>
    <row r="125" spans="1:20" ht="16" thickBot="1" x14ac:dyDescent="0.25">
      <c r="A125" s="63" t="s">
        <v>19</v>
      </c>
      <c r="B125" t="s">
        <v>193</v>
      </c>
      <c r="C125" t="s">
        <v>197</v>
      </c>
      <c r="D125" t="e">
        <f>IF(_xlfn.XLOOKUP('Summary Data'!A125,'Round 1 Data'!$A$10:$A$143,'Round 1 Data'!$E$10:$E$144,0)=0,0,1)+IF(_xlfn.XLOOKUP('Summary Data'!A125,'Round 2 Data'!$A$10:$A$146,'Round 2 Data'!$E$10:$E$146,0)=0,0,1)+IF(_xlfn.XLOOKUP('Summary Data'!A125,'Round 3 Data'!$A$10:$A$145,'Round 3 Data'!$E$10:$E$145,0)=0,0,1)+IF(_xlfn.XLOOKUP('Summary Data'!A125,'Round 4 Data'!$A$10:$A$147,'Round 4 Data'!$E$10:$E$147,0)=0,0,1)</f>
        <v>#VALUE!</v>
      </c>
      <c r="E125" s="57" t="e">
        <f>(_xlfn.XLOOKUP('Summary Data'!$A125,'Round 1 Data'!$A$10:$A$143,'Round 1 Data'!E$10:E$144,0)+_xlfn.XLOOKUP('Summary Data'!$A125,'Round 2 Data'!$A$10:$A$146,'Round 2 Data'!E$10:E$146,0)+_xlfn.XLOOKUP('Summary Data'!$A125,'Round 3 Data'!$A$10:$A$145,'Round 3 Data'!E$10:E$145,0)+_xlfn.XLOOKUP('Summary Data'!$A125,'Round 4 Data'!$A$10:$A$147,'Round 4 Data'!E$10:E$147,0))/$D125</f>
        <v>#VALUE!</v>
      </c>
      <c r="F125" s="57" t="e">
        <f>(_xlfn.XLOOKUP('Summary Data'!$A125,'Round 1 Data'!$A$10:$A$143,'Round 1 Data'!F$10:F$144,0)+_xlfn.XLOOKUP('Summary Data'!$A125,'Round 2 Data'!$A$10:$A$146,'Round 2 Data'!F$10:F$146,0)+_xlfn.XLOOKUP('Summary Data'!$A125,'Round 3 Data'!$A$10:$A$145,'Round 3 Data'!F$10:F$145,0)+_xlfn.XLOOKUP('Summary Data'!$A125,'Round 4 Data'!$A$10:$A$147,'Round 4 Data'!F$10:F$147,0))/$D125</f>
        <v>#VALUE!</v>
      </c>
      <c r="G125" s="57" t="e">
        <f>(_xlfn.XLOOKUP('Summary Data'!$A125,'Round 1 Data'!$A$10:$A$143,'Round 1 Data'!G$10:G$144,0)+_xlfn.XLOOKUP('Summary Data'!$A125,'Round 2 Data'!$A$10:$A$146,'Round 2 Data'!G$10:G$146,0)+_xlfn.XLOOKUP('Summary Data'!$A125,'Round 3 Data'!$A$10:$A$145,'Round 3 Data'!G$10:G$145,0)+_xlfn.XLOOKUP('Summary Data'!$A125,'Round 4 Data'!$A$10:$A$147,'Round 4 Data'!G$10:G$147,0))/$D125</f>
        <v>#VALUE!</v>
      </c>
      <c r="H125" s="57" t="e">
        <f>(_xlfn.XLOOKUP('Summary Data'!$A125,'Round 1 Data'!$A$10:$A$143,'Round 1 Data'!H$10:H$144,0)+_xlfn.XLOOKUP('Summary Data'!$A125,'Round 2 Data'!$A$10:$A$146,'Round 2 Data'!H$10:H$146,0)+_xlfn.XLOOKUP('Summary Data'!$A125,'Round 3 Data'!$A$10:$A$145,'Round 3 Data'!H$10:H$145,0)+_xlfn.XLOOKUP('Summary Data'!$A125,'Round 4 Data'!$A$10:$A$147,'Round 4 Data'!H$10:H$147,0))/$D125</f>
        <v>#VALUE!</v>
      </c>
      <c r="I125" s="57" t="e">
        <f>(_xlfn.XLOOKUP('Summary Data'!$A125,'Round 1 Data'!$A$10:$A$143,'Round 1 Data'!I$10:I$144,0)+_xlfn.XLOOKUP('Summary Data'!$A125,'Round 2 Data'!$A$10:$A$146,'Round 2 Data'!I$10:I$146,0)+_xlfn.XLOOKUP('Summary Data'!$A125,'Round 3 Data'!$A$10:$A$145,'Round 3 Data'!I$10:I$145,0)+_xlfn.XLOOKUP('Summary Data'!$A125,'Round 4 Data'!$A$10:$A$147,'Round 4 Data'!I$10:I$147,0))/$D125</f>
        <v>#VALUE!</v>
      </c>
      <c r="J125" s="57" t="e">
        <f>(_xlfn.XLOOKUP('Summary Data'!$A125,'Round 1 Data'!$A$10:$A$143,'Round 1 Data'!J$10:J$144,0)+_xlfn.XLOOKUP('Summary Data'!$A125,'Round 2 Data'!$A$10:$A$146,'Round 2 Data'!J$10:J$146,0)+_xlfn.XLOOKUP('Summary Data'!$A125,'Round 3 Data'!$A$10:$A$145,'Round 3 Data'!J$10:J$145,0)+_xlfn.XLOOKUP('Summary Data'!$A125,'Round 4 Data'!$A$10:$A$147,'Round 4 Data'!J$10:J$147,0))/$D125</f>
        <v>#VALUE!</v>
      </c>
      <c r="K125" s="57" t="e">
        <f>(_xlfn.XLOOKUP('Summary Data'!$A125,'Round 1 Data'!$A$10:$A$143,'Round 1 Data'!K$10:K$144,0)+_xlfn.XLOOKUP('Summary Data'!$A125,'Round 2 Data'!$A$10:$A$146,'Round 2 Data'!K$10:K$146,0)+_xlfn.XLOOKUP('Summary Data'!$A125,'Round 3 Data'!$A$10:$A$145,'Round 3 Data'!K$10:K$145,0)+_xlfn.XLOOKUP('Summary Data'!$A125,'Round 4 Data'!$A$10:$A$147,'Round 4 Data'!K$10:K$147,0))/$D125</f>
        <v>#VALUE!</v>
      </c>
      <c r="L125" s="57" t="e">
        <f>(_xlfn.XLOOKUP('Summary Data'!$A125,'Round 1 Data'!$A$10:$A$143,'Round 1 Data'!L$10:L$144,0)+_xlfn.XLOOKUP('Summary Data'!$A125,'Round 2 Data'!$A$10:$A$146,'Round 2 Data'!L$10:L$146,0)+_xlfn.XLOOKUP('Summary Data'!$A125,'Round 3 Data'!$A$10:$A$145,'Round 3 Data'!L$10:L$145,0)+_xlfn.XLOOKUP('Summary Data'!$A125,'Round 4 Data'!$A$10:$A$147,'Round 4 Data'!L$10:L$147,0))/$D125</f>
        <v>#VALUE!</v>
      </c>
      <c r="M125" s="57" t="e">
        <f>(_xlfn.XLOOKUP('Summary Data'!$A125,'Round 1 Data'!$A$10:$A$143,'Round 1 Data'!M$10:M$144,0)+_xlfn.XLOOKUP('Summary Data'!$A125,'Round 2 Data'!$A$10:$A$146,'Round 2 Data'!M$10:M$146,0)+_xlfn.XLOOKUP('Summary Data'!$A125,'Round 3 Data'!$A$10:$A$145,'Round 3 Data'!M$10:M$145,0)+_xlfn.XLOOKUP('Summary Data'!$A125,'Round 4 Data'!$A$10:$A$147,'Round 4 Data'!M$10:M$147,0))/$D125</f>
        <v>#VALUE!</v>
      </c>
      <c r="N125" s="57" t="e">
        <f>(_xlfn.XLOOKUP('Summary Data'!$A125,'Round 1 Data'!$A$10:$A$143,'Round 1 Data'!N$10:N$144,0)+_xlfn.XLOOKUP('Summary Data'!$A125,'Round 2 Data'!$A$10:$A$146,'Round 2 Data'!N$10:N$146,0)+_xlfn.XLOOKUP('Summary Data'!$A125,'Round 3 Data'!$A$10:$A$145,'Round 3 Data'!N$10:N$145,0)+_xlfn.XLOOKUP('Summary Data'!$A125,'Round 4 Data'!$A$10:$A$147,'Round 4 Data'!N$10:N$147,0))/$D125</f>
        <v>#VALUE!</v>
      </c>
      <c r="O125" s="57" t="e">
        <f>(_xlfn.XLOOKUP('Summary Data'!$A125,'Round 1 Data'!$A$10:$A$143,'Round 1 Data'!O$10:O$144,0)+_xlfn.XLOOKUP('Summary Data'!$A125,'Round 2 Data'!$A$10:$A$146,'Round 2 Data'!O$10:O$146,0)+_xlfn.XLOOKUP('Summary Data'!$A125,'Round 3 Data'!$A$10:$A$145,'Round 3 Data'!O$10:O$145,0)+_xlfn.XLOOKUP('Summary Data'!$A125,'Round 4 Data'!$A$10:$A$147,'Round 4 Data'!O$10:O$147,0))/$D125</f>
        <v>#VALUE!</v>
      </c>
      <c r="P125" s="57" t="e">
        <f>(_xlfn.XLOOKUP('Summary Data'!$A125,'Round 1 Data'!$A$10:$A$143,'Round 1 Data'!P$10:P$144,0)+_xlfn.XLOOKUP('Summary Data'!$A125,'Round 2 Data'!$A$10:$A$146,'Round 2 Data'!P$10:P$146,0)+_xlfn.XLOOKUP('Summary Data'!$A125,'Round 3 Data'!$A$10:$A$145,'Round 3 Data'!P$10:P$145,0)+_xlfn.XLOOKUP('Summary Data'!$A125,'Round 4 Data'!$A$10:$A$147,'Round 4 Data'!P$10:P$147,0))/$D125</f>
        <v>#VALUE!</v>
      </c>
      <c r="Q125" s="57" t="e">
        <f>(_xlfn.XLOOKUP('Summary Data'!$A125,'Round 1 Data'!$A$10:$A$143,'Round 1 Data'!Q$10:Q$144,0)+_xlfn.XLOOKUP('Summary Data'!$A125,'Round 2 Data'!$A$10:$A$146,'Round 2 Data'!Q$10:Q$146,0)+_xlfn.XLOOKUP('Summary Data'!$A125,'Round 3 Data'!$A$10:$A$145,'Round 3 Data'!Q$10:Q$145,0)+_xlfn.XLOOKUP('Summary Data'!$A125,'Round 4 Data'!$A$10:$A$147,'Round 4 Data'!Q$10:Q$147,0))/$D125</f>
        <v>#VALUE!</v>
      </c>
      <c r="R125" s="57" t="e">
        <f>(_xlfn.XLOOKUP('Summary Data'!$A125,'Round 1 Data'!$A$10:$A$143,'Round 1 Data'!R$10:R$144,0)+_xlfn.XLOOKUP('Summary Data'!$A125,'Round 2 Data'!$A$10:$A$146,'Round 2 Data'!R$10:R$146,0)+_xlfn.XLOOKUP('Summary Data'!$A125,'Round 3 Data'!$A$10:$A$145,'Round 3 Data'!R$10:R$145,0)+_xlfn.XLOOKUP('Summary Data'!$A125,'Round 4 Data'!$A$10:$A$147,'Round 4 Data'!R$10:R$147,0))/$D125</f>
        <v>#VALUE!</v>
      </c>
      <c r="S125" s="57" t="e">
        <f>(_xlfn.XLOOKUP('Summary Data'!$A125,'Round 1 Data'!$A$10:$A$143,'Round 1 Data'!S$10:S$144,0)+_xlfn.XLOOKUP('Summary Data'!$A125,'Round 2 Data'!$A$10:$A$146,'Round 2 Data'!S$10:S$146,0)+_xlfn.XLOOKUP('Summary Data'!$A125,'Round 3 Data'!$A$10:$A$145,'Round 3 Data'!S$10:S$145,0)+_xlfn.XLOOKUP('Summary Data'!$A125,'Round 4 Data'!$A$10:$A$147,'Round 4 Data'!S$10:S$147,0))/$D125</f>
        <v>#VALUE!</v>
      </c>
      <c r="T125" s="62" t="e">
        <f>(_xlfn.XLOOKUP('Summary Data'!$A125,'Round 1 Data'!$A$10:$A$143,'Round 1 Data'!U$10:U$144,0)+_xlfn.XLOOKUP('Summary Data'!$A125,'Round 2 Data'!$A$10:$A$146,'Round 2 Data'!U$10:U$146,0)+_xlfn.XLOOKUP('Summary Data'!$A125,'Round 3 Data'!$A$10:$A$145,'Round 3 Data'!U$10:U$145,0)+_xlfn.XLOOKUP('Summary Data'!$A125,'Round 4 Data'!$A$10:$A$147,'Round 4 Data'!U$10:U$147,0))</f>
        <v>#VALUE!</v>
      </c>
    </row>
    <row r="126" spans="1:20" ht="16" thickBot="1" x14ac:dyDescent="0.25">
      <c r="A126" s="61" t="s">
        <v>20</v>
      </c>
      <c r="B126" t="s">
        <v>193</v>
      </c>
      <c r="C126" t="s">
        <v>198</v>
      </c>
      <c r="D126" t="e">
        <f>IF(_xlfn.XLOOKUP('Summary Data'!A126,'Round 1 Data'!$A$10:$A$143,'Round 1 Data'!$E$10:$E$144,0)=0,0,1)+IF(_xlfn.XLOOKUP('Summary Data'!A126,'Round 2 Data'!$A$10:$A$146,'Round 2 Data'!$E$10:$E$146,0)=0,0,1)+IF(_xlfn.XLOOKUP('Summary Data'!A126,'Round 3 Data'!$A$10:$A$145,'Round 3 Data'!$E$10:$E$145,0)=0,0,1)+IF(_xlfn.XLOOKUP('Summary Data'!A126,'Round 4 Data'!$A$10:$A$147,'Round 4 Data'!$E$10:$E$147,0)=0,0,1)</f>
        <v>#VALUE!</v>
      </c>
      <c r="E126" s="57" t="e">
        <f>(_xlfn.XLOOKUP('Summary Data'!$A126,'Round 1 Data'!$A$10:$A$143,'Round 1 Data'!E$10:E$144,0)+_xlfn.XLOOKUP('Summary Data'!$A126,'Round 2 Data'!$A$10:$A$146,'Round 2 Data'!E$10:E$146,0)+_xlfn.XLOOKUP('Summary Data'!$A126,'Round 3 Data'!$A$10:$A$145,'Round 3 Data'!E$10:E$145,0)+_xlfn.XLOOKUP('Summary Data'!$A126,'Round 4 Data'!$A$10:$A$147,'Round 4 Data'!E$10:E$147,0))/$D126</f>
        <v>#VALUE!</v>
      </c>
      <c r="F126" s="57" t="e">
        <f>(_xlfn.XLOOKUP('Summary Data'!$A126,'Round 1 Data'!$A$10:$A$143,'Round 1 Data'!F$10:F$144,0)+_xlfn.XLOOKUP('Summary Data'!$A126,'Round 2 Data'!$A$10:$A$146,'Round 2 Data'!F$10:F$146,0)+_xlfn.XLOOKUP('Summary Data'!$A126,'Round 3 Data'!$A$10:$A$145,'Round 3 Data'!F$10:F$145,0)+_xlfn.XLOOKUP('Summary Data'!$A126,'Round 4 Data'!$A$10:$A$147,'Round 4 Data'!F$10:F$147,0))/$D126</f>
        <v>#VALUE!</v>
      </c>
      <c r="G126" s="57" t="e">
        <f>(_xlfn.XLOOKUP('Summary Data'!$A126,'Round 1 Data'!$A$10:$A$143,'Round 1 Data'!G$10:G$144,0)+_xlfn.XLOOKUP('Summary Data'!$A126,'Round 2 Data'!$A$10:$A$146,'Round 2 Data'!G$10:G$146,0)+_xlfn.XLOOKUP('Summary Data'!$A126,'Round 3 Data'!$A$10:$A$145,'Round 3 Data'!G$10:G$145,0)+_xlfn.XLOOKUP('Summary Data'!$A126,'Round 4 Data'!$A$10:$A$147,'Round 4 Data'!G$10:G$147,0))/$D126</f>
        <v>#VALUE!</v>
      </c>
      <c r="H126" s="57" t="e">
        <f>(_xlfn.XLOOKUP('Summary Data'!$A126,'Round 1 Data'!$A$10:$A$143,'Round 1 Data'!H$10:H$144,0)+_xlfn.XLOOKUP('Summary Data'!$A126,'Round 2 Data'!$A$10:$A$146,'Round 2 Data'!H$10:H$146,0)+_xlfn.XLOOKUP('Summary Data'!$A126,'Round 3 Data'!$A$10:$A$145,'Round 3 Data'!H$10:H$145,0)+_xlfn.XLOOKUP('Summary Data'!$A126,'Round 4 Data'!$A$10:$A$147,'Round 4 Data'!H$10:H$147,0))/$D126</f>
        <v>#VALUE!</v>
      </c>
      <c r="I126" s="57" t="e">
        <f>(_xlfn.XLOOKUP('Summary Data'!$A126,'Round 1 Data'!$A$10:$A$143,'Round 1 Data'!I$10:I$144,0)+_xlfn.XLOOKUP('Summary Data'!$A126,'Round 2 Data'!$A$10:$A$146,'Round 2 Data'!I$10:I$146,0)+_xlfn.XLOOKUP('Summary Data'!$A126,'Round 3 Data'!$A$10:$A$145,'Round 3 Data'!I$10:I$145,0)+_xlfn.XLOOKUP('Summary Data'!$A126,'Round 4 Data'!$A$10:$A$147,'Round 4 Data'!I$10:I$147,0))/$D126</f>
        <v>#VALUE!</v>
      </c>
      <c r="J126" s="57" t="e">
        <f>(_xlfn.XLOOKUP('Summary Data'!$A126,'Round 1 Data'!$A$10:$A$143,'Round 1 Data'!J$10:J$144,0)+_xlfn.XLOOKUP('Summary Data'!$A126,'Round 2 Data'!$A$10:$A$146,'Round 2 Data'!J$10:J$146,0)+_xlfn.XLOOKUP('Summary Data'!$A126,'Round 3 Data'!$A$10:$A$145,'Round 3 Data'!J$10:J$145,0)+_xlfn.XLOOKUP('Summary Data'!$A126,'Round 4 Data'!$A$10:$A$147,'Round 4 Data'!J$10:J$147,0))/$D126</f>
        <v>#VALUE!</v>
      </c>
      <c r="K126" s="57" t="e">
        <f>(_xlfn.XLOOKUP('Summary Data'!$A126,'Round 1 Data'!$A$10:$A$143,'Round 1 Data'!K$10:K$144,0)+_xlfn.XLOOKUP('Summary Data'!$A126,'Round 2 Data'!$A$10:$A$146,'Round 2 Data'!K$10:K$146,0)+_xlfn.XLOOKUP('Summary Data'!$A126,'Round 3 Data'!$A$10:$A$145,'Round 3 Data'!K$10:K$145,0)+_xlfn.XLOOKUP('Summary Data'!$A126,'Round 4 Data'!$A$10:$A$147,'Round 4 Data'!K$10:K$147,0))/$D126</f>
        <v>#VALUE!</v>
      </c>
      <c r="L126" s="57" t="e">
        <f>(_xlfn.XLOOKUP('Summary Data'!$A126,'Round 1 Data'!$A$10:$A$143,'Round 1 Data'!L$10:L$144,0)+_xlfn.XLOOKUP('Summary Data'!$A126,'Round 2 Data'!$A$10:$A$146,'Round 2 Data'!L$10:L$146,0)+_xlfn.XLOOKUP('Summary Data'!$A126,'Round 3 Data'!$A$10:$A$145,'Round 3 Data'!L$10:L$145,0)+_xlfn.XLOOKUP('Summary Data'!$A126,'Round 4 Data'!$A$10:$A$147,'Round 4 Data'!L$10:L$147,0))/$D126</f>
        <v>#VALUE!</v>
      </c>
      <c r="M126" s="57" t="e">
        <f>(_xlfn.XLOOKUP('Summary Data'!$A126,'Round 1 Data'!$A$10:$A$143,'Round 1 Data'!M$10:M$144,0)+_xlfn.XLOOKUP('Summary Data'!$A126,'Round 2 Data'!$A$10:$A$146,'Round 2 Data'!M$10:M$146,0)+_xlfn.XLOOKUP('Summary Data'!$A126,'Round 3 Data'!$A$10:$A$145,'Round 3 Data'!M$10:M$145,0)+_xlfn.XLOOKUP('Summary Data'!$A126,'Round 4 Data'!$A$10:$A$147,'Round 4 Data'!M$10:M$147,0))/$D126</f>
        <v>#VALUE!</v>
      </c>
      <c r="N126" s="57" t="e">
        <f>(_xlfn.XLOOKUP('Summary Data'!$A126,'Round 1 Data'!$A$10:$A$143,'Round 1 Data'!N$10:N$144,0)+_xlfn.XLOOKUP('Summary Data'!$A126,'Round 2 Data'!$A$10:$A$146,'Round 2 Data'!N$10:N$146,0)+_xlfn.XLOOKUP('Summary Data'!$A126,'Round 3 Data'!$A$10:$A$145,'Round 3 Data'!N$10:N$145,0)+_xlfn.XLOOKUP('Summary Data'!$A126,'Round 4 Data'!$A$10:$A$147,'Round 4 Data'!N$10:N$147,0))/$D126</f>
        <v>#VALUE!</v>
      </c>
      <c r="O126" s="57" t="e">
        <f>(_xlfn.XLOOKUP('Summary Data'!$A126,'Round 1 Data'!$A$10:$A$143,'Round 1 Data'!O$10:O$144,0)+_xlfn.XLOOKUP('Summary Data'!$A126,'Round 2 Data'!$A$10:$A$146,'Round 2 Data'!O$10:O$146,0)+_xlfn.XLOOKUP('Summary Data'!$A126,'Round 3 Data'!$A$10:$A$145,'Round 3 Data'!O$10:O$145,0)+_xlfn.XLOOKUP('Summary Data'!$A126,'Round 4 Data'!$A$10:$A$147,'Round 4 Data'!O$10:O$147,0))/$D126</f>
        <v>#VALUE!</v>
      </c>
      <c r="P126" s="57" t="e">
        <f>(_xlfn.XLOOKUP('Summary Data'!$A126,'Round 1 Data'!$A$10:$A$143,'Round 1 Data'!P$10:P$144,0)+_xlfn.XLOOKUP('Summary Data'!$A126,'Round 2 Data'!$A$10:$A$146,'Round 2 Data'!P$10:P$146,0)+_xlfn.XLOOKUP('Summary Data'!$A126,'Round 3 Data'!$A$10:$A$145,'Round 3 Data'!P$10:P$145,0)+_xlfn.XLOOKUP('Summary Data'!$A126,'Round 4 Data'!$A$10:$A$147,'Round 4 Data'!P$10:P$147,0))/$D126</f>
        <v>#VALUE!</v>
      </c>
      <c r="Q126" s="57" t="e">
        <f>(_xlfn.XLOOKUP('Summary Data'!$A126,'Round 1 Data'!$A$10:$A$143,'Round 1 Data'!Q$10:Q$144,0)+_xlfn.XLOOKUP('Summary Data'!$A126,'Round 2 Data'!$A$10:$A$146,'Round 2 Data'!Q$10:Q$146,0)+_xlfn.XLOOKUP('Summary Data'!$A126,'Round 3 Data'!$A$10:$A$145,'Round 3 Data'!Q$10:Q$145,0)+_xlfn.XLOOKUP('Summary Data'!$A126,'Round 4 Data'!$A$10:$A$147,'Round 4 Data'!Q$10:Q$147,0))/$D126</f>
        <v>#VALUE!</v>
      </c>
      <c r="R126" s="57" t="e">
        <f>(_xlfn.XLOOKUP('Summary Data'!$A126,'Round 1 Data'!$A$10:$A$143,'Round 1 Data'!R$10:R$144,0)+_xlfn.XLOOKUP('Summary Data'!$A126,'Round 2 Data'!$A$10:$A$146,'Round 2 Data'!R$10:R$146,0)+_xlfn.XLOOKUP('Summary Data'!$A126,'Round 3 Data'!$A$10:$A$145,'Round 3 Data'!R$10:R$145,0)+_xlfn.XLOOKUP('Summary Data'!$A126,'Round 4 Data'!$A$10:$A$147,'Round 4 Data'!R$10:R$147,0))/$D126</f>
        <v>#VALUE!</v>
      </c>
      <c r="S126" s="57" t="e">
        <f>(_xlfn.XLOOKUP('Summary Data'!$A126,'Round 1 Data'!$A$10:$A$143,'Round 1 Data'!S$10:S$144,0)+_xlfn.XLOOKUP('Summary Data'!$A126,'Round 2 Data'!$A$10:$A$146,'Round 2 Data'!S$10:S$146,0)+_xlfn.XLOOKUP('Summary Data'!$A126,'Round 3 Data'!$A$10:$A$145,'Round 3 Data'!S$10:S$145,0)+_xlfn.XLOOKUP('Summary Data'!$A126,'Round 4 Data'!$A$10:$A$147,'Round 4 Data'!S$10:S$147,0))/$D126</f>
        <v>#VALUE!</v>
      </c>
      <c r="T126" s="62" t="e">
        <f>(_xlfn.XLOOKUP('Summary Data'!$A126,'Round 1 Data'!$A$10:$A$143,'Round 1 Data'!U$10:U$144,0)+_xlfn.XLOOKUP('Summary Data'!$A126,'Round 2 Data'!$A$10:$A$146,'Round 2 Data'!U$10:U$146,0)+_xlfn.XLOOKUP('Summary Data'!$A126,'Round 3 Data'!$A$10:$A$145,'Round 3 Data'!U$10:U$145,0)+_xlfn.XLOOKUP('Summary Data'!$A126,'Round 4 Data'!$A$10:$A$147,'Round 4 Data'!U$10:U$147,0))</f>
        <v>#VALUE!</v>
      </c>
    </row>
    <row r="127" spans="1:20" ht="16" thickBot="1" x14ac:dyDescent="0.25">
      <c r="A127" s="63" t="s">
        <v>22</v>
      </c>
      <c r="B127" t="s">
        <v>193</v>
      </c>
      <c r="C127" t="s">
        <v>198</v>
      </c>
      <c r="D127" t="e">
        <f>IF(_xlfn.XLOOKUP('Summary Data'!A127,'Round 1 Data'!$A$10:$A$143,'Round 1 Data'!$E$10:$E$144,0)=0,0,1)+IF(_xlfn.XLOOKUP('Summary Data'!A127,'Round 2 Data'!$A$10:$A$146,'Round 2 Data'!$E$10:$E$146,0)=0,0,1)+IF(_xlfn.XLOOKUP('Summary Data'!A127,'Round 3 Data'!$A$10:$A$145,'Round 3 Data'!$E$10:$E$145,0)=0,0,1)+IF(_xlfn.XLOOKUP('Summary Data'!A127,'Round 4 Data'!$A$10:$A$147,'Round 4 Data'!$E$10:$E$147,0)=0,0,1)</f>
        <v>#VALUE!</v>
      </c>
      <c r="E127" s="57" t="e">
        <f>(_xlfn.XLOOKUP('Summary Data'!$A127,'Round 1 Data'!$A$10:$A$143,'Round 1 Data'!E$10:E$144,0)+_xlfn.XLOOKUP('Summary Data'!$A127,'Round 2 Data'!$A$10:$A$146,'Round 2 Data'!E$10:E$146,0)+_xlfn.XLOOKUP('Summary Data'!$A127,'Round 3 Data'!$A$10:$A$145,'Round 3 Data'!E$10:E$145,0)+_xlfn.XLOOKUP('Summary Data'!$A127,'Round 4 Data'!$A$10:$A$147,'Round 4 Data'!E$10:E$147,0))/$D127</f>
        <v>#VALUE!</v>
      </c>
      <c r="F127" s="57" t="e">
        <f>(_xlfn.XLOOKUP('Summary Data'!$A127,'Round 1 Data'!$A$10:$A$143,'Round 1 Data'!F$10:F$144,0)+_xlfn.XLOOKUP('Summary Data'!$A127,'Round 2 Data'!$A$10:$A$146,'Round 2 Data'!F$10:F$146,0)+_xlfn.XLOOKUP('Summary Data'!$A127,'Round 3 Data'!$A$10:$A$145,'Round 3 Data'!F$10:F$145,0)+_xlfn.XLOOKUP('Summary Data'!$A127,'Round 4 Data'!$A$10:$A$147,'Round 4 Data'!F$10:F$147,0))/$D127</f>
        <v>#VALUE!</v>
      </c>
      <c r="G127" s="57" t="e">
        <f>(_xlfn.XLOOKUP('Summary Data'!$A127,'Round 1 Data'!$A$10:$A$143,'Round 1 Data'!G$10:G$144,0)+_xlfn.XLOOKUP('Summary Data'!$A127,'Round 2 Data'!$A$10:$A$146,'Round 2 Data'!G$10:G$146,0)+_xlfn.XLOOKUP('Summary Data'!$A127,'Round 3 Data'!$A$10:$A$145,'Round 3 Data'!G$10:G$145,0)+_xlfn.XLOOKUP('Summary Data'!$A127,'Round 4 Data'!$A$10:$A$147,'Round 4 Data'!G$10:G$147,0))/$D127</f>
        <v>#VALUE!</v>
      </c>
      <c r="H127" s="57" t="e">
        <f>(_xlfn.XLOOKUP('Summary Data'!$A127,'Round 1 Data'!$A$10:$A$143,'Round 1 Data'!H$10:H$144,0)+_xlfn.XLOOKUP('Summary Data'!$A127,'Round 2 Data'!$A$10:$A$146,'Round 2 Data'!H$10:H$146,0)+_xlfn.XLOOKUP('Summary Data'!$A127,'Round 3 Data'!$A$10:$A$145,'Round 3 Data'!H$10:H$145,0)+_xlfn.XLOOKUP('Summary Data'!$A127,'Round 4 Data'!$A$10:$A$147,'Round 4 Data'!H$10:H$147,0))/$D127</f>
        <v>#VALUE!</v>
      </c>
      <c r="I127" s="57" t="e">
        <f>(_xlfn.XLOOKUP('Summary Data'!$A127,'Round 1 Data'!$A$10:$A$143,'Round 1 Data'!I$10:I$144,0)+_xlfn.XLOOKUP('Summary Data'!$A127,'Round 2 Data'!$A$10:$A$146,'Round 2 Data'!I$10:I$146,0)+_xlfn.XLOOKUP('Summary Data'!$A127,'Round 3 Data'!$A$10:$A$145,'Round 3 Data'!I$10:I$145,0)+_xlfn.XLOOKUP('Summary Data'!$A127,'Round 4 Data'!$A$10:$A$147,'Round 4 Data'!I$10:I$147,0))/$D127</f>
        <v>#VALUE!</v>
      </c>
      <c r="J127" s="57" t="e">
        <f>(_xlfn.XLOOKUP('Summary Data'!$A127,'Round 1 Data'!$A$10:$A$143,'Round 1 Data'!J$10:J$144,0)+_xlfn.XLOOKUP('Summary Data'!$A127,'Round 2 Data'!$A$10:$A$146,'Round 2 Data'!J$10:J$146,0)+_xlfn.XLOOKUP('Summary Data'!$A127,'Round 3 Data'!$A$10:$A$145,'Round 3 Data'!J$10:J$145,0)+_xlfn.XLOOKUP('Summary Data'!$A127,'Round 4 Data'!$A$10:$A$147,'Round 4 Data'!J$10:J$147,0))/$D127</f>
        <v>#VALUE!</v>
      </c>
      <c r="K127" s="57" t="e">
        <f>(_xlfn.XLOOKUP('Summary Data'!$A127,'Round 1 Data'!$A$10:$A$143,'Round 1 Data'!K$10:K$144,0)+_xlfn.XLOOKUP('Summary Data'!$A127,'Round 2 Data'!$A$10:$A$146,'Round 2 Data'!K$10:K$146,0)+_xlfn.XLOOKUP('Summary Data'!$A127,'Round 3 Data'!$A$10:$A$145,'Round 3 Data'!K$10:K$145,0)+_xlfn.XLOOKUP('Summary Data'!$A127,'Round 4 Data'!$A$10:$A$147,'Round 4 Data'!K$10:K$147,0))/$D127</f>
        <v>#VALUE!</v>
      </c>
      <c r="L127" s="57" t="e">
        <f>(_xlfn.XLOOKUP('Summary Data'!$A127,'Round 1 Data'!$A$10:$A$143,'Round 1 Data'!L$10:L$144,0)+_xlfn.XLOOKUP('Summary Data'!$A127,'Round 2 Data'!$A$10:$A$146,'Round 2 Data'!L$10:L$146,0)+_xlfn.XLOOKUP('Summary Data'!$A127,'Round 3 Data'!$A$10:$A$145,'Round 3 Data'!L$10:L$145,0)+_xlfn.XLOOKUP('Summary Data'!$A127,'Round 4 Data'!$A$10:$A$147,'Round 4 Data'!L$10:L$147,0))/$D127</f>
        <v>#VALUE!</v>
      </c>
      <c r="M127" s="57" t="e">
        <f>(_xlfn.XLOOKUP('Summary Data'!$A127,'Round 1 Data'!$A$10:$A$143,'Round 1 Data'!M$10:M$144,0)+_xlfn.XLOOKUP('Summary Data'!$A127,'Round 2 Data'!$A$10:$A$146,'Round 2 Data'!M$10:M$146,0)+_xlfn.XLOOKUP('Summary Data'!$A127,'Round 3 Data'!$A$10:$A$145,'Round 3 Data'!M$10:M$145,0)+_xlfn.XLOOKUP('Summary Data'!$A127,'Round 4 Data'!$A$10:$A$147,'Round 4 Data'!M$10:M$147,0))/$D127</f>
        <v>#VALUE!</v>
      </c>
      <c r="N127" s="57" t="e">
        <f>(_xlfn.XLOOKUP('Summary Data'!$A127,'Round 1 Data'!$A$10:$A$143,'Round 1 Data'!N$10:N$144,0)+_xlfn.XLOOKUP('Summary Data'!$A127,'Round 2 Data'!$A$10:$A$146,'Round 2 Data'!N$10:N$146,0)+_xlfn.XLOOKUP('Summary Data'!$A127,'Round 3 Data'!$A$10:$A$145,'Round 3 Data'!N$10:N$145,0)+_xlfn.XLOOKUP('Summary Data'!$A127,'Round 4 Data'!$A$10:$A$147,'Round 4 Data'!N$10:N$147,0))/$D127</f>
        <v>#VALUE!</v>
      </c>
      <c r="O127" s="57" t="e">
        <f>(_xlfn.XLOOKUP('Summary Data'!$A127,'Round 1 Data'!$A$10:$A$143,'Round 1 Data'!O$10:O$144,0)+_xlfn.XLOOKUP('Summary Data'!$A127,'Round 2 Data'!$A$10:$A$146,'Round 2 Data'!O$10:O$146,0)+_xlfn.XLOOKUP('Summary Data'!$A127,'Round 3 Data'!$A$10:$A$145,'Round 3 Data'!O$10:O$145,0)+_xlfn.XLOOKUP('Summary Data'!$A127,'Round 4 Data'!$A$10:$A$147,'Round 4 Data'!O$10:O$147,0))/$D127</f>
        <v>#VALUE!</v>
      </c>
      <c r="P127" s="57" t="e">
        <f>(_xlfn.XLOOKUP('Summary Data'!$A127,'Round 1 Data'!$A$10:$A$143,'Round 1 Data'!P$10:P$144,0)+_xlfn.XLOOKUP('Summary Data'!$A127,'Round 2 Data'!$A$10:$A$146,'Round 2 Data'!P$10:P$146,0)+_xlfn.XLOOKUP('Summary Data'!$A127,'Round 3 Data'!$A$10:$A$145,'Round 3 Data'!P$10:P$145,0)+_xlfn.XLOOKUP('Summary Data'!$A127,'Round 4 Data'!$A$10:$A$147,'Round 4 Data'!P$10:P$147,0))/$D127</f>
        <v>#VALUE!</v>
      </c>
      <c r="Q127" s="57" t="e">
        <f>(_xlfn.XLOOKUP('Summary Data'!$A127,'Round 1 Data'!$A$10:$A$143,'Round 1 Data'!Q$10:Q$144,0)+_xlfn.XLOOKUP('Summary Data'!$A127,'Round 2 Data'!$A$10:$A$146,'Round 2 Data'!Q$10:Q$146,0)+_xlfn.XLOOKUP('Summary Data'!$A127,'Round 3 Data'!$A$10:$A$145,'Round 3 Data'!Q$10:Q$145,0)+_xlfn.XLOOKUP('Summary Data'!$A127,'Round 4 Data'!$A$10:$A$147,'Round 4 Data'!Q$10:Q$147,0))/$D127</f>
        <v>#VALUE!</v>
      </c>
      <c r="R127" s="57" t="e">
        <f>(_xlfn.XLOOKUP('Summary Data'!$A127,'Round 1 Data'!$A$10:$A$143,'Round 1 Data'!R$10:R$144,0)+_xlfn.XLOOKUP('Summary Data'!$A127,'Round 2 Data'!$A$10:$A$146,'Round 2 Data'!R$10:R$146,0)+_xlfn.XLOOKUP('Summary Data'!$A127,'Round 3 Data'!$A$10:$A$145,'Round 3 Data'!R$10:R$145,0)+_xlfn.XLOOKUP('Summary Data'!$A127,'Round 4 Data'!$A$10:$A$147,'Round 4 Data'!R$10:R$147,0))/$D127</f>
        <v>#VALUE!</v>
      </c>
      <c r="S127" s="57" t="e">
        <f>(_xlfn.XLOOKUP('Summary Data'!$A127,'Round 1 Data'!$A$10:$A$143,'Round 1 Data'!S$10:S$144,0)+_xlfn.XLOOKUP('Summary Data'!$A127,'Round 2 Data'!$A$10:$A$146,'Round 2 Data'!S$10:S$146,0)+_xlfn.XLOOKUP('Summary Data'!$A127,'Round 3 Data'!$A$10:$A$145,'Round 3 Data'!S$10:S$145,0)+_xlfn.XLOOKUP('Summary Data'!$A127,'Round 4 Data'!$A$10:$A$147,'Round 4 Data'!S$10:S$147,0))/$D127</f>
        <v>#VALUE!</v>
      </c>
      <c r="T127" s="62" t="e">
        <f>(_xlfn.XLOOKUP('Summary Data'!$A127,'Round 1 Data'!$A$10:$A$143,'Round 1 Data'!U$10:U$144,0)+_xlfn.XLOOKUP('Summary Data'!$A127,'Round 2 Data'!$A$10:$A$146,'Round 2 Data'!U$10:U$146,0)+_xlfn.XLOOKUP('Summary Data'!$A127,'Round 3 Data'!$A$10:$A$145,'Round 3 Data'!U$10:U$145,0)+_xlfn.XLOOKUP('Summary Data'!$A127,'Round 4 Data'!$A$10:$A$147,'Round 4 Data'!U$10:U$147,0))</f>
        <v>#VALUE!</v>
      </c>
    </row>
    <row r="128" spans="1:20" ht="16" thickBot="1" x14ac:dyDescent="0.25">
      <c r="A128" s="61" t="s">
        <v>23</v>
      </c>
      <c r="B128" t="s">
        <v>193</v>
      </c>
      <c r="C128" t="s">
        <v>198</v>
      </c>
      <c r="D128" t="e">
        <f>IF(_xlfn.XLOOKUP('Summary Data'!A128,'Round 1 Data'!$A$10:$A$143,'Round 1 Data'!$E$10:$E$144,0)=0,0,1)+IF(_xlfn.XLOOKUP('Summary Data'!A128,'Round 2 Data'!$A$10:$A$146,'Round 2 Data'!$E$10:$E$146,0)=0,0,1)+IF(_xlfn.XLOOKUP('Summary Data'!A128,'Round 3 Data'!$A$10:$A$145,'Round 3 Data'!$E$10:$E$145,0)=0,0,1)+IF(_xlfn.XLOOKUP('Summary Data'!A128,'Round 4 Data'!$A$10:$A$147,'Round 4 Data'!$E$10:$E$147,0)=0,0,1)</f>
        <v>#VALUE!</v>
      </c>
      <c r="E128" s="57" t="e">
        <f>(_xlfn.XLOOKUP('Summary Data'!$A128,'Round 1 Data'!$A$10:$A$143,'Round 1 Data'!E$10:E$144,0)+_xlfn.XLOOKUP('Summary Data'!$A128,'Round 2 Data'!$A$10:$A$146,'Round 2 Data'!E$10:E$146,0)+_xlfn.XLOOKUP('Summary Data'!$A128,'Round 3 Data'!$A$10:$A$145,'Round 3 Data'!E$10:E$145,0)+_xlfn.XLOOKUP('Summary Data'!$A128,'Round 4 Data'!$A$10:$A$147,'Round 4 Data'!E$10:E$147,0))/$D128</f>
        <v>#VALUE!</v>
      </c>
      <c r="F128" s="57" t="e">
        <f>(_xlfn.XLOOKUP('Summary Data'!$A128,'Round 1 Data'!$A$10:$A$143,'Round 1 Data'!F$10:F$144,0)+_xlfn.XLOOKUP('Summary Data'!$A128,'Round 2 Data'!$A$10:$A$146,'Round 2 Data'!F$10:F$146,0)+_xlfn.XLOOKUP('Summary Data'!$A128,'Round 3 Data'!$A$10:$A$145,'Round 3 Data'!F$10:F$145,0)+_xlfn.XLOOKUP('Summary Data'!$A128,'Round 4 Data'!$A$10:$A$147,'Round 4 Data'!F$10:F$147,0))/$D128</f>
        <v>#VALUE!</v>
      </c>
      <c r="G128" s="57" t="e">
        <f>(_xlfn.XLOOKUP('Summary Data'!$A128,'Round 1 Data'!$A$10:$A$143,'Round 1 Data'!G$10:G$144,0)+_xlfn.XLOOKUP('Summary Data'!$A128,'Round 2 Data'!$A$10:$A$146,'Round 2 Data'!G$10:G$146,0)+_xlfn.XLOOKUP('Summary Data'!$A128,'Round 3 Data'!$A$10:$A$145,'Round 3 Data'!G$10:G$145,0)+_xlfn.XLOOKUP('Summary Data'!$A128,'Round 4 Data'!$A$10:$A$147,'Round 4 Data'!G$10:G$147,0))/$D128</f>
        <v>#VALUE!</v>
      </c>
      <c r="H128" s="57" t="e">
        <f>(_xlfn.XLOOKUP('Summary Data'!$A128,'Round 1 Data'!$A$10:$A$143,'Round 1 Data'!H$10:H$144,0)+_xlfn.XLOOKUP('Summary Data'!$A128,'Round 2 Data'!$A$10:$A$146,'Round 2 Data'!H$10:H$146,0)+_xlfn.XLOOKUP('Summary Data'!$A128,'Round 3 Data'!$A$10:$A$145,'Round 3 Data'!H$10:H$145,0)+_xlfn.XLOOKUP('Summary Data'!$A128,'Round 4 Data'!$A$10:$A$147,'Round 4 Data'!H$10:H$147,0))/$D128</f>
        <v>#VALUE!</v>
      </c>
      <c r="I128" s="57" t="e">
        <f>(_xlfn.XLOOKUP('Summary Data'!$A128,'Round 1 Data'!$A$10:$A$143,'Round 1 Data'!I$10:I$144,0)+_xlfn.XLOOKUP('Summary Data'!$A128,'Round 2 Data'!$A$10:$A$146,'Round 2 Data'!I$10:I$146,0)+_xlfn.XLOOKUP('Summary Data'!$A128,'Round 3 Data'!$A$10:$A$145,'Round 3 Data'!I$10:I$145,0)+_xlfn.XLOOKUP('Summary Data'!$A128,'Round 4 Data'!$A$10:$A$147,'Round 4 Data'!I$10:I$147,0))/$D128</f>
        <v>#VALUE!</v>
      </c>
      <c r="J128" s="57" t="e">
        <f>(_xlfn.XLOOKUP('Summary Data'!$A128,'Round 1 Data'!$A$10:$A$143,'Round 1 Data'!J$10:J$144,0)+_xlfn.XLOOKUP('Summary Data'!$A128,'Round 2 Data'!$A$10:$A$146,'Round 2 Data'!J$10:J$146,0)+_xlfn.XLOOKUP('Summary Data'!$A128,'Round 3 Data'!$A$10:$A$145,'Round 3 Data'!J$10:J$145,0)+_xlfn.XLOOKUP('Summary Data'!$A128,'Round 4 Data'!$A$10:$A$147,'Round 4 Data'!J$10:J$147,0))/$D128</f>
        <v>#VALUE!</v>
      </c>
      <c r="K128" s="57" t="e">
        <f>(_xlfn.XLOOKUP('Summary Data'!$A128,'Round 1 Data'!$A$10:$A$143,'Round 1 Data'!K$10:K$144,0)+_xlfn.XLOOKUP('Summary Data'!$A128,'Round 2 Data'!$A$10:$A$146,'Round 2 Data'!K$10:K$146,0)+_xlfn.XLOOKUP('Summary Data'!$A128,'Round 3 Data'!$A$10:$A$145,'Round 3 Data'!K$10:K$145,0)+_xlfn.XLOOKUP('Summary Data'!$A128,'Round 4 Data'!$A$10:$A$147,'Round 4 Data'!K$10:K$147,0))/$D128</f>
        <v>#VALUE!</v>
      </c>
      <c r="L128" s="57" t="e">
        <f>(_xlfn.XLOOKUP('Summary Data'!$A128,'Round 1 Data'!$A$10:$A$143,'Round 1 Data'!L$10:L$144,0)+_xlfn.XLOOKUP('Summary Data'!$A128,'Round 2 Data'!$A$10:$A$146,'Round 2 Data'!L$10:L$146,0)+_xlfn.XLOOKUP('Summary Data'!$A128,'Round 3 Data'!$A$10:$A$145,'Round 3 Data'!L$10:L$145,0)+_xlfn.XLOOKUP('Summary Data'!$A128,'Round 4 Data'!$A$10:$A$147,'Round 4 Data'!L$10:L$147,0))/$D128</f>
        <v>#VALUE!</v>
      </c>
      <c r="M128" s="57" t="e">
        <f>(_xlfn.XLOOKUP('Summary Data'!$A128,'Round 1 Data'!$A$10:$A$143,'Round 1 Data'!M$10:M$144,0)+_xlfn.XLOOKUP('Summary Data'!$A128,'Round 2 Data'!$A$10:$A$146,'Round 2 Data'!M$10:M$146,0)+_xlfn.XLOOKUP('Summary Data'!$A128,'Round 3 Data'!$A$10:$A$145,'Round 3 Data'!M$10:M$145,0)+_xlfn.XLOOKUP('Summary Data'!$A128,'Round 4 Data'!$A$10:$A$147,'Round 4 Data'!M$10:M$147,0))/$D128</f>
        <v>#VALUE!</v>
      </c>
      <c r="N128" s="57" t="e">
        <f>(_xlfn.XLOOKUP('Summary Data'!$A128,'Round 1 Data'!$A$10:$A$143,'Round 1 Data'!N$10:N$144,0)+_xlfn.XLOOKUP('Summary Data'!$A128,'Round 2 Data'!$A$10:$A$146,'Round 2 Data'!N$10:N$146,0)+_xlfn.XLOOKUP('Summary Data'!$A128,'Round 3 Data'!$A$10:$A$145,'Round 3 Data'!N$10:N$145,0)+_xlfn.XLOOKUP('Summary Data'!$A128,'Round 4 Data'!$A$10:$A$147,'Round 4 Data'!N$10:N$147,0))/$D128</f>
        <v>#VALUE!</v>
      </c>
      <c r="O128" s="57" t="e">
        <f>(_xlfn.XLOOKUP('Summary Data'!$A128,'Round 1 Data'!$A$10:$A$143,'Round 1 Data'!O$10:O$144,0)+_xlfn.XLOOKUP('Summary Data'!$A128,'Round 2 Data'!$A$10:$A$146,'Round 2 Data'!O$10:O$146,0)+_xlfn.XLOOKUP('Summary Data'!$A128,'Round 3 Data'!$A$10:$A$145,'Round 3 Data'!O$10:O$145,0)+_xlfn.XLOOKUP('Summary Data'!$A128,'Round 4 Data'!$A$10:$A$147,'Round 4 Data'!O$10:O$147,0))/$D128</f>
        <v>#VALUE!</v>
      </c>
      <c r="P128" s="57" t="e">
        <f>(_xlfn.XLOOKUP('Summary Data'!$A128,'Round 1 Data'!$A$10:$A$143,'Round 1 Data'!P$10:P$144,0)+_xlfn.XLOOKUP('Summary Data'!$A128,'Round 2 Data'!$A$10:$A$146,'Round 2 Data'!P$10:P$146,0)+_xlfn.XLOOKUP('Summary Data'!$A128,'Round 3 Data'!$A$10:$A$145,'Round 3 Data'!P$10:P$145,0)+_xlfn.XLOOKUP('Summary Data'!$A128,'Round 4 Data'!$A$10:$A$147,'Round 4 Data'!P$10:P$147,0))/$D128</f>
        <v>#VALUE!</v>
      </c>
      <c r="Q128" s="57" t="e">
        <f>(_xlfn.XLOOKUP('Summary Data'!$A128,'Round 1 Data'!$A$10:$A$143,'Round 1 Data'!Q$10:Q$144,0)+_xlfn.XLOOKUP('Summary Data'!$A128,'Round 2 Data'!$A$10:$A$146,'Round 2 Data'!Q$10:Q$146,0)+_xlfn.XLOOKUP('Summary Data'!$A128,'Round 3 Data'!$A$10:$A$145,'Round 3 Data'!Q$10:Q$145,0)+_xlfn.XLOOKUP('Summary Data'!$A128,'Round 4 Data'!$A$10:$A$147,'Round 4 Data'!Q$10:Q$147,0))/$D128</f>
        <v>#VALUE!</v>
      </c>
      <c r="R128" s="57" t="e">
        <f>(_xlfn.XLOOKUP('Summary Data'!$A128,'Round 1 Data'!$A$10:$A$143,'Round 1 Data'!R$10:R$144,0)+_xlfn.XLOOKUP('Summary Data'!$A128,'Round 2 Data'!$A$10:$A$146,'Round 2 Data'!R$10:R$146,0)+_xlfn.XLOOKUP('Summary Data'!$A128,'Round 3 Data'!$A$10:$A$145,'Round 3 Data'!R$10:R$145,0)+_xlfn.XLOOKUP('Summary Data'!$A128,'Round 4 Data'!$A$10:$A$147,'Round 4 Data'!R$10:R$147,0))/$D128</f>
        <v>#VALUE!</v>
      </c>
      <c r="S128" s="57" t="e">
        <f>(_xlfn.XLOOKUP('Summary Data'!$A128,'Round 1 Data'!$A$10:$A$143,'Round 1 Data'!S$10:S$144,0)+_xlfn.XLOOKUP('Summary Data'!$A128,'Round 2 Data'!$A$10:$A$146,'Round 2 Data'!S$10:S$146,0)+_xlfn.XLOOKUP('Summary Data'!$A128,'Round 3 Data'!$A$10:$A$145,'Round 3 Data'!S$10:S$145,0)+_xlfn.XLOOKUP('Summary Data'!$A128,'Round 4 Data'!$A$10:$A$147,'Round 4 Data'!S$10:S$147,0))/$D128</f>
        <v>#VALUE!</v>
      </c>
      <c r="T128" s="62" t="e">
        <f>(_xlfn.XLOOKUP('Summary Data'!$A128,'Round 1 Data'!$A$10:$A$143,'Round 1 Data'!U$10:U$144,0)+_xlfn.XLOOKUP('Summary Data'!$A128,'Round 2 Data'!$A$10:$A$146,'Round 2 Data'!U$10:U$146,0)+_xlfn.XLOOKUP('Summary Data'!$A128,'Round 3 Data'!$A$10:$A$145,'Round 3 Data'!U$10:U$145,0)+_xlfn.XLOOKUP('Summary Data'!$A128,'Round 4 Data'!$A$10:$A$147,'Round 4 Data'!U$10:U$147,0))</f>
        <v>#VALUE!</v>
      </c>
    </row>
    <row r="129" spans="1:20" ht="16" thickBot="1" x14ac:dyDescent="0.25">
      <c r="A129" s="63" t="s">
        <v>24</v>
      </c>
      <c r="B129" t="s">
        <v>193</v>
      </c>
      <c r="C129" t="s">
        <v>198</v>
      </c>
      <c r="D129" t="e">
        <f>IF(_xlfn.XLOOKUP('Summary Data'!A129,'Round 1 Data'!$A$10:$A$143,'Round 1 Data'!$E$10:$E$144,0)=0,0,1)+IF(_xlfn.XLOOKUP('Summary Data'!A129,'Round 2 Data'!$A$10:$A$146,'Round 2 Data'!$E$10:$E$146,0)=0,0,1)+IF(_xlfn.XLOOKUP('Summary Data'!A129,'Round 3 Data'!$A$10:$A$145,'Round 3 Data'!$E$10:$E$145,0)=0,0,1)+IF(_xlfn.XLOOKUP('Summary Data'!A129,'Round 4 Data'!$A$10:$A$147,'Round 4 Data'!$E$10:$E$147,0)=0,0,1)</f>
        <v>#VALUE!</v>
      </c>
      <c r="E129" s="57" t="e">
        <f>(_xlfn.XLOOKUP('Summary Data'!$A129,'Round 1 Data'!$A$10:$A$143,'Round 1 Data'!E$10:E$144,0)+_xlfn.XLOOKUP('Summary Data'!$A129,'Round 2 Data'!$A$10:$A$146,'Round 2 Data'!E$10:E$146,0)+_xlfn.XLOOKUP('Summary Data'!$A129,'Round 3 Data'!$A$10:$A$145,'Round 3 Data'!E$10:E$145,0)+_xlfn.XLOOKUP('Summary Data'!$A129,'Round 4 Data'!$A$10:$A$147,'Round 4 Data'!E$10:E$147,0))/$D129</f>
        <v>#VALUE!</v>
      </c>
      <c r="F129" s="57" t="e">
        <f>(_xlfn.XLOOKUP('Summary Data'!$A129,'Round 1 Data'!$A$10:$A$143,'Round 1 Data'!F$10:F$144,0)+_xlfn.XLOOKUP('Summary Data'!$A129,'Round 2 Data'!$A$10:$A$146,'Round 2 Data'!F$10:F$146,0)+_xlfn.XLOOKUP('Summary Data'!$A129,'Round 3 Data'!$A$10:$A$145,'Round 3 Data'!F$10:F$145,0)+_xlfn.XLOOKUP('Summary Data'!$A129,'Round 4 Data'!$A$10:$A$147,'Round 4 Data'!F$10:F$147,0))/$D129</f>
        <v>#VALUE!</v>
      </c>
      <c r="G129" s="57" t="e">
        <f>(_xlfn.XLOOKUP('Summary Data'!$A129,'Round 1 Data'!$A$10:$A$143,'Round 1 Data'!G$10:G$144,0)+_xlfn.XLOOKUP('Summary Data'!$A129,'Round 2 Data'!$A$10:$A$146,'Round 2 Data'!G$10:G$146,0)+_xlfn.XLOOKUP('Summary Data'!$A129,'Round 3 Data'!$A$10:$A$145,'Round 3 Data'!G$10:G$145,0)+_xlfn.XLOOKUP('Summary Data'!$A129,'Round 4 Data'!$A$10:$A$147,'Round 4 Data'!G$10:G$147,0))/$D129</f>
        <v>#VALUE!</v>
      </c>
      <c r="H129" s="57" t="e">
        <f>(_xlfn.XLOOKUP('Summary Data'!$A129,'Round 1 Data'!$A$10:$A$143,'Round 1 Data'!H$10:H$144,0)+_xlfn.XLOOKUP('Summary Data'!$A129,'Round 2 Data'!$A$10:$A$146,'Round 2 Data'!H$10:H$146,0)+_xlfn.XLOOKUP('Summary Data'!$A129,'Round 3 Data'!$A$10:$A$145,'Round 3 Data'!H$10:H$145,0)+_xlfn.XLOOKUP('Summary Data'!$A129,'Round 4 Data'!$A$10:$A$147,'Round 4 Data'!H$10:H$147,0))/$D129</f>
        <v>#VALUE!</v>
      </c>
      <c r="I129" s="57" t="e">
        <f>(_xlfn.XLOOKUP('Summary Data'!$A129,'Round 1 Data'!$A$10:$A$143,'Round 1 Data'!I$10:I$144,0)+_xlfn.XLOOKUP('Summary Data'!$A129,'Round 2 Data'!$A$10:$A$146,'Round 2 Data'!I$10:I$146,0)+_xlfn.XLOOKUP('Summary Data'!$A129,'Round 3 Data'!$A$10:$A$145,'Round 3 Data'!I$10:I$145,0)+_xlfn.XLOOKUP('Summary Data'!$A129,'Round 4 Data'!$A$10:$A$147,'Round 4 Data'!I$10:I$147,0))/$D129</f>
        <v>#VALUE!</v>
      </c>
      <c r="J129" s="57" t="e">
        <f>(_xlfn.XLOOKUP('Summary Data'!$A129,'Round 1 Data'!$A$10:$A$143,'Round 1 Data'!J$10:J$144,0)+_xlfn.XLOOKUP('Summary Data'!$A129,'Round 2 Data'!$A$10:$A$146,'Round 2 Data'!J$10:J$146,0)+_xlfn.XLOOKUP('Summary Data'!$A129,'Round 3 Data'!$A$10:$A$145,'Round 3 Data'!J$10:J$145,0)+_xlfn.XLOOKUP('Summary Data'!$A129,'Round 4 Data'!$A$10:$A$147,'Round 4 Data'!J$10:J$147,0))/$D129</f>
        <v>#VALUE!</v>
      </c>
      <c r="K129" s="57" t="e">
        <f>(_xlfn.XLOOKUP('Summary Data'!$A129,'Round 1 Data'!$A$10:$A$143,'Round 1 Data'!K$10:K$144,0)+_xlfn.XLOOKUP('Summary Data'!$A129,'Round 2 Data'!$A$10:$A$146,'Round 2 Data'!K$10:K$146,0)+_xlfn.XLOOKUP('Summary Data'!$A129,'Round 3 Data'!$A$10:$A$145,'Round 3 Data'!K$10:K$145,0)+_xlfn.XLOOKUP('Summary Data'!$A129,'Round 4 Data'!$A$10:$A$147,'Round 4 Data'!K$10:K$147,0))/$D129</f>
        <v>#VALUE!</v>
      </c>
      <c r="L129" s="57" t="e">
        <f>(_xlfn.XLOOKUP('Summary Data'!$A129,'Round 1 Data'!$A$10:$A$143,'Round 1 Data'!L$10:L$144,0)+_xlfn.XLOOKUP('Summary Data'!$A129,'Round 2 Data'!$A$10:$A$146,'Round 2 Data'!L$10:L$146,0)+_xlfn.XLOOKUP('Summary Data'!$A129,'Round 3 Data'!$A$10:$A$145,'Round 3 Data'!L$10:L$145,0)+_xlfn.XLOOKUP('Summary Data'!$A129,'Round 4 Data'!$A$10:$A$147,'Round 4 Data'!L$10:L$147,0))/$D129</f>
        <v>#VALUE!</v>
      </c>
      <c r="M129" s="57" t="e">
        <f>(_xlfn.XLOOKUP('Summary Data'!$A129,'Round 1 Data'!$A$10:$A$143,'Round 1 Data'!M$10:M$144,0)+_xlfn.XLOOKUP('Summary Data'!$A129,'Round 2 Data'!$A$10:$A$146,'Round 2 Data'!M$10:M$146,0)+_xlfn.XLOOKUP('Summary Data'!$A129,'Round 3 Data'!$A$10:$A$145,'Round 3 Data'!M$10:M$145,0)+_xlfn.XLOOKUP('Summary Data'!$A129,'Round 4 Data'!$A$10:$A$147,'Round 4 Data'!M$10:M$147,0))/$D129</f>
        <v>#VALUE!</v>
      </c>
      <c r="N129" s="57" t="e">
        <f>(_xlfn.XLOOKUP('Summary Data'!$A129,'Round 1 Data'!$A$10:$A$143,'Round 1 Data'!N$10:N$144,0)+_xlfn.XLOOKUP('Summary Data'!$A129,'Round 2 Data'!$A$10:$A$146,'Round 2 Data'!N$10:N$146,0)+_xlfn.XLOOKUP('Summary Data'!$A129,'Round 3 Data'!$A$10:$A$145,'Round 3 Data'!N$10:N$145,0)+_xlfn.XLOOKUP('Summary Data'!$A129,'Round 4 Data'!$A$10:$A$147,'Round 4 Data'!N$10:N$147,0))/$D129</f>
        <v>#VALUE!</v>
      </c>
      <c r="O129" s="57" t="e">
        <f>(_xlfn.XLOOKUP('Summary Data'!$A129,'Round 1 Data'!$A$10:$A$143,'Round 1 Data'!O$10:O$144,0)+_xlfn.XLOOKUP('Summary Data'!$A129,'Round 2 Data'!$A$10:$A$146,'Round 2 Data'!O$10:O$146,0)+_xlfn.XLOOKUP('Summary Data'!$A129,'Round 3 Data'!$A$10:$A$145,'Round 3 Data'!O$10:O$145,0)+_xlfn.XLOOKUP('Summary Data'!$A129,'Round 4 Data'!$A$10:$A$147,'Round 4 Data'!O$10:O$147,0))/$D129</f>
        <v>#VALUE!</v>
      </c>
      <c r="P129" s="57" t="e">
        <f>(_xlfn.XLOOKUP('Summary Data'!$A129,'Round 1 Data'!$A$10:$A$143,'Round 1 Data'!P$10:P$144,0)+_xlfn.XLOOKUP('Summary Data'!$A129,'Round 2 Data'!$A$10:$A$146,'Round 2 Data'!P$10:P$146,0)+_xlfn.XLOOKUP('Summary Data'!$A129,'Round 3 Data'!$A$10:$A$145,'Round 3 Data'!P$10:P$145,0)+_xlfn.XLOOKUP('Summary Data'!$A129,'Round 4 Data'!$A$10:$A$147,'Round 4 Data'!P$10:P$147,0))/$D129</f>
        <v>#VALUE!</v>
      </c>
      <c r="Q129" s="57" t="e">
        <f>(_xlfn.XLOOKUP('Summary Data'!$A129,'Round 1 Data'!$A$10:$A$143,'Round 1 Data'!Q$10:Q$144,0)+_xlfn.XLOOKUP('Summary Data'!$A129,'Round 2 Data'!$A$10:$A$146,'Round 2 Data'!Q$10:Q$146,0)+_xlfn.XLOOKUP('Summary Data'!$A129,'Round 3 Data'!$A$10:$A$145,'Round 3 Data'!Q$10:Q$145,0)+_xlfn.XLOOKUP('Summary Data'!$A129,'Round 4 Data'!$A$10:$A$147,'Round 4 Data'!Q$10:Q$147,0))/$D129</f>
        <v>#VALUE!</v>
      </c>
      <c r="R129" s="57" t="e">
        <f>(_xlfn.XLOOKUP('Summary Data'!$A129,'Round 1 Data'!$A$10:$A$143,'Round 1 Data'!R$10:R$144,0)+_xlfn.XLOOKUP('Summary Data'!$A129,'Round 2 Data'!$A$10:$A$146,'Round 2 Data'!R$10:R$146,0)+_xlfn.XLOOKUP('Summary Data'!$A129,'Round 3 Data'!$A$10:$A$145,'Round 3 Data'!R$10:R$145,0)+_xlfn.XLOOKUP('Summary Data'!$A129,'Round 4 Data'!$A$10:$A$147,'Round 4 Data'!R$10:R$147,0))/$D129</f>
        <v>#VALUE!</v>
      </c>
      <c r="S129" s="57" t="e">
        <f>(_xlfn.XLOOKUP('Summary Data'!$A129,'Round 1 Data'!$A$10:$A$143,'Round 1 Data'!S$10:S$144,0)+_xlfn.XLOOKUP('Summary Data'!$A129,'Round 2 Data'!$A$10:$A$146,'Round 2 Data'!S$10:S$146,0)+_xlfn.XLOOKUP('Summary Data'!$A129,'Round 3 Data'!$A$10:$A$145,'Round 3 Data'!S$10:S$145,0)+_xlfn.XLOOKUP('Summary Data'!$A129,'Round 4 Data'!$A$10:$A$147,'Round 4 Data'!S$10:S$147,0))/$D129</f>
        <v>#VALUE!</v>
      </c>
      <c r="T129" s="62" t="e">
        <f>(_xlfn.XLOOKUP('Summary Data'!$A129,'Round 1 Data'!$A$10:$A$143,'Round 1 Data'!U$10:U$144,0)+_xlfn.XLOOKUP('Summary Data'!$A129,'Round 2 Data'!$A$10:$A$146,'Round 2 Data'!U$10:U$146,0)+_xlfn.XLOOKUP('Summary Data'!$A129,'Round 3 Data'!$A$10:$A$145,'Round 3 Data'!U$10:U$145,0)+_xlfn.XLOOKUP('Summary Data'!$A129,'Round 4 Data'!$A$10:$A$147,'Round 4 Data'!U$10:U$147,0))</f>
        <v>#VALUE!</v>
      </c>
    </row>
    <row r="130" spans="1:20" ht="16" thickBot="1" x14ac:dyDescent="0.25">
      <c r="A130" s="61" t="s">
        <v>25</v>
      </c>
      <c r="B130" t="s">
        <v>193</v>
      </c>
      <c r="C130" t="s">
        <v>199</v>
      </c>
      <c r="D130" t="e">
        <f>IF(_xlfn.XLOOKUP('Summary Data'!A130,'Round 1 Data'!$A$10:$A$143,'Round 1 Data'!$E$10:$E$144,0)=0,0,1)+IF(_xlfn.XLOOKUP('Summary Data'!A130,'Round 2 Data'!$A$10:$A$146,'Round 2 Data'!$E$10:$E$146,0)=0,0,1)+IF(_xlfn.XLOOKUP('Summary Data'!A130,'Round 3 Data'!$A$10:$A$145,'Round 3 Data'!$E$10:$E$145,0)=0,0,1)+IF(_xlfn.XLOOKUP('Summary Data'!A130,'Round 4 Data'!$A$10:$A$147,'Round 4 Data'!$E$10:$E$147,0)=0,0,1)</f>
        <v>#VALUE!</v>
      </c>
      <c r="E130" s="57" t="e">
        <f>(_xlfn.XLOOKUP('Summary Data'!$A130,'Round 1 Data'!$A$10:$A$143,'Round 1 Data'!E$10:E$144,0)+_xlfn.XLOOKUP('Summary Data'!$A130,'Round 2 Data'!$A$10:$A$146,'Round 2 Data'!E$10:E$146,0)+_xlfn.XLOOKUP('Summary Data'!$A130,'Round 3 Data'!$A$10:$A$145,'Round 3 Data'!E$10:E$145,0)+_xlfn.XLOOKUP('Summary Data'!$A130,'Round 4 Data'!$A$10:$A$147,'Round 4 Data'!E$10:E$147,0))/$D130</f>
        <v>#VALUE!</v>
      </c>
      <c r="F130" s="57" t="e">
        <f>(_xlfn.XLOOKUP('Summary Data'!$A130,'Round 1 Data'!$A$10:$A$143,'Round 1 Data'!F$10:F$144,0)+_xlfn.XLOOKUP('Summary Data'!$A130,'Round 2 Data'!$A$10:$A$146,'Round 2 Data'!F$10:F$146,0)+_xlfn.XLOOKUP('Summary Data'!$A130,'Round 3 Data'!$A$10:$A$145,'Round 3 Data'!F$10:F$145,0)+_xlfn.XLOOKUP('Summary Data'!$A130,'Round 4 Data'!$A$10:$A$147,'Round 4 Data'!F$10:F$147,0))/$D130</f>
        <v>#VALUE!</v>
      </c>
      <c r="G130" s="57" t="e">
        <f>(_xlfn.XLOOKUP('Summary Data'!$A130,'Round 1 Data'!$A$10:$A$143,'Round 1 Data'!G$10:G$144,0)+_xlfn.XLOOKUP('Summary Data'!$A130,'Round 2 Data'!$A$10:$A$146,'Round 2 Data'!G$10:G$146,0)+_xlfn.XLOOKUP('Summary Data'!$A130,'Round 3 Data'!$A$10:$A$145,'Round 3 Data'!G$10:G$145,0)+_xlfn.XLOOKUP('Summary Data'!$A130,'Round 4 Data'!$A$10:$A$147,'Round 4 Data'!G$10:G$147,0))/$D130</f>
        <v>#VALUE!</v>
      </c>
      <c r="H130" s="57" t="e">
        <f>(_xlfn.XLOOKUP('Summary Data'!$A130,'Round 1 Data'!$A$10:$A$143,'Round 1 Data'!H$10:H$144,0)+_xlfn.XLOOKUP('Summary Data'!$A130,'Round 2 Data'!$A$10:$A$146,'Round 2 Data'!H$10:H$146,0)+_xlfn.XLOOKUP('Summary Data'!$A130,'Round 3 Data'!$A$10:$A$145,'Round 3 Data'!H$10:H$145,0)+_xlfn.XLOOKUP('Summary Data'!$A130,'Round 4 Data'!$A$10:$A$147,'Round 4 Data'!H$10:H$147,0))/$D130</f>
        <v>#VALUE!</v>
      </c>
      <c r="I130" s="57" t="e">
        <f>(_xlfn.XLOOKUP('Summary Data'!$A130,'Round 1 Data'!$A$10:$A$143,'Round 1 Data'!I$10:I$144,0)+_xlfn.XLOOKUP('Summary Data'!$A130,'Round 2 Data'!$A$10:$A$146,'Round 2 Data'!I$10:I$146,0)+_xlfn.XLOOKUP('Summary Data'!$A130,'Round 3 Data'!$A$10:$A$145,'Round 3 Data'!I$10:I$145,0)+_xlfn.XLOOKUP('Summary Data'!$A130,'Round 4 Data'!$A$10:$A$147,'Round 4 Data'!I$10:I$147,0))/$D130</f>
        <v>#VALUE!</v>
      </c>
      <c r="J130" s="57" t="e">
        <f>(_xlfn.XLOOKUP('Summary Data'!$A130,'Round 1 Data'!$A$10:$A$143,'Round 1 Data'!J$10:J$144,0)+_xlfn.XLOOKUP('Summary Data'!$A130,'Round 2 Data'!$A$10:$A$146,'Round 2 Data'!J$10:J$146,0)+_xlfn.XLOOKUP('Summary Data'!$A130,'Round 3 Data'!$A$10:$A$145,'Round 3 Data'!J$10:J$145,0)+_xlfn.XLOOKUP('Summary Data'!$A130,'Round 4 Data'!$A$10:$A$147,'Round 4 Data'!J$10:J$147,0))/$D130</f>
        <v>#VALUE!</v>
      </c>
      <c r="K130" s="57" t="e">
        <f>(_xlfn.XLOOKUP('Summary Data'!$A130,'Round 1 Data'!$A$10:$A$143,'Round 1 Data'!K$10:K$144,0)+_xlfn.XLOOKUP('Summary Data'!$A130,'Round 2 Data'!$A$10:$A$146,'Round 2 Data'!K$10:K$146,0)+_xlfn.XLOOKUP('Summary Data'!$A130,'Round 3 Data'!$A$10:$A$145,'Round 3 Data'!K$10:K$145,0)+_xlfn.XLOOKUP('Summary Data'!$A130,'Round 4 Data'!$A$10:$A$147,'Round 4 Data'!K$10:K$147,0))/$D130</f>
        <v>#VALUE!</v>
      </c>
      <c r="L130" s="57" t="e">
        <f>(_xlfn.XLOOKUP('Summary Data'!$A130,'Round 1 Data'!$A$10:$A$143,'Round 1 Data'!L$10:L$144,0)+_xlfn.XLOOKUP('Summary Data'!$A130,'Round 2 Data'!$A$10:$A$146,'Round 2 Data'!L$10:L$146,0)+_xlfn.XLOOKUP('Summary Data'!$A130,'Round 3 Data'!$A$10:$A$145,'Round 3 Data'!L$10:L$145,0)+_xlfn.XLOOKUP('Summary Data'!$A130,'Round 4 Data'!$A$10:$A$147,'Round 4 Data'!L$10:L$147,0))/$D130</f>
        <v>#VALUE!</v>
      </c>
      <c r="M130" s="57" t="e">
        <f>(_xlfn.XLOOKUP('Summary Data'!$A130,'Round 1 Data'!$A$10:$A$143,'Round 1 Data'!M$10:M$144,0)+_xlfn.XLOOKUP('Summary Data'!$A130,'Round 2 Data'!$A$10:$A$146,'Round 2 Data'!M$10:M$146,0)+_xlfn.XLOOKUP('Summary Data'!$A130,'Round 3 Data'!$A$10:$A$145,'Round 3 Data'!M$10:M$145,0)+_xlfn.XLOOKUP('Summary Data'!$A130,'Round 4 Data'!$A$10:$A$147,'Round 4 Data'!M$10:M$147,0))/$D130</f>
        <v>#VALUE!</v>
      </c>
      <c r="N130" s="57" t="e">
        <f>(_xlfn.XLOOKUP('Summary Data'!$A130,'Round 1 Data'!$A$10:$A$143,'Round 1 Data'!N$10:N$144,0)+_xlfn.XLOOKUP('Summary Data'!$A130,'Round 2 Data'!$A$10:$A$146,'Round 2 Data'!N$10:N$146,0)+_xlfn.XLOOKUP('Summary Data'!$A130,'Round 3 Data'!$A$10:$A$145,'Round 3 Data'!N$10:N$145,0)+_xlfn.XLOOKUP('Summary Data'!$A130,'Round 4 Data'!$A$10:$A$147,'Round 4 Data'!N$10:N$147,0))/$D130</f>
        <v>#VALUE!</v>
      </c>
      <c r="O130" s="57" t="e">
        <f>(_xlfn.XLOOKUP('Summary Data'!$A130,'Round 1 Data'!$A$10:$A$143,'Round 1 Data'!O$10:O$144,0)+_xlfn.XLOOKUP('Summary Data'!$A130,'Round 2 Data'!$A$10:$A$146,'Round 2 Data'!O$10:O$146,0)+_xlfn.XLOOKUP('Summary Data'!$A130,'Round 3 Data'!$A$10:$A$145,'Round 3 Data'!O$10:O$145,0)+_xlfn.XLOOKUP('Summary Data'!$A130,'Round 4 Data'!$A$10:$A$147,'Round 4 Data'!O$10:O$147,0))/$D130</f>
        <v>#VALUE!</v>
      </c>
      <c r="P130" s="57" t="e">
        <f>(_xlfn.XLOOKUP('Summary Data'!$A130,'Round 1 Data'!$A$10:$A$143,'Round 1 Data'!P$10:P$144,0)+_xlfn.XLOOKUP('Summary Data'!$A130,'Round 2 Data'!$A$10:$A$146,'Round 2 Data'!P$10:P$146,0)+_xlfn.XLOOKUP('Summary Data'!$A130,'Round 3 Data'!$A$10:$A$145,'Round 3 Data'!P$10:P$145,0)+_xlfn.XLOOKUP('Summary Data'!$A130,'Round 4 Data'!$A$10:$A$147,'Round 4 Data'!P$10:P$147,0))/$D130</f>
        <v>#VALUE!</v>
      </c>
      <c r="Q130" s="57" t="e">
        <f>(_xlfn.XLOOKUP('Summary Data'!$A130,'Round 1 Data'!$A$10:$A$143,'Round 1 Data'!Q$10:Q$144,0)+_xlfn.XLOOKUP('Summary Data'!$A130,'Round 2 Data'!$A$10:$A$146,'Round 2 Data'!Q$10:Q$146,0)+_xlfn.XLOOKUP('Summary Data'!$A130,'Round 3 Data'!$A$10:$A$145,'Round 3 Data'!Q$10:Q$145,0)+_xlfn.XLOOKUP('Summary Data'!$A130,'Round 4 Data'!$A$10:$A$147,'Round 4 Data'!Q$10:Q$147,0))/$D130</f>
        <v>#VALUE!</v>
      </c>
      <c r="R130" s="57" t="e">
        <f>(_xlfn.XLOOKUP('Summary Data'!$A130,'Round 1 Data'!$A$10:$A$143,'Round 1 Data'!R$10:R$144,0)+_xlfn.XLOOKUP('Summary Data'!$A130,'Round 2 Data'!$A$10:$A$146,'Round 2 Data'!R$10:R$146,0)+_xlfn.XLOOKUP('Summary Data'!$A130,'Round 3 Data'!$A$10:$A$145,'Round 3 Data'!R$10:R$145,0)+_xlfn.XLOOKUP('Summary Data'!$A130,'Round 4 Data'!$A$10:$A$147,'Round 4 Data'!R$10:R$147,0))/$D130</f>
        <v>#VALUE!</v>
      </c>
      <c r="S130" s="57" t="e">
        <f>(_xlfn.XLOOKUP('Summary Data'!$A130,'Round 1 Data'!$A$10:$A$143,'Round 1 Data'!S$10:S$144,0)+_xlfn.XLOOKUP('Summary Data'!$A130,'Round 2 Data'!$A$10:$A$146,'Round 2 Data'!S$10:S$146,0)+_xlfn.XLOOKUP('Summary Data'!$A130,'Round 3 Data'!$A$10:$A$145,'Round 3 Data'!S$10:S$145,0)+_xlfn.XLOOKUP('Summary Data'!$A130,'Round 4 Data'!$A$10:$A$147,'Round 4 Data'!S$10:S$147,0))/$D130</f>
        <v>#VALUE!</v>
      </c>
      <c r="T130" s="62" t="e">
        <f>(_xlfn.XLOOKUP('Summary Data'!$A130,'Round 1 Data'!$A$10:$A$143,'Round 1 Data'!U$10:U$144,0)+_xlfn.XLOOKUP('Summary Data'!$A130,'Round 2 Data'!$A$10:$A$146,'Round 2 Data'!U$10:U$146,0)+_xlfn.XLOOKUP('Summary Data'!$A130,'Round 3 Data'!$A$10:$A$145,'Round 3 Data'!U$10:U$145,0)+_xlfn.XLOOKUP('Summary Data'!$A130,'Round 4 Data'!$A$10:$A$147,'Round 4 Data'!U$10:U$147,0))</f>
        <v>#VALUE!</v>
      </c>
    </row>
    <row r="131" spans="1:20" ht="16" thickBot="1" x14ac:dyDescent="0.25">
      <c r="A131" s="63" t="s">
        <v>26</v>
      </c>
      <c r="B131" t="s">
        <v>193</v>
      </c>
      <c r="C131" t="s">
        <v>199</v>
      </c>
      <c r="D131" t="e">
        <f>IF(_xlfn.XLOOKUP('Summary Data'!A131,'Round 1 Data'!$A$10:$A$143,'Round 1 Data'!$E$10:$E$144,0)=0,0,1)+IF(_xlfn.XLOOKUP('Summary Data'!A131,'Round 2 Data'!$A$10:$A$146,'Round 2 Data'!$E$10:$E$146,0)=0,0,1)+IF(_xlfn.XLOOKUP('Summary Data'!A131,'Round 3 Data'!$A$10:$A$145,'Round 3 Data'!$E$10:$E$145,0)=0,0,1)+IF(_xlfn.XLOOKUP('Summary Data'!A131,'Round 4 Data'!$A$10:$A$147,'Round 4 Data'!$E$10:$E$147,0)=0,0,1)</f>
        <v>#VALUE!</v>
      </c>
      <c r="E131" s="57" t="e">
        <f>(_xlfn.XLOOKUP('Summary Data'!$A131,'Round 1 Data'!$A$10:$A$143,'Round 1 Data'!E$10:E$144,0)+_xlfn.XLOOKUP('Summary Data'!$A131,'Round 2 Data'!$A$10:$A$146,'Round 2 Data'!E$10:E$146,0)+_xlfn.XLOOKUP('Summary Data'!$A131,'Round 3 Data'!$A$10:$A$145,'Round 3 Data'!E$10:E$145,0)+_xlfn.XLOOKUP('Summary Data'!$A131,'Round 4 Data'!$A$10:$A$147,'Round 4 Data'!E$10:E$147,0))/$D131</f>
        <v>#VALUE!</v>
      </c>
      <c r="F131" s="57" t="e">
        <f>(_xlfn.XLOOKUP('Summary Data'!$A131,'Round 1 Data'!$A$10:$A$143,'Round 1 Data'!F$10:F$144,0)+_xlfn.XLOOKUP('Summary Data'!$A131,'Round 2 Data'!$A$10:$A$146,'Round 2 Data'!F$10:F$146,0)+_xlfn.XLOOKUP('Summary Data'!$A131,'Round 3 Data'!$A$10:$A$145,'Round 3 Data'!F$10:F$145,0)+_xlfn.XLOOKUP('Summary Data'!$A131,'Round 4 Data'!$A$10:$A$147,'Round 4 Data'!F$10:F$147,0))/$D131</f>
        <v>#VALUE!</v>
      </c>
      <c r="G131" s="57" t="e">
        <f>(_xlfn.XLOOKUP('Summary Data'!$A131,'Round 1 Data'!$A$10:$A$143,'Round 1 Data'!G$10:G$144,0)+_xlfn.XLOOKUP('Summary Data'!$A131,'Round 2 Data'!$A$10:$A$146,'Round 2 Data'!G$10:G$146,0)+_xlfn.XLOOKUP('Summary Data'!$A131,'Round 3 Data'!$A$10:$A$145,'Round 3 Data'!G$10:G$145,0)+_xlfn.XLOOKUP('Summary Data'!$A131,'Round 4 Data'!$A$10:$A$147,'Round 4 Data'!G$10:G$147,0))/$D131</f>
        <v>#VALUE!</v>
      </c>
      <c r="H131" s="57" t="e">
        <f>(_xlfn.XLOOKUP('Summary Data'!$A131,'Round 1 Data'!$A$10:$A$143,'Round 1 Data'!H$10:H$144,0)+_xlfn.XLOOKUP('Summary Data'!$A131,'Round 2 Data'!$A$10:$A$146,'Round 2 Data'!H$10:H$146,0)+_xlfn.XLOOKUP('Summary Data'!$A131,'Round 3 Data'!$A$10:$A$145,'Round 3 Data'!H$10:H$145,0)+_xlfn.XLOOKUP('Summary Data'!$A131,'Round 4 Data'!$A$10:$A$147,'Round 4 Data'!H$10:H$147,0))/$D131</f>
        <v>#VALUE!</v>
      </c>
      <c r="I131" s="57" t="e">
        <f>(_xlfn.XLOOKUP('Summary Data'!$A131,'Round 1 Data'!$A$10:$A$143,'Round 1 Data'!I$10:I$144,0)+_xlfn.XLOOKUP('Summary Data'!$A131,'Round 2 Data'!$A$10:$A$146,'Round 2 Data'!I$10:I$146,0)+_xlfn.XLOOKUP('Summary Data'!$A131,'Round 3 Data'!$A$10:$A$145,'Round 3 Data'!I$10:I$145,0)+_xlfn.XLOOKUP('Summary Data'!$A131,'Round 4 Data'!$A$10:$A$147,'Round 4 Data'!I$10:I$147,0))/$D131</f>
        <v>#VALUE!</v>
      </c>
      <c r="J131" s="57" t="e">
        <f>(_xlfn.XLOOKUP('Summary Data'!$A131,'Round 1 Data'!$A$10:$A$143,'Round 1 Data'!J$10:J$144,0)+_xlfn.XLOOKUP('Summary Data'!$A131,'Round 2 Data'!$A$10:$A$146,'Round 2 Data'!J$10:J$146,0)+_xlfn.XLOOKUP('Summary Data'!$A131,'Round 3 Data'!$A$10:$A$145,'Round 3 Data'!J$10:J$145,0)+_xlfn.XLOOKUP('Summary Data'!$A131,'Round 4 Data'!$A$10:$A$147,'Round 4 Data'!J$10:J$147,0))/$D131</f>
        <v>#VALUE!</v>
      </c>
      <c r="K131" s="57" t="e">
        <f>(_xlfn.XLOOKUP('Summary Data'!$A131,'Round 1 Data'!$A$10:$A$143,'Round 1 Data'!K$10:K$144,0)+_xlfn.XLOOKUP('Summary Data'!$A131,'Round 2 Data'!$A$10:$A$146,'Round 2 Data'!K$10:K$146,0)+_xlfn.XLOOKUP('Summary Data'!$A131,'Round 3 Data'!$A$10:$A$145,'Round 3 Data'!K$10:K$145,0)+_xlfn.XLOOKUP('Summary Data'!$A131,'Round 4 Data'!$A$10:$A$147,'Round 4 Data'!K$10:K$147,0))/$D131</f>
        <v>#VALUE!</v>
      </c>
      <c r="L131" s="57" t="e">
        <f>(_xlfn.XLOOKUP('Summary Data'!$A131,'Round 1 Data'!$A$10:$A$143,'Round 1 Data'!L$10:L$144,0)+_xlfn.XLOOKUP('Summary Data'!$A131,'Round 2 Data'!$A$10:$A$146,'Round 2 Data'!L$10:L$146,0)+_xlfn.XLOOKUP('Summary Data'!$A131,'Round 3 Data'!$A$10:$A$145,'Round 3 Data'!L$10:L$145,0)+_xlfn.XLOOKUP('Summary Data'!$A131,'Round 4 Data'!$A$10:$A$147,'Round 4 Data'!L$10:L$147,0))/$D131</f>
        <v>#VALUE!</v>
      </c>
      <c r="M131" s="57" t="e">
        <f>(_xlfn.XLOOKUP('Summary Data'!$A131,'Round 1 Data'!$A$10:$A$143,'Round 1 Data'!M$10:M$144,0)+_xlfn.XLOOKUP('Summary Data'!$A131,'Round 2 Data'!$A$10:$A$146,'Round 2 Data'!M$10:M$146,0)+_xlfn.XLOOKUP('Summary Data'!$A131,'Round 3 Data'!$A$10:$A$145,'Round 3 Data'!M$10:M$145,0)+_xlfn.XLOOKUP('Summary Data'!$A131,'Round 4 Data'!$A$10:$A$147,'Round 4 Data'!M$10:M$147,0))/$D131</f>
        <v>#VALUE!</v>
      </c>
      <c r="N131" s="57" t="e">
        <f>(_xlfn.XLOOKUP('Summary Data'!$A131,'Round 1 Data'!$A$10:$A$143,'Round 1 Data'!N$10:N$144,0)+_xlfn.XLOOKUP('Summary Data'!$A131,'Round 2 Data'!$A$10:$A$146,'Round 2 Data'!N$10:N$146,0)+_xlfn.XLOOKUP('Summary Data'!$A131,'Round 3 Data'!$A$10:$A$145,'Round 3 Data'!N$10:N$145,0)+_xlfn.XLOOKUP('Summary Data'!$A131,'Round 4 Data'!$A$10:$A$147,'Round 4 Data'!N$10:N$147,0))/$D131</f>
        <v>#VALUE!</v>
      </c>
      <c r="O131" s="57" t="e">
        <f>(_xlfn.XLOOKUP('Summary Data'!$A131,'Round 1 Data'!$A$10:$A$143,'Round 1 Data'!O$10:O$144,0)+_xlfn.XLOOKUP('Summary Data'!$A131,'Round 2 Data'!$A$10:$A$146,'Round 2 Data'!O$10:O$146,0)+_xlfn.XLOOKUP('Summary Data'!$A131,'Round 3 Data'!$A$10:$A$145,'Round 3 Data'!O$10:O$145,0)+_xlfn.XLOOKUP('Summary Data'!$A131,'Round 4 Data'!$A$10:$A$147,'Round 4 Data'!O$10:O$147,0))/$D131</f>
        <v>#VALUE!</v>
      </c>
      <c r="P131" s="57" t="e">
        <f>(_xlfn.XLOOKUP('Summary Data'!$A131,'Round 1 Data'!$A$10:$A$143,'Round 1 Data'!P$10:P$144,0)+_xlfn.XLOOKUP('Summary Data'!$A131,'Round 2 Data'!$A$10:$A$146,'Round 2 Data'!P$10:P$146,0)+_xlfn.XLOOKUP('Summary Data'!$A131,'Round 3 Data'!$A$10:$A$145,'Round 3 Data'!P$10:P$145,0)+_xlfn.XLOOKUP('Summary Data'!$A131,'Round 4 Data'!$A$10:$A$147,'Round 4 Data'!P$10:P$147,0))/$D131</f>
        <v>#VALUE!</v>
      </c>
      <c r="Q131" s="57" t="e">
        <f>(_xlfn.XLOOKUP('Summary Data'!$A131,'Round 1 Data'!$A$10:$A$143,'Round 1 Data'!Q$10:Q$144,0)+_xlfn.XLOOKUP('Summary Data'!$A131,'Round 2 Data'!$A$10:$A$146,'Round 2 Data'!Q$10:Q$146,0)+_xlfn.XLOOKUP('Summary Data'!$A131,'Round 3 Data'!$A$10:$A$145,'Round 3 Data'!Q$10:Q$145,0)+_xlfn.XLOOKUP('Summary Data'!$A131,'Round 4 Data'!$A$10:$A$147,'Round 4 Data'!Q$10:Q$147,0))/$D131</f>
        <v>#VALUE!</v>
      </c>
      <c r="R131" s="57" t="e">
        <f>(_xlfn.XLOOKUP('Summary Data'!$A131,'Round 1 Data'!$A$10:$A$143,'Round 1 Data'!R$10:R$144,0)+_xlfn.XLOOKUP('Summary Data'!$A131,'Round 2 Data'!$A$10:$A$146,'Round 2 Data'!R$10:R$146,0)+_xlfn.XLOOKUP('Summary Data'!$A131,'Round 3 Data'!$A$10:$A$145,'Round 3 Data'!R$10:R$145,0)+_xlfn.XLOOKUP('Summary Data'!$A131,'Round 4 Data'!$A$10:$A$147,'Round 4 Data'!R$10:R$147,0))/$D131</f>
        <v>#VALUE!</v>
      </c>
      <c r="S131" s="57" t="e">
        <f>(_xlfn.XLOOKUP('Summary Data'!$A131,'Round 1 Data'!$A$10:$A$143,'Round 1 Data'!S$10:S$144,0)+_xlfn.XLOOKUP('Summary Data'!$A131,'Round 2 Data'!$A$10:$A$146,'Round 2 Data'!S$10:S$146,0)+_xlfn.XLOOKUP('Summary Data'!$A131,'Round 3 Data'!$A$10:$A$145,'Round 3 Data'!S$10:S$145,0)+_xlfn.XLOOKUP('Summary Data'!$A131,'Round 4 Data'!$A$10:$A$147,'Round 4 Data'!S$10:S$147,0))/$D131</f>
        <v>#VALUE!</v>
      </c>
      <c r="T131" s="62" t="e">
        <f>(_xlfn.XLOOKUP('Summary Data'!$A131,'Round 1 Data'!$A$10:$A$143,'Round 1 Data'!U$10:U$144,0)+_xlfn.XLOOKUP('Summary Data'!$A131,'Round 2 Data'!$A$10:$A$146,'Round 2 Data'!U$10:U$146,0)+_xlfn.XLOOKUP('Summary Data'!$A131,'Round 3 Data'!$A$10:$A$145,'Round 3 Data'!U$10:U$145,0)+_xlfn.XLOOKUP('Summary Data'!$A131,'Round 4 Data'!$A$10:$A$147,'Round 4 Data'!U$10:U$147,0))</f>
        <v>#VALUE!</v>
      </c>
    </row>
    <row r="132" spans="1:20" ht="16" thickBot="1" x14ac:dyDescent="0.25">
      <c r="A132" s="61" t="s">
        <v>27</v>
      </c>
      <c r="B132" t="s">
        <v>193</v>
      </c>
      <c r="C132" t="s">
        <v>199</v>
      </c>
      <c r="D132" t="e">
        <f>IF(_xlfn.XLOOKUP('Summary Data'!A132,'Round 1 Data'!$A$10:$A$143,'Round 1 Data'!$E$10:$E$144,0)=0,0,1)+IF(_xlfn.XLOOKUP('Summary Data'!A132,'Round 2 Data'!$A$10:$A$146,'Round 2 Data'!$E$10:$E$146,0)=0,0,1)+IF(_xlfn.XLOOKUP('Summary Data'!A132,'Round 3 Data'!$A$10:$A$145,'Round 3 Data'!$E$10:$E$145,0)=0,0,1)+IF(_xlfn.XLOOKUP('Summary Data'!A132,'Round 4 Data'!$A$10:$A$147,'Round 4 Data'!$E$10:$E$147,0)=0,0,1)</f>
        <v>#VALUE!</v>
      </c>
      <c r="E132" s="57" t="e">
        <f>(_xlfn.XLOOKUP('Summary Data'!$A132,'Round 1 Data'!$A$10:$A$143,'Round 1 Data'!E$10:E$144,0)+_xlfn.XLOOKUP('Summary Data'!$A132,'Round 2 Data'!$A$10:$A$146,'Round 2 Data'!E$10:E$146,0)+_xlfn.XLOOKUP('Summary Data'!$A132,'Round 3 Data'!$A$10:$A$145,'Round 3 Data'!E$10:E$145,0)+_xlfn.XLOOKUP('Summary Data'!$A132,'Round 4 Data'!$A$10:$A$147,'Round 4 Data'!E$10:E$147,0))/$D132</f>
        <v>#VALUE!</v>
      </c>
      <c r="F132" s="57" t="e">
        <f>(_xlfn.XLOOKUP('Summary Data'!$A132,'Round 1 Data'!$A$10:$A$143,'Round 1 Data'!F$10:F$144,0)+_xlfn.XLOOKUP('Summary Data'!$A132,'Round 2 Data'!$A$10:$A$146,'Round 2 Data'!F$10:F$146,0)+_xlfn.XLOOKUP('Summary Data'!$A132,'Round 3 Data'!$A$10:$A$145,'Round 3 Data'!F$10:F$145,0)+_xlfn.XLOOKUP('Summary Data'!$A132,'Round 4 Data'!$A$10:$A$147,'Round 4 Data'!F$10:F$147,0))/$D132</f>
        <v>#VALUE!</v>
      </c>
      <c r="G132" s="57" t="e">
        <f>(_xlfn.XLOOKUP('Summary Data'!$A132,'Round 1 Data'!$A$10:$A$143,'Round 1 Data'!G$10:G$144,0)+_xlfn.XLOOKUP('Summary Data'!$A132,'Round 2 Data'!$A$10:$A$146,'Round 2 Data'!G$10:G$146,0)+_xlfn.XLOOKUP('Summary Data'!$A132,'Round 3 Data'!$A$10:$A$145,'Round 3 Data'!G$10:G$145,0)+_xlfn.XLOOKUP('Summary Data'!$A132,'Round 4 Data'!$A$10:$A$147,'Round 4 Data'!G$10:G$147,0))/$D132</f>
        <v>#VALUE!</v>
      </c>
      <c r="H132" s="57" t="e">
        <f>(_xlfn.XLOOKUP('Summary Data'!$A132,'Round 1 Data'!$A$10:$A$143,'Round 1 Data'!H$10:H$144,0)+_xlfn.XLOOKUP('Summary Data'!$A132,'Round 2 Data'!$A$10:$A$146,'Round 2 Data'!H$10:H$146,0)+_xlfn.XLOOKUP('Summary Data'!$A132,'Round 3 Data'!$A$10:$A$145,'Round 3 Data'!H$10:H$145,0)+_xlfn.XLOOKUP('Summary Data'!$A132,'Round 4 Data'!$A$10:$A$147,'Round 4 Data'!H$10:H$147,0))/$D132</f>
        <v>#VALUE!</v>
      </c>
      <c r="I132" s="57" t="e">
        <f>(_xlfn.XLOOKUP('Summary Data'!$A132,'Round 1 Data'!$A$10:$A$143,'Round 1 Data'!I$10:I$144,0)+_xlfn.XLOOKUP('Summary Data'!$A132,'Round 2 Data'!$A$10:$A$146,'Round 2 Data'!I$10:I$146,0)+_xlfn.XLOOKUP('Summary Data'!$A132,'Round 3 Data'!$A$10:$A$145,'Round 3 Data'!I$10:I$145,0)+_xlfn.XLOOKUP('Summary Data'!$A132,'Round 4 Data'!$A$10:$A$147,'Round 4 Data'!I$10:I$147,0))/$D132</f>
        <v>#VALUE!</v>
      </c>
      <c r="J132" s="57" t="e">
        <f>(_xlfn.XLOOKUP('Summary Data'!$A132,'Round 1 Data'!$A$10:$A$143,'Round 1 Data'!J$10:J$144,0)+_xlfn.XLOOKUP('Summary Data'!$A132,'Round 2 Data'!$A$10:$A$146,'Round 2 Data'!J$10:J$146,0)+_xlfn.XLOOKUP('Summary Data'!$A132,'Round 3 Data'!$A$10:$A$145,'Round 3 Data'!J$10:J$145,0)+_xlfn.XLOOKUP('Summary Data'!$A132,'Round 4 Data'!$A$10:$A$147,'Round 4 Data'!J$10:J$147,0))/$D132</f>
        <v>#VALUE!</v>
      </c>
      <c r="K132" s="57" t="e">
        <f>(_xlfn.XLOOKUP('Summary Data'!$A132,'Round 1 Data'!$A$10:$A$143,'Round 1 Data'!K$10:K$144,0)+_xlfn.XLOOKUP('Summary Data'!$A132,'Round 2 Data'!$A$10:$A$146,'Round 2 Data'!K$10:K$146,0)+_xlfn.XLOOKUP('Summary Data'!$A132,'Round 3 Data'!$A$10:$A$145,'Round 3 Data'!K$10:K$145,0)+_xlfn.XLOOKUP('Summary Data'!$A132,'Round 4 Data'!$A$10:$A$147,'Round 4 Data'!K$10:K$147,0))/$D132</f>
        <v>#VALUE!</v>
      </c>
      <c r="L132" s="57" t="e">
        <f>(_xlfn.XLOOKUP('Summary Data'!$A132,'Round 1 Data'!$A$10:$A$143,'Round 1 Data'!L$10:L$144,0)+_xlfn.XLOOKUP('Summary Data'!$A132,'Round 2 Data'!$A$10:$A$146,'Round 2 Data'!L$10:L$146,0)+_xlfn.XLOOKUP('Summary Data'!$A132,'Round 3 Data'!$A$10:$A$145,'Round 3 Data'!L$10:L$145,0)+_xlfn.XLOOKUP('Summary Data'!$A132,'Round 4 Data'!$A$10:$A$147,'Round 4 Data'!L$10:L$147,0))/$D132</f>
        <v>#VALUE!</v>
      </c>
      <c r="M132" s="57" t="e">
        <f>(_xlfn.XLOOKUP('Summary Data'!$A132,'Round 1 Data'!$A$10:$A$143,'Round 1 Data'!M$10:M$144,0)+_xlfn.XLOOKUP('Summary Data'!$A132,'Round 2 Data'!$A$10:$A$146,'Round 2 Data'!M$10:M$146,0)+_xlfn.XLOOKUP('Summary Data'!$A132,'Round 3 Data'!$A$10:$A$145,'Round 3 Data'!M$10:M$145,0)+_xlfn.XLOOKUP('Summary Data'!$A132,'Round 4 Data'!$A$10:$A$147,'Round 4 Data'!M$10:M$147,0))/$D132</f>
        <v>#VALUE!</v>
      </c>
      <c r="N132" s="57" t="e">
        <f>(_xlfn.XLOOKUP('Summary Data'!$A132,'Round 1 Data'!$A$10:$A$143,'Round 1 Data'!N$10:N$144,0)+_xlfn.XLOOKUP('Summary Data'!$A132,'Round 2 Data'!$A$10:$A$146,'Round 2 Data'!N$10:N$146,0)+_xlfn.XLOOKUP('Summary Data'!$A132,'Round 3 Data'!$A$10:$A$145,'Round 3 Data'!N$10:N$145,0)+_xlfn.XLOOKUP('Summary Data'!$A132,'Round 4 Data'!$A$10:$A$147,'Round 4 Data'!N$10:N$147,0))/$D132</f>
        <v>#VALUE!</v>
      </c>
      <c r="O132" s="57" t="e">
        <f>(_xlfn.XLOOKUP('Summary Data'!$A132,'Round 1 Data'!$A$10:$A$143,'Round 1 Data'!O$10:O$144,0)+_xlfn.XLOOKUP('Summary Data'!$A132,'Round 2 Data'!$A$10:$A$146,'Round 2 Data'!O$10:O$146,0)+_xlfn.XLOOKUP('Summary Data'!$A132,'Round 3 Data'!$A$10:$A$145,'Round 3 Data'!O$10:O$145,0)+_xlfn.XLOOKUP('Summary Data'!$A132,'Round 4 Data'!$A$10:$A$147,'Round 4 Data'!O$10:O$147,0))/$D132</f>
        <v>#VALUE!</v>
      </c>
      <c r="P132" s="57" t="e">
        <f>(_xlfn.XLOOKUP('Summary Data'!$A132,'Round 1 Data'!$A$10:$A$143,'Round 1 Data'!P$10:P$144,0)+_xlfn.XLOOKUP('Summary Data'!$A132,'Round 2 Data'!$A$10:$A$146,'Round 2 Data'!P$10:P$146,0)+_xlfn.XLOOKUP('Summary Data'!$A132,'Round 3 Data'!$A$10:$A$145,'Round 3 Data'!P$10:P$145,0)+_xlfn.XLOOKUP('Summary Data'!$A132,'Round 4 Data'!$A$10:$A$147,'Round 4 Data'!P$10:P$147,0))/$D132</f>
        <v>#VALUE!</v>
      </c>
      <c r="Q132" s="57" t="e">
        <f>(_xlfn.XLOOKUP('Summary Data'!$A132,'Round 1 Data'!$A$10:$A$143,'Round 1 Data'!Q$10:Q$144,0)+_xlfn.XLOOKUP('Summary Data'!$A132,'Round 2 Data'!$A$10:$A$146,'Round 2 Data'!Q$10:Q$146,0)+_xlfn.XLOOKUP('Summary Data'!$A132,'Round 3 Data'!$A$10:$A$145,'Round 3 Data'!Q$10:Q$145,0)+_xlfn.XLOOKUP('Summary Data'!$A132,'Round 4 Data'!$A$10:$A$147,'Round 4 Data'!Q$10:Q$147,0))/$D132</f>
        <v>#VALUE!</v>
      </c>
      <c r="R132" s="57" t="e">
        <f>(_xlfn.XLOOKUP('Summary Data'!$A132,'Round 1 Data'!$A$10:$A$143,'Round 1 Data'!R$10:R$144,0)+_xlfn.XLOOKUP('Summary Data'!$A132,'Round 2 Data'!$A$10:$A$146,'Round 2 Data'!R$10:R$146,0)+_xlfn.XLOOKUP('Summary Data'!$A132,'Round 3 Data'!$A$10:$A$145,'Round 3 Data'!R$10:R$145,0)+_xlfn.XLOOKUP('Summary Data'!$A132,'Round 4 Data'!$A$10:$A$147,'Round 4 Data'!R$10:R$147,0))/$D132</f>
        <v>#VALUE!</v>
      </c>
      <c r="S132" s="57" t="e">
        <f>(_xlfn.XLOOKUP('Summary Data'!$A132,'Round 1 Data'!$A$10:$A$143,'Round 1 Data'!S$10:S$144,0)+_xlfn.XLOOKUP('Summary Data'!$A132,'Round 2 Data'!$A$10:$A$146,'Round 2 Data'!S$10:S$146,0)+_xlfn.XLOOKUP('Summary Data'!$A132,'Round 3 Data'!$A$10:$A$145,'Round 3 Data'!S$10:S$145,0)+_xlfn.XLOOKUP('Summary Data'!$A132,'Round 4 Data'!$A$10:$A$147,'Round 4 Data'!S$10:S$147,0))/$D132</f>
        <v>#VALUE!</v>
      </c>
      <c r="T132" s="62" t="e">
        <f>(_xlfn.XLOOKUP('Summary Data'!$A132,'Round 1 Data'!$A$10:$A$143,'Round 1 Data'!U$10:U$144,0)+_xlfn.XLOOKUP('Summary Data'!$A132,'Round 2 Data'!$A$10:$A$146,'Round 2 Data'!U$10:U$146,0)+_xlfn.XLOOKUP('Summary Data'!$A132,'Round 3 Data'!$A$10:$A$145,'Round 3 Data'!U$10:U$145,0)+_xlfn.XLOOKUP('Summary Data'!$A132,'Round 4 Data'!$A$10:$A$147,'Round 4 Data'!U$10:U$147,0))</f>
        <v>#VALUE!</v>
      </c>
    </row>
    <row r="133" spans="1:20" ht="16" thickBot="1" x14ac:dyDescent="0.25">
      <c r="A133" s="63" t="s">
        <v>28</v>
      </c>
      <c r="B133" t="s">
        <v>193</v>
      </c>
      <c r="C133" t="s">
        <v>200</v>
      </c>
      <c r="D133" t="e">
        <f>IF(_xlfn.XLOOKUP('Summary Data'!A133,'Round 1 Data'!$A$10:$A$143,'Round 1 Data'!$E$10:$E$144,0)=0,0,1)+IF(_xlfn.XLOOKUP('Summary Data'!A133,'Round 2 Data'!$A$10:$A$146,'Round 2 Data'!$E$10:$E$146,0)=0,0,1)+IF(_xlfn.XLOOKUP('Summary Data'!A133,'Round 3 Data'!$A$10:$A$145,'Round 3 Data'!$E$10:$E$145,0)=0,0,1)+IF(_xlfn.XLOOKUP('Summary Data'!A133,'Round 4 Data'!$A$10:$A$147,'Round 4 Data'!$E$10:$E$147,0)=0,0,1)</f>
        <v>#VALUE!</v>
      </c>
      <c r="E133" s="57" t="e">
        <f>(_xlfn.XLOOKUP('Summary Data'!$A133,'Round 1 Data'!$A$10:$A$143,'Round 1 Data'!E$10:E$144,0)+_xlfn.XLOOKUP('Summary Data'!$A133,'Round 2 Data'!$A$10:$A$146,'Round 2 Data'!E$10:E$146,0)+_xlfn.XLOOKUP('Summary Data'!$A133,'Round 3 Data'!$A$10:$A$145,'Round 3 Data'!E$10:E$145,0)+_xlfn.XLOOKUP('Summary Data'!$A133,'Round 4 Data'!$A$10:$A$147,'Round 4 Data'!E$10:E$147,0))/$D133</f>
        <v>#VALUE!</v>
      </c>
      <c r="F133" s="57" t="e">
        <f>(_xlfn.XLOOKUP('Summary Data'!$A133,'Round 1 Data'!$A$10:$A$143,'Round 1 Data'!F$10:F$144,0)+_xlfn.XLOOKUP('Summary Data'!$A133,'Round 2 Data'!$A$10:$A$146,'Round 2 Data'!F$10:F$146,0)+_xlfn.XLOOKUP('Summary Data'!$A133,'Round 3 Data'!$A$10:$A$145,'Round 3 Data'!F$10:F$145,0)+_xlfn.XLOOKUP('Summary Data'!$A133,'Round 4 Data'!$A$10:$A$147,'Round 4 Data'!F$10:F$147,0))/$D133</f>
        <v>#VALUE!</v>
      </c>
      <c r="G133" s="57" t="e">
        <f>(_xlfn.XLOOKUP('Summary Data'!$A133,'Round 1 Data'!$A$10:$A$143,'Round 1 Data'!G$10:G$144,0)+_xlfn.XLOOKUP('Summary Data'!$A133,'Round 2 Data'!$A$10:$A$146,'Round 2 Data'!G$10:G$146,0)+_xlfn.XLOOKUP('Summary Data'!$A133,'Round 3 Data'!$A$10:$A$145,'Round 3 Data'!G$10:G$145,0)+_xlfn.XLOOKUP('Summary Data'!$A133,'Round 4 Data'!$A$10:$A$147,'Round 4 Data'!G$10:G$147,0))/$D133</f>
        <v>#VALUE!</v>
      </c>
      <c r="H133" s="57" t="e">
        <f>(_xlfn.XLOOKUP('Summary Data'!$A133,'Round 1 Data'!$A$10:$A$143,'Round 1 Data'!H$10:H$144,0)+_xlfn.XLOOKUP('Summary Data'!$A133,'Round 2 Data'!$A$10:$A$146,'Round 2 Data'!H$10:H$146,0)+_xlfn.XLOOKUP('Summary Data'!$A133,'Round 3 Data'!$A$10:$A$145,'Round 3 Data'!H$10:H$145,0)+_xlfn.XLOOKUP('Summary Data'!$A133,'Round 4 Data'!$A$10:$A$147,'Round 4 Data'!H$10:H$147,0))/$D133</f>
        <v>#VALUE!</v>
      </c>
      <c r="I133" s="57" t="e">
        <f>(_xlfn.XLOOKUP('Summary Data'!$A133,'Round 1 Data'!$A$10:$A$143,'Round 1 Data'!I$10:I$144,0)+_xlfn.XLOOKUP('Summary Data'!$A133,'Round 2 Data'!$A$10:$A$146,'Round 2 Data'!I$10:I$146,0)+_xlfn.XLOOKUP('Summary Data'!$A133,'Round 3 Data'!$A$10:$A$145,'Round 3 Data'!I$10:I$145,0)+_xlfn.XLOOKUP('Summary Data'!$A133,'Round 4 Data'!$A$10:$A$147,'Round 4 Data'!I$10:I$147,0))/$D133</f>
        <v>#VALUE!</v>
      </c>
      <c r="J133" s="57" t="e">
        <f>(_xlfn.XLOOKUP('Summary Data'!$A133,'Round 1 Data'!$A$10:$A$143,'Round 1 Data'!J$10:J$144,0)+_xlfn.XLOOKUP('Summary Data'!$A133,'Round 2 Data'!$A$10:$A$146,'Round 2 Data'!J$10:J$146,0)+_xlfn.XLOOKUP('Summary Data'!$A133,'Round 3 Data'!$A$10:$A$145,'Round 3 Data'!J$10:J$145,0)+_xlfn.XLOOKUP('Summary Data'!$A133,'Round 4 Data'!$A$10:$A$147,'Round 4 Data'!J$10:J$147,0))/$D133</f>
        <v>#VALUE!</v>
      </c>
      <c r="K133" s="57" t="e">
        <f>(_xlfn.XLOOKUP('Summary Data'!$A133,'Round 1 Data'!$A$10:$A$143,'Round 1 Data'!K$10:K$144,0)+_xlfn.XLOOKUP('Summary Data'!$A133,'Round 2 Data'!$A$10:$A$146,'Round 2 Data'!K$10:K$146,0)+_xlfn.XLOOKUP('Summary Data'!$A133,'Round 3 Data'!$A$10:$A$145,'Round 3 Data'!K$10:K$145,0)+_xlfn.XLOOKUP('Summary Data'!$A133,'Round 4 Data'!$A$10:$A$147,'Round 4 Data'!K$10:K$147,0))/$D133</f>
        <v>#VALUE!</v>
      </c>
      <c r="L133" s="57" t="e">
        <f>(_xlfn.XLOOKUP('Summary Data'!$A133,'Round 1 Data'!$A$10:$A$143,'Round 1 Data'!L$10:L$144,0)+_xlfn.XLOOKUP('Summary Data'!$A133,'Round 2 Data'!$A$10:$A$146,'Round 2 Data'!L$10:L$146,0)+_xlfn.XLOOKUP('Summary Data'!$A133,'Round 3 Data'!$A$10:$A$145,'Round 3 Data'!L$10:L$145,0)+_xlfn.XLOOKUP('Summary Data'!$A133,'Round 4 Data'!$A$10:$A$147,'Round 4 Data'!L$10:L$147,0))/$D133</f>
        <v>#VALUE!</v>
      </c>
      <c r="M133" s="57" t="e">
        <f>(_xlfn.XLOOKUP('Summary Data'!$A133,'Round 1 Data'!$A$10:$A$143,'Round 1 Data'!M$10:M$144,0)+_xlfn.XLOOKUP('Summary Data'!$A133,'Round 2 Data'!$A$10:$A$146,'Round 2 Data'!M$10:M$146,0)+_xlfn.XLOOKUP('Summary Data'!$A133,'Round 3 Data'!$A$10:$A$145,'Round 3 Data'!M$10:M$145,0)+_xlfn.XLOOKUP('Summary Data'!$A133,'Round 4 Data'!$A$10:$A$147,'Round 4 Data'!M$10:M$147,0))/$D133</f>
        <v>#VALUE!</v>
      </c>
      <c r="N133" s="57" t="e">
        <f>(_xlfn.XLOOKUP('Summary Data'!$A133,'Round 1 Data'!$A$10:$A$143,'Round 1 Data'!N$10:N$144,0)+_xlfn.XLOOKUP('Summary Data'!$A133,'Round 2 Data'!$A$10:$A$146,'Round 2 Data'!N$10:N$146,0)+_xlfn.XLOOKUP('Summary Data'!$A133,'Round 3 Data'!$A$10:$A$145,'Round 3 Data'!N$10:N$145,0)+_xlfn.XLOOKUP('Summary Data'!$A133,'Round 4 Data'!$A$10:$A$147,'Round 4 Data'!N$10:N$147,0))/$D133</f>
        <v>#VALUE!</v>
      </c>
      <c r="O133" s="57" t="e">
        <f>(_xlfn.XLOOKUP('Summary Data'!$A133,'Round 1 Data'!$A$10:$A$143,'Round 1 Data'!O$10:O$144,0)+_xlfn.XLOOKUP('Summary Data'!$A133,'Round 2 Data'!$A$10:$A$146,'Round 2 Data'!O$10:O$146,0)+_xlfn.XLOOKUP('Summary Data'!$A133,'Round 3 Data'!$A$10:$A$145,'Round 3 Data'!O$10:O$145,0)+_xlfn.XLOOKUP('Summary Data'!$A133,'Round 4 Data'!$A$10:$A$147,'Round 4 Data'!O$10:O$147,0))/$D133</f>
        <v>#VALUE!</v>
      </c>
      <c r="P133" s="57" t="e">
        <f>(_xlfn.XLOOKUP('Summary Data'!$A133,'Round 1 Data'!$A$10:$A$143,'Round 1 Data'!P$10:P$144,0)+_xlfn.XLOOKUP('Summary Data'!$A133,'Round 2 Data'!$A$10:$A$146,'Round 2 Data'!P$10:P$146,0)+_xlfn.XLOOKUP('Summary Data'!$A133,'Round 3 Data'!$A$10:$A$145,'Round 3 Data'!P$10:P$145,0)+_xlfn.XLOOKUP('Summary Data'!$A133,'Round 4 Data'!$A$10:$A$147,'Round 4 Data'!P$10:P$147,0))/$D133</f>
        <v>#VALUE!</v>
      </c>
      <c r="Q133" s="57" t="e">
        <f>(_xlfn.XLOOKUP('Summary Data'!$A133,'Round 1 Data'!$A$10:$A$143,'Round 1 Data'!Q$10:Q$144,0)+_xlfn.XLOOKUP('Summary Data'!$A133,'Round 2 Data'!$A$10:$A$146,'Round 2 Data'!Q$10:Q$146,0)+_xlfn.XLOOKUP('Summary Data'!$A133,'Round 3 Data'!$A$10:$A$145,'Round 3 Data'!Q$10:Q$145,0)+_xlfn.XLOOKUP('Summary Data'!$A133,'Round 4 Data'!$A$10:$A$147,'Round 4 Data'!Q$10:Q$147,0))/$D133</f>
        <v>#VALUE!</v>
      </c>
      <c r="R133" s="57" t="e">
        <f>(_xlfn.XLOOKUP('Summary Data'!$A133,'Round 1 Data'!$A$10:$A$143,'Round 1 Data'!R$10:R$144,0)+_xlfn.XLOOKUP('Summary Data'!$A133,'Round 2 Data'!$A$10:$A$146,'Round 2 Data'!R$10:R$146,0)+_xlfn.XLOOKUP('Summary Data'!$A133,'Round 3 Data'!$A$10:$A$145,'Round 3 Data'!R$10:R$145,0)+_xlfn.XLOOKUP('Summary Data'!$A133,'Round 4 Data'!$A$10:$A$147,'Round 4 Data'!R$10:R$147,0))/$D133</f>
        <v>#VALUE!</v>
      </c>
      <c r="S133" s="57" t="e">
        <f>(_xlfn.XLOOKUP('Summary Data'!$A133,'Round 1 Data'!$A$10:$A$143,'Round 1 Data'!S$10:S$144,0)+_xlfn.XLOOKUP('Summary Data'!$A133,'Round 2 Data'!$A$10:$A$146,'Round 2 Data'!S$10:S$146,0)+_xlfn.XLOOKUP('Summary Data'!$A133,'Round 3 Data'!$A$10:$A$145,'Round 3 Data'!S$10:S$145,0)+_xlfn.XLOOKUP('Summary Data'!$A133,'Round 4 Data'!$A$10:$A$147,'Round 4 Data'!S$10:S$147,0))/$D133</f>
        <v>#VALUE!</v>
      </c>
      <c r="T133" s="62" t="e">
        <f>(_xlfn.XLOOKUP('Summary Data'!$A133,'Round 1 Data'!$A$10:$A$143,'Round 1 Data'!U$10:U$144,0)+_xlfn.XLOOKUP('Summary Data'!$A133,'Round 2 Data'!$A$10:$A$146,'Round 2 Data'!U$10:U$146,0)+_xlfn.XLOOKUP('Summary Data'!$A133,'Round 3 Data'!$A$10:$A$145,'Round 3 Data'!U$10:U$145,0)+_xlfn.XLOOKUP('Summary Data'!$A133,'Round 4 Data'!$A$10:$A$147,'Round 4 Data'!U$10:U$147,0))</f>
        <v>#VALUE!</v>
      </c>
    </row>
    <row r="134" spans="1:20" ht="16" thickBot="1" x14ac:dyDescent="0.25">
      <c r="A134" s="61" t="s">
        <v>29</v>
      </c>
      <c r="B134" t="s">
        <v>193</v>
      </c>
      <c r="C134" t="s">
        <v>200</v>
      </c>
      <c r="D134" t="e">
        <f>IF(_xlfn.XLOOKUP('Summary Data'!A134,'Round 1 Data'!$A$10:$A$143,'Round 1 Data'!$E$10:$E$144,0)=0,0,1)+IF(_xlfn.XLOOKUP('Summary Data'!A134,'Round 2 Data'!$A$10:$A$146,'Round 2 Data'!$E$10:$E$146,0)=0,0,1)+IF(_xlfn.XLOOKUP('Summary Data'!A134,'Round 3 Data'!$A$10:$A$145,'Round 3 Data'!$E$10:$E$145,0)=0,0,1)+IF(_xlfn.XLOOKUP('Summary Data'!A134,'Round 4 Data'!$A$10:$A$147,'Round 4 Data'!$E$10:$E$147,0)=0,0,1)</f>
        <v>#VALUE!</v>
      </c>
      <c r="E134" s="57" t="e">
        <f>(_xlfn.XLOOKUP('Summary Data'!$A134,'Round 1 Data'!$A$10:$A$143,'Round 1 Data'!E$10:E$144,0)+_xlfn.XLOOKUP('Summary Data'!$A134,'Round 2 Data'!$A$10:$A$146,'Round 2 Data'!E$10:E$146,0)+_xlfn.XLOOKUP('Summary Data'!$A134,'Round 3 Data'!$A$10:$A$145,'Round 3 Data'!E$10:E$145,0)+_xlfn.XLOOKUP('Summary Data'!$A134,'Round 4 Data'!$A$10:$A$147,'Round 4 Data'!E$10:E$147,0))/$D134</f>
        <v>#VALUE!</v>
      </c>
      <c r="F134" s="57" t="e">
        <f>(_xlfn.XLOOKUP('Summary Data'!$A134,'Round 1 Data'!$A$10:$A$143,'Round 1 Data'!F$10:F$144,0)+_xlfn.XLOOKUP('Summary Data'!$A134,'Round 2 Data'!$A$10:$A$146,'Round 2 Data'!F$10:F$146,0)+_xlfn.XLOOKUP('Summary Data'!$A134,'Round 3 Data'!$A$10:$A$145,'Round 3 Data'!F$10:F$145,0)+_xlfn.XLOOKUP('Summary Data'!$A134,'Round 4 Data'!$A$10:$A$147,'Round 4 Data'!F$10:F$147,0))/$D134</f>
        <v>#VALUE!</v>
      </c>
      <c r="G134" s="57" t="e">
        <f>(_xlfn.XLOOKUP('Summary Data'!$A134,'Round 1 Data'!$A$10:$A$143,'Round 1 Data'!G$10:G$144,0)+_xlfn.XLOOKUP('Summary Data'!$A134,'Round 2 Data'!$A$10:$A$146,'Round 2 Data'!G$10:G$146,0)+_xlfn.XLOOKUP('Summary Data'!$A134,'Round 3 Data'!$A$10:$A$145,'Round 3 Data'!G$10:G$145,0)+_xlfn.XLOOKUP('Summary Data'!$A134,'Round 4 Data'!$A$10:$A$147,'Round 4 Data'!G$10:G$147,0))/$D134</f>
        <v>#VALUE!</v>
      </c>
      <c r="H134" s="57" t="e">
        <f>(_xlfn.XLOOKUP('Summary Data'!$A134,'Round 1 Data'!$A$10:$A$143,'Round 1 Data'!H$10:H$144,0)+_xlfn.XLOOKUP('Summary Data'!$A134,'Round 2 Data'!$A$10:$A$146,'Round 2 Data'!H$10:H$146,0)+_xlfn.XLOOKUP('Summary Data'!$A134,'Round 3 Data'!$A$10:$A$145,'Round 3 Data'!H$10:H$145,0)+_xlfn.XLOOKUP('Summary Data'!$A134,'Round 4 Data'!$A$10:$A$147,'Round 4 Data'!H$10:H$147,0))/$D134</f>
        <v>#VALUE!</v>
      </c>
      <c r="I134" s="57" t="e">
        <f>(_xlfn.XLOOKUP('Summary Data'!$A134,'Round 1 Data'!$A$10:$A$143,'Round 1 Data'!I$10:I$144,0)+_xlfn.XLOOKUP('Summary Data'!$A134,'Round 2 Data'!$A$10:$A$146,'Round 2 Data'!I$10:I$146,0)+_xlfn.XLOOKUP('Summary Data'!$A134,'Round 3 Data'!$A$10:$A$145,'Round 3 Data'!I$10:I$145,0)+_xlfn.XLOOKUP('Summary Data'!$A134,'Round 4 Data'!$A$10:$A$147,'Round 4 Data'!I$10:I$147,0))/$D134</f>
        <v>#VALUE!</v>
      </c>
      <c r="J134" s="57" t="e">
        <f>(_xlfn.XLOOKUP('Summary Data'!$A134,'Round 1 Data'!$A$10:$A$143,'Round 1 Data'!J$10:J$144,0)+_xlfn.XLOOKUP('Summary Data'!$A134,'Round 2 Data'!$A$10:$A$146,'Round 2 Data'!J$10:J$146,0)+_xlfn.XLOOKUP('Summary Data'!$A134,'Round 3 Data'!$A$10:$A$145,'Round 3 Data'!J$10:J$145,0)+_xlfn.XLOOKUP('Summary Data'!$A134,'Round 4 Data'!$A$10:$A$147,'Round 4 Data'!J$10:J$147,0))/$D134</f>
        <v>#VALUE!</v>
      </c>
      <c r="K134" s="57" t="e">
        <f>(_xlfn.XLOOKUP('Summary Data'!$A134,'Round 1 Data'!$A$10:$A$143,'Round 1 Data'!K$10:K$144,0)+_xlfn.XLOOKUP('Summary Data'!$A134,'Round 2 Data'!$A$10:$A$146,'Round 2 Data'!K$10:K$146,0)+_xlfn.XLOOKUP('Summary Data'!$A134,'Round 3 Data'!$A$10:$A$145,'Round 3 Data'!K$10:K$145,0)+_xlfn.XLOOKUP('Summary Data'!$A134,'Round 4 Data'!$A$10:$A$147,'Round 4 Data'!K$10:K$147,0))/$D134</f>
        <v>#VALUE!</v>
      </c>
      <c r="L134" s="57" t="e">
        <f>(_xlfn.XLOOKUP('Summary Data'!$A134,'Round 1 Data'!$A$10:$A$143,'Round 1 Data'!L$10:L$144,0)+_xlfn.XLOOKUP('Summary Data'!$A134,'Round 2 Data'!$A$10:$A$146,'Round 2 Data'!L$10:L$146,0)+_xlfn.XLOOKUP('Summary Data'!$A134,'Round 3 Data'!$A$10:$A$145,'Round 3 Data'!L$10:L$145,0)+_xlfn.XLOOKUP('Summary Data'!$A134,'Round 4 Data'!$A$10:$A$147,'Round 4 Data'!L$10:L$147,0))/$D134</f>
        <v>#VALUE!</v>
      </c>
      <c r="M134" s="57" t="e">
        <f>(_xlfn.XLOOKUP('Summary Data'!$A134,'Round 1 Data'!$A$10:$A$143,'Round 1 Data'!M$10:M$144,0)+_xlfn.XLOOKUP('Summary Data'!$A134,'Round 2 Data'!$A$10:$A$146,'Round 2 Data'!M$10:M$146,0)+_xlfn.XLOOKUP('Summary Data'!$A134,'Round 3 Data'!$A$10:$A$145,'Round 3 Data'!M$10:M$145,0)+_xlfn.XLOOKUP('Summary Data'!$A134,'Round 4 Data'!$A$10:$A$147,'Round 4 Data'!M$10:M$147,0))/$D134</f>
        <v>#VALUE!</v>
      </c>
      <c r="N134" s="57" t="e">
        <f>(_xlfn.XLOOKUP('Summary Data'!$A134,'Round 1 Data'!$A$10:$A$143,'Round 1 Data'!N$10:N$144,0)+_xlfn.XLOOKUP('Summary Data'!$A134,'Round 2 Data'!$A$10:$A$146,'Round 2 Data'!N$10:N$146,0)+_xlfn.XLOOKUP('Summary Data'!$A134,'Round 3 Data'!$A$10:$A$145,'Round 3 Data'!N$10:N$145,0)+_xlfn.XLOOKUP('Summary Data'!$A134,'Round 4 Data'!$A$10:$A$147,'Round 4 Data'!N$10:N$147,0))/$D134</f>
        <v>#VALUE!</v>
      </c>
      <c r="O134" s="57" t="e">
        <f>(_xlfn.XLOOKUP('Summary Data'!$A134,'Round 1 Data'!$A$10:$A$143,'Round 1 Data'!O$10:O$144,0)+_xlfn.XLOOKUP('Summary Data'!$A134,'Round 2 Data'!$A$10:$A$146,'Round 2 Data'!O$10:O$146,0)+_xlfn.XLOOKUP('Summary Data'!$A134,'Round 3 Data'!$A$10:$A$145,'Round 3 Data'!O$10:O$145,0)+_xlfn.XLOOKUP('Summary Data'!$A134,'Round 4 Data'!$A$10:$A$147,'Round 4 Data'!O$10:O$147,0))/$D134</f>
        <v>#VALUE!</v>
      </c>
      <c r="P134" s="57" t="e">
        <f>(_xlfn.XLOOKUP('Summary Data'!$A134,'Round 1 Data'!$A$10:$A$143,'Round 1 Data'!P$10:P$144,0)+_xlfn.XLOOKUP('Summary Data'!$A134,'Round 2 Data'!$A$10:$A$146,'Round 2 Data'!P$10:P$146,0)+_xlfn.XLOOKUP('Summary Data'!$A134,'Round 3 Data'!$A$10:$A$145,'Round 3 Data'!P$10:P$145,0)+_xlfn.XLOOKUP('Summary Data'!$A134,'Round 4 Data'!$A$10:$A$147,'Round 4 Data'!P$10:P$147,0))/$D134</f>
        <v>#VALUE!</v>
      </c>
      <c r="Q134" s="57" t="e">
        <f>(_xlfn.XLOOKUP('Summary Data'!$A134,'Round 1 Data'!$A$10:$A$143,'Round 1 Data'!Q$10:Q$144,0)+_xlfn.XLOOKUP('Summary Data'!$A134,'Round 2 Data'!$A$10:$A$146,'Round 2 Data'!Q$10:Q$146,0)+_xlfn.XLOOKUP('Summary Data'!$A134,'Round 3 Data'!$A$10:$A$145,'Round 3 Data'!Q$10:Q$145,0)+_xlfn.XLOOKUP('Summary Data'!$A134,'Round 4 Data'!$A$10:$A$147,'Round 4 Data'!Q$10:Q$147,0))/$D134</f>
        <v>#VALUE!</v>
      </c>
      <c r="R134" s="57" t="e">
        <f>(_xlfn.XLOOKUP('Summary Data'!$A134,'Round 1 Data'!$A$10:$A$143,'Round 1 Data'!R$10:R$144,0)+_xlfn.XLOOKUP('Summary Data'!$A134,'Round 2 Data'!$A$10:$A$146,'Round 2 Data'!R$10:R$146,0)+_xlfn.XLOOKUP('Summary Data'!$A134,'Round 3 Data'!$A$10:$A$145,'Round 3 Data'!R$10:R$145,0)+_xlfn.XLOOKUP('Summary Data'!$A134,'Round 4 Data'!$A$10:$A$147,'Round 4 Data'!R$10:R$147,0))/$D134</f>
        <v>#VALUE!</v>
      </c>
      <c r="S134" s="57" t="e">
        <f>(_xlfn.XLOOKUP('Summary Data'!$A134,'Round 1 Data'!$A$10:$A$143,'Round 1 Data'!S$10:S$144,0)+_xlfn.XLOOKUP('Summary Data'!$A134,'Round 2 Data'!$A$10:$A$146,'Round 2 Data'!S$10:S$146,0)+_xlfn.XLOOKUP('Summary Data'!$A134,'Round 3 Data'!$A$10:$A$145,'Round 3 Data'!S$10:S$145,0)+_xlfn.XLOOKUP('Summary Data'!$A134,'Round 4 Data'!$A$10:$A$147,'Round 4 Data'!S$10:S$147,0))/$D134</f>
        <v>#VALUE!</v>
      </c>
      <c r="T134" s="62" t="e">
        <f>(_xlfn.XLOOKUP('Summary Data'!$A134,'Round 1 Data'!$A$10:$A$143,'Round 1 Data'!U$10:U$144,0)+_xlfn.XLOOKUP('Summary Data'!$A134,'Round 2 Data'!$A$10:$A$146,'Round 2 Data'!U$10:U$146,0)+_xlfn.XLOOKUP('Summary Data'!$A134,'Round 3 Data'!$A$10:$A$145,'Round 3 Data'!U$10:U$145,0)+_xlfn.XLOOKUP('Summary Data'!$A134,'Round 4 Data'!$A$10:$A$147,'Round 4 Data'!U$10:U$147,0))</f>
        <v>#VALUE!</v>
      </c>
    </row>
    <row r="135" spans="1:20" ht="16" thickBot="1" x14ac:dyDescent="0.25">
      <c r="A135" s="63" t="s">
        <v>30</v>
      </c>
      <c r="B135" t="s">
        <v>193</v>
      </c>
      <c r="C135" t="s">
        <v>200</v>
      </c>
      <c r="D135" t="e">
        <f>IF(_xlfn.XLOOKUP('Summary Data'!A135,'Round 1 Data'!$A$10:$A$143,'Round 1 Data'!$E$10:$E$144,0)=0,0,1)+IF(_xlfn.XLOOKUP('Summary Data'!A135,'Round 2 Data'!$A$10:$A$146,'Round 2 Data'!$E$10:$E$146,0)=0,0,1)+IF(_xlfn.XLOOKUP('Summary Data'!A135,'Round 3 Data'!$A$10:$A$145,'Round 3 Data'!$E$10:$E$145,0)=0,0,1)+IF(_xlfn.XLOOKUP('Summary Data'!A135,'Round 4 Data'!$A$10:$A$147,'Round 4 Data'!$E$10:$E$147,0)=0,0,1)</f>
        <v>#VALUE!</v>
      </c>
      <c r="E135" s="57" t="e">
        <f>(_xlfn.XLOOKUP('Summary Data'!$A135,'Round 1 Data'!$A$10:$A$143,'Round 1 Data'!E$10:E$144,0)+_xlfn.XLOOKUP('Summary Data'!$A135,'Round 2 Data'!$A$10:$A$146,'Round 2 Data'!E$10:E$146,0)+_xlfn.XLOOKUP('Summary Data'!$A135,'Round 3 Data'!$A$10:$A$145,'Round 3 Data'!E$10:E$145,0)+_xlfn.XLOOKUP('Summary Data'!$A135,'Round 4 Data'!$A$10:$A$147,'Round 4 Data'!E$10:E$147,0))/$D135</f>
        <v>#VALUE!</v>
      </c>
      <c r="F135" s="57" t="e">
        <f>(_xlfn.XLOOKUP('Summary Data'!$A135,'Round 1 Data'!$A$10:$A$143,'Round 1 Data'!F$10:F$144,0)+_xlfn.XLOOKUP('Summary Data'!$A135,'Round 2 Data'!$A$10:$A$146,'Round 2 Data'!F$10:F$146,0)+_xlfn.XLOOKUP('Summary Data'!$A135,'Round 3 Data'!$A$10:$A$145,'Round 3 Data'!F$10:F$145,0)+_xlfn.XLOOKUP('Summary Data'!$A135,'Round 4 Data'!$A$10:$A$147,'Round 4 Data'!F$10:F$147,0))/$D135</f>
        <v>#VALUE!</v>
      </c>
      <c r="G135" s="57" t="e">
        <f>(_xlfn.XLOOKUP('Summary Data'!$A135,'Round 1 Data'!$A$10:$A$143,'Round 1 Data'!G$10:G$144,0)+_xlfn.XLOOKUP('Summary Data'!$A135,'Round 2 Data'!$A$10:$A$146,'Round 2 Data'!G$10:G$146,0)+_xlfn.XLOOKUP('Summary Data'!$A135,'Round 3 Data'!$A$10:$A$145,'Round 3 Data'!G$10:G$145,0)+_xlfn.XLOOKUP('Summary Data'!$A135,'Round 4 Data'!$A$10:$A$147,'Round 4 Data'!G$10:G$147,0))/$D135</f>
        <v>#VALUE!</v>
      </c>
      <c r="H135" s="57" t="e">
        <f>(_xlfn.XLOOKUP('Summary Data'!$A135,'Round 1 Data'!$A$10:$A$143,'Round 1 Data'!H$10:H$144,0)+_xlfn.XLOOKUP('Summary Data'!$A135,'Round 2 Data'!$A$10:$A$146,'Round 2 Data'!H$10:H$146,0)+_xlfn.XLOOKUP('Summary Data'!$A135,'Round 3 Data'!$A$10:$A$145,'Round 3 Data'!H$10:H$145,0)+_xlfn.XLOOKUP('Summary Data'!$A135,'Round 4 Data'!$A$10:$A$147,'Round 4 Data'!H$10:H$147,0))/$D135</f>
        <v>#VALUE!</v>
      </c>
      <c r="I135" s="57" t="e">
        <f>(_xlfn.XLOOKUP('Summary Data'!$A135,'Round 1 Data'!$A$10:$A$143,'Round 1 Data'!I$10:I$144,0)+_xlfn.XLOOKUP('Summary Data'!$A135,'Round 2 Data'!$A$10:$A$146,'Round 2 Data'!I$10:I$146,0)+_xlfn.XLOOKUP('Summary Data'!$A135,'Round 3 Data'!$A$10:$A$145,'Round 3 Data'!I$10:I$145,0)+_xlfn.XLOOKUP('Summary Data'!$A135,'Round 4 Data'!$A$10:$A$147,'Round 4 Data'!I$10:I$147,0))/$D135</f>
        <v>#VALUE!</v>
      </c>
      <c r="J135" s="57" t="e">
        <f>(_xlfn.XLOOKUP('Summary Data'!$A135,'Round 1 Data'!$A$10:$A$143,'Round 1 Data'!J$10:J$144,0)+_xlfn.XLOOKUP('Summary Data'!$A135,'Round 2 Data'!$A$10:$A$146,'Round 2 Data'!J$10:J$146,0)+_xlfn.XLOOKUP('Summary Data'!$A135,'Round 3 Data'!$A$10:$A$145,'Round 3 Data'!J$10:J$145,0)+_xlfn.XLOOKUP('Summary Data'!$A135,'Round 4 Data'!$A$10:$A$147,'Round 4 Data'!J$10:J$147,0))/$D135</f>
        <v>#VALUE!</v>
      </c>
      <c r="K135" s="57" t="e">
        <f>(_xlfn.XLOOKUP('Summary Data'!$A135,'Round 1 Data'!$A$10:$A$143,'Round 1 Data'!K$10:K$144,0)+_xlfn.XLOOKUP('Summary Data'!$A135,'Round 2 Data'!$A$10:$A$146,'Round 2 Data'!K$10:K$146,0)+_xlfn.XLOOKUP('Summary Data'!$A135,'Round 3 Data'!$A$10:$A$145,'Round 3 Data'!K$10:K$145,0)+_xlfn.XLOOKUP('Summary Data'!$A135,'Round 4 Data'!$A$10:$A$147,'Round 4 Data'!K$10:K$147,0))/$D135</f>
        <v>#VALUE!</v>
      </c>
      <c r="L135" s="57" t="e">
        <f>(_xlfn.XLOOKUP('Summary Data'!$A135,'Round 1 Data'!$A$10:$A$143,'Round 1 Data'!L$10:L$144,0)+_xlfn.XLOOKUP('Summary Data'!$A135,'Round 2 Data'!$A$10:$A$146,'Round 2 Data'!L$10:L$146,0)+_xlfn.XLOOKUP('Summary Data'!$A135,'Round 3 Data'!$A$10:$A$145,'Round 3 Data'!L$10:L$145,0)+_xlfn.XLOOKUP('Summary Data'!$A135,'Round 4 Data'!$A$10:$A$147,'Round 4 Data'!L$10:L$147,0))/$D135</f>
        <v>#VALUE!</v>
      </c>
      <c r="M135" s="57" t="e">
        <f>(_xlfn.XLOOKUP('Summary Data'!$A135,'Round 1 Data'!$A$10:$A$143,'Round 1 Data'!M$10:M$144,0)+_xlfn.XLOOKUP('Summary Data'!$A135,'Round 2 Data'!$A$10:$A$146,'Round 2 Data'!M$10:M$146,0)+_xlfn.XLOOKUP('Summary Data'!$A135,'Round 3 Data'!$A$10:$A$145,'Round 3 Data'!M$10:M$145,0)+_xlfn.XLOOKUP('Summary Data'!$A135,'Round 4 Data'!$A$10:$A$147,'Round 4 Data'!M$10:M$147,0))/$D135</f>
        <v>#VALUE!</v>
      </c>
      <c r="N135" s="57" t="e">
        <f>(_xlfn.XLOOKUP('Summary Data'!$A135,'Round 1 Data'!$A$10:$A$143,'Round 1 Data'!N$10:N$144,0)+_xlfn.XLOOKUP('Summary Data'!$A135,'Round 2 Data'!$A$10:$A$146,'Round 2 Data'!N$10:N$146,0)+_xlfn.XLOOKUP('Summary Data'!$A135,'Round 3 Data'!$A$10:$A$145,'Round 3 Data'!N$10:N$145,0)+_xlfn.XLOOKUP('Summary Data'!$A135,'Round 4 Data'!$A$10:$A$147,'Round 4 Data'!N$10:N$147,0))/$D135</f>
        <v>#VALUE!</v>
      </c>
      <c r="O135" s="57" t="e">
        <f>(_xlfn.XLOOKUP('Summary Data'!$A135,'Round 1 Data'!$A$10:$A$143,'Round 1 Data'!O$10:O$144,0)+_xlfn.XLOOKUP('Summary Data'!$A135,'Round 2 Data'!$A$10:$A$146,'Round 2 Data'!O$10:O$146,0)+_xlfn.XLOOKUP('Summary Data'!$A135,'Round 3 Data'!$A$10:$A$145,'Round 3 Data'!O$10:O$145,0)+_xlfn.XLOOKUP('Summary Data'!$A135,'Round 4 Data'!$A$10:$A$147,'Round 4 Data'!O$10:O$147,0))/$D135</f>
        <v>#VALUE!</v>
      </c>
      <c r="P135" s="57" t="e">
        <f>(_xlfn.XLOOKUP('Summary Data'!$A135,'Round 1 Data'!$A$10:$A$143,'Round 1 Data'!P$10:P$144,0)+_xlfn.XLOOKUP('Summary Data'!$A135,'Round 2 Data'!$A$10:$A$146,'Round 2 Data'!P$10:P$146,0)+_xlfn.XLOOKUP('Summary Data'!$A135,'Round 3 Data'!$A$10:$A$145,'Round 3 Data'!P$10:P$145,0)+_xlfn.XLOOKUP('Summary Data'!$A135,'Round 4 Data'!$A$10:$A$147,'Round 4 Data'!P$10:P$147,0))/$D135</f>
        <v>#VALUE!</v>
      </c>
      <c r="Q135" s="57" t="e">
        <f>(_xlfn.XLOOKUP('Summary Data'!$A135,'Round 1 Data'!$A$10:$A$143,'Round 1 Data'!Q$10:Q$144,0)+_xlfn.XLOOKUP('Summary Data'!$A135,'Round 2 Data'!$A$10:$A$146,'Round 2 Data'!Q$10:Q$146,0)+_xlfn.XLOOKUP('Summary Data'!$A135,'Round 3 Data'!$A$10:$A$145,'Round 3 Data'!Q$10:Q$145,0)+_xlfn.XLOOKUP('Summary Data'!$A135,'Round 4 Data'!$A$10:$A$147,'Round 4 Data'!Q$10:Q$147,0))/$D135</f>
        <v>#VALUE!</v>
      </c>
      <c r="R135" s="57" t="e">
        <f>(_xlfn.XLOOKUP('Summary Data'!$A135,'Round 1 Data'!$A$10:$A$143,'Round 1 Data'!R$10:R$144,0)+_xlfn.XLOOKUP('Summary Data'!$A135,'Round 2 Data'!$A$10:$A$146,'Round 2 Data'!R$10:R$146,0)+_xlfn.XLOOKUP('Summary Data'!$A135,'Round 3 Data'!$A$10:$A$145,'Round 3 Data'!R$10:R$145,0)+_xlfn.XLOOKUP('Summary Data'!$A135,'Round 4 Data'!$A$10:$A$147,'Round 4 Data'!R$10:R$147,0))/$D135</f>
        <v>#VALUE!</v>
      </c>
      <c r="S135" s="57" t="e">
        <f>(_xlfn.XLOOKUP('Summary Data'!$A135,'Round 1 Data'!$A$10:$A$143,'Round 1 Data'!S$10:S$144,0)+_xlfn.XLOOKUP('Summary Data'!$A135,'Round 2 Data'!$A$10:$A$146,'Round 2 Data'!S$10:S$146,0)+_xlfn.XLOOKUP('Summary Data'!$A135,'Round 3 Data'!$A$10:$A$145,'Round 3 Data'!S$10:S$145,0)+_xlfn.XLOOKUP('Summary Data'!$A135,'Round 4 Data'!$A$10:$A$147,'Round 4 Data'!S$10:S$147,0))/$D135</f>
        <v>#VALUE!</v>
      </c>
      <c r="T135" s="62" t="e">
        <f>(_xlfn.XLOOKUP('Summary Data'!$A135,'Round 1 Data'!$A$10:$A$143,'Round 1 Data'!U$10:U$144,0)+_xlfn.XLOOKUP('Summary Data'!$A135,'Round 2 Data'!$A$10:$A$146,'Round 2 Data'!U$10:U$146,0)+_xlfn.XLOOKUP('Summary Data'!$A135,'Round 3 Data'!$A$10:$A$145,'Round 3 Data'!U$10:U$145,0)+_xlfn.XLOOKUP('Summary Data'!$A135,'Round 4 Data'!$A$10:$A$147,'Round 4 Data'!U$10:U$147,0))</f>
        <v>#VALUE!</v>
      </c>
    </row>
    <row r="136" spans="1:20" ht="16" thickBot="1" x14ac:dyDescent="0.25">
      <c r="A136" s="61" t="s">
        <v>31</v>
      </c>
      <c r="B136" t="s">
        <v>193</v>
      </c>
      <c r="C136" t="s">
        <v>200</v>
      </c>
      <c r="D136" t="e">
        <f>IF(_xlfn.XLOOKUP('Summary Data'!A136,'Round 1 Data'!$A$10:$A$143,'Round 1 Data'!$E$10:$E$144,0)=0,0,1)+IF(_xlfn.XLOOKUP('Summary Data'!A136,'Round 2 Data'!$A$10:$A$146,'Round 2 Data'!$E$10:$E$146,0)=0,0,1)+IF(_xlfn.XLOOKUP('Summary Data'!A136,'Round 3 Data'!$A$10:$A$145,'Round 3 Data'!$E$10:$E$145,0)=0,0,1)+IF(_xlfn.XLOOKUP('Summary Data'!A136,'Round 4 Data'!$A$10:$A$147,'Round 4 Data'!$E$10:$E$147,0)=0,0,1)</f>
        <v>#VALUE!</v>
      </c>
      <c r="E136" s="57" t="e">
        <f>(_xlfn.XLOOKUP('Summary Data'!$A136,'Round 1 Data'!$A$10:$A$143,'Round 1 Data'!E$10:E$144,0)+_xlfn.XLOOKUP('Summary Data'!$A136,'Round 2 Data'!$A$10:$A$146,'Round 2 Data'!E$10:E$146,0)+_xlfn.XLOOKUP('Summary Data'!$A136,'Round 3 Data'!$A$10:$A$145,'Round 3 Data'!E$10:E$145,0)+_xlfn.XLOOKUP('Summary Data'!$A136,'Round 4 Data'!$A$10:$A$147,'Round 4 Data'!E$10:E$147,0))/$D136</f>
        <v>#VALUE!</v>
      </c>
      <c r="F136" s="57" t="e">
        <f>(_xlfn.XLOOKUP('Summary Data'!$A136,'Round 1 Data'!$A$10:$A$143,'Round 1 Data'!F$10:F$144,0)+_xlfn.XLOOKUP('Summary Data'!$A136,'Round 2 Data'!$A$10:$A$146,'Round 2 Data'!F$10:F$146,0)+_xlfn.XLOOKUP('Summary Data'!$A136,'Round 3 Data'!$A$10:$A$145,'Round 3 Data'!F$10:F$145,0)+_xlfn.XLOOKUP('Summary Data'!$A136,'Round 4 Data'!$A$10:$A$147,'Round 4 Data'!F$10:F$147,0))/$D136</f>
        <v>#VALUE!</v>
      </c>
      <c r="G136" s="57" t="e">
        <f>(_xlfn.XLOOKUP('Summary Data'!$A136,'Round 1 Data'!$A$10:$A$143,'Round 1 Data'!G$10:G$144,0)+_xlfn.XLOOKUP('Summary Data'!$A136,'Round 2 Data'!$A$10:$A$146,'Round 2 Data'!G$10:G$146,0)+_xlfn.XLOOKUP('Summary Data'!$A136,'Round 3 Data'!$A$10:$A$145,'Round 3 Data'!G$10:G$145,0)+_xlfn.XLOOKUP('Summary Data'!$A136,'Round 4 Data'!$A$10:$A$147,'Round 4 Data'!G$10:G$147,0))/$D136</f>
        <v>#VALUE!</v>
      </c>
      <c r="H136" s="57" t="e">
        <f>(_xlfn.XLOOKUP('Summary Data'!$A136,'Round 1 Data'!$A$10:$A$143,'Round 1 Data'!H$10:H$144,0)+_xlfn.XLOOKUP('Summary Data'!$A136,'Round 2 Data'!$A$10:$A$146,'Round 2 Data'!H$10:H$146,0)+_xlfn.XLOOKUP('Summary Data'!$A136,'Round 3 Data'!$A$10:$A$145,'Round 3 Data'!H$10:H$145,0)+_xlfn.XLOOKUP('Summary Data'!$A136,'Round 4 Data'!$A$10:$A$147,'Round 4 Data'!H$10:H$147,0))/$D136</f>
        <v>#VALUE!</v>
      </c>
      <c r="I136" s="57" t="e">
        <f>(_xlfn.XLOOKUP('Summary Data'!$A136,'Round 1 Data'!$A$10:$A$143,'Round 1 Data'!I$10:I$144,0)+_xlfn.XLOOKUP('Summary Data'!$A136,'Round 2 Data'!$A$10:$A$146,'Round 2 Data'!I$10:I$146,0)+_xlfn.XLOOKUP('Summary Data'!$A136,'Round 3 Data'!$A$10:$A$145,'Round 3 Data'!I$10:I$145,0)+_xlfn.XLOOKUP('Summary Data'!$A136,'Round 4 Data'!$A$10:$A$147,'Round 4 Data'!I$10:I$147,0))/$D136</f>
        <v>#VALUE!</v>
      </c>
      <c r="J136" s="57" t="e">
        <f>(_xlfn.XLOOKUP('Summary Data'!$A136,'Round 1 Data'!$A$10:$A$143,'Round 1 Data'!J$10:J$144,0)+_xlfn.XLOOKUP('Summary Data'!$A136,'Round 2 Data'!$A$10:$A$146,'Round 2 Data'!J$10:J$146,0)+_xlfn.XLOOKUP('Summary Data'!$A136,'Round 3 Data'!$A$10:$A$145,'Round 3 Data'!J$10:J$145,0)+_xlfn.XLOOKUP('Summary Data'!$A136,'Round 4 Data'!$A$10:$A$147,'Round 4 Data'!J$10:J$147,0))/$D136</f>
        <v>#VALUE!</v>
      </c>
      <c r="K136" s="57" t="e">
        <f>(_xlfn.XLOOKUP('Summary Data'!$A136,'Round 1 Data'!$A$10:$A$143,'Round 1 Data'!K$10:K$144,0)+_xlfn.XLOOKUP('Summary Data'!$A136,'Round 2 Data'!$A$10:$A$146,'Round 2 Data'!K$10:K$146,0)+_xlfn.XLOOKUP('Summary Data'!$A136,'Round 3 Data'!$A$10:$A$145,'Round 3 Data'!K$10:K$145,0)+_xlfn.XLOOKUP('Summary Data'!$A136,'Round 4 Data'!$A$10:$A$147,'Round 4 Data'!K$10:K$147,0))/$D136</f>
        <v>#VALUE!</v>
      </c>
      <c r="L136" s="57" t="e">
        <f>(_xlfn.XLOOKUP('Summary Data'!$A136,'Round 1 Data'!$A$10:$A$143,'Round 1 Data'!L$10:L$144,0)+_xlfn.XLOOKUP('Summary Data'!$A136,'Round 2 Data'!$A$10:$A$146,'Round 2 Data'!L$10:L$146,0)+_xlfn.XLOOKUP('Summary Data'!$A136,'Round 3 Data'!$A$10:$A$145,'Round 3 Data'!L$10:L$145,0)+_xlfn.XLOOKUP('Summary Data'!$A136,'Round 4 Data'!$A$10:$A$147,'Round 4 Data'!L$10:L$147,0))/$D136</f>
        <v>#VALUE!</v>
      </c>
      <c r="M136" s="57" t="e">
        <f>(_xlfn.XLOOKUP('Summary Data'!$A136,'Round 1 Data'!$A$10:$A$143,'Round 1 Data'!M$10:M$144,0)+_xlfn.XLOOKUP('Summary Data'!$A136,'Round 2 Data'!$A$10:$A$146,'Round 2 Data'!M$10:M$146,0)+_xlfn.XLOOKUP('Summary Data'!$A136,'Round 3 Data'!$A$10:$A$145,'Round 3 Data'!M$10:M$145,0)+_xlfn.XLOOKUP('Summary Data'!$A136,'Round 4 Data'!$A$10:$A$147,'Round 4 Data'!M$10:M$147,0))/$D136</f>
        <v>#VALUE!</v>
      </c>
      <c r="N136" s="57" t="e">
        <f>(_xlfn.XLOOKUP('Summary Data'!$A136,'Round 1 Data'!$A$10:$A$143,'Round 1 Data'!N$10:N$144,0)+_xlfn.XLOOKUP('Summary Data'!$A136,'Round 2 Data'!$A$10:$A$146,'Round 2 Data'!N$10:N$146,0)+_xlfn.XLOOKUP('Summary Data'!$A136,'Round 3 Data'!$A$10:$A$145,'Round 3 Data'!N$10:N$145,0)+_xlfn.XLOOKUP('Summary Data'!$A136,'Round 4 Data'!$A$10:$A$147,'Round 4 Data'!N$10:N$147,0))/$D136</f>
        <v>#VALUE!</v>
      </c>
      <c r="O136" s="57" t="e">
        <f>(_xlfn.XLOOKUP('Summary Data'!$A136,'Round 1 Data'!$A$10:$A$143,'Round 1 Data'!O$10:O$144,0)+_xlfn.XLOOKUP('Summary Data'!$A136,'Round 2 Data'!$A$10:$A$146,'Round 2 Data'!O$10:O$146,0)+_xlfn.XLOOKUP('Summary Data'!$A136,'Round 3 Data'!$A$10:$A$145,'Round 3 Data'!O$10:O$145,0)+_xlfn.XLOOKUP('Summary Data'!$A136,'Round 4 Data'!$A$10:$A$147,'Round 4 Data'!O$10:O$147,0))/$D136</f>
        <v>#VALUE!</v>
      </c>
      <c r="P136" s="57" t="e">
        <f>(_xlfn.XLOOKUP('Summary Data'!$A136,'Round 1 Data'!$A$10:$A$143,'Round 1 Data'!P$10:P$144,0)+_xlfn.XLOOKUP('Summary Data'!$A136,'Round 2 Data'!$A$10:$A$146,'Round 2 Data'!P$10:P$146,0)+_xlfn.XLOOKUP('Summary Data'!$A136,'Round 3 Data'!$A$10:$A$145,'Round 3 Data'!P$10:P$145,0)+_xlfn.XLOOKUP('Summary Data'!$A136,'Round 4 Data'!$A$10:$A$147,'Round 4 Data'!P$10:P$147,0))/$D136</f>
        <v>#VALUE!</v>
      </c>
      <c r="Q136" s="57" t="e">
        <f>(_xlfn.XLOOKUP('Summary Data'!$A136,'Round 1 Data'!$A$10:$A$143,'Round 1 Data'!Q$10:Q$144,0)+_xlfn.XLOOKUP('Summary Data'!$A136,'Round 2 Data'!$A$10:$A$146,'Round 2 Data'!Q$10:Q$146,0)+_xlfn.XLOOKUP('Summary Data'!$A136,'Round 3 Data'!$A$10:$A$145,'Round 3 Data'!Q$10:Q$145,0)+_xlfn.XLOOKUP('Summary Data'!$A136,'Round 4 Data'!$A$10:$A$147,'Round 4 Data'!Q$10:Q$147,0))/$D136</f>
        <v>#VALUE!</v>
      </c>
      <c r="R136" s="57" t="e">
        <f>(_xlfn.XLOOKUP('Summary Data'!$A136,'Round 1 Data'!$A$10:$A$143,'Round 1 Data'!R$10:R$144,0)+_xlfn.XLOOKUP('Summary Data'!$A136,'Round 2 Data'!$A$10:$A$146,'Round 2 Data'!R$10:R$146,0)+_xlfn.XLOOKUP('Summary Data'!$A136,'Round 3 Data'!$A$10:$A$145,'Round 3 Data'!R$10:R$145,0)+_xlfn.XLOOKUP('Summary Data'!$A136,'Round 4 Data'!$A$10:$A$147,'Round 4 Data'!R$10:R$147,0))/$D136</f>
        <v>#VALUE!</v>
      </c>
      <c r="S136" s="57" t="e">
        <f>(_xlfn.XLOOKUP('Summary Data'!$A136,'Round 1 Data'!$A$10:$A$143,'Round 1 Data'!S$10:S$144,0)+_xlfn.XLOOKUP('Summary Data'!$A136,'Round 2 Data'!$A$10:$A$146,'Round 2 Data'!S$10:S$146,0)+_xlfn.XLOOKUP('Summary Data'!$A136,'Round 3 Data'!$A$10:$A$145,'Round 3 Data'!S$10:S$145,0)+_xlfn.XLOOKUP('Summary Data'!$A136,'Round 4 Data'!$A$10:$A$147,'Round 4 Data'!S$10:S$147,0))/$D136</f>
        <v>#VALUE!</v>
      </c>
      <c r="T136" s="62" t="e">
        <f>(_xlfn.XLOOKUP('Summary Data'!$A136,'Round 1 Data'!$A$10:$A$143,'Round 1 Data'!U$10:U$144,0)+_xlfn.XLOOKUP('Summary Data'!$A136,'Round 2 Data'!$A$10:$A$146,'Round 2 Data'!U$10:U$146,0)+_xlfn.XLOOKUP('Summary Data'!$A136,'Round 3 Data'!$A$10:$A$145,'Round 3 Data'!U$10:U$145,0)+_xlfn.XLOOKUP('Summary Data'!$A136,'Round 4 Data'!$A$10:$A$147,'Round 4 Data'!U$10:U$147,0))</f>
        <v>#VALUE!</v>
      </c>
    </row>
    <row r="137" spans="1:20" ht="16" thickBot="1" x14ac:dyDescent="0.25">
      <c r="A137" s="63" t="s">
        <v>32</v>
      </c>
      <c r="B137" t="s">
        <v>193</v>
      </c>
      <c r="C137" t="s">
        <v>201</v>
      </c>
      <c r="D137" t="e">
        <f>IF(_xlfn.XLOOKUP('Summary Data'!A137,'Round 1 Data'!$A$10:$A$143,'Round 1 Data'!$E$10:$E$144,0)=0,0,1)+IF(_xlfn.XLOOKUP('Summary Data'!A137,'Round 2 Data'!$A$10:$A$146,'Round 2 Data'!$E$10:$E$146,0)=0,0,1)+IF(_xlfn.XLOOKUP('Summary Data'!A137,'Round 3 Data'!$A$10:$A$145,'Round 3 Data'!$E$10:$E$145,0)=0,0,1)+IF(_xlfn.XLOOKUP('Summary Data'!A137,'Round 4 Data'!$A$10:$A$147,'Round 4 Data'!$E$10:$E$147,0)=0,0,1)</f>
        <v>#VALUE!</v>
      </c>
      <c r="E137" s="57" t="e">
        <f>(_xlfn.XLOOKUP('Summary Data'!$A137,'Round 1 Data'!$A$10:$A$143,'Round 1 Data'!E$10:E$144,0)+_xlfn.XLOOKUP('Summary Data'!$A137,'Round 2 Data'!$A$10:$A$146,'Round 2 Data'!E$10:E$146,0)+_xlfn.XLOOKUP('Summary Data'!$A137,'Round 3 Data'!$A$10:$A$145,'Round 3 Data'!E$10:E$145,0)+_xlfn.XLOOKUP('Summary Data'!$A137,'Round 4 Data'!$A$10:$A$147,'Round 4 Data'!E$10:E$147,0))/$D137</f>
        <v>#VALUE!</v>
      </c>
      <c r="F137" s="57" t="e">
        <f>(_xlfn.XLOOKUP('Summary Data'!$A137,'Round 1 Data'!$A$10:$A$143,'Round 1 Data'!F$10:F$144,0)+_xlfn.XLOOKUP('Summary Data'!$A137,'Round 2 Data'!$A$10:$A$146,'Round 2 Data'!F$10:F$146,0)+_xlfn.XLOOKUP('Summary Data'!$A137,'Round 3 Data'!$A$10:$A$145,'Round 3 Data'!F$10:F$145,0)+_xlfn.XLOOKUP('Summary Data'!$A137,'Round 4 Data'!$A$10:$A$147,'Round 4 Data'!F$10:F$147,0))/$D137</f>
        <v>#VALUE!</v>
      </c>
      <c r="G137" s="57" t="e">
        <f>(_xlfn.XLOOKUP('Summary Data'!$A137,'Round 1 Data'!$A$10:$A$143,'Round 1 Data'!G$10:G$144,0)+_xlfn.XLOOKUP('Summary Data'!$A137,'Round 2 Data'!$A$10:$A$146,'Round 2 Data'!G$10:G$146,0)+_xlfn.XLOOKUP('Summary Data'!$A137,'Round 3 Data'!$A$10:$A$145,'Round 3 Data'!G$10:G$145,0)+_xlfn.XLOOKUP('Summary Data'!$A137,'Round 4 Data'!$A$10:$A$147,'Round 4 Data'!G$10:G$147,0))/$D137</f>
        <v>#VALUE!</v>
      </c>
      <c r="H137" s="57" t="e">
        <f>(_xlfn.XLOOKUP('Summary Data'!$A137,'Round 1 Data'!$A$10:$A$143,'Round 1 Data'!H$10:H$144,0)+_xlfn.XLOOKUP('Summary Data'!$A137,'Round 2 Data'!$A$10:$A$146,'Round 2 Data'!H$10:H$146,0)+_xlfn.XLOOKUP('Summary Data'!$A137,'Round 3 Data'!$A$10:$A$145,'Round 3 Data'!H$10:H$145,0)+_xlfn.XLOOKUP('Summary Data'!$A137,'Round 4 Data'!$A$10:$A$147,'Round 4 Data'!H$10:H$147,0))/$D137</f>
        <v>#VALUE!</v>
      </c>
      <c r="I137" s="57" t="e">
        <f>(_xlfn.XLOOKUP('Summary Data'!$A137,'Round 1 Data'!$A$10:$A$143,'Round 1 Data'!I$10:I$144,0)+_xlfn.XLOOKUP('Summary Data'!$A137,'Round 2 Data'!$A$10:$A$146,'Round 2 Data'!I$10:I$146,0)+_xlfn.XLOOKUP('Summary Data'!$A137,'Round 3 Data'!$A$10:$A$145,'Round 3 Data'!I$10:I$145,0)+_xlfn.XLOOKUP('Summary Data'!$A137,'Round 4 Data'!$A$10:$A$147,'Round 4 Data'!I$10:I$147,0))/$D137</f>
        <v>#VALUE!</v>
      </c>
      <c r="J137" s="57" t="e">
        <f>(_xlfn.XLOOKUP('Summary Data'!$A137,'Round 1 Data'!$A$10:$A$143,'Round 1 Data'!J$10:J$144,0)+_xlfn.XLOOKUP('Summary Data'!$A137,'Round 2 Data'!$A$10:$A$146,'Round 2 Data'!J$10:J$146,0)+_xlfn.XLOOKUP('Summary Data'!$A137,'Round 3 Data'!$A$10:$A$145,'Round 3 Data'!J$10:J$145,0)+_xlfn.XLOOKUP('Summary Data'!$A137,'Round 4 Data'!$A$10:$A$147,'Round 4 Data'!J$10:J$147,0))/$D137</f>
        <v>#VALUE!</v>
      </c>
      <c r="K137" s="57" t="e">
        <f>(_xlfn.XLOOKUP('Summary Data'!$A137,'Round 1 Data'!$A$10:$A$143,'Round 1 Data'!K$10:K$144,0)+_xlfn.XLOOKUP('Summary Data'!$A137,'Round 2 Data'!$A$10:$A$146,'Round 2 Data'!K$10:K$146,0)+_xlfn.XLOOKUP('Summary Data'!$A137,'Round 3 Data'!$A$10:$A$145,'Round 3 Data'!K$10:K$145,0)+_xlfn.XLOOKUP('Summary Data'!$A137,'Round 4 Data'!$A$10:$A$147,'Round 4 Data'!K$10:K$147,0))/$D137</f>
        <v>#VALUE!</v>
      </c>
      <c r="L137" s="57" t="e">
        <f>(_xlfn.XLOOKUP('Summary Data'!$A137,'Round 1 Data'!$A$10:$A$143,'Round 1 Data'!L$10:L$144,0)+_xlfn.XLOOKUP('Summary Data'!$A137,'Round 2 Data'!$A$10:$A$146,'Round 2 Data'!L$10:L$146,0)+_xlfn.XLOOKUP('Summary Data'!$A137,'Round 3 Data'!$A$10:$A$145,'Round 3 Data'!L$10:L$145,0)+_xlfn.XLOOKUP('Summary Data'!$A137,'Round 4 Data'!$A$10:$A$147,'Round 4 Data'!L$10:L$147,0))/$D137</f>
        <v>#VALUE!</v>
      </c>
      <c r="M137" s="57" t="e">
        <f>(_xlfn.XLOOKUP('Summary Data'!$A137,'Round 1 Data'!$A$10:$A$143,'Round 1 Data'!M$10:M$144,0)+_xlfn.XLOOKUP('Summary Data'!$A137,'Round 2 Data'!$A$10:$A$146,'Round 2 Data'!M$10:M$146,0)+_xlfn.XLOOKUP('Summary Data'!$A137,'Round 3 Data'!$A$10:$A$145,'Round 3 Data'!M$10:M$145,0)+_xlfn.XLOOKUP('Summary Data'!$A137,'Round 4 Data'!$A$10:$A$147,'Round 4 Data'!M$10:M$147,0))/$D137</f>
        <v>#VALUE!</v>
      </c>
      <c r="N137" s="57" t="e">
        <f>(_xlfn.XLOOKUP('Summary Data'!$A137,'Round 1 Data'!$A$10:$A$143,'Round 1 Data'!N$10:N$144,0)+_xlfn.XLOOKUP('Summary Data'!$A137,'Round 2 Data'!$A$10:$A$146,'Round 2 Data'!N$10:N$146,0)+_xlfn.XLOOKUP('Summary Data'!$A137,'Round 3 Data'!$A$10:$A$145,'Round 3 Data'!N$10:N$145,0)+_xlfn.XLOOKUP('Summary Data'!$A137,'Round 4 Data'!$A$10:$A$147,'Round 4 Data'!N$10:N$147,0))/$D137</f>
        <v>#VALUE!</v>
      </c>
      <c r="O137" s="57" t="e">
        <f>(_xlfn.XLOOKUP('Summary Data'!$A137,'Round 1 Data'!$A$10:$A$143,'Round 1 Data'!O$10:O$144,0)+_xlfn.XLOOKUP('Summary Data'!$A137,'Round 2 Data'!$A$10:$A$146,'Round 2 Data'!O$10:O$146,0)+_xlfn.XLOOKUP('Summary Data'!$A137,'Round 3 Data'!$A$10:$A$145,'Round 3 Data'!O$10:O$145,0)+_xlfn.XLOOKUP('Summary Data'!$A137,'Round 4 Data'!$A$10:$A$147,'Round 4 Data'!O$10:O$147,0))/$D137</f>
        <v>#VALUE!</v>
      </c>
      <c r="P137" s="57" t="e">
        <f>(_xlfn.XLOOKUP('Summary Data'!$A137,'Round 1 Data'!$A$10:$A$143,'Round 1 Data'!P$10:P$144,0)+_xlfn.XLOOKUP('Summary Data'!$A137,'Round 2 Data'!$A$10:$A$146,'Round 2 Data'!P$10:P$146,0)+_xlfn.XLOOKUP('Summary Data'!$A137,'Round 3 Data'!$A$10:$A$145,'Round 3 Data'!P$10:P$145,0)+_xlfn.XLOOKUP('Summary Data'!$A137,'Round 4 Data'!$A$10:$A$147,'Round 4 Data'!P$10:P$147,0))/$D137</f>
        <v>#VALUE!</v>
      </c>
      <c r="Q137" s="57" t="e">
        <f>(_xlfn.XLOOKUP('Summary Data'!$A137,'Round 1 Data'!$A$10:$A$143,'Round 1 Data'!Q$10:Q$144,0)+_xlfn.XLOOKUP('Summary Data'!$A137,'Round 2 Data'!$A$10:$A$146,'Round 2 Data'!Q$10:Q$146,0)+_xlfn.XLOOKUP('Summary Data'!$A137,'Round 3 Data'!$A$10:$A$145,'Round 3 Data'!Q$10:Q$145,0)+_xlfn.XLOOKUP('Summary Data'!$A137,'Round 4 Data'!$A$10:$A$147,'Round 4 Data'!Q$10:Q$147,0))/$D137</f>
        <v>#VALUE!</v>
      </c>
      <c r="R137" s="57" t="e">
        <f>(_xlfn.XLOOKUP('Summary Data'!$A137,'Round 1 Data'!$A$10:$A$143,'Round 1 Data'!R$10:R$144,0)+_xlfn.XLOOKUP('Summary Data'!$A137,'Round 2 Data'!$A$10:$A$146,'Round 2 Data'!R$10:R$146,0)+_xlfn.XLOOKUP('Summary Data'!$A137,'Round 3 Data'!$A$10:$A$145,'Round 3 Data'!R$10:R$145,0)+_xlfn.XLOOKUP('Summary Data'!$A137,'Round 4 Data'!$A$10:$A$147,'Round 4 Data'!R$10:R$147,0))/$D137</f>
        <v>#VALUE!</v>
      </c>
      <c r="S137" s="57" t="e">
        <f>(_xlfn.XLOOKUP('Summary Data'!$A137,'Round 1 Data'!$A$10:$A$143,'Round 1 Data'!S$10:S$144,0)+_xlfn.XLOOKUP('Summary Data'!$A137,'Round 2 Data'!$A$10:$A$146,'Round 2 Data'!S$10:S$146,0)+_xlfn.XLOOKUP('Summary Data'!$A137,'Round 3 Data'!$A$10:$A$145,'Round 3 Data'!S$10:S$145,0)+_xlfn.XLOOKUP('Summary Data'!$A137,'Round 4 Data'!$A$10:$A$147,'Round 4 Data'!S$10:S$147,0))/$D137</f>
        <v>#VALUE!</v>
      </c>
      <c r="T137" s="62" t="e">
        <f>(_xlfn.XLOOKUP('Summary Data'!$A137,'Round 1 Data'!$A$10:$A$143,'Round 1 Data'!U$10:U$144,0)+_xlfn.XLOOKUP('Summary Data'!$A137,'Round 2 Data'!$A$10:$A$146,'Round 2 Data'!U$10:U$146,0)+_xlfn.XLOOKUP('Summary Data'!$A137,'Round 3 Data'!$A$10:$A$145,'Round 3 Data'!U$10:U$145,0)+_xlfn.XLOOKUP('Summary Data'!$A137,'Round 4 Data'!$A$10:$A$147,'Round 4 Data'!U$10:U$147,0))</f>
        <v>#VALUE!</v>
      </c>
    </row>
    <row r="138" spans="1:20" ht="16" thickBot="1" x14ac:dyDescent="0.25">
      <c r="A138" s="61" t="s">
        <v>33</v>
      </c>
      <c r="B138" t="s">
        <v>193</v>
      </c>
      <c r="C138" t="s">
        <v>201</v>
      </c>
      <c r="D138" t="e">
        <f>IF(_xlfn.XLOOKUP('Summary Data'!A138,'Round 1 Data'!$A$10:$A$143,'Round 1 Data'!$E$10:$E$144,0)=0,0,1)+IF(_xlfn.XLOOKUP('Summary Data'!A138,'Round 2 Data'!$A$10:$A$146,'Round 2 Data'!$E$10:$E$146,0)=0,0,1)+IF(_xlfn.XLOOKUP('Summary Data'!A138,'Round 3 Data'!$A$10:$A$145,'Round 3 Data'!$E$10:$E$145,0)=0,0,1)+IF(_xlfn.XLOOKUP('Summary Data'!A138,'Round 4 Data'!$A$10:$A$147,'Round 4 Data'!$E$10:$E$147,0)=0,0,1)</f>
        <v>#VALUE!</v>
      </c>
      <c r="E138" s="57" t="e">
        <f>(_xlfn.XLOOKUP('Summary Data'!$A138,'Round 1 Data'!$A$10:$A$143,'Round 1 Data'!E$10:E$144,0)+_xlfn.XLOOKUP('Summary Data'!$A138,'Round 2 Data'!$A$10:$A$146,'Round 2 Data'!E$10:E$146,0)+_xlfn.XLOOKUP('Summary Data'!$A138,'Round 3 Data'!$A$10:$A$145,'Round 3 Data'!E$10:E$145,0)+_xlfn.XLOOKUP('Summary Data'!$A138,'Round 4 Data'!$A$10:$A$147,'Round 4 Data'!E$10:E$147,0))/$D138</f>
        <v>#VALUE!</v>
      </c>
      <c r="F138" s="57" t="e">
        <f>(_xlfn.XLOOKUP('Summary Data'!$A138,'Round 1 Data'!$A$10:$A$143,'Round 1 Data'!F$10:F$144,0)+_xlfn.XLOOKUP('Summary Data'!$A138,'Round 2 Data'!$A$10:$A$146,'Round 2 Data'!F$10:F$146,0)+_xlfn.XLOOKUP('Summary Data'!$A138,'Round 3 Data'!$A$10:$A$145,'Round 3 Data'!F$10:F$145,0)+_xlfn.XLOOKUP('Summary Data'!$A138,'Round 4 Data'!$A$10:$A$147,'Round 4 Data'!F$10:F$147,0))/$D138</f>
        <v>#VALUE!</v>
      </c>
      <c r="G138" s="57" t="e">
        <f>(_xlfn.XLOOKUP('Summary Data'!$A138,'Round 1 Data'!$A$10:$A$143,'Round 1 Data'!G$10:G$144,0)+_xlfn.XLOOKUP('Summary Data'!$A138,'Round 2 Data'!$A$10:$A$146,'Round 2 Data'!G$10:G$146,0)+_xlfn.XLOOKUP('Summary Data'!$A138,'Round 3 Data'!$A$10:$A$145,'Round 3 Data'!G$10:G$145,0)+_xlfn.XLOOKUP('Summary Data'!$A138,'Round 4 Data'!$A$10:$A$147,'Round 4 Data'!G$10:G$147,0))/$D138</f>
        <v>#VALUE!</v>
      </c>
      <c r="H138" s="57" t="e">
        <f>(_xlfn.XLOOKUP('Summary Data'!$A138,'Round 1 Data'!$A$10:$A$143,'Round 1 Data'!H$10:H$144,0)+_xlfn.XLOOKUP('Summary Data'!$A138,'Round 2 Data'!$A$10:$A$146,'Round 2 Data'!H$10:H$146,0)+_xlfn.XLOOKUP('Summary Data'!$A138,'Round 3 Data'!$A$10:$A$145,'Round 3 Data'!H$10:H$145,0)+_xlfn.XLOOKUP('Summary Data'!$A138,'Round 4 Data'!$A$10:$A$147,'Round 4 Data'!H$10:H$147,0))/$D138</f>
        <v>#VALUE!</v>
      </c>
      <c r="I138" s="57" t="e">
        <f>(_xlfn.XLOOKUP('Summary Data'!$A138,'Round 1 Data'!$A$10:$A$143,'Round 1 Data'!I$10:I$144,0)+_xlfn.XLOOKUP('Summary Data'!$A138,'Round 2 Data'!$A$10:$A$146,'Round 2 Data'!I$10:I$146,0)+_xlfn.XLOOKUP('Summary Data'!$A138,'Round 3 Data'!$A$10:$A$145,'Round 3 Data'!I$10:I$145,0)+_xlfn.XLOOKUP('Summary Data'!$A138,'Round 4 Data'!$A$10:$A$147,'Round 4 Data'!I$10:I$147,0))/$D138</f>
        <v>#VALUE!</v>
      </c>
      <c r="J138" s="57" t="e">
        <f>(_xlfn.XLOOKUP('Summary Data'!$A138,'Round 1 Data'!$A$10:$A$143,'Round 1 Data'!J$10:J$144,0)+_xlfn.XLOOKUP('Summary Data'!$A138,'Round 2 Data'!$A$10:$A$146,'Round 2 Data'!J$10:J$146,0)+_xlfn.XLOOKUP('Summary Data'!$A138,'Round 3 Data'!$A$10:$A$145,'Round 3 Data'!J$10:J$145,0)+_xlfn.XLOOKUP('Summary Data'!$A138,'Round 4 Data'!$A$10:$A$147,'Round 4 Data'!J$10:J$147,0))/$D138</f>
        <v>#VALUE!</v>
      </c>
      <c r="K138" s="57" t="e">
        <f>(_xlfn.XLOOKUP('Summary Data'!$A138,'Round 1 Data'!$A$10:$A$143,'Round 1 Data'!K$10:K$144,0)+_xlfn.XLOOKUP('Summary Data'!$A138,'Round 2 Data'!$A$10:$A$146,'Round 2 Data'!K$10:K$146,0)+_xlfn.XLOOKUP('Summary Data'!$A138,'Round 3 Data'!$A$10:$A$145,'Round 3 Data'!K$10:K$145,0)+_xlfn.XLOOKUP('Summary Data'!$A138,'Round 4 Data'!$A$10:$A$147,'Round 4 Data'!K$10:K$147,0))/$D138</f>
        <v>#VALUE!</v>
      </c>
      <c r="L138" s="57" t="e">
        <f>(_xlfn.XLOOKUP('Summary Data'!$A138,'Round 1 Data'!$A$10:$A$143,'Round 1 Data'!L$10:L$144,0)+_xlfn.XLOOKUP('Summary Data'!$A138,'Round 2 Data'!$A$10:$A$146,'Round 2 Data'!L$10:L$146,0)+_xlfn.XLOOKUP('Summary Data'!$A138,'Round 3 Data'!$A$10:$A$145,'Round 3 Data'!L$10:L$145,0)+_xlfn.XLOOKUP('Summary Data'!$A138,'Round 4 Data'!$A$10:$A$147,'Round 4 Data'!L$10:L$147,0))/$D138</f>
        <v>#VALUE!</v>
      </c>
      <c r="M138" s="57" t="e">
        <f>(_xlfn.XLOOKUP('Summary Data'!$A138,'Round 1 Data'!$A$10:$A$143,'Round 1 Data'!M$10:M$144,0)+_xlfn.XLOOKUP('Summary Data'!$A138,'Round 2 Data'!$A$10:$A$146,'Round 2 Data'!M$10:M$146,0)+_xlfn.XLOOKUP('Summary Data'!$A138,'Round 3 Data'!$A$10:$A$145,'Round 3 Data'!M$10:M$145,0)+_xlfn.XLOOKUP('Summary Data'!$A138,'Round 4 Data'!$A$10:$A$147,'Round 4 Data'!M$10:M$147,0))/$D138</f>
        <v>#VALUE!</v>
      </c>
      <c r="N138" s="57" t="e">
        <f>(_xlfn.XLOOKUP('Summary Data'!$A138,'Round 1 Data'!$A$10:$A$143,'Round 1 Data'!N$10:N$144,0)+_xlfn.XLOOKUP('Summary Data'!$A138,'Round 2 Data'!$A$10:$A$146,'Round 2 Data'!N$10:N$146,0)+_xlfn.XLOOKUP('Summary Data'!$A138,'Round 3 Data'!$A$10:$A$145,'Round 3 Data'!N$10:N$145,0)+_xlfn.XLOOKUP('Summary Data'!$A138,'Round 4 Data'!$A$10:$A$147,'Round 4 Data'!N$10:N$147,0))/$D138</f>
        <v>#VALUE!</v>
      </c>
      <c r="O138" s="57" t="e">
        <f>(_xlfn.XLOOKUP('Summary Data'!$A138,'Round 1 Data'!$A$10:$A$143,'Round 1 Data'!O$10:O$144,0)+_xlfn.XLOOKUP('Summary Data'!$A138,'Round 2 Data'!$A$10:$A$146,'Round 2 Data'!O$10:O$146,0)+_xlfn.XLOOKUP('Summary Data'!$A138,'Round 3 Data'!$A$10:$A$145,'Round 3 Data'!O$10:O$145,0)+_xlfn.XLOOKUP('Summary Data'!$A138,'Round 4 Data'!$A$10:$A$147,'Round 4 Data'!O$10:O$147,0))/$D138</f>
        <v>#VALUE!</v>
      </c>
      <c r="P138" s="57" t="e">
        <f>(_xlfn.XLOOKUP('Summary Data'!$A138,'Round 1 Data'!$A$10:$A$143,'Round 1 Data'!P$10:P$144,0)+_xlfn.XLOOKUP('Summary Data'!$A138,'Round 2 Data'!$A$10:$A$146,'Round 2 Data'!P$10:P$146,0)+_xlfn.XLOOKUP('Summary Data'!$A138,'Round 3 Data'!$A$10:$A$145,'Round 3 Data'!P$10:P$145,0)+_xlfn.XLOOKUP('Summary Data'!$A138,'Round 4 Data'!$A$10:$A$147,'Round 4 Data'!P$10:P$147,0))/$D138</f>
        <v>#VALUE!</v>
      </c>
      <c r="Q138" s="57" t="e">
        <f>(_xlfn.XLOOKUP('Summary Data'!$A138,'Round 1 Data'!$A$10:$A$143,'Round 1 Data'!Q$10:Q$144,0)+_xlfn.XLOOKUP('Summary Data'!$A138,'Round 2 Data'!$A$10:$A$146,'Round 2 Data'!Q$10:Q$146,0)+_xlfn.XLOOKUP('Summary Data'!$A138,'Round 3 Data'!$A$10:$A$145,'Round 3 Data'!Q$10:Q$145,0)+_xlfn.XLOOKUP('Summary Data'!$A138,'Round 4 Data'!$A$10:$A$147,'Round 4 Data'!Q$10:Q$147,0))/$D138</f>
        <v>#VALUE!</v>
      </c>
      <c r="R138" s="57" t="e">
        <f>(_xlfn.XLOOKUP('Summary Data'!$A138,'Round 1 Data'!$A$10:$A$143,'Round 1 Data'!R$10:R$144,0)+_xlfn.XLOOKUP('Summary Data'!$A138,'Round 2 Data'!$A$10:$A$146,'Round 2 Data'!R$10:R$146,0)+_xlfn.XLOOKUP('Summary Data'!$A138,'Round 3 Data'!$A$10:$A$145,'Round 3 Data'!R$10:R$145,0)+_xlfn.XLOOKUP('Summary Data'!$A138,'Round 4 Data'!$A$10:$A$147,'Round 4 Data'!R$10:R$147,0))/$D138</f>
        <v>#VALUE!</v>
      </c>
      <c r="S138" s="57" t="e">
        <f>(_xlfn.XLOOKUP('Summary Data'!$A138,'Round 1 Data'!$A$10:$A$143,'Round 1 Data'!S$10:S$144,0)+_xlfn.XLOOKUP('Summary Data'!$A138,'Round 2 Data'!$A$10:$A$146,'Round 2 Data'!S$10:S$146,0)+_xlfn.XLOOKUP('Summary Data'!$A138,'Round 3 Data'!$A$10:$A$145,'Round 3 Data'!S$10:S$145,0)+_xlfn.XLOOKUP('Summary Data'!$A138,'Round 4 Data'!$A$10:$A$147,'Round 4 Data'!S$10:S$147,0))/$D138</f>
        <v>#VALUE!</v>
      </c>
      <c r="T138" s="62" t="e">
        <f>(_xlfn.XLOOKUP('Summary Data'!$A138,'Round 1 Data'!$A$10:$A$143,'Round 1 Data'!U$10:U$144,0)+_xlfn.XLOOKUP('Summary Data'!$A138,'Round 2 Data'!$A$10:$A$146,'Round 2 Data'!U$10:U$146,0)+_xlfn.XLOOKUP('Summary Data'!$A138,'Round 3 Data'!$A$10:$A$145,'Round 3 Data'!U$10:U$145,0)+_xlfn.XLOOKUP('Summary Data'!$A138,'Round 4 Data'!$A$10:$A$147,'Round 4 Data'!U$10:U$147,0))</f>
        <v>#VALUE!</v>
      </c>
    </row>
    <row r="139" spans="1:20" ht="16" thickBot="1" x14ac:dyDescent="0.25">
      <c r="A139" s="61" t="s">
        <v>148</v>
      </c>
      <c r="B139" t="s">
        <v>189</v>
      </c>
      <c r="C139" t="s">
        <v>201</v>
      </c>
      <c r="D139" t="e">
        <f>IF(_xlfn.XLOOKUP('Summary Data'!A139,'Round 1 Data'!$A$10:$A$143,'Round 1 Data'!$E$10:$E$144,0)=0,0,1)+IF(_xlfn.XLOOKUP('Summary Data'!A139,'Round 2 Data'!$A$10:$A$146,'Round 2 Data'!$E$10:$E$146,0)=0,0,1)+IF(_xlfn.XLOOKUP('Summary Data'!A139,'Round 3 Data'!$A$10:$A$145,'Round 3 Data'!$E$10:$E$145,0)=0,0,1)+IF(_xlfn.XLOOKUP('Summary Data'!A139,'Round 4 Data'!$A$10:$A$147,'Round 4 Data'!$E$10:$E$147,0)=0,0,1)</f>
        <v>#VALUE!</v>
      </c>
      <c r="E139" s="57" t="e">
        <f>(_xlfn.XLOOKUP('Summary Data'!$A139,'Round 1 Data'!$A$10:$A$143,'Round 1 Data'!E$10:E$144,0)+_xlfn.XLOOKUP('Summary Data'!$A139,'Round 2 Data'!$A$10:$A$146,'Round 2 Data'!E$10:E$146,0)+_xlfn.XLOOKUP('Summary Data'!$A139,'Round 3 Data'!$A$10:$A$145,'Round 3 Data'!E$10:E$145,0)+_xlfn.XLOOKUP('Summary Data'!$A139,'Round 4 Data'!$A$10:$A$147,'Round 4 Data'!E$10:E$147,0))/$D139</f>
        <v>#VALUE!</v>
      </c>
      <c r="F139" s="57" t="e">
        <f>(_xlfn.XLOOKUP('Summary Data'!$A139,'Round 1 Data'!$A$10:$A$143,'Round 1 Data'!F$10:F$144,0)+_xlfn.XLOOKUP('Summary Data'!$A139,'Round 2 Data'!$A$10:$A$146,'Round 2 Data'!F$10:F$146,0)+_xlfn.XLOOKUP('Summary Data'!$A139,'Round 3 Data'!$A$10:$A$145,'Round 3 Data'!F$10:F$145,0)+_xlfn.XLOOKUP('Summary Data'!$A139,'Round 4 Data'!$A$10:$A$147,'Round 4 Data'!F$10:F$147,0))/$D139</f>
        <v>#VALUE!</v>
      </c>
      <c r="G139" s="57" t="e">
        <f>(_xlfn.XLOOKUP('Summary Data'!$A139,'Round 1 Data'!$A$10:$A$143,'Round 1 Data'!G$10:G$144,0)+_xlfn.XLOOKUP('Summary Data'!$A139,'Round 2 Data'!$A$10:$A$146,'Round 2 Data'!G$10:G$146,0)+_xlfn.XLOOKUP('Summary Data'!$A139,'Round 3 Data'!$A$10:$A$145,'Round 3 Data'!G$10:G$145,0)+_xlfn.XLOOKUP('Summary Data'!$A139,'Round 4 Data'!$A$10:$A$147,'Round 4 Data'!G$10:G$147,0))/$D139</f>
        <v>#VALUE!</v>
      </c>
      <c r="H139" s="57" t="e">
        <f>(_xlfn.XLOOKUP('Summary Data'!$A139,'Round 1 Data'!$A$10:$A$143,'Round 1 Data'!H$10:H$144,0)+_xlfn.XLOOKUP('Summary Data'!$A139,'Round 2 Data'!$A$10:$A$146,'Round 2 Data'!H$10:H$146,0)+_xlfn.XLOOKUP('Summary Data'!$A139,'Round 3 Data'!$A$10:$A$145,'Round 3 Data'!H$10:H$145,0)+_xlfn.XLOOKUP('Summary Data'!$A139,'Round 4 Data'!$A$10:$A$147,'Round 4 Data'!H$10:H$147,0))/$D139</f>
        <v>#VALUE!</v>
      </c>
      <c r="I139" s="57" t="e">
        <f>(_xlfn.XLOOKUP('Summary Data'!$A139,'Round 1 Data'!$A$10:$A$143,'Round 1 Data'!I$10:I$144,0)+_xlfn.XLOOKUP('Summary Data'!$A139,'Round 2 Data'!$A$10:$A$146,'Round 2 Data'!I$10:I$146,0)+_xlfn.XLOOKUP('Summary Data'!$A139,'Round 3 Data'!$A$10:$A$145,'Round 3 Data'!I$10:I$145,0)+_xlfn.XLOOKUP('Summary Data'!$A139,'Round 4 Data'!$A$10:$A$147,'Round 4 Data'!I$10:I$147,0))/$D139</f>
        <v>#VALUE!</v>
      </c>
      <c r="J139" s="57" t="e">
        <f>(_xlfn.XLOOKUP('Summary Data'!$A139,'Round 1 Data'!$A$10:$A$143,'Round 1 Data'!J$10:J$144,0)+_xlfn.XLOOKUP('Summary Data'!$A139,'Round 2 Data'!$A$10:$A$146,'Round 2 Data'!J$10:J$146,0)+_xlfn.XLOOKUP('Summary Data'!$A139,'Round 3 Data'!$A$10:$A$145,'Round 3 Data'!J$10:J$145,0)+_xlfn.XLOOKUP('Summary Data'!$A139,'Round 4 Data'!$A$10:$A$147,'Round 4 Data'!J$10:J$147,0))/$D139</f>
        <v>#VALUE!</v>
      </c>
      <c r="K139" s="57" t="e">
        <f>(_xlfn.XLOOKUP('Summary Data'!$A139,'Round 1 Data'!$A$10:$A$143,'Round 1 Data'!K$10:K$144,0)+_xlfn.XLOOKUP('Summary Data'!$A139,'Round 2 Data'!$A$10:$A$146,'Round 2 Data'!K$10:K$146,0)+_xlfn.XLOOKUP('Summary Data'!$A139,'Round 3 Data'!$A$10:$A$145,'Round 3 Data'!K$10:K$145,0)+_xlfn.XLOOKUP('Summary Data'!$A139,'Round 4 Data'!$A$10:$A$147,'Round 4 Data'!K$10:K$147,0))/$D139</f>
        <v>#VALUE!</v>
      </c>
      <c r="L139" s="57" t="e">
        <f>(_xlfn.XLOOKUP('Summary Data'!$A139,'Round 1 Data'!$A$10:$A$143,'Round 1 Data'!L$10:L$144,0)+_xlfn.XLOOKUP('Summary Data'!$A139,'Round 2 Data'!$A$10:$A$146,'Round 2 Data'!L$10:L$146,0)+_xlfn.XLOOKUP('Summary Data'!$A139,'Round 3 Data'!$A$10:$A$145,'Round 3 Data'!L$10:L$145,0)+_xlfn.XLOOKUP('Summary Data'!$A139,'Round 4 Data'!$A$10:$A$147,'Round 4 Data'!L$10:L$147,0))/$D139</f>
        <v>#VALUE!</v>
      </c>
      <c r="M139" s="57" t="e">
        <f>(_xlfn.XLOOKUP('Summary Data'!$A139,'Round 1 Data'!$A$10:$A$143,'Round 1 Data'!M$10:M$144,0)+_xlfn.XLOOKUP('Summary Data'!$A139,'Round 2 Data'!$A$10:$A$146,'Round 2 Data'!M$10:M$146,0)+_xlfn.XLOOKUP('Summary Data'!$A139,'Round 3 Data'!$A$10:$A$145,'Round 3 Data'!M$10:M$145,0)+_xlfn.XLOOKUP('Summary Data'!$A139,'Round 4 Data'!$A$10:$A$147,'Round 4 Data'!M$10:M$147,0))/$D139</f>
        <v>#VALUE!</v>
      </c>
      <c r="N139" s="57" t="e">
        <f>(_xlfn.XLOOKUP('Summary Data'!$A139,'Round 1 Data'!$A$10:$A$143,'Round 1 Data'!N$10:N$144,0)+_xlfn.XLOOKUP('Summary Data'!$A139,'Round 2 Data'!$A$10:$A$146,'Round 2 Data'!N$10:N$146,0)+_xlfn.XLOOKUP('Summary Data'!$A139,'Round 3 Data'!$A$10:$A$145,'Round 3 Data'!N$10:N$145,0)+_xlfn.XLOOKUP('Summary Data'!$A139,'Round 4 Data'!$A$10:$A$147,'Round 4 Data'!N$10:N$147,0))/$D139</f>
        <v>#VALUE!</v>
      </c>
      <c r="O139" s="57" t="e">
        <f>(_xlfn.XLOOKUP('Summary Data'!$A139,'Round 1 Data'!$A$10:$A$143,'Round 1 Data'!O$10:O$144,0)+_xlfn.XLOOKUP('Summary Data'!$A139,'Round 2 Data'!$A$10:$A$146,'Round 2 Data'!O$10:O$146,0)+_xlfn.XLOOKUP('Summary Data'!$A139,'Round 3 Data'!$A$10:$A$145,'Round 3 Data'!O$10:O$145,0)+_xlfn.XLOOKUP('Summary Data'!$A139,'Round 4 Data'!$A$10:$A$147,'Round 4 Data'!O$10:O$147,0))/$D139</f>
        <v>#VALUE!</v>
      </c>
      <c r="P139" s="57" t="e">
        <f>(_xlfn.XLOOKUP('Summary Data'!$A139,'Round 1 Data'!$A$10:$A$143,'Round 1 Data'!P$10:P$144,0)+_xlfn.XLOOKUP('Summary Data'!$A139,'Round 2 Data'!$A$10:$A$146,'Round 2 Data'!P$10:P$146,0)+_xlfn.XLOOKUP('Summary Data'!$A139,'Round 3 Data'!$A$10:$A$145,'Round 3 Data'!P$10:P$145,0)+_xlfn.XLOOKUP('Summary Data'!$A139,'Round 4 Data'!$A$10:$A$147,'Round 4 Data'!P$10:P$147,0))/$D139</f>
        <v>#VALUE!</v>
      </c>
      <c r="Q139" s="57" t="e">
        <f>(_xlfn.XLOOKUP('Summary Data'!$A139,'Round 1 Data'!$A$10:$A$143,'Round 1 Data'!Q$10:Q$144,0)+_xlfn.XLOOKUP('Summary Data'!$A139,'Round 2 Data'!$A$10:$A$146,'Round 2 Data'!Q$10:Q$146,0)+_xlfn.XLOOKUP('Summary Data'!$A139,'Round 3 Data'!$A$10:$A$145,'Round 3 Data'!Q$10:Q$145,0)+_xlfn.XLOOKUP('Summary Data'!$A139,'Round 4 Data'!$A$10:$A$147,'Round 4 Data'!Q$10:Q$147,0))/$D139</f>
        <v>#VALUE!</v>
      </c>
      <c r="R139" s="57" t="e">
        <f>(_xlfn.XLOOKUP('Summary Data'!$A139,'Round 1 Data'!$A$10:$A$143,'Round 1 Data'!R$10:R$144,0)+_xlfn.XLOOKUP('Summary Data'!$A139,'Round 2 Data'!$A$10:$A$146,'Round 2 Data'!R$10:R$146,0)+_xlfn.XLOOKUP('Summary Data'!$A139,'Round 3 Data'!$A$10:$A$145,'Round 3 Data'!R$10:R$145,0)+_xlfn.XLOOKUP('Summary Data'!$A139,'Round 4 Data'!$A$10:$A$147,'Round 4 Data'!R$10:R$147,0))/$D139</f>
        <v>#VALUE!</v>
      </c>
      <c r="S139" s="57" t="e">
        <f>(_xlfn.XLOOKUP('Summary Data'!$A139,'Round 1 Data'!$A$10:$A$143,'Round 1 Data'!S$10:S$144,0)+_xlfn.XLOOKUP('Summary Data'!$A139,'Round 2 Data'!$A$10:$A$146,'Round 2 Data'!S$10:S$146,0)+_xlfn.XLOOKUP('Summary Data'!$A139,'Round 3 Data'!$A$10:$A$145,'Round 3 Data'!S$10:S$145,0)+_xlfn.XLOOKUP('Summary Data'!$A139,'Round 4 Data'!$A$10:$A$147,'Round 4 Data'!S$10:S$147,0))/$D139</f>
        <v>#VALUE!</v>
      </c>
      <c r="T139" s="62" t="e">
        <f>(_xlfn.XLOOKUP('Summary Data'!$A139,'Round 1 Data'!$A$10:$A$143,'Round 1 Data'!U$10:U$144,0)+_xlfn.XLOOKUP('Summary Data'!$A139,'Round 2 Data'!$A$10:$A$146,'Round 2 Data'!U$10:U$146,0)+_xlfn.XLOOKUP('Summary Data'!$A139,'Round 3 Data'!$A$10:$A$145,'Round 3 Data'!U$10:U$145,0)+_xlfn.XLOOKUP('Summary Data'!$A139,'Round 4 Data'!$A$10:$A$147,'Round 4 Data'!U$10:U$147,0))</f>
        <v>#VALUE!</v>
      </c>
    </row>
    <row r="140" spans="1:20" ht="16" thickBot="1" x14ac:dyDescent="0.25">
      <c r="A140" s="63" t="s">
        <v>21</v>
      </c>
      <c r="B140" t="s">
        <v>193</v>
      </c>
      <c r="C140" t="s">
        <v>198</v>
      </c>
      <c r="D140" t="e">
        <f>IF(_xlfn.XLOOKUP('Summary Data'!A140,'Round 1 Data'!$A$10:$A$143,'Round 1 Data'!$E$10:$E$144,0)=0,0,1)+IF(_xlfn.XLOOKUP('Summary Data'!A140,'Round 2 Data'!$A$10:$A$146,'Round 2 Data'!$E$10:$E$146,0)=0,0,1)+IF(_xlfn.XLOOKUP('Summary Data'!A140,'Round 3 Data'!$A$10:$A$145,'Round 3 Data'!$E$10:$E$145,0)=0,0,1)+IF(_xlfn.XLOOKUP('Summary Data'!A140,'Round 4 Data'!$A$10:$A$147,'Round 4 Data'!$E$10:$E$147,0)=0,0,1)</f>
        <v>#VALUE!</v>
      </c>
      <c r="E140" s="57" t="e">
        <f>(_xlfn.XLOOKUP('Summary Data'!$A140,'Round 1 Data'!$A$10:$A$143,'Round 1 Data'!E$10:E$144,0)+_xlfn.XLOOKUP('Summary Data'!$A140,'Round 2 Data'!$A$10:$A$146,'Round 2 Data'!E$10:E$146,0)+_xlfn.XLOOKUP('Summary Data'!$A140,'Round 3 Data'!$A$10:$A$145,'Round 3 Data'!E$10:E$145,0)+_xlfn.XLOOKUP('Summary Data'!$A140,'Round 4 Data'!$A$10:$A$147,'Round 4 Data'!E$10:E$147,0))/$D140</f>
        <v>#VALUE!</v>
      </c>
      <c r="F140" s="57" t="e">
        <f>(_xlfn.XLOOKUP('Summary Data'!$A140,'Round 1 Data'!$A$10:$A$143,'Round 1 Data'!F$10:F$144,0)+_xlfn.XLOOKUP('Summary Data'!$A140,'Round 2 Data'!$A$10:$A$146,'Round 2 Data'!F$10:F$146,0)+_xlfn.XLOOKUP('Summary Data'!$A140,'Round 3 Data'!$A$10:$A$145,'Round 3 Data'!F$10:F$145,0)+_xlfn.XLOOKUP('Summary Data'!$A140,'Round 4 Data'!$A$10:$A$147,'Round 4 Data'!F$10:F$147,0))/$D140</f>
        <v>#VALUE!</v>
      </c>
      <c r="G140" s="57" t="e">
        <f>(_xlfn.XLOOKUP('Summary Data'!$A140,'Round 1 Data'!$A$10:$A$143,'Round 1 Data'!G$10:G$144,0)+_xlfn.XLOOKUP('Summary Data'!$A140,'Round 2 Data'!$A$10:$A$146,'Round 2 Data'!G$10:G$146,0)+_xlfn.XLOOKUP('Summary Data'!$A140,'Round 3 Data'!$A$10:$A$145,'Round 3 Data'!G$10:G$145,0)+_xlfn.XLOOKUP('Summary Data'!$A140,'Round 4 Data'!$A$10:$A$147,'Round 4 Data'!G$10:G$147,0))/$D140</f>
        <v>#VALUE!</v>
      </c>
      <c r="H140" s="57" t="e">
        <f>(_xlfn.XLOOKUP('Summary Data'!$A140,'Round 1 Data'!$A$10:$A$143,'Round 1 Data'!H$10:H$144,0)+_xlfn.XLOOKUP('Summary Data'!$A140,'Round 2 Data'!$A$10:$A$146,'Round 2 Data'!H$10:H$146,0)+_xlfn.XLOOKUP('Summary Data'!$A140,'Round 3 Data'!$A$10:$A$145,'Round 3 Data'!H$10:H$145,0)+_xlfn.XLOOKUP('Summary Data'!$A140,'Round 4 Data'!$A$10:$A$147,'Round 4 Data'!H$10:H$147,0))/$D140</f>
        <v>#VALUE!</v>
      </c>
      <c r="I140" s="57" t="e">
        <f>(_xlfn.XLOOKUP('Summary Data'!$A140,'Round 1 Data'!$A$10:$A$143,'Round 1 Data'!I$10:I$144,0)+_xlfn.XLOOKUP('Summary Data'!$A140,'Round 2 Data'!$A$10:$A$146,'Round 2 Data'!I$10:I$146,0)+_xlfn.XLOOKUP('Summary Data'!$A140,'Round 3 Data'!$A$10:$A$145,'Round 3 Data'!I$10:I$145,0)+_xlfn.XLOOKUP('Summary Data'!$A140,'Round 4 Data'!$A$10:$A$147,'Round 4 Data'!I$10:I$147,0))/$D140</f>
        <v>#VALUE!</v>
      </c>
      <c r="J140" s="57" t="e">
        <f>(_xlfn.XLOOKUP('Summary Data'!$A140,'Round 1 Data'!$A$10:$A$143,'Round 1 Data'!J$10:J$144,0)+_xlfn.XLOOKUP('Summary Data'!$A140,'Round 2 Data'!$A$10:$A$146,'Round 2 Data'!J$10:J$146,0)+_xlfn.XLOOKUP('Summary Data'!$A140,'Round 3 Data'!$A$10:$A$145,'Round 3 Data'!J$10:J$145,0)+_xlfn.XLOOKUP('Summary Data'!$A140,'Round 4 Data'!$A$10:$A$147,'Round 4 Data'!J$10:J$147,0))/$D140</f>
        <v>#VALUE!</v>
      </c>
      <c r="K140" s="57" t="e">
        <f>(_xlfn.XLOOKUP('Summary Data'!$A140,'Round 1 Data'!$A$10:$A$143,'Round 1 Data'!K$10:K$144,0)+_xlfn.XLOOKUP('Summary Data'!$A140,'Round 2 Data'!$A$10:$A$146,'Round 2 Data'!K$10:K$146,0)+_xlfn.XLOOKUP('Summary Data'!$A140,'Round 3 Data'!$A$10:$A$145,'Round 3 Data'!K$10:K$145,0)+_xlfn.XLOOKUP('Summary Data'!$A140,'Round 4 Data'!$A$10:$A$147,'Round 4 Data'!K$10:K$147,0))/$D140</f>
        <v>#VALUE!</v>
      </c>
      <c r="L140" s="57" t="e">
        <f>(_xlfn.XLOOKUP('Summary Data'!$A140,'Round 1 Data'!$A$10:$A$143,'Round 1 Data'!L$10:L$144,0)+_xlfn.XLOOKUP('Summary Data'!$A140,'Round 2 Data'!$A$10:$A$146,'Round 2 Data'!L$10:L$146,0)+_xlfn.XLOOKUP('Summary Data'!$A140,'Round 3 Data'!$A$10:$A$145,'Round 3 Data'!L$10:L$145,0)+_xlfn.XLOOKUP('Summary Data'!$A140,'Round 4 Data'!$A$10:$A$147,'Round 4 Data'!L$10:L$147,0))/$D140</f>
        <v>#VALUE!</v>
      </c>
      <c r="M140" s="57" t="e">
        <f>(_xlfn.XLOOKUP('Summary Data'!$A140,'Round 1 Data'!$A$10:$A$143,'Round 1 Data'!M$10:M$144,0)+_xlfn.XLOOKUP('Summary Data'!$A140,'Round 2 Data'!$A$10:$A$146,'Round 2 Data'!M$10:M$146,0)+_xlfn.XLOOKUP('Summary Data'!$A140,'Round 3 Data'!$A$10:$A$145,'Round 3 Data'!M$10:M$145,0)+_xlfn.XLOOKUP('Summary Data'!$A140,'Round 4 Data'!$A$10:$A$147,'Round 4 Data'!M$10:M$147,0))/$D140</f>
        <v>#VALUE!</v>
      </c>
      <c r="N140" s="57" t="e">
        <f>(_xlfn.XLOOKUP('Summary Data'!$A140,'Round 1 Data'!$A$10:$A$143,'Round 1 Data'!N$10:N$144,0)+_xlfn.XLOOKUP('Summary Data'!$A140,'Round 2 Data'!$A$10:$A$146,'Round 2 Data'!N$10:N$146,0)+_xlfn.XLOOKUP('Summary Data'!$A140,'Round 3 Data'!$A$10:$A$145,'Round 3 Data'!N$10:N$145,0)+_xlfn.XLOOKUP('Summary Data'!$A140,'Round 4 Data'!$A$10:$A$147,'Round 4 Data'!N$10:N$147,0))/$D140</f>
        <v>#VALUE!</v>
      </c>
      <c r="O140" s="57" t="e">
        <f>(_xlfn.XLOOKUP('Summary Data'!$A140,'Round 1 Data'!$A$10:$A$143,'Round 1 Data'!O$10:O$144,0)+_xlfn.XLOOKUP('Summary Data'!$A140,'Round 2 Data'!$A$10:$A$146,'Round 2 Data'!O$10:O$146,0)+_xlfn.XLOOKUP('Summary Data'!$A140,'Round 3 Data'!$A$10:$A$145,'Round 3 Data'!O$10:O$145,0)+_xlfn.XLOOKUP('Summary Data'!$A140,'Round 4 Data'!$A$10:$A$147,'Round 4 Data'!O$10:O$147,0))/$D140</f>
        <v>#VALUE!</v>
      </c>
      <c r="P140" s="57" t="e">
        <f>(_xlfn.XLOOKUP('Summary Data'!$A140,'Round 1 Data'!$A$10:$A$143,'Round 1 Data'!P$10:P$144,0)+_xlfn.XLOOKUP('Summary Data'!$A140,'Round 2 Data'!$A$10:$A$146,'Round 2 Data'!P$10:P$146,0)+_xlfn.XLOOKUP('Summary Data'!$A140,'Round 3 Data'!$A$10:$A$145,'Round 3 Data'!P$10:P$145,0)+_xlfn.XLOOKUP('Summary Data'!$A140,'Round 4 Data'!$A$10:$A$147,'Round 4 Data'!P$10:P$147,0))/$D140</f>
        <v>#VALUE!</v>
      </c>
      <c r="Q140" s="57" t="e">
        <f>(_xlfn.XLOOKUP('Summary Data'!$A140,'Round 1 Data'!$A$10:$A$143,'Round 1 Data'!Q$10:Q$144,0)+_xlfn.XLOOKUP('Summary Data'!$A140,'Round 2 Data'!$A$10:$A$146,'Round 2 Data'!Q$10:Q$146,0)+_xlfn.XLOOKUP('Summary Data'!$A140,'Round 3 Data'!$A$10:$A$145,'Round 3 Data'!Q$10:Q$145,0)+_xlfn.XLOOKUP('Summary Data'!$A140,'Round 4 Data'!$A$10:$A$147,'Round 4 Data'!Q$10:Q$147,0))/$D140</f>
        <v>#VALUE!</v>
      </c>
      <c r="R140" s="57" t="e">
        <f>(_xlfn.XLOOKUP('Summary Data'!$A140,'Round 1 Data'!$A$10:$A$143,'Round 1 Data'!R$10:R$144,0)+_xlfn.XLOOKUP('Summary Data'!$A140,'Round 2 Data'!$A$10:$A$146,'Round 2 Data'!R$10:R$146,0)+_xlfn.XLOOKUP('Summary Data'!$A140,'Round 3 Data'!$A$10:$A$145,'Round 3 Data'!R$10:R$145,0)+_xlfn.XLOOKUP('Summary Data'!$A140,'Round 4 Data'!$A$10:$A$147,'Round 4 Data'!R$10:R$147,0))/$D140</f>
        <v>#VALUE!</v>
      </c>
      <c r="S140" s="57" t="e">
        <f>(_xlfn.XLOOKUP('Summary Data'!$A140,'Round 1 Data'!$A$10:$A$143,'Round 1 Data'!S$10:S$144,0)+_xlfn.XLOOKUP('Summary Data'!$A140,'Round 2 Data'!$A$10:$A$146,'Round 2 Data'!S$10:S$146,0)+_xlfn.XLOOKUP('Summary Data'!$A140,'Round 3 Data'!$A$10:$A$145,'Round 3 Data'!S$10:S$145,0)+_xlfn.XLOOKUP('Summary Data'!$A140,'Round 4 Data'!$A$10:$A$147,'Round 4 Data'!S$10:S$147,0))/$D140</f>
        <v>#VALUE!</v>
      </c>
      <c r="T140" s="62" t="e">
        <f>(_xlfn.XLOOKUP('Summary Data'!$A140,'Round 1 Data'!$A$10:$A$143,'Round 1 Data'!U$10:U$144,0)+_xlfn.XLOOKUP('Summary Data'!$A140,'Round 2 Data'!$A$10:$A$146,'Round 2 Data'!U$10:U$146,0)+_xlfn.XLOOKUP('Summary Data'!$A140,'Round 3 Data'!$A$10:$A$145,'Round 3 Data'!U$10:U$145,0)+_xlfn.XLOOKUP('Summary Data'!$A140,'Round 4 Data'!$A$10:$A$147,'Round 4 Data'!U$10:U$147,0))</f>
        <v>#VALUE!</v>
      </c>
    </row>
    <row r="141" spans="1:20" ht="16" thickBot="1" x14ac:dyDescent="0.25">
      <c r="A141" s="61" t="s">
        <v>52</v>
      </c>
      <c r="B141" t="s">
        <v>191</v>
      </c>
      <c r="C141" t="s">
        <v>200</v>
      </c>
      <c r="D141" t="e">
        <f>IF(_xlfn.XLOOKUP('Summary Data'!A141,'Round 1 Data'!$A$10:$A$143,'Round 1 Data'!$E$10:$E$144,0)=0,0,1)+IF(_xlfn.XLOOKUP('Summary Data'!A141,'Round 2 Data'!$A$10:$A$146,'Round 2 Data'!$E$10:$E$146,0)=0,0,1)+IF(_xlfn.XLOOKUP('Summary Data'!A141,'Round 3 Data'!$A$10:$A$145,'Round 3 Data'!$E$10:$E$145,0)=0,0,1)+IF(_xlfn.XLOOKUP('Summary Data'!A141,'Round 4 Data'!$A$10:$A$147,'Round 4 Data'!$E$10:$E$147,0)=0,0,1)</f>
        <v>#VALUE!</v>
      </c>
      <c r="E141" s="57" t="e">
        <f>(_xlfn.XLOOKUP('Summary Data'!$A141,'Round 1 Data'!$A$10:$A$143,'Round 1 Data'!E$10:E$144,0)+_xlfn.XLOOKUP('Summary Data'!$A141,'Round 2 Data'!$A$10:$A$146,'Round 2 Data'!E$10:E$146,0)+_xlfn.XLOOKUP('Summary Data'!$A141,'Round 3 Data'!$A$10:$A$145,'Round 3 Data'!E$10:E$145,0)+_xlfn.XLOOKUP('Summary Data'!$A141,'Round 4 Data'!$A$10:$A$147,'Round 4 Data'!E$10:E$147,0))/$D141</f>
        <v>#VALUE!</v>
      </c>
      <c r="F141" s="57" t="e">
        <f>(_xlfn.XLOOKUP('Summary Data'!$A141,'Round 1 Data'!$A$10:$A$143,'Round 1 Data'!F$10:F$144,0)+_xlfn.XLOOKUP('Summary Data'!$A141,'Round 2 Data'!$A$10:$A$146,'Round 2 Data'!F$10:F$146,0)+_xlfn.XLOOKUP('Summary Data'!$A141,'Round 3 Data'!$A$10:$A$145,'Round 3 Data'!F$10:F$145,0)+_xlfn.XLOOKUP('Summary Data'!$A141,'Round 4 Data'!$A$10:$A$147,'Round 4 Data'!F$10:F$147,0))/$D141</f>
        <v>#VALUE!</v>
      </c>
      <c r="G141" s="57" t="e">
        <f>(_xlfn.XLOOKUP('Summary Data'!$A141,'Round 1 Data'!$A$10:$A$143,'Round 1 Data'!G$10:G$144,0)+_xlfn.XLOOKUP('Summary Data'!$A141,'Round 2 Data'!$A$10:$A$146,'Round 2 Data'!G$10:G$146,0)+_xlfn.XLOOKUP('Summary Data'!$A141,'Round 3 Data'!$A$10:$A$145,'Round 3 Data'!G$10:G$145,0)+_xlfn.XLOOKUP('Summary Data'!$A141,'Round 4 Data'!$A$10:$A$147,'Round 4 Data'!G$10:G$147,0))/$D141</f>
        <v>#VALUE!</v>
      </c>
      <c r="H141" s="57" t="e">
        <f>(_xlfn.XLOOKUP('Summary Data'!$A141,'Round 1 Data'!$A$10:$A$143,'Round 1 Data'!H$10:H$144,0)+_xlfn.XLOOKUP('Summary Data'!$A141,'Round 2 Data'!$A$10:$A$146,'Round 2 Data'!H$10:H$146,0)+_xlfn.XLOOKUP('Summary Data'!$A141,'Round 3 Data'!$A$10:$A$145,'Round 3 Data'!H$10:H$145,0)+_xlfn.XLOOKUP('Summary Data'!$A141,'Round 4 Data'!$A$10:$A$147,'Round 4 Data'!H$10:H$147,0))/$D141</f>
        <v>#VALUE!</v>
      </c>
      <c r="I141" s="57" t="e">
        <f>(_xlfn.XLOOKUP('Summary Data'!$A141,'Round 1 Data'!$A$10:$A$143,'Round 1 Data'!I$10:I$144,0)+_xlfn.XLOOKUP('Summary Data'!$A141,'Round 2 Data'!$A$10:$A$146,'Round 2 Data'!I$10:I$146,0)+_xlfn.XLOOKUP('Summary Data'!$A141,'Round 3 Data'!$A$10:$A$145,'Round 3 Data'!I$10:I$145,0)+_xlfn.XLOOKUP('Summary Data'!$A141,'Round 4 Data'!$A$10:$A$147,'Round 4 Data'!I$10:I$147,0))/$D141</f>
        <v>#VALUE!</v>
      </c>
      <c r="J141" s="57" t="e">
        <f>(_xlfn.XLOOKUP('Summary Data'!$A141,'Round 1 Data'!$A$10:$A$143,'Round 1 Data'!J$10:J$144,0)+_xlfn.XLOOKUP('Summary Data'!$A141,'Round 2 Data'!$A$10:$A$146,'Round 2 Data'!J$10:J$146,0)+_xlfn.XLOOKUP('Summary Data'!$A141,'Round 3 Data'!$A$10:$A$145,'Round 3 Data'!J$10:J$145,0)+_xlfn.XLOOKUP('Summary Data'!$A141,'Round 4 Data'!$A$10:$A$147,'Round 4 Data'!J$10:J$147,0))/$D141</f>
        <v>#VALUE!</v>
      </c>
      <c r="K141" s="57" t="e">
        <f>(_xlfn.XLOOKUP('Summary Data'!$A141,'Round 1 Data'!$A$10:$A$143,'Round 1 Data'!K$10:K$144,0)+_xlfn.XLOOKUP('Summary Data'!$A141,'Round 2 Data'!$A$10:$A$146,'Round 2 Data'!K$10:K$146,0)+_xlfn.XLOOKUP('Summary Data'!$A141,'Round 3 Data'!$A$10:$A$145,'Round 3 Data'!K$10:K$145,0)+_xlfn.XLOOKUP('Summary Data'!$A141,'Round 4 Data'!$A$10:$A$147,'Round 4 Data'!K$10:K$147,0))/$D141</f>
        <v>#VALUE!</v>
      </c>
      <c r="L141" s="57" t="e">
        <f>(_xlfn.XLOOKUP('Summary Data'!$A141,'Round 1 Data'!$A$10:$A$143,'Round 1 Data'!L$10:L$144,0)+_xlfn.XLOOKUP('Summary Data'!$A141,'Round 2 Data'!$A$10:$A$146,'Round 2 Data'!L$10:L$146,0)+_xlfn.XLOOKUP('Summary Data'!$A141,'Round 3 Data'!$A$10:$A$145,'Round 3 Data'!L$10:L$145,0)+_xlfn.XLOOKUP('Summary Data'!$A141,'Round 4 Data'!$A$10:$A$147,'Round 4 Data'!L$10:L$147,0))/$D141</f>
        <v>#VALUE!</v>
      </c>
      <c r="M141" s="57" t="e">
        <f>(_xlfn.XLOOKUP('Summary Data'!$A141,'Round 1 Data'!$A$10:$A$143,'Round 1 Data'!M$10:M$144,0)+_xlfn.XLOOKUP('Summary Data'!$A141,'Round 2 Data'!$A$10:$A$146,'Round 2 Data'!M$10:M$146,0)+_xlfn.XLOOKUP('Summary Data'!$A141,'Round 3 Data'!$A$10:$A$145,'Round 3 Data'!M$10:M$145,0)+_xlfn.XLOOKUP('Summary Data'!$A141,'Round 4 Data'!$A$10:$A$147,'Round 4 Data'!M$10:M$147,0))/$D141</f>
        <v>#VALUE!</v>
      </c>
      <c r="N141" s="57" t="e">
        <f>(_xlfn.XLOOKUP('Summary Data'!$A141,'Round 1 Data'!$A$10:$A$143,'Round 1 Data'!N$10:N$144,0)+_xlfn.XLOOKUP('Summary Data'!$A141,'Round 2 Data'!$A$10:$A$146,'Round 2 Data'!N$10:N$146,0)+_xlfn.XLOOKUP('Summary Data'!$A141,'Round 3 Data'!$A$10:$A$145,'Round 3 Data'!N$10:N$145,0)+_xlfn.XLOOKUP('Summary Data'!$A141,'Round 4 Data'!$A$10:$A$147,'Round 4 Data'!N$10:N$147,0))/$D141</f>
        <v>#VALUE!</v>
      </c>
      <c r="O141" s="57" t="e">
        <f>(_xlfn.XLOOKUP('Summary Data'!$A141,'Round 1 Data'!$A$10:$A$143,'Round 1 Data'!O$10:O$144,0)+_xlfn.XLOOKUP('Summary Data'!$A141,'Round 2 Data'!$A$10:$A$146,'Round 2 Data'!O$10:O$146,0)+_xlfn.XLOOKUP('Summary Data'!$A141,'Round 3 Data'!$A$10:$A$145,'Round 3 Data'!O$10:O$145,0)+_xlfn.XLOOKUP('Summary Data'!$A141,'Round 4 Data'!$A$10:$A$147,'Round 4 Data'!O$10:O$147,0))/$D141</f>
        <v>#VALUE!</v>
      </c>
      <c r="P141" s="57" t="e">
        <f>(_xlfn.XLOOKUP('Summary Data'!$A141,'Round 1 Data'!$A$10:$A$143,'Round 1 Data'!P$10:P$144,0)+_xlfn.XLOOKUP('Summary Data'!$A141,'Round 2 Data'!$A$10:$A$146,'Round 2 Data'!P$10:P$146,0)+_xlfn.XLOOKUP('Summary Data'!$A141,'Round 3 Data'!$A$10:$A$145,'Round 3 Data'!P$10:P$145,0)+_xlfn.XLOOKUP('Summary Data'!$A141,'Round 4 Data'!$A$10:$A$147,'Round 4 Data'!P$10:P$147,0))/$D141</f>
        <v>#VALUE!</v>
      </c>
      <c r="Q141" s="57" t="e">
        <f>(_xlfn.XLOOKUP('Summary Data'!$A141,'Round 1 Data'!$A$10:$A$143,'Round 1 Data'!Q$10:Q$144,0)+_xlfn.XLOOKUP('Summary Data'!$A141,'Round 2 Data'!$A$10:$A$146,'Round 2 Data'!Q$10:Q$146,0)+_xlfn.XLOOKUP('Summary Data'!$A141,'Round 3 Data'!$A$10:$A$145,'Round 3 Data'!Q$10:Q$145,0)+_xlfn.XLOOKUP('Summary Data'!$A141,'Round 4 Data'!$A$10:$A$147,'Round 4 Data'!Q$10:Q$147,0))/$D141</f>
        <v>#VALUE!</v>
      </c>
      <c r="R141" s="57" t="e">
        <f>(_xlfn.XLOOKUP('Summary Data'!$A141,'Round 1 Data'!$A$10:$A$143,'Round 1 Data'!R$10:R$144,0)+_xlfn.XLOOKUP('Summary Data'!$A141,'Round 2 Data'!$A$10:$A$146,'Round 2 Data'!R$10:R$146,0)+_xlfn.XLOOKUP('Summary Data'!$A141,'Round 3 Data'!$A$10:$A$145,'Round 3 Data'!R$10:R$145,0)+_xlfn.XLOOKUP('Summary Data'!$A141,'Round 4 Data'!$A$10:$A$147,'Round 4 Data'!R$10:R$147,0))/$D141</f>
        <v>#VALUE!</v>
      </c>
      <c r="S141" s="57" t="e">
        <f>(_xlfn.XLOOKUP('Summary Data'!$A141,'Round 1 Data'!$A$10:$A$143,'Round 1 Data'!S$10:S$144,0)+_xlfn.XLOOKUP('Summary Data'!$A141,'Round 2 Data'!$A$10:$A$146,'Round 2 Data'!S$10:S$146,0)+_xlfn.XLOOKUP('Summary Data'!$A141,'Round 3 Data'!$A$10:$A$145,'Round 3 Data'!S$10:S$145,0)+_xlfn.XLOOKUP('Summary Data'!$A141,'Round 4 Data'!$A$10:$A$147,'Round 4 Data'!S$10:S$147,0))/$D141</f>
        <v>#VALUE!</v>
      </c>
      <c r="T141" s="62" t="e">
        <f>(_xlfn.XLOOKUP('Summary Data'!$A141,'Round 1 Data'!$A$10:$A$143,'Round 1 Data'!U$10:U$144,0)+_xlfn.XLOOKUP('Summary Data'!$A141,'Round 2 Data'!$A$10:$A$146,'Round 2 Data'!U$10:U$146,0)+_xlfn.XLOOKUP('Summary Data'!$A141,'Round 3 Data'!$A$10:$A$145,'Round 3 Data'!U$10:U$145,0)+_xlfn.XLOOKUP('Summary Data'!$A141,'Round 4 Data'!$A$10:$A$147,'Round 4 Data'!U$10:U$147,0))</f>
        <v>#VALUE!</v>
      </c>
    </row>
    <row r="142" spans="1:20" ht="16" thickBot="1" x14ac:dyDescent="0.25">
      <c r="A142" s="63" t="s">
        <v>64</v>
      </c>
      <c r="B142" t="s">
        <v>188</v>
      </c>
      <c r="C142" t="s">
        <v>196</v>
      </c>
      <c r="D142" t="e">
        <f>IF(_xlfn.XLOOKUP('Summary Data'!A142,'Round 1 Data'!$A$10:$A$143,'Round 1 Data'!$E$10:$E$144,0)=0,0,1)+IF(_xlfn.XLOOKUP('Summary Data'!A142,'Round 2 Data'!$A$10:$A$146,'Round 2 Data'!$E$10:$E$146,0)=0,0,1)+IF(_xlfn.XLOOKUP('Summary Data'!A142,'Round 3 Data'!$A$10:$A$145,'Round 3 Data'!$E$10:$E$145,0)=0,0,1)+IF(_xlfn.XLOOKUP('Summary Data'!A142,'Round 4 Data'!$A$10:$A$147,'Round 4 Data'!$E$10:$E$147,0)=0,0,1)</f>
        <v>#VALUE!</v>
      </c>
      <c r="E142" s="57" t="e">
        <f>(_xlfn.XLOOKUP('Summary Data'!$A142,'Round 1 Data'!$A$10:$A$143,'Round 1 Data'!E$10:E$144,0)+_xlfn.XLOOKUP('Summary Data'!$A142,'Round 2 Data'!$A$10:$A$146,'Round 2 Data'!E$10:E$146,0)+_xlfn.XLOOKUP('Summary Data'!$A142,'Round 3 Data'!$A$10:$A$145,'Round 3 Data'!E$10:E$145,0)+_xlfn.XLOOKUP('Summary Data'!$A142,'Round 4 Data'!$A$10:$A$147,'Round 4 Data'!E$10:E$147,0))/$D142</f>
        <v>#VALUE!</v>
      </c>
      <c r="F142" s="57" t="e">
        <f>(_xlfn.XLOOKUP('Summary Data'!$A142,'Round 1 Data'!$A$10:$A$143,'Round 1 Data'!F$10:F$144,0)+_xlfn.XLOOKUP('Summary Data'!$A142,'Round 2 Data'!$A$10:$A$146,'Round 2 Data'!F$10:F$146,0)+_xlfn.XLOOKUP('Summary Data'!$A142,'Round 3 Data'!$A$10:$A$145,'Round 3 Data'!F$10:F$145,0)+_xlfn.XLOOKUP('Summary Data'!$A142,'Round 4 Data'!$A$10:$A$147,'Round 4 Data'!F$10:F$147,0))/$D142</f>
        <v>#VALUE!</v>
      </c>
      <c r="G142" s="57" t="e">
        <f>(_xlfn.XLOOKUP('Summary Data'!$A142,'Round 1 Data'!$A$10:$A$143,'Round 1 Data'!G$10:G$144,0)+_xlfn.XLOOKUP('Summary Data'!$A142,'Round 2 Data'!$A$10:$A$146,'Round 2 Data'!G$10:G$146,0)+_xlfn.XLOOKUP('Summary Data'!$A142,'Round 3 Data'!$A$10:$A$145,'Round 3 Data'!G$10:G$145,0)+_xlfn.XLOOKUP('Summary Data'!$A142,'Round 4 Data'!$A$10:$A$147,'Round 4 Data'!G$10:G$147,0))/$D142</f>
        <v>#VALUE!</v>
      </c>
      <c r="H142" s="57" t="e">
        <f>(_xlfn.XLOOKUP('Summary Data'!$A142,'Round 1 Data'!$A$10:$A$143,'Round 1 Data'!H$10:H$144,0)+_xlfn.XLOOKUP('Summary Data'!$A142,'Round 2 Data'!$A$10:$A$146,'Round 2 Data'!H$10:H$146,0)+_xlfn.XLOOKUP('Summary Data'!$A142,'Round 3 Data'!$A$10:$A$145,'Round 3 Data'!H$10:H$145,0)+_xlfn.XLOOKUP('Summary Data'!$A142,'Round 4 Data'!$A$10:$A$147,'Round 4 Data'!H$10:H$147,0))/$D142</f>
        <v>#VALUE!</v>
      </c>
      <c r="I142" s="57" t="e">
        <f>(_xlfn.XLOOKUP('Summary Data'!$A142,'Round 1 Data'!$A$10:$A$143,'Round 1 Data'!I$10:I$144,0)+_xlfn.XLOOKUP('Summary Data'!$A142,'Round 2 Data'!$A$10:$A$146,'Round 2 Data'!I$10:I$146,0)+_xlfn.XLOOKUP('Summary Data'!$A142,'Round 3 Data'!$A$10:$A$145,'Round 3 Data'!I$10:I$145,0)+_xlfn.XLOOKUP('Summary Data'!$A142,'Round 4 Data'!$A$10:$A$147,'Round 4 Data'!I$10:I$147,0))/$D142</f>
        <v>#VALUE!</v>
      </c>
      <c r="J142" s="57" t="e">
        <f>(_xlfn.XLOOKUP('Summary Data'!$A142,'Round 1 Data'!$A$10:$A$143,'Round 1 Data'!J$10:J$144,0)+_xlfn.XLOOKUP('Summary Data'!$A142,'Round 2 Data'!$A$10:$A$146,'Round 2 Data'!J$10:J$146,0)+_xlfn.XLOOKUP('Summary Data'!$A142,'Round 3 Data'!$A$10:$A$145,'Round 3 Data'!J$10:J$145,0)+_xlfn.XLOOKUP('Summary Data'!$A142,'Round 4 Data'!$A$10:$A$147,'Round 4 Data'!J$10:J$147,0))/$D142</f>
        <v>#VALUE!</v>
      </c>
      <c r="K142" s="57" t="e">
        <f>(_xlfn.XLOOKUP('Summary Data'!$A142,'Round 1 Data'!$A$10:$A$143,'Round 1 Data'!K$10:K$144,0)+_xlfn.XLOOKUP('Summary Data'!$A142,'Round 2 Data'!$A$10:$A$146,'Round 2 Data'!K$10:K$146,0)+_xlfn.XLOOKUP('Summary Data'!$A142,'Round 3 Data'!$A$10:$A$145,'Round 3 Data'!K$10:K$145,0)+_xlfn.XLOOKUP('Summary Data'!$A142,'Round 4 Data'!$A$10:$A$147,'Round 4 Data'!K$10:K$147,0))/$D142</f>
        <v>#VALUE!</v>
      </c>
      <c r="L142" s="57" t="e">
        <f>(_xlfn.XLOOKUP('Summary Data'!$A142,'Round 1 Data'!$A$10:$A$143,'Round 1 Data'!L$10:L$144,0)+_xlfn.XLOOKUP('Summary Data'!$A142,'Round 2 Data'!$A$10:$A$146,'Round 2 Data'!L$10:L$146,0)+_xlfn.XLOOKUP('Summary Data'!$A142,'Round 3 Data'!$A$10:$A$145,'Round 3 Data'!L$10:L$145,0)+_xlfn.XLOOKUP('Summary Data'!$A142,'Round 4 Data'!$A$10:$A$147,'Round 4 Data'!L$10:L$147,0))/$D142</f>
        <v>#VALUE!</v>
      </c>
      <c r="M142" s="57" t="e">
        <f>(_xlfn.XLOOKUP('Summary Data'!$A142,'Round 1 Data'!$A$10:$A$143,'Round 1 Data'!M$10:M$144,0)+_xlfn.XLOOKUP('Summary Data'!$A142,'Round 2 Data'!$A$10:$A$146,'Round 2 Data'!M$10:M$146,0)+_xlfn.XLOOKUP('Summary Data'!$A142,'Round 3 Data'!$A$10:$A$145,'Round 3 Data'!M$10:M$145,0)+_xlfn.XLOOKUP('Summary Data'!$A142,'Round 4 Data'!$A$10:$A$147,'Round 4 Data'!M$10:M$147,0))/$D142</f>
        <v>#VALUE!</v>
      </c>
      <c r="N142" s="57" t="e">
        <f>(_xlfn.XLOOKUP('Summary Data'!$A142,'Round 1 Data'!$A$10:$A$143,'Round 1 Data'!N$10:N$144,0)+_xlfn.XLOOKUP('Summary Data'!$A142,'Round 2 Data'!$A$10:$A$146,'Round 2 Data'!N$10:N$146,0)+_xlfn.XLOOKUP('Summary Data'!$A142,'Round 3 Data'!$A$10:$A$145,'Round 3 Data'!N$10:N$145,0)+_xlfn.XLOOKUP('Summary Data'!$A142,'Round 4 Data'!$A$10:$A$147,'Round 4 Data'!N$10:N$147,0))/$D142</f>
        <v>#VALUE!</v>
      </c>
      <c r="O142" s="57" t="e">
        <f>(_xlfn.XLOOKUP('Summary Data'!$A142,'Round 1 Data'!$A$10:$A$143,'Round 1 Data'!O$10:O$144,0)+_xlfn.XLOOKUP('Summary Data'!$A142,'Round 2 Data'!$A$10:$A$146,'Round 2 Data'!O$10:O$146,0)+_xlfn.XLOOKUP('Summary Data'!$A142,'Round 3 Data'!$A$10:$A$145,'Round 3 Data'!O$10:O$145,0)+_xlfn.XLOOKUP('Summary Data'!$A142,'Round 4 Data'!$A$10:$A$147,'Round 4 Data'!O$10:O$147,0))/$D142</f>
        <v>#VALUE!</v>
      </c>
      <c r="P142" s="57" t="e">
        <f>(_xlfn.XLOOKUP('Summary Data'!$A142,'Round 1 Data'!$A$10:$A$143,'Round 1 Data'!P$10:P$144,0)+_xlfn.XLOOKUP('Summary Data'!$A142,'Round 2 Data'!$A$10:$A$146,'Round 2 Data'!P$10:P$146,0)+_xlfn.XLOOKUP('Summary Data'!$A142,'Round 3 Data'!$A$10:$A$145,'Round 3 Data'!P$10:P$145,0)+_xlfn.XLOOKUP('Summary Data'!$A142,'Round 4 Data'!$A$10:$A$147,'Round 4 Data'!P$10:P$147,0))/$D142</f>
        <v>#VALUE!</v>
      </c>
      <c r="Q142" s="57" t="e">
        <f>(_xlfn.XLOOKUP('Summary Data'!$A142,'Round 1 Data'!$A$10:$A$143,'Round 1 Data'!Q$10:Q$144,0)+_xlfn.XLOOKUP('Summary Data'!$A142,'Round 2 Data'!$A$10:$A$146,'Round 2 Data'!Q$10:Q$146,0)+_xlfn.XLOOKUP('Summary Data'!$A142,'Round 3 Data'!$A$10:$A$145,'Round 3 Data'!Q$10:Q$145,0)+_xlfn.XLOOKUP('Summary Data'!$A142,'Round 4 Data'!$A$10:$A$147,'Round 4 Data'!Q$10:Q$147,0))/$D142</f>
        <v>#VALUE!</v>
      </c>
      <c r="R142" s="57" t="e">
        <f>(_xlfn.XLOOKUP('Summary Data'!$A142,'Round 1 Data'!$A$10:$A$143,'Round 1 Data'!R$10:R$144,0)+_xlfn.XLOOKUP('Summary Data'!$A142,'Round 2 Data'!$A$10:$A$146,'Round 2 Data'!R$10:R$146,0)+_xlfn.XLOOKUP('Summary Data'!$A142,'Round 3 Data'!$A$10:$A$145,'Round 3 Data'!R$10:R$145,0)+_xlfn.XLOOKUP('Summary Data'!$A142,'Round 4 Data'!$A$10:$A$147,'Round 4 Data'!R$10:R$147,0))/$D142</f>
        <v>#VALUE!</v>
      </c>
      <c r="S142" s="57" t="e">
        <f>(_xlfn.XLOOKUP('Summary Data'!$A142,'Round 1 Data'!$A$10:$A$143,'Round 1 Data'!S$10:S$144,0)+_xlfn.XLOOKUP('Summary Data'!$A142,'Round 2 Data'!$A$10:$A$146,'Round 2 Data'!S$10:S$146,0)+_xlfn.XLOOKUP('Summary Data'!$A142,'Round 3 Data'!$A$10:$A$145,'Round 3 Data'!S$10:S$145,0)+_xlfn.XLOOKUP('Summary Data'!$A142,'Round 4 Data'!$A$10:$A$147,'Round 4 Data'!S$10:S$147,0))/$D142</f>
        <v>#VALUE!</v>
      </c>
      <c r="T142" s="62" t="e">
        <f>(_xlfn.XLOOKUP('Summary Data'!$A142,'Round 1 Data'!$A$10:$A$143,'Round 1 Data'!U$10:U$144,0)+_xlfn.XLOOKUP('Summary Data'!$A142,'Round 2 Data'!$A$10:$A$146,'Round 2 Data'!U$10:U$146,0)+_xlfn.XLOOKUP('Summary Data'!$A142,'Round 3 Data'!$A$10:$A$145,'Round 3 Data'!U$10:U$145,0)+_xlfn.XLOOKUP('Summary Data'!$A142,'Round 4 Data'!$A$10:$A$147,'Round 4 Data'!U$10:U$147,0))</f>
        <v>#VALUE!</v>
      </c>
    </row>
    <row r="143" spans="1:20" ht="16" thickBot="1" x14ac:dyDescent="0.25">
      <c r="A143" s="61" t="s">
        <v>71</v>
      </c>
      <c r="B143" t="s">
        <v>188</v>
      </c>
      <c r="C143" t="s">
        <v>199</v>
      </c>
      <c r="D143" t="e">
        <f>IF(_xlfn.XLOOKUP('Summary Data'!A143,'Round 1 Data'!$A$10:$A$143,'Round 1 Data'!$E$10:$E$144,0)=0,0,1)+IF(_xlfn.XLOOKUP('Summary Data'!A143,'Round 2 Data'!$A$10:$A$146,'Round 2 Data'!$E$10:$E$146,0)=0,0,1)+IF(_xlfn.XLOOKUP('Summary Data'!A143,'Round 3 Data'!$A$10:$A$145,'Round 3 Data'!$E$10:$E$145,0)=0,0,1)+IF(_xlfn.XLOOKUP('Summary Data'!A143,'Round 4 Data'!$A$10:$A$147,'Round 4 Data'!$E$10:$E$147,0)=0,0,1)</f>
        <v>#VALUE!</v>
      </c>
      <c r="E143" s="57" t="e">
        <f>(_xlfn.XLOOKUP('Summary Data'!$A143,'Round 1 Data'!$A$10:$A$143,'Round 1 Data'!E$10:E$144,0)+_xlfn.XLOOKUP('Summary Data'!$A143,'Round 2 Data'!$A$10:$A$146,'Round 2 Data'!E$10:E$146,0)+_xlfn.XLOOKUP('Summary Data'!$A143,'Round 3 Data'!$A$10:$A$145,'Round 3 Data'!E$10:E$145,0)+_xlfn.XLOOKUP('Summary Data'!$A143,'Round 4 Data'!$A$10:$A$147,'Round 4 Data'!E$10:E$147,0))/$D143</f>
        <v>#VALUE!</v>
      </c>
      <c r="F143" s="57" t="e">
        <f>(_xlfn.XLOOKUP('Summary Data'!$A143,'Round 1 Data'!$A$10:$A$143,'Round 1 Data'!F$10:F$144,0)+_xlfn.XLOOKUP('Summary Data'!$A143,'Round 2 Data'!$A$10:$A$146,'Round 2 Data'!F$10:F$146,0)+_xlfn.XLOOKUP('Summary Data'!$A143,'Round 3 Data'!$A$10:$A$145,'Round 3 Data'!F$10:F$145,0)+_xlfn.XLOOKUP('Summary Data'!$A143,'Round 4 Data'!$A$10:$A$147,'Round 4 Data'!F$10:F$147,0))/$D143</f>
        <v>#VALUE!</v>
      </c>
      <c r="G143" s="57" t="e">
        <f>(_xlfn.XLOOKUP('Summary Data'!$A143,'Round 1 Data'!$A$10:$A$143,'Round 1 Data'!G$10:G$144,0)+_xlfn.XLOOKUP('Summary Data'!$A143,'Round 2 Data'!$A$10:$A$146,'Round 2 Data'!G$10:G$146,0)+_xlfn.XLOOKUP('Summary Data'!$A143,'Round 3 Data'!$A$10:$A$145,'Round 3 Data'!G$10:G$145,0)+_xlfn.XLOOKUP('Summary Data'!$A143,'Round 4 Data'!$A$10:$A$147,'Round 4 Data'!G$10:G$147,0))/$D143</f>
        <v>#VALUE!</v>
      </c>
      <c r="H143" s="57" t="e">
        <f>(_xlfn.XLOOKUP('Summary Data'!$A143,'Round 1 Data'!$A$10:$A$143,'Round 1 Data'!H$10:H$144,0)+_xlfn.XLOOKUP('Summary Data'!$A143,'Round 2 Data'!$A$10:$A$146,'Round 2 Data'!H$10:H$146,0)+_xlfn.XLOOKUP('Summary Data'!$A143,'Round 3 Data'!$A$10:$A$145,'Round 3 Data'!H$10:H$145,0)+_xlfn.XLOOKUP('Summary Data'!$A143,'Round 4 Data'!$A$10:$A$147,'Round 4 Data'!H$10:H$147,0))/$D143</f>
        <v>#VALUE!</v>
      </c>
      <c r="I143" s="57" t="e">
        <f>(_xlfn.XLOOKUP('Summary Data'!$A143,'Round 1 Data'!$A$10:$A$143,'Round 1 Data'!I$10:I$144,0)+_xlfn.XLOOKUP('Summary Data'!$A143,'Round 2 Data'!$A$10:$A$146,'Round 2 Data'!I$10:I$146,0)+_xlfn.XLOOKUP('Summary Data'!$A143,'Round 3 Data'!$A$10:$A$145,'Round 3 Data'!I$10:I$145,0)+_xlfn.XLOOKUP('Summary Data'!$A143,'Round 4 Data'!$A$10:$A$147,'Round 4 Data'!I$10:I$147,0))/$D143</f>
        <v>#VALUE!</v>
      </c>
      <c r="J143" s="57" t="e">
        <f>(_xlfn.XLOOKUP('Summary Data'!$A143,'Round 1 Data'!$A$10:$A$143,'Round 1 Data'!J$10:J$144,0)+_xlfn.XLOOKUP('Summary Data'!$A143,'Round 2 Data'!$A$10:$A$146,'Round 2 Data'!J$10:J$146,0)+_xlfn.XLOOKUP('Summary Data'!$A143,'Round 3 Data'!$A$10:$A$145,'Round 3 Data'!J$10:J$145,0)+_xlfn.XLOOKUP('Summary Data'!$A143,'Round 4 Data'!$A$10:$A$147,'Round 4 Data'!J$10:J$147,0))/$D143</f>
        <v>#VALUE!</v>
      </c>
      <c r="K143" s="57" t="e">
        <f>(_xlfn.XLOOKUP('Summary Data'!$A143,'Round 1 Data'!$A$10:$A$143,'Round 1 Data'!K$10:K$144,0)+_xlfn.XLOOKUP('Summary Data'!$A143,'Round 2 Data'!$A$10:$A$146,'Round 2 Data'!K$10:K$146,0)+_xlfn.XLOOKUP('Summary Data'!$A143,'Round 3 Data'!$A$10:$A$145,'Round 3 Data'!K$10:K$145,0)+_xlfn.XLOOKUP('Summary Data'!$A143,'Round 4 Data'!$A$10:$A$147,'Round 4 Data'!K$10:K$147,0))/$D143</f>
        <v>#VALUE!</v>
      </c>
      <c r="L143" s="57" t="e">
        <f>(_xlfn.XLOOKUP('Summary Data'!$A143,'Round 1 Data'!$A$10:$A$143,'Round 1 Data'!L$10:L$144,0)+_xlfn.XLOOKUP('Summary Data'!$A143,'Round 2 Data'!$A$10:$A$146,'Round 2 Data'!L$10:L$146,0)+_xlfn.XLOOKUP('Summary Data'!$A143,'Round 3 Data'!$A$10:$A$145,'Round 3 Data'!L$10:L$145,0)+_xlfn.XLOOKUP('Summary Data'!$A143,'Round 4 Data'!$A$10:$A$147,'Round 4 Data'!L$10:L$147,0))/$D143</f>
        <v>#VALUE!</v>
      </c>
      <c r="M143" s="57" t="e">
        <f>(_xlfn.XLOOKUP('Summary Data'!$A143,'Round 1 Data'!$A$10:$A$143,'Round 1 Data'!M$10:M$144,0)+_xlfn.XLOOKUP('Summary Data'!$A143,'Round 2 Data'!$A$10:$A$146,'Round 2 Data'!M$10:M$146,0)+_xlfn.XLOOKUP('Summary Data'!$A143,'Round 3 Data'!$A$10:$A$145,'Round 3 Data'!M$10:M$145,0)+_xlfn.XLOOKUP('Summary Data'!$A143,'Round 4 Data'!$A$10:$A$147,'Round 4 Data'!M$10:M$147,0))/$D143</f>
        <v>#VALUE!</v>
      </c>
      <c r="N143" s="57" t="e">
        <f>(_xlfn.XLOOKUP('Summary Data'!$A143,'Round 1 Data'!$A$10:$A$143,'Round 1 Data'!N$10:N$144,0)+_xlfn.XLOOKUP('Summary Data'!$A143,'Round 2 Data'!$A$10:$A$146,'Round 2 Data'!N$10:N$146,0)+_xlfn.XLOOKUP('Summary Data'!$A143,'Round 3 Data'!$A$10:$A$145,'Round 3 Data'!N$10:N$145,0)+_xlfn.XLOOKUP('Summary Data'!$A143,'Round 4 Data'!$A$10:$A$147,'Round 4 Data'!N$10:N$147,0))/$D143</f>
        <v>#VALUE!</v>
      </c>
      <c r="O143" s="57" t="e">
        <f>(_xlfn.XLOOKUP('Summary Data'!$A143,'Round 1 Data'!$A$10:$A$143,'Round 1 Data'!O$10:O$144,0)+_xlfn.XLOOKUP('Summary Data'!$A143,'Round 2 Data'!$A$10:$A$146,'Round 2 Data'!O$10:O$146,0)+_xlfn.XLOOKUP('Summary Data'!$A143,'Round 3 Data'!$A$10:$A$145,'Round 3 Data'!O$10:O$145,0)+_xlfn.XLOOKUP('Summary Data'!$A143,'Round 4 Data'!$A$10:$A$147,'Round 4 Data'!O$10:O$147,0))/$D143</f>
        <v>#VALUE!</v>
      </c>
      <c r="P143" s="57" t="e">
        <f>(_xlfn.XLOOKUP('Summary Data'!$A143,'Round 1 Data'!$A$10:$A$143,'Round 1 Data'!P$10:P$144,0)+_xlfn.XLOOKUP('Summary Data'!$A143,'Round 2 Data'!$A$10:$A$146,'Round 2 Data'!P$10:P$146,0)+_xlfn.XLOOKUP('Summary Data'!$A143,'Round 3 Data'!$A$10:$A$145,'Round 3 Data'!P$10:P$145,0)+_xlfn.XLOOKUP('Summary Data'!$A143,'Round 4 Data'!$A$10:$A$147,'Round 4 Data'!P$10:P$147,0))/$D143</f>
        <v>#VALUE!</v>
      </c>
      <c r="Q143" s="57" t="e">
        <f>(_xlfn.XLOOKUP('Summary Data'!$A143,'Round 1 Data'!$A$10:$A$143,'Round 1 Data'!Q$10:Q$144,0)+_xlfn.XLOOKUP('Summary Data'!$A143,'Round 2 Data'!$A$10:$A$146,'Round 2 Data'!Q$10:Q$146,0)+_xlfn.XLOOKUP('Summary Data'!$A143,'Round 3 Data'!$A$10:$A$145,'Round 3 Data'!Q$10:Q$145,0)+_xlfn.XLOOKUP('Summary Data'!$A143,'Round 4 Data'!$A$10:$A$147,'Round 4 Data'!Q$10:Q$147,0))/$D143</f>
        <v>#VALUE!</v>
      </c>
      <c r="R143" s="57" t="e">
        <f>(_xlfn.XLOOKUP('Summary Data'!$A143,'Round 1 Data'!$A$10:$A$143,'Round 1 Data'!R$10:R$144,0)+_xlfn.XLOOKUP('Summary Data'!$A143,'Round 2 Data'!$A$10:$A$146,'Round 2 Data'!R$10:R$146,0)+_xlfn.XLOOKUP('Summary Data'!$A143,'Round 3 Data'!$A$10:$A$145,'Round 3 Data'!R$10:R$145,0)+_xlfn.XLOOKUP('Summary Data'!$A143,'Round 4 Data'!$A$10:$A$147,'Round 4 Data'!R$10:R$147,0))/$D143</f>
        <v>#VALUE!</v>
      </c>
      <c r="S143" s="57" t="e">
        <f>(_xlfn.XLOOKUP('Summary Data'!$A143,'Round 1 Data'!$A$10:$A$143,'Round 1 Data'!S$10:S$144,0)+_xlfn.XLOOKUP('Summary Data'!$A143,'Round 2 Data'!$A$10:$A$146,'Round 2 Data'!S$10:S$146,0)+_xlfn.XLOOKUP('Summary Data'!$A143,'Round 3 Data'!$A$10:$A$145,'Round 3 Data'!S$10:S$145,0)+_xlfn.XLOOKUP('Summary Data'!$A143,'Round 4 Data'!$A$10:$A$147,'Round 4 Data'!S$10:S$147,0))/$D143</f>
        <v>#VALUE!</v>
      </c>
      <c r="T143" s="62" t="e">
        <f>(_xlfn.XLOOKUP('Summary Data'!$A143,'Round 1 Data'!$A$10:$A$143,'Round 1 Data'!U$10:U$144,0)+_xlfn.XLOOKUP('Summary Data'!$A143,'Round 2 Data'!$A$10:$A$146,'Round 2 Data'!U$10:U$146,0)+_xlfn.XLOOKUP('Summary Data'!$A143,'Round 3 Data'!$A$10:$A$145,'Round 3 Data'!U$10:U$145,0)+_xlfn.XLOOKUP('Summary Data'!$A143,'Round 4 Data'!$A$10:$A$147,'Round 4 Data'!U$10:U$147,0))</f>
        <v>#VALUE!</v>
      </c>
    </row>
    <row r="144" spans="1:20" ht="16" thickBot="1" x14ac:dyDescent="0.25">
      <c r="A144" s="64" t="s">
        <v>73</v>
      </c>
      <c r="B144" t="s">
        <v>188</v>
      </c>
      <c r="C144" t="s">
        <v>199</v>
      </c>
      <c r="D144" t="e">
        <f>IF(_xlfn.XLOOKUP('Summary Data'!A144,'Round 1 Data'!$A$10:$A$143,'Round 1 Data'!$E$10:$E$144,0)=0,0,1)+IF(_xlfn.XLOOKUP('Summary Data'!A144,'Round 2 Data'!$A$10:$A$146,'Round 2 Data'!$E$10:$E$146,0)=0,0,1)+IF(_xlfn.XLOOKUP('Summary Data'!A144,'Round 3 Data'!$A$10:$A$145,'Round 3 Data'!$E$10:$E$145,0)=0,0,1)+IF(_xlfn.XLOOKUP('Summary Data'!A144,'Round 4 Data'!$A$10:$A$147,'Round 4 Data'!$E$10:$E$147,0)=0,0,1)</f>
        <v>#VALUE!</v>
      </c>
      <c r="E144" s="57" t="e">
        <f>(_xlfn.XLOOKUP('Summary Data'!$A144,'Round 1 Data'!$A$10:$A$143,'Round 1 Data'!E$10:E$144,0)+_xlfn.XLOOKUP('Summary Data'!$A144,'Round 2 Data'!$A$10:$A$146,'Round 2 Data'!E$10:E$146,0)+_xlfn.XLOOKUP('Summary Data'!$A144,'Round 3 Data'!$A$10:$A$145,'Round 3 Data'!E$10:E$145,0)+_xlfn.XLOOKUP('Summary Data'!$A144,'Round 4 Data'!$A$10:$A$147,'Round 4 Data'!E$10:E$147,0))/$D144</f>
        <v>#VALUE!</v>
      </c>
      <c r="F144" s="57" t="e">
        <f>(_xlfn.XLOOKUP('Summary Data'!$A144,'Round 1 Data'!$A$10:$A$143,'Round 1 Data'!F$10:F$144,0)+_xlfn.XLOOKUP('Summary Data'!$A144,'Round 2 Data'!$A$10:$A$146,'Round 2 Data'!F$10:F$146,0)+_xlfn.XLOOKUP('Summary Data'!$A144,'Round 3 Data'!$A$10:$A$145,'Round 3 Data'!F$10:F$145,0)+_xlfn.XLOOKUP('Summary Data'!$A144,'Round 4 Data'!$A$10:$A$147,'Round 4 Data'!F$10:F$147,0))/$D144</f>
        <v>#VALUE!</v>
      </c>
      <c r="G144" s="57" t="e">
        <f>(_xlfn.XLOOKUP('Summary Data'!$A144,'Round 1 Data'!$A$10:$A$143,'Round 1 Data'!G$10:G$144,0)+_xlfn.XLOOKUP('Summary Data'!$A144,'Round 2 Data'!$A$10:$A$146,'Round 2 Data'!G$10:G$146,0)+_xlfn.XLOOKUP('Summary Data'!$A144,'Round 3 Data'!$A$10:$A$145,'Round 3 Data'!G$10:G$145,0)+_xlfn.XLOOKUP('Summary Data'!$A144,'Round 4 Data'!$A$10:$A$147,'Round 4 Data'!G$10:G$147,0))/$D144</f>
        <v>#VALUE!</v>
      </c>
      <c r="H144" s="57" t="e">
        <f>(_xlfn.XLOOKUP('Summary Data'!$A144,'Round 1 Data'!$A$10:$A$143,'Round 1 Data'!H$10:H$144,0)+_xlfn.XLOOKUP('Summary Data'!$A144,'Round 2 Data'!$A$10:$A$146,'Round 2 Data'!H$10:H$146,0)+_xlfn.XLOOKUP('Summary Data'!$A144,'Round 3 Data'!$A$10:$A$145,'Round 3 Data'!H$10:H$145,0)+_xlfn.XLOOKUP('Summary Data'!$A144,'Round 4 Data'!$A$10:$A$147,'Round 4 Data'!H$10:H$147,0))/$D144</f>
        <v>#VALUE!</v>
      </c>
      <c r="I144" s="57" t="e">
        <f>(_xlfn.XLOOKUP('Summary Data'!$A144,'Round 1 Data'!$A$10:$A$143,'Round 1 Data'!I$10:I$144,0)+_xlfn.XLOOKUP('Summary Data'!$A144,'Round 2 Data'!$A$10:$A$146,'Round 2 Data'!I$10:I$146,0)+_xlfn.XLOOKUP('Summary Data'!$A144,'Round 3 Data'!$A$10:$A$145,'Round 3 Data'!I$10:I$145,0)+_xlfn.XLOOKUP('Summary Data'!$A144,'Round 4 Data'!$A$10:$A$147,'Round 4 Data'!I$10:I$147,0))/$D144</f>
        <v>#VALUE!</v>
      </c>
      <c r="J144" s="57" t="e">
        <f>(_xlfn.XLOOKUP('Summary Data'!$A144,'Round 1 Data'!$A$10:$A$143,'Round 1 Data'!J$10:J$144,0)+_xlfn.XLOOKUP('Summary Data'!$A144,'Round 2 Data'!$A$10:$A$146,'Round 2 Data'!J$10:J$146,0)+_xlfn.XLOOKUP('Summary Data'!$A144,'Round 3 Data'!$A$10:$A$145,'Round 3 Data'!J$10:J$145,0)+_xlfn.XLOOKUP('Summary Data'!$A144,'Round 4 Data'!$A$10:$A$147,'Round 4 Data'!J$10:J$147,0))/$D144</f>
        <v>#VALUE!</v>
      </c>
      <c r="K144" s="57" t="e">
        <f>(_xlfn.XLOOKUP('Summary Data'!$A144,'Round 1 Data'!$A$10:$A$143,'Round 1 Data'!K$10:K$144,0)+_xlfn.XLOOKUP('Summary Data'!$A144,'Round 2 Data'!$A$10:$A$146,'Round 2 Data'!K$10:K$146,0)+_xlfn.XLOOKUP('Summary Data'!$A144,'Round 3 Data'!$A$10:$A$145,'Round 3 Data'!K$10:K$145,0)+_xlfn.XLOOKUP('Summary Data'!$A144,'Round 4 Data'!$A$10:$A$147,'Round 4 Data'!K$10:K$147,0))/$D144</f>
        <v>#VALUE!</v>
      </c>
      <c r="L144" s="57" t="e">
        <f>(_xlfn.XLOOKUP('Summary Data'!$A144,'Round 1 Data'!$A$10:$A$143,'Round 1 Data'!L$10:L$144,0)+_xlfn.XLOOKUP('Summary Data'!$A144,'Round 2 Data'!$A$10:$A$146,'Round 2 Data'!L$10:L$146,0)+_xlfn.XLOOKUP('Summary Data'!$A144,'Round 3 Data'!$A$10:$A$145,'Round 3 Data'!L$10:L$145,0)+_xlfn.XLOOKUP('Summary Data'!$A144,'Round 4 Data'!$A$10:$A$147,'Round 4 Data'!L$10:L$147,0))/$D144</f>
        <v>#VALUE!</v>
      </c>
      <c r="M144" s="57" t="e">
        <f>(_xlfn.XLOOKUP('Summary Data'!$A144,'Round 1 Data'!$A$10:$A$143,'Round 1 Data'!M$10:M$144,0)+_xlfn.XLOOKUP('Summary Data'!$A144,'Round 2 Data'!$A$10:$A$146,'Round 2 Data'!M$10:M$146,0)+_xlfn.XLOOKUP('Summary Data'!$A144,'Round 3 Data'!$A$10:$A$145,'Round 3 Data'!M$10:M$145,0)+_xlfn.XLOOKUP('Summary Data'!$A144,'Round 4 Data'!$A$10:$A$147,'Round 4 Data'!M$10:M$147,0))/$D144</f>
        <v>#VALUE!</v>
      </c>
      <c r="N144" s="57" t="e">
        <f>(_xlfn.XLOOKUP('Summary Data'!$A144,'Round 1 Data'!$A$10:$A$143,'Round 1 Data'!N$10:N$144,0)+_xlfn.XLOOKUP('Summary Data'!$A144,'Round 2 Data'!$A$10:$A$146,'Round 2 Data'!N$10:N$146,0)+_xlfn.XLOOKUP('Summary Data'!$A144,'Round 3 Data'!$A$10:$A$145,'Round 3 Data'!N$10:N$145,0)+_xlfn.XLOOKUP('Summary Data'!$A144,'Round 4 Data'!$A$10:$A$147,'Round 4 Data'!N$10:N$147,0))/$D144</f>
        <v>#VALUE!</v>
      </c>
      <c r="O144" s="57" t="e">
        <f>(_xlfn.XLOOKUP('Summary Data'!$A144,'Round 1 Data'!$A$10:$A$143,'Round 1 Data'!O$10:O$144,0)+_xlfn.XLOOKUP('Summary Data'!$A144,'Round 2 Data'!$A$10:$A$146,'Round 2 Data'!O$10:O$146,0)+_xlfn.XLOOKUP('Summary Data'!$A144,'Round 3 Data'!$A$10:$A$145,'Round 3 Data'!O$10:O$145,0)+_xlfn.XLOOKUP('Summary Data'!$A144,'Round 4 Data'!$A$10:$A$147,'Round 4 Data'!O$10:O$147,0))/$D144</f>
        <v>#VALUE!</v>
      </c>
      <c r="P144" s="57" t="e">
        <f>(_xlfn.XLOOKUP('Summary Data'!$A144,'Round 1 Data'!$A$10:$A$143,'Round 1 Data'!P$10:P$144,0)+_xlfn.XLOOKUP('Summary Data'!$A144,'Round 2 Data'!$A$10:$A$146,'Round 2 Data'!P$10:P$146,0)+_xlfn.XLOOKUP('Summary Data'!$A144,'Round 3 Data'!$A$10:$A$145,'Round 3 Data'!P$10:P$145,0)+_xlfn.XLOOKUP('Summary Data'!$A144,'Round 4 Data'!$A$10:$A$147,'Round 4 Data'!P$10:P$147,0))/$D144</f>
        <v>#VALUE!</v>
      </c>
      <c r="Q144" s="57" t="e">
        <f>(_xlfn.XLOOKUP('Summary Data'!$A144,'Round 1 Data'!$A$10:$A$143,'Round 1 Data'!Q$10:Q$144,0)+_xlfn.XLOOKUP('Summary Data'!$A144,'Round 2 Data'!$A$10:$A$146,'Round 2 Data'!Q$10:Q$146,0)+_xlfn.XLOOKUP('Summary Data'!$A144,'Round 3 Data'!$A$10:$A$145,'Round 3 Data'!Q$10:Q$145,0)+_xlfn.XLOOKUP('Summary Data'!$A144,'Round 4 Data'!$A$10:$A$147,'Round 4 Data'!Q$10:Q$147,0))/$D144</f>
        <v>#VALUE!</v>
      </c>
      <c r="R144" s="57" t="e">
        <f>(_xlfn.XLOOKUP('Summary Data'!$A144,'Round 1 Data'!$A$10:$A$143,'Round 1 Data'!R$10:R$144,0)+_xlfn.XLOOKUP('Summary Data'!$A144,'Round 2 Data'!$A$10:$A$146,'Round 2 Data'!R$10:R$146,0)+_xlfn.XLOOKUP('Summary Data'!$A144,'Round 3 Data'!$A$10:$A$145,'Round 3 Data'!R$10:R$145,0)+_xlfn.XLOOKUP('Summary Data'!$A144,'Round 4 Data'!$A$10:$A$147,'Round 4 Data'!R$10:R$147,0))/$D144</f>
        <v>#VALUE!</v>
      </c>
      <c r="S144" s="57" t="e">
        <f>(_xlfn.XLOOKUP('Summary Data'!$A144,'Round 1 Data'!$A$10:$A$143,'Round 1 Data'!S$10:S$144,0)+_xlfn.XLOOKUP('Summary Data'!$A144,'Round 2 Data'!$A$10:$A$146,'Round 2 Data'!S$10:S$146,0)+_xlfn.XLOOKUP('Summary Data'!$A144,'Round 3 Data'!$A$10:$A$145,'Round 3 Data'!S$10:S$145,0)+_xlfn.XLOOKUP('Summary Data'!$A144,'Round 4 Data'!$A$10:$A$147,'Round 4 Data'!S$10:S$147,0))/$D144</f>
        <v>#VALUE!</v>
      </c>
      <c r="T144" s="62" t="e">
        <f>(_xlfn.XLOOKUP('Summary Data'!$A144,'Round 1 Data'!$A$10:$A$143,'Round 1 Data'!U$10:U$144,0)+_xlfn.XLOOKUP('Summary Data'!$A144,'Round 2 Data'!$A$10:$A$146,'Round 2 Data'!U$10:U$146,0)+_xlfn.XLOOKUP('Summary Data'!$A144,'Round 3 Data'!$A$10:$A$145,'Round 3 Data'!U$10:U$145,0)+_xlfn.XLOOKUP('Summary Data'!$A144,'Round 4 Data'!$A$10:$A$147,'Round 4 Data'!U$10:U$147,0))</f>
        <v>#VALUE!</v>
      </c>
    </row>
    <row r="145" spans="1:20" ht="16" thickBot="1" x14ac:dyDescent="0.25">
      <c r="A145" s="65" t="s">
        <v>74</v>
      </c>
      <c r="B145" t="s">
        <v>188</v>
      </c>
      <c r="C145" t="s">
        <v>200</v>
      </c>
      <c r="D145" t="e">
        <f>IF(_xlfn.XLOOKUP('Summary Data'!A145,'Round 1 Data'!$A$10:$A$143,'Round 1 Data'!$E$10:$E$144,0)=0,0,1)+IF(_xlfn.XLOOKUP('Summary Data'!A145,'Round 2 Data'!$A$10:$A$146,'Round 2 Data'!$E$10:$E$146,0)=0,0,1)+IF(_xlfn.XLOOKUP('Summary Data'!A145,'Round 3 Data'!$A$10:$A$145,'Round 3 Data'!$E$10:$E$145,0)=0,0,1)+IF(_xlfn.XLOOKUP('Summary Data'!A145,'Round 4 Data'!$A$10:$A$147,'Round 4 Data'!$E$10:$E$147,0)=0,0,1)</f>
        <v>#VALUE!</v>
      </c>
      <c r="E145" s="57" t="e">
        <f>(_xlfn.XLOOKUP('Summary Data'!$A145,'Round 1 Data'!$A$10:$A$143,'Round 1 Data'!E$10:E$144,0)+_xlfn.XLOOKUP('Summary Data'!$A145,'Round 2 Data'!$A$10:$A$146,'Round 2 Data'!E$10:E$146,0)+_xlfn.XLOOKUP('Summary Data'!$A145,'Round 3 Data'!$A$10:$A$145,'Round 3 Data'!E$10:E$145,0)+_xlfn.XLOOKUP('Summary Data'!$A145,'Round 4 Data'!$A$10:$A$147,'Round 4 Data'!E$10:E$147,0))/$D145</f>
        <v>#VALUE!</v>
      </c>
      <c r="F145" s="57" t="e">
        <f>(_xlfn.XLOOKUP('Summary Data'!$A145,'Round 1 Data'!$A$10:$A$143,'Round 1 Data'!F$10:F$144,0)+_xlfn.XLOOKUP('Summary Data'!$A145,'Round 2 Data'!$A$10:$A$146,'Round 2 Data'!F$10:F$146,0)+_xlfn.XLOOKUP('Summary Data'!$A145,'Round 3 Data'!$A$10:$A$145,'Round 3 Data'!F$10:F$145,0)+_xlfn.XLOOKUP('Summary Data'!$A145,'Round 4 Data'!$A$10:$A$147,'Round 4 Data'!F$10:F$147,0))/$D145</f>
        <v>#VALUE!</v>
      </c>
      <c r="G145" s="57" t="e">
        <f>(_xlfn.XLOOKUP('Summary Data'!$A145,'Round 1 Data'!$A$10:$A$143,'Round 1 Data'!G$10:G$144,0)+_xlfn.XLOOKUP('Summary Data'!$A145,'Round 2 Data'!$A$10:$A$146,'Round 2 Data'!G$10:G$146,0)+_xlfn.XLOOKUP('Summary Data'!$A145,'Round 3 Data'!$A$10:$A$145,'Round 3 Data'!G$10:G$145,0)+_xlfn.XLOOKUP('Summary Data'!$A145,'Round 4 Data'!$A$10:$A$147,'Round 4 Data'!G$10:G$147,0))/$D145</f>
        <v>#VALUE!</v>
      </c>
      <c r="H145" s="57" t="e">
        <f>(_xlfn.XLOOKUP('Summary Data'!$A145,'Round 1 Data'!$A$10:$A$143,'Round 1 Data'!H$10:H$144,0)+_xlfn.XLOOKUP('Summary Data'!$A145,'Round 2 Data'!$A$10:$A$146,'Round 2 Data'!H$10:H$146,0)+_xlfn.XLOOKUP('Summary Data'!$A145,'Round 3 Data'!$A$10:$A$145,'Round 3 Data'!H$10:H$145,0)+_xlfn.XLOOKUP('Summary Data'!$A145,'Round 4 Data'!$A$10:$A$147,'Round 4 Data'!H$10:H$147,0))/$D145</f>
        <v>#VALUE!</v>
      </c>
      <c r="I145" s="57" t="e">
        <f>(_xlfn.XLOOKUP('Summary Data'!$A145,'Round 1 Data'!$A$10:$A$143,'Round 1 Data'!I$10:I$144,0)+_xlfn.XLOOKUP('Summary Data'!$A145,'Round 2 Data'!$A$10:$A$146,'Round 2 Data'!I$10:I$146,0)+_xlfn.XLOOKUP('Summary Data'!$A145,'Round 3 Data'!$A$10:$A$145,'Round 3 Data'!I$10:I$145,0)+_xlfn.XLOOKUP('Summary Data'!$A145,'Round 4 Data'!$A$10:$A$147,'Round 4 Data'!I$10:I$147,0))/$D145</f>
        <v>#VALUE!</v>
      </c>
      <c r="J145" s="57" t="e">
        <f>(_xlfn.XLOOKUP('Summary Data'!$A145,'Round 1 Data'!$A$10:$A$143,'Round 1 Data'!J$10:J$144,0)+_xlfn.XLOOKUP('Summary Data'!$A145,'Round 2 Data'!$A$10:$A$146,'Round 2 Data'!J$10:J$146,0)+_xlfn.XLOOKUP('Summary Data'!$A145,'Round 3 Data'!$A$10:$A$145,'Round 3 Data'!J$10:J$145,0)+_xlfn.XLOOKUP('Summary Data'!$A145,'Round 4 Data'!$A$10:$A$147,'Round 4 Data'!J$10:J$147,0))/$D145</f>
        <v>#VALUE!</v>
      </c>
      <c r="K145" s="57" t="e">
        <f>(_xlfn.XLOOKUP('Summary Data'!$A145,'Round 1 Data'!$A$10:$A$143,'Round 1 Data'!K$10:K$144,0)+_xlfn.XLOOKUP('Summary Data'!$A145,'Round 2 Data'!$A$10:$A$146,'Round 2 Data'!K$10:K$146,0)+_xlfn.XLOOKUP('Summary Data'!$A145,'Round 3 Data'!$A$10:$A$145,'Round 3 Data'!K$10:K$145,0)+_xlfn.XLOOKUP('Summary Data'!$A145,'Round 4 Data'!$A$10:$A$147,'Round 4 Data'!K$10:K$147,0))/$D145</f>
        <v>#VALUE!</v>
      </c>
      <c r="L145" s="57" t="e">
        <f>(_xlfn.XLOOKUP('Summary Data'!$A145,'Round 1 Data'!$A$10:$A$143,'Round 1 Data'!L$10:L$144,0)+_xlfn.XLOOKUP('Summary Data'!$A145,'Round 2 Data'!$A$10:$A$146,'Round 2 Data'!L$10:L$146,0)+_xlfn.XLOOKUP('Summary Data'!$A145,'Round 3 Data'!$A$10:$A$145,'Round 3 Data'!L$10:L$145,0)+_xlfn.XLOOKUP('Summary Data'!$A145,'Round 4 Data'!$A$10:$A$147,'Round 4 Data'!L$10:L$147,0))/$D145</f>
        <v>#VALUE!</v>
      </c>
      <c r="M145" s="57" t="e">
        <f>(_xlfn.XLOOKUP('Summary Data'!$A145,'Round 1 Data'!$A$10:$A$143,'Round 1 Data'!M$10:M$144,0)+_xlfn.XLOOKUP('Summary Data'!$A145,'Round 2 Data'!$A$10:$A$146,'Round 2 Data'!M$10:M$146,0)+_xlfn.XLOOKUP('Summary Data'!$A145,'Round 3 Data'!$A$10:$A$145,'Round 3 Data'!M$10:M$145,0)+_xlfn.XLOOKUP('Summary Data'!$A145,'Round 4 Data'!$A$10:$A$147,'Round 4 Data'!M$10:M$147,0))/$D145</f>
        <v>#VALUE!</v>
      </c>
      <c r="N145" s="57" t="e">
        <f>(_xlfn.XLOOKUP('Summary Data'!$A145,'Round 1 Data'!$A$10:$A$143,'Round 1 Data'!N$10:N$144,0)+_xlfn.XLOOKUP('Summary Data'!$A145,'Round 2 Data'!$A$10:$A$146,'Round 2 Data'!N$10:N$146,0)+_xlfn.XLOOKUP('Summary Data'!$A145,'Round 3 Data'!$A$10:$A$145,'Round 3 Data'!N$10:N$145,0)+_xlfn.XLOOKUP('Summary Data'!$A145,'Round 4 Data'!$A$10:$A$147,'Round 4 Data'!N$10:N$147,0))/$D145</f>
        <v>#VALUE!</v>
      </c>
      <c r="O145" s="57" t="e">
        <f>(_xlfn.XLOOKUP('Summary Data'!$A145,'Round 1 Data'!$A$10:$A$143,'Round 1 Data'!O$10:O$144,0)+_xlfn.XLOOKUP('Summary Data'!$A145,'Round 2 Data'!$A$10:$A$146,'Round 2 Data'!O$10:O$146,0)+_xlfn.XLOOKUP('Summary Data'!$A145,'Round 3 Data'!$A$10:$A$145,'Round 3 Data'!O$10:O$145,0)+_xlfn.XLOOKUP('Summary Data'!$A145,'Round 4 Data'!$A$10:$A$147,'Round 4 Data'!O$10:O$147,0))/$D145</f>
        <v>#VALUE!</v>
      </c>
      <c r="P145" s="57" t="e">
        <f>(_xlfn.XLOOKUP('Summary Data'!$A145,'Round 1 Data'!$A$10:$A$143,'Round 1 Data'!P$10:P$144,0)+_xlfn.XLOOKUP('Summary Data'!$A145,'Round 2 Data'!$A$10:$A$146,'Round 2 Data'!P$10:P$146,0)+_xlfn.XLOOKUP('Summary Data'!$A145,'Round 3 Data'!$A$10:$A$145,'Round 3 Data'!P$10:P$145,0)+_xlfn.XLOOKUP('Summary Data'!$A145,'Round 4 Data'!$A$10:$A$147,'Round 4 Data'!P$10:P$147,0))/$D145</f>
        <v>#VALUE!</v>
      </c>
      <c r="Q145" s="57" t="e">
        <f>(_xlfn.XLOOKUP('Summary Data'!$A145,'Round 1 Data'!$A$10:$A$143,'Round 1 Data'!Q$10:Q$144,0)+_xlfn.XLOOKUP('Summary Data'!$A145,'Round 2 Data'!$A$10:$A$146,'Round 2 Data'!Q$10:Q$146,0)+_xlfn.XLOOKUP('Summary Data'!$A145,'Round 3 Data'!$A$10:$A$145,'Round 3 Data'!Q$10:Q$145,0)+_xlfn.XLOOKUP('Summary Data'!$A145,'Round 4 Data'!$A$10:$A$147,'Round 4 Data'!Q$10:Q$147,0))/$D145</f>
        <v>#VALUE!</v>
      </c>
      <c r="R145" s="57" t="e">
        <f>(_xlfn.XLOOKUP('Summary Data'!$A145,'Round 1 Data'!$A$10:$A$143,'Round 1 Data'!R$10:R$144,0)+_xlfn.XLOOKUP('Summary Data'!$A145,'Round 2 Data'!$A$10:$A$146,'Round 2 Data'!R$10:R$146,0)+_xlfn.XLOOKUP('Summary Data'!$A145,'Round 3 Data'!$A$10:$A$145,'Round 3 Data'!R$10:R$145,0)+_xlfn.XLOOKUP('Summary Data'!$A145,'Round 4 Data'!$A$10:$A$147,'Round 4 Data'!R$10:R$147,0))/$D145</f>
        <v>#VALUE!</v>
      </c>
      <c r="S145" s="57" t="e">
        <f>(_xlfn.XLOOKUP('Summary Data'!$A145,'Round 1 Data'!$A$10:$A$143,'Round 1 Data'!S$10:S$144,0)+_xlfn.XLOOKUP('Summary Data'!$A145,'Round 2 Data'!$A$10:$A$146,'Round 2 Data'!S$10:S$146,0)+_xlfn.XLOOKUP('Summary Data'!$A145,'Round 3 Data'!$A$10:$A$145,'Round 3 Data'!S$10:S$145,0)+_xlfn.XLOOKUP('Summary Data'!$A145,'Round 4 Data'!$A$10:$A$147,'Round 4 Data'!S$10:S$147,0))/$D145</f>
        <v>#VALUE!</v>
      </c>
      <c r="T145" s="62" t="e">
        <f>(_xlfn.XLOOKUP('Summary Data'!$A145,'Round 1 Data'!$A$10:$A$143,'Round 1 Data'!U$10:U$144,0)+_xlfn.XLOOKUP('Summary Data'!$A145,'Round 2 Data'!$A$10:$A$146,'Round 2 Data'!U$10:U$146,0)+_xlfn.XLOOKUP('Summary Data'!$A145,'Round 3 Data'!$A$10:$A$145,'Round 3 Data'!U$10:U$145,0)+_xlfn.XLOOKUP('Summary Data'!$A145,'Round 4 Data'!$A$10:$A$147,'Round 4 Data'!U$10:U$147,0))</f>
        <v>#VALUE!</v>
      </c>
    </row>
    <row r="146" spans="1:20" ht="16" thickBot="1" x14ac:dyDescent="0.25">
      <c r="A146" s="63" t="s">
        <v>76</v>
      </c>
      <c r="B146" t="s">
        <v>188</v>
      </c>
      <c r="C146" t="s">
        <v>200</v>
      </c>
      <c r="D146" t="e">
        <f>IF(_xlfn.XLOOKUP('Summary Data'!A146,'Round 1 Data'!$A$10:$A$143,'Round 1 Data'!$E$10:$E$144,0)=0,0,1)+IF(_xlfn.XLOOKUP('Summary Data'!A146,'Round 2 Data'!$A$10:$A$146,'Round 2 Data'!$E$10:$E$146,0)=0,0,1)+IF(_xlfn.XLOOKUP('Summary Data'!A146,'Round 3 Data'!$A$10:$A$145,'Round 3 Data'!$E$10:$E$145,0)=0,0,1)+IF(_xlfn.XLOOKUP('Summary Data'!A146,'Round 4 Data'!$A$10:$A$147,'Round 4 Data'!$E$10:$E$147,0)=0,0,1)</f>
        <v>#VALUE!</v>
      </c>
      <c r="E146" s="57" t="e">
        <f>(_xlfn.XLOOKUP('Summary Data'!$A146,'Round 1 Data'!$A$10:$A$143,'Round 1 Data'!E$10:E$144,0)+_xlfn.XLOOKUP('Summary Data'!$A146,'Round 2 Data'!$A$10:$A$146,'Round 2 Data'!E$10:E$146,0)+_xlfn.XLOOKUP('Summary Data'!$A146,'Round 3 Data'!$A$10:$A$145,'Round 3 Data'!E$10:E$145,0)+_xlfn.XLOOKUP('Summary Data'!$A146,'Round 4 Data'!$A$10:$A$147,'Round 4 Data'!E$10:E$147,0))/$D146</f>
        <v>#VALUE!</v>
      </c>
      <c r="F146" s="57" t="e">
        <f>(_xlfn.XLOOKUP('Summary Data'!$A146,'Round 1 Data'!$A$10:$A$143,'Round 1 Data'!F$10:F$144,0)+_xlfn.XLOOKUP('Summary Data'!$A146,'Round 2 Data'!$A$10:$A$146,'Round 2 Data'!F$10:F$146,0)+_xlfn.XLOOKUP('Summary Data'!$A146,'Round 3 Data'!$A$10:$A$145,'Round 3 Data'!F$10:F$145,0)+_xlfn.XLOOKUP('Summary Data'!$A146,'Round 4 Data'!$A$10:$A$147,'Round 4 Data'!F$10:F$147,0))/$D146</f>
        <v>#VALUE!</v>
      </c>
      <c r="G146" s="57" t="e">
        <f>(_xlfn.XLOOKUP('Summary Data'!$A146,'Round 1 Data'!$A$10:$A$143,'Round 1 Data'!G$10:G$144,0)+_xlfn.XLOOKUP('Summary Data'!$A146,'Round 2 Data'!$A$10:$A$146,'Round 2 Data'!G$10:G$146,0)+_xlfn.XLOOKUP('Summary Data'!$A146,'Round 3 Data'!$A$10:$A$145,'Round 3 Data'!G$10:G$145,0)+_xlfn.XLOOKUP('Summary Data'!$A146,'Round 4 Data'!$A$10:$A$147,'Round 4 Data'!G$10:G$147,0))/$D146</f>
        <v>#VALUE!</v>
      </c>
      <c r="H146" s="57" t="e">
        <f>(_xlfn.XLOOKUP('Summary Data'!$A146,'Round 1 Data'!$A$10:$A$143,'Round 1 Data'!H$10:H$144,0)+_xlfn.XLOOKUP('Summary Data'!$A146,'Round 2 Data'!$A$10:$A$146,'Round 2 Data'!H$10:H$146,0)+_xlfn.XLOOKUP('Summary Data'!$A146,'Round 3 Data'!$A$10:$A$145,'Round 3 Data'!H$10:H$145,0)+_xlfn.XLOOKUP('Summary Data'!$A146,'Round 4 Data'!$A$10:$A$147,'Round 4 Data'!H$10:H$147,0))/$D146</f>
        <v>#VALUE!</v>
      </c>
      <c r="I146" s="57" t="e">
        <f>(_xlfn.XLOOKUP('Summary Data'!$A146,'Round 1 Data'!$A$10:$A$143,'Round 1 Data'!I$10:I$144,0)+_xlfn.XLOOKUP('Summary Data'!$A146,'Round 2 Data'!$A$10:$A$146,'Round 2 Data'!I$10:I$146,0)+_xlfn.XLOOKUP('Summary Data'!$A146,'Round 3 Data'!$A$10:$A$145,'Round 3 Data'!I$10:I$145,0)+_xlfn.XLOOKUP('Summary Data'!$A146,'Round 4 Data'!$A$10:$A$147,'Round 4 Data'!I$10:I$147,0))/$D146</f>
        <v>#VALUE!</v>
      </c>
      <c r="J146" s="57" t="e">
        <f>(_xlfn.XLOOKUP('Summary Data'!$A146,'Round 1 Data'!$A$10:$A$143,'Round 1 Data'!J$10:J$144,0)+_xlfn.XLOOKUP('Summary Data'!$A146,'Round 2 Data'!$A$10:$A$146,'Round 2 Data'!J$10:J$146,0)+_xlfn.XLOOKUP('Summary Data'!$A146,'Round 3 Data'!$A$10:$A$145,'Round 3 Data'!J$10:J$145,0)+_xlfn.XLOOKUP('Summary Data'!$A146,'Round 4 Data'!$A$10:$A$147,'Round 4 Data'!J$10:J$147,0))/$D146</f>
        <v>#VALUE!</v>
      </c>
      <c r="K146" s="57" t="e">
        <f>(_xlfn.XLOOKUP('Summary Data'!$A146,'Round 1 Data'!$A$10:$A$143,'Round 1 Data'!K$10:K$144,0)+_xlfn.XLOOKUP('Summary Data'!$A146,'Round 2 Data'!$A$10:$A$146,'Round 2 Data'!K$10:K$146,0)+_xlfn.XLOOKUP('Summary Data'!$A146,'Round 3 Data'!$A$10:$A$145,'Round 3 Data'!K$10:K$145,0)+_xlfn.XLOOKUP('Summary Data'!$A146,'Round 4 Data'!$A$10:$A$147,'Round 4 Data'!K$10:K$147,0))/$D146</f>
        <v>#VALUE!</v>
      </c>
      <c r="L146" s="57" t="e">
        <f>(_xlfn.XLOOKUP('Summary Data'!$A146,'Round 1 Data'!$A$10:$A$143,'Round 1 Data'!L$10:L$144,0)+_xlfn.XLOOKUP('Summary Data'!$A146,'Round 2 Data'!$A$10:$A$146,'Round 2 Data'!L$10:L$146,0)+_xlfn.XLOOKUP('Summary Data'!$A146,'Round 3 Data'!$A$10:$A$145,'Round 3 Data'!L$10:L$145,0)+_xlfn.XLOOKUP('Summary Data'!$A146,'Round 4 Data'!$A$10:$A$147,'Round 4 Data'!L$10:L$147,0))/$D146</f>
        <v>#VALUE!</v>
      </c>
      <c r="M146" s="57" t="e">
        <f>(_xlfn.XLOOKUP('Summary Data'!$A146,'Round 1 Data'!$A$10:$A$143,'Round 1 Data'!M$10:M$144,0)+_xlfn.XLOOKUP('Summary Data'!$A146,'Round 2 Data'!$A$10:$A$146,'Round 2 Data'!M$10:M$146,0)+_xlfn.XLOOKUP('Summary Data'!$A146,'Round 3 Data'!$A$10:$A$145,'Round 3 Data'!M$10:M$145,0)+_xlfn.XLOOKUP('Summary Data'!$A146,'Round 4 Data'!$A$10:$A$147,'Round 4 Data'!M$10:M$147,0))/$D146</f>
        <v>#VALUE!</v>
      </c>
      <c r="N146" s="57" t="e">
        <f>(_xlfn.XLOOKUP('Summary Data'!$A146,'Round 1 Data'!$A$10:$A$143,'Round 1 Data'!N$10:N$144,0)+_xlfn.XLOOKUP('Summary Data'!$A146,'Round 2 Data'!$A$10:$A$146,'Round 2 Data'!N$10:N$146,0)+_xlfn.XLOOKUP('Summary Data'!$A146,'Round 3 Data'!$A$10:$A$145,'Round 3 Data'!N$10:N$145,0)+_xlfn.XLOOKUP('Summary Data'!$A146,'Round 4 Data'!$A$10:$A$147,'Round 4 Data'!N$10:N$147,0))/$D146</f>
        <v>#VALUE!</v>
      </c>
      <c r="O146" s="57" t="e">
        <f>(_xlfn.XLOOKUP('Summary Data'!$A146,'Round 1 Data'!$A$10:$A$143,'Round 1 Data'!O$10:O$144,0)+_xlfn.XLOOKUP('Summary Data'!$A146,'Round 2 Data'!$A$10:$A$146,'Round 2 Data'!O$10:O$146,0)+_xlfn.XLOOKUP('Summary Data'!$A146,'Round 3 Data'!$A$10:$A$145,'Round 3 Data'!O$10:O$145,0)+_xlfn.XLOOKUP('Summary Data'!$A146,'Round 4 Data'!$A$10:$A$147,'Round 4 Data'!O$10:O$147,0))/$D146</f>
        <v>#VALUE!</v>
      </c>
      <c r="P146" s="57" t="e">
        <f>(_xlfn.XLOOKUP('Summary Data'!$A146,'Round 1 Data'!$A$10:$A$143,'Round 1 Data'!P$10:P$144,0)+_xlfn.XLOOKUP('Summary Data'!$A146,'Round 2 Data'!$A$10:$A$146,'Round 2 Data'!P$10:P$146,0)+_xlfn.XLOOKUP('Summary Data'!$A146,'Round 3 Data'!$A$10:$A$145,'Round 3 Data'!P$10:P$145,0)+_xlfn.XLOOKUP('Summary Data'!$A146,'Round 4 Data'!$A$10:$A$147,'Round 4 Data'!P$10:P$147,0))/$D146</f>
        <v>#VALUE!</v>
      </c>
      <c r="Q146" s="57" t="e">
        <f>(_xlfn.XLOOKUP('Summary Data'!$A146,'Round 1 Data'!$A$10:$A$143,'Round 1 Data'!Q$10:Q$144,0)+_xlfn.XLOOKUP('Summary Data'!$A146,'Round 2 Data'!$A$10:$A$146,'Round 2 Data'!Q$10:Q$146,0)+_xlfn.XLOOKUP('Summary Data'!$A146,'Round 3 Data'!$A$10:$A$145,'Round 3 Data'!Q$10:Q$145,0)+_xlfn.XLOOKUP('Summary Data'!$A146,'Round 4 Data'!$A$10:$A$147,'Round 4 Data'!Q$10:Q$147,0))/$D146</f>
        <v>#VALUE!</v>
      </c>
      <c r="R146" s="57" t="e">
        <f>(_xlfn.XLOOKUP('Summary Data'!$A146,'Round 1 Data'!$A$10:$A$143,'Round 1 Data'!R$10:R$144,0)+_xlfn.XLOOKUP('Summary Data'!$A146,'Round 2 Data'!$A$10:$A$146,'Round 2 Data'!R$10:R$146,0)+_xlfn.XLOOKUP('Summary Data'!$A146,'Round 3 Data'!$A$10:$A$145,'Round 3 Data'!R$10:R$145,0)+_xlfn.XLOOKUP('Summary Data'!$A146,'Round 4 Data'!$A$10:$A$147,'Round 4 Data'!R$10:R$147,0))/$D146</f>
        <v>#VALUE!</v>
      </c>
      <c r="S146" s="57" t="e">
        <f>(_xlfn.XLOOKUP('Summary Data'!$A146,'Round 1 Data'!$A$10:$A$143,'Round 1 Data'!S$10:S$144,0)+_xlfn.XLOOKUP('Summary Data'!$A146,'Round 2 Data'!$A$10:$A$146,'Round 2 Data'!S$10:S$146,0)+_xlfn.XLOOKUP('Summary Data'!$A146,'Round 3 Data'!$A$10:$A$145,'Round 3 Data'!S$10:S$145,0)+_xlfn.XLOOKUP('Summary Data'!$A146,'Round 4 Data'!$A$10:$A$147,'Round 4 Data'!S$10:S$147,0))/$D146</f>
        <v>#VALUE!</v>
      </c>
      <c r="T146" s="62" t="e">
        <f>(_xlfn.XLOOKUP('Summary Data'!$A146,'Round 1 Data'!$A$10:$A$143,'Round 1 Data'!U$10:U$144,0)+_xlfn.XLOOKUP('Summary Data'!$A146,'Round 2 Data'!$A$10:$A$146,'Round 2 Data'!U$10:U$146,0)+_xlfn.XLOOKUP('Summary Data'!$A146,'Round 3 Data'!$A$10:$A$145,'Round 3 Data'!U$10:U$145,0)+_xlfn.XLOOKUP('Summary Data'!$A146,'Round 4 Data'!$A$10:$A$147,'Round 4 Data'!U$10:U$147,0))</f>
        <v>#VALUE!</v>
      </c>
    </row>
    <row r="147" spans="1:20" ht="16" thickBot="1" x14ac:dyDescent="0.25">
      <c r="A147" s="61" t="s">
        <v>80</v>
      </c>
      <c r="B147" t="s">
        <v>190</v>
      </c>
      <c r="C147" t="s">
        <v>194</v>
      </c>
      <c r="D147" t="e">
        <f>IF(_xlfn.XLOOKUP('Summary Data'!A147,'Round 1 Data'!$A$10:$A$143,'Round 1 Data'!$E$10:$E$144,0)=0,0,1)+IF(_xlfn.XLOOKUP('Summary Data'!A147,'Round 2 Data'!$A$10:$A$146,'Round 2 Data'!$E$10:$E$146,0)=0,0,1)+IF(_xlfn.XLOOKUP('Summary Data'!A147,'Round 3 Data'!$A$10:$A$145,'Round 3 Data'!$E$10:$E$145,0)=0,0,1)+IF(_xlfn.XLOOKUP('Summary Data'!A147,'Round 4 Data'!$A$10:$A$147,'Round 4 Data'!$E$10:$E$147,0)=0,0,1)</f>
        <v>#VALUE!</v>
      </c>
      <c r="E147" s="57" t="e">
        <f>(_xlfn.XLOOKUP('Summary Data'!$A147,'Round 1 Data'!$A$10:$A$143,'Round 1 Data'!E$10:E$144,0)+_xlfn.XLOOKUP('Summary Data'!$A147,'Round 2 Data'!$A$10:$A$146,'Round 2 Data'!E$10:E$146,0)+_xlfn.XLOOKUP('Summary Data'!$A147,'Round 3 Data'!$A$10:$A$145,'Round 3 Data'!E$10:E$145,0)+_xlfn.XLOOKUP('Summary Data'!$A147,'Round 4 Data'!$A$10:$A$147,'Round 4 Data'!E$10:E$147,0))/$D147</f>
        <v>#VALUE!</v>
      </c>
      <c r="F147" s="57" t="e">
        <f>(_xlfn.XLOOKUP('Summary Data'!$A147,'Round 1 Data'!$A$10:$A$143,'Round 1 Data'!F$10:F$144,0)+_xlfn.XLOOKUP('Summary Data'!$A147,'Round 2 Data'!$A$10:$A$146,'Round 2 Data'!F$10:F$146,0)+_xlfn.XLOOKUP('Summary Data'!$A147,'Round 3 Data'!$A$10:$A$145,'Round 3 Data'!F$10:F$145,0)+_xlfn.XLOOKUP('Summary Data'!$A147,'Round 4 Data'!$A$10:$A$147,'Round 4 Data'!F$10:F$147,0))/$D147</f>
        <v>#VALUE!</v>
      </c>
      <c r="G147" s="57" t="e">
        <f>(_xlfn.XLOOKUP('Summary Data'!$A147,'Round 1 Data'!$A$10:$A$143,'Round 1 Data'!G$10:G$144,0)+_xlfn.XLOOKUP('Summary Data'!$A147,'Round 2 Data'!$A$10:$A$146,'Round 2 Data'!G$10:G$146,0)+_xlfn.XLOOKUP('Summary Data'!$A147,'Round 3 Data'!$A$10:$A$145,'Round 3 Data'!G$10:G$145,0)+_xlfn.XLOOKUP('Summary Data'!$A147,'Round 4 Data'!$A$10:$A$147,'Round 4 Data'!G$10:G$147,0))/$D147</f>
        <v>#VALUE!</v>
      </c>
      <c r="H147" s="57" t="e">
        <f>(_xlfn.XLOOKUP('Summary Data'!$A147,'Round 1 Data'!$A$10:$A$143,'Round 1 Data'!H$10:H$144,0)+_xlfn.XLOOKUP('Summary Data'!$A147,'Round 2 Data'!$A$10:$A$146,'Round 2 Data'!H$10:H$146,0)+_xlfn.XLOOKUP('Summary Data'!$A147,'Round 3 Data'!$A$10:$A$145,'Round 3 Data'!H$10:H$145,0)+_xlfn.XLOOKUP('Summary Data'!$A147,'Round 4 Data'!$A$10:$A$147,'Round 4 Data'!H$10:H$147,0))/$D147</f>
        <v>#VALUE!</v>
      </c>
      <c r="I147" s="57" t="e">
        <f>(_xlfn.XLOOKUP('Summary Data'!$A147,'Round 1 Data'!$A$10:$A$143,'Round 1 Data'!I$10:I$144,0)+_xlfn.XLOOKUP('Summary Data'!$A147,'Round 2 Data'!$A$10:$A$146,'Round 2 Data'!I$10:I$146,0)+_xlfn.XLOOKUP('Summary Data'!$A147,'Round 3 Data'!$A$10:$A$145,'Round 3 Data'!I$10:I$145,0)+_xlfn.XLOOKUP('Summary Data'!$A147,'Round 4 Data'!$A$10:$A$147,'Round 4 Data'!I$10:I$147,0))/$D147</f>
        <v>#VALUE!</v>
      </c>
      <c r="J147" s="57" t="e">
        <f>(_xlfn.XLOOKUP('Summary Data'!$A147,'Round 1 Data'!$A$10:$A$143,'Round 1 Data'!J$10:J$144,0)+_xlfn.XLOOKUP('Summary Data'!$A147,'Round 2 Data'!$A$10:$A$146,'Round 2 Data'!J$10:J$146,0)+_xlfn.XLOOKUP('Summary Data'!$A147,'Round 3 Data'!$A$10:$A$145,'Round 3 Data'!J$10:J$145,0)+_xlfn.XLOOKUP('Summary Data'!$A147,'Round 4 Data'!$A$10:$A$147,'Round 4 Data'!J$10:J$147,0))/$D147</f>
        <v>#VALUE!</v>
      </c>
      <c r="K147" s="57" t="e">
        <f>(_xlfn.XLOOKUP('Summary Data'!$A147,'Round 1 Data'!$A$10:$A$143,'Round 1 Data'!K$10:K$144,0)+_xlfn.XLOOKUP('Summary Data'!$A147,'Round 2 Data'!$A$10:$A$146,'Round 2 Data'!K$10:K$146,0)+_xlfn.XLOOKUP('Summary Data'!$A147,'Round 3 Data'!$A$10:$A$145,'Round 3 Data'!K$10:K$145,0)+_xlfn.XLOOKUP('Summary Data'!$A147,'Round 4 Data'!$A$10:$A$147,'Round 4 Data'!K$10:K$147,0))/$D147</f>
        <v>#VALUE!</v>
      </c>
      <c r="L147" s="57" t="e">
        <f>(_xlfn.XLOOKUP('Summary Data'!$A147,'Round 1 Data'!$A$10:$A$143,'Round 1 Data'!L$10:L$144,0)+_xlfn.XLOOKUP('Summary Data'!$A147,'Round 2 Data'!$A$10:$A$146,'Round 2 Data'!L$10:L$146,0)+_xlfn.XLOOKUP('Summary Data'!$A147,'Round 3 Data'!$A$10:$A$145,'Round 3 Data'!L$10:L$145,0)+_xlfn.XLOOKUP('Summary Data'!$A147,'Round 4 Data'!$A$10:$A$147,'Round 4 Data'!L$10:L$147,0))/$D147</f>
        <v>#VALUE!</v>
      </c>
      <c r="M147" s="57" t="e">
        <f>(_xlfn.XLOOKUP('Summary Data'!$A147,'Round 1 Data'!$A$10:$A$143,'Round 1 Data'!M$10:M$144,0)+_xlfn.XLOOKUP('Summary Data'!$A147,'Round 2 Data'!$A$10:$A$146,'Round 2 Data'!M$10:M$146,0)+_xlfn.XLOOKUP('Summary Data'!$A147,'Round 3 Data'!$A$10:$A$145,'Round 3 Data'!M$10:M$145,0)+_xlfn.XLOOKUP('Summary Data'!$A147,'Round 4 Data'!$A$10:$A$147,'Round 4 Data'!M$10:M$147,0))/$D147</f>
        <v>#VALUE!</v>
      </c>
      <c r="N147" s="57" t="e">
        <f>(_xlfn.XLOOKUP('Summary Data'!$A147,'Round 1 Data'!$A$10:$A$143,'Round 1 Data'!N$10:N$144,0)+_xlfn.XLOOKUP('Summary Data'!$A147,'Round 2 Data'!$A$10:$A$146,'Round 2 Data'!N$10:N$146,0)+_xlfn.XLOOKUP('Summary Data'!$A147,'Round 3 Data'!$A$10:$A$145,'Round 3 Data'!N$10:N$145,0)+_xlfn.XLOOKUP('Summary Data'!$A147,'Round 4 Data'!$A$10:$A$147,'Round 4 Data'!N$10:N$147,0))/$D147</f>
        <v>#VALUE!</v>
      </c>
      <c r="O147" s="57" t="e">
        <f>(_xlfn.XLOOKUP('Summary Data'!$A147,'Round 1 Data'!$A$10:$A$143,'Round 1 Data'!O$10:O$144,0)+_xlfn.XLOOKUP('Summary Data'!$A147,'Round 2 Data'!$A$10:$A$146,'Round 2 Data'!O$10:O$146,0)+_xlfn.XLOOKUP('Summary Data'!$A147,'Round 3 Data'!$A$10:$A$145,'Round 3 Data'!O$10:O$145,0)+_xlfn.XLOOKUP('Summary Data'!$A147,'Round 4 Data'!$A$10:$A$147,'Round 4 Data'!O$10:O$147,0))/$D147</f>
        <v>#VALUE!</v>
      </c>
      <c r="P147" s="57" t="e">
        <f>(_xlfn.XLOOKUP('Summary Data'!$A147,'Round 1 Data'!$A$10:$A$143,'Round 1 Data'!P$10:P$144,0)+_xlfn.XLOOKUP('Summary Data'!$A147,'Round 2 Data'!$A$10:$A$146,'Round 2 Data'!P$10:P$146,0)+_xlfn.XLOOKUP('Summary Data'!$A147,'Round 3 Data'!$A$10:$A$145,'Round 3 Data'!P$10:P$145,0)+_xlfn.XLOOKUP('Summary Data'!$A147,'Round 4 Data'!$A$10:$A$147,'Round 4 Data'!P$10:P$147,0))/$D147</f>
        <v>#VALUE!</v>
      </c>
      <c r="Q147" s="57" t="e">
        <f>(_xlfn.XLOOKUP('Summary Data'!$A147,'Round 1 Data'!$A$10:$A$143,'Round 1 Data'!Q$10:Q$144,0)+_xlfn.XLOOKUP('Summary Data'!$A147,'Round 2 Data'!$A$10:$A$146,'Round 2 Data'!Q$10:Q$146,0)+_xlfn.XLOOKUP('Summary Data'!$A147,'Round 3 Data'!$A$10:$A$145,'Round 3 Data'!Q$10:Q$145,0)+_xlfn.XLOOKUP('Summary Data'!$A147,'Round 4 Data'!$A$10:$A$147,'Round 4 Data'!Q$10:Q$147,0))/$D147</f>
        <v>#VALUE!</v>
      </c>
      <c r="R147" s="57" t="e">
        <f>(_xlfn.XLOOKUP('Summary Data'!$A147,'Round 1 Data'!$A$10:$A$143,'Round 1 Data'!R$10:R$144,0)+_xlfn.XLOOKUP('Summary Data'!$A147,'Round 2 Data'!$A$10:$A$146,'Round 2 Data'!R$10:R$146,0)+_xlfn.XLOOKUP('Summary Data'!$A147,'Round 3 Data'!$A$10:$A$145,'Round 3 Data'!R$10:R$145,0)+_xlfn.XLOOKUP('Summary Data'!$A147,'Round 4 Data'!$A$10:$A$147,'Round 4 Data'!R$10:R$147,0))/$D147</f>
        <v>#VALUE!</v>
      </c>
      <c r="S147" s="57" t="e">
        <f>(_xlfn.XLOOKUP('Summary Data'!$A147,'Round 1 Data'!$A$10:$A$143,'Round 1 Data'!S$10:S$144,0)+_xlfn.XLOOKUP('Summary Data'!$A147,'Round 2 Data'!$A$10:$A$146,'Round 2 Data'!S$10:S$146,0)+_xlfn.XLOOKUP('Summary Data'!$A147,'Round 3 Data'!$A$10:$A$145,'Round 3 Data'!S$10:S$145,0)+_xlfn.XLOOKUP('Summary Data'!$A147,'Round 4 Data'!$A$10:$A$147,'Round 4 Data'!S$10:S$147,0))/$D147</f>
        <v>#VALUE!</v>
      </c>
      <c r="T147" s="62" t="e">
        <f>(_xlfn.XLOOKUP('Summary Data'!$A147,'Round 1 Data'!$A$10:$A$143,'Round 1 Data'!U$10:U$144,0)+_xlfn.XLOOKUP('Summary Data'!$A147,'Round 2 Data'!$A$10:$A$146,'Round 2 Data'!U$10:U$146,0)+_xlfn.XLOOKUP('Summary Data'!$A147,'Round 3 Data'!$A$10:$A$145,'Round 3 Data'!U$10:U$145,0)+_xlfn.XLOOKUP('Summary Data'!$A147,'Round 4 Data'!$A$10:$A$147,'Round 4 Data'!U$10:U$147,0))</f>
        <v>#VALUE!</v>
      </c>
    </row>
    <row r="148" spans="1:20" ht="16" thickBot="1" x14ac:dyDescent="0.25">
      <c r="A148" s="64" t="s">
        <v>86</v>
      </c>
      <c r="B148" t="s">
        <v>190</v>
      </c>
      <c r="C148" t="s">
        <v>195</v>
      </c>
      <c r="D148" t="e">
        <f>IF(_xlfn.XLOOKUP('Summary Data'!A148,'Round 1 Data'!$A$10:$A$143,'Round 1 Data'!$E$10:$E$144,0)=0,0,1)+IF(_xlfn.XLOOKUP('Summary Data'!A148,'Round 2 Data'!$A$10:$A$146,'Round 2 Data'!$E$10:$E$146,0)=0,0,1)+IF(_xlfn.XLOOKUP('Summary Data'!A148,'Round 3 Data'!$A$10:$A$145,'Round 3 Data'!$E$10:$E$145,0)=0,0,1)+IF(_xlfn.XLOOKUP('Summary Data'!A148,'Round 4 Data'!$A$10:$A$147,'Round 4 Data'!$E$10:$E$147,0)=0,0,1)</f>
        <v>#VALUE!</v>
      </c>
      <c r="E148" s="57" t="e">
        <f>(_xlfn.XLOOKUP('Summary Data'!$A148,'Round 1 Data'!$A$10:$A$143,'Round 1 Data'!E$10:E$144,0)+_xlfn.XLOOKUP('Summary Data'!$A148,'Round 2 Data'!$A$10:$A$146,'Round 2 Data'!E$10:E$146,0)+_xlfn.XLOOKUP('Summary Data'!$A148,'Round 3 Data'!$A$10:$A$145,'Round 3 Data'!E$10:E$145,0)+_xlfn.XLOOKUP('Summary Data'!$A148,'Round 4 Data'!$A$10:$A$147,'Round 4 Data'!E$10:E$147,0))/$D148</f>
        <v>#VALUE!</v>
      </c>
      <c r="F148" s="57" t="e">
        <f>(_xlfn.XLOOKUP('Summary Data'!$A148,'Round 1 Data'!$A$10:$A$143,'Round 1 Data'!F$10:F$144,0)+_xlfn.XLOOKUP('Summary Data'!$A148,'Round 2 Data'!$A$10:$A$146,'Round 2 Data'!F$10:F$146,0)+_xlfn.XLOOKUP('Summary Data'!$A148,'Round 3 Data'!$A$10:$A$145,'Round 3 Data'!F$10:F$145,0)+_xlfn.XLOOKUP('Summary Data'!$A148,'Round 4 Data'!$A$10:$A$147,'Round 4 Data'!F$10:F$147,0))/$D148</f>
        <v>#VALUE!</v>
      </c>
      <c r="G148" s="57" t="e">
        <f>(_xlfn.XLOOKUP('Summary Data'!$A148,'Round 1 Data'!$A$10:$A$143,'Round 1 Data'!G$10:G$144,0)+_xlfn.XLOOKUP('Summary Data'!$A148,'Round 2 Data'!$A$10:$A$146,'Round 2 Data'!G$10:G$146,0)+_xlfn.XLOOKUP('Summary Data'!$A148,'Round 3 Data'!$A$10:$A$145,'Round 3 Data'!G$10:G$145,0)+_xlfn.XLOOKUP('Summary Data'!$A148,'Round 4 Data'!$A$10:$A$147,'Round 4 Data'!G$10:G$147,0))/$D148</f>
        <v>#VALUE!</v>
      </c>
      <c r="H148" s="57" t="e">
        <f>(_xlfn.XLOOKUP('Summary Data'!$A148,'Round 1 Data'!$A$10:$A$143,'Round 1 Data'!H$10:H$144,0)+_xlfn.XLOOKUP('Summary Data'!$A148,'Round 2 Data'!$A$10:$A$146,'Round 2 Data'!H$10:H$146,0)+_xlfn.XLOOKUP('Summary Data'!$A148,'Round 3 Data'!$A$10:$A$145,'Round 3 Data'!H$10:H$145,0)+_xlfn.XLOOKUP('Summary Data'!$A148,'Round 4 Data'!$A$10:$A$147,'Round 4 Data'!H$10:H$147,0))/$D148</f>
        <v>#VALUE!</v>
      </c>
      <c r="I148" s="57" t="e">
        <f>(_xlfn.XLOOKUP('Summary Data'!$A148,'Round 1 Data'!$A$10:$A$143,'Round 1 Data'!I$10:I$144,0)+_xlfn.XLOOKUP('Summary Data'!$A148,'Round 2 Data'!$A$10:$A$146,'Round 2 Data'!I$10:I$146,0)+_xlfn.XLOOKUP('Summary Data'!$A148,'Round 3 Data'!$A$10:$A$145,'Round 3 Data'!I$10:I$145,0)+_xlfn.XLOOKUP('Summary Data'!$A148,'Round 4 Data'!$A$10:$A$147,'Round 4 Data'!I$10:I$147,0))/$D148</f>
        <v>#VALUE!</v>
      </c>
      <c r="J148" s="57" t="e">
        <f>(_xlfn.XLOOKUP('Summary Data'!$A148,'Round 1 Data'!$A$10:$A$143,'Round 1 Data'!J$10:J$144,0)+_xlfn.XLOOKUP('Summary Data'!$A148,'Round 2 Data'!$A$10:$A$146,'Round 2 Data'!J$10:J$146,0)+_xlfn.XLOOKUP('Summary Data'!$A148,'Round 3 Data'!$A$10:$A$145,'Round 3 Data'!J$10:J$145,0)+_xlfn.XLOOKUP('Summary Data'!$A148,'Round 4 Data'!$A$10:$A$147,'Round 4 Data'!J$10:J$147,0))/$D148</f>
        <v>#VALUE!</v>
      </c>
      <c r="K148" s="57" t="e">
        <f>(_xlfn.XLOOKUP('Summary Data'!$A148,'Round 1 Data'!$A$10:$A$143,'Round 1 Data'!K$10:K$144,0)+_xlfn.XLOOKUP('Summary Data'!$A148,'Round 2 Data'!$A$10:$A$146,'Round 2 Data'!K$10:K$146,0)+_xlfn.XLOOKUP('Summary Data'!$A148,'Round 3 Data'!$A$10:$A$145,'Round 3 Data'!K$10:K$145,0)+_xlfn.XLOOKUP('Summary Data'!$A148,'Round 4 Data'!$A$10:$A$147,'Round 4 Data'!K$10:K$147,0))/$D148</f>
        <v>#VALUE!</v>
      </c>
      <c r="L148" s="57" t="e">
        <f>(_xlfn.XLOOKUP('Summary Data'!$A148,'Round 1 Data'!$A$10:$A$143,'Round 1 Data'!L$10:L$144,0)+_xlfn.XLOOKUP('Summary Data'!$A148,'Round 2 Data'!$A$10:$A$146,'Round 2 Data'!L$10:L$146,0)+_xlfn.XLOOKUP('Summary Data'!$A148,'Round 3 Data'!$A$10:$A$145,'Round 3 Data'!L$10:L$145,0)+_xlfn.XLOOKUP('Summary Data'!$A148,'Round 4 Data'!$A$10:$A$147,'Round 4 Data'!L$10:L$147,0))/$D148</f>
        <v>#VALUE!</v>
      </c>
      <c r="M148" s="57" t="e">
        <f>(_xlfn.XLOOKUP('Summary Data'!$A148,'Round 1 Data'!$A$10:$A$143,'Round 1 Data'!M$10:M$144,0)+_xlfn.XLOOKUP('Summary Data'!$A148,'Round 2 Data'!$A$10:$A$146,'Round 2 Data'!M$10:M$146,0)+_xlfn.XLOOKUP('Summary Data'!$A148,'Round 3 Data'!$A$10:$A$145,'Round 3 Data'!M$10:M$145,0)+_xlfn.XLOOKUP('Summary Data'!$A148,'Round 4 Data'!$A$10:$A$147,'Round 4 Data'!M$10:M$147,0))/$D148</f>
        <v>#VALUE!</v>
      </c>
      <c r="N148" s="57" t="e">
        <f>(_xlfn.XLOOKUP('Summary Data'!$A148,'Round 1 Data'!$A$10:$A$143,'Round 1 Data'!N$10:N$144,0)+_xlfn.XLOOKUP('Summary Data'!$A148,'Round 2 Data'!$A$10:$A$146,'Round 2 Data'!N$10:N$146,0)+_xlfn.XLOOKUP('Summary Data'!$A148,'Round 3 Data'!$A$10:$A$145,'Round 3 Data'!N$10:N$145,0)+_xlfn.XLOOKUP('Summary Data'!$A148,'Round 4 Data'!$A$10:$A$147,'Round 4 Data'!N$10:N$147,0))/$D148</f>
        <v>#VALUE!</v>
      </c>
      <c r="O148" s="57" t="e">
        <f>(_xlfn.XLOOKUP('Summary Data'!$A148,'Round 1 Data'!$A$10:$A$143,'Round 1 Data'!O$10:O$144,0)+_xlfn.XLOOKUP('Summary Data'!$A148,'Round 2 Data'!$A$10:$A$146,'Round 2 Data'!O$10:O$146,0)+_xlfn.XLOOKUP('Summary Data'!$A148,'Round 3 Data'!$A$10:$A$145,'Round 3 Data'!O$10:O$145,0)+_xlfn.XLOOKUP('Summary Data'!$A148,'Round 4 Data'!$A$10:$A$147,'Round 4 Data'!O$10:O$147,0))/$D148</f>
        <v>#VALUE!</v>
      </c>
      <c r="P148" s="57" t="e">
        <f>(_xlfn.XLOOKUP('Summary Data'!$A148,'Round 1 Data'!$A$10:$A$143,'Round 1 Data'!P$10:P$144,0)+_xlfn.XLOOKUP('Summary Data'!$A148,'Round 2 Data'!$A$10:$A$146,'Round 2 Data'!P$10:P$146,0)+_xlfn.XLOOKUP('Summary Data'!$A148,'Round 3 Data'!$A$10:$A$145,'Round 3 Data'!P$10:P$145,0)+_xlfn.XLOOKUP('Summary Data'!$A148,'Round 4 Data'!$A$10:$A$147,'Round 4 Data'!P$10:P$147,0))/$D148</f>
        <v>#VALUE!</v>
      </c>
      <c r="Q148" s="57" t="e">
        <f>(_xlfn.XLOOKUP('Summary Data'!$A148,'Round 1 Data'!$A$10:$A$143,'Round 1 Data'!Q$10:Q$144,0)+_xlfn.XLOOKUP('Summary Data'!$A148,'Round 2 Data'!$A$10:$A$146,'Round 2 Data'!Q$10:Q$146,0)+_xlfn.XLOOKUP('Summary Data'!$A148,'Round 3 Data'!$A$10:$A$145,'Round 3 Data'!Q$10:Q$145,0)+_xlfn.XLOOKUP('Summary Data'!$A148,'Round 4 Data'!$A$10:$A$147,'Round 4 Data'!Q$10:Q$147,0))/$D148</f>
        <v>#VALUE!</v>
      </c>
      <c r="R148" s="57" t="e">
        <f>(_xlfn.XLOOKUP('Summary Data'!$A148,'Round 1 Data'!$A$10:$A$143,'Round 1 Data'!R$10:R$144,0)+_xlfn.XLOOKUP('Summary Data'!$A148,'Round 2 Data'!$A$10:$A$146,'Round 2 Data'!R$10:R$146,0)+_xlfn.XLOOKUP('Summary Data'!$A148,'Round 3 Data'!$A$10:$A$145,'Round 3 Data'!R$10:R$145,0)+_xlfn.XLOOKUP('Summary Data'!$A148,'Round 4 Data'!$A$10:$A$147,'Round 4 Data'!R$10:R$147,0))/$D148</f>
        <v>#VALUE!</v>
      </c>
      <c r="S148" s="57" t="e">
        <f>(_xlfn.XLOOKUP('Summary Data'!$A148,'Round 1 Data'!$A$10:$A$143,'Round 1 Data'!S$10:S$144,0)+_xlfn.XLOOKUP('Summary Data'!$A148,'Round 2 Data'!$A$10:$A$146,'Round 2 Data'!S$10:S$146,0)+_xlfn.XLOOKUP('Summary Data'!$A148,'Round 3 Data'!$A$10:$A$145,'Round 3 Data'!S$10:S$145,0)+_xlfn.XLOOKUP('Summary Data'!$A148,'Round 4 Data'!$A$10:$A$147,'Round 4 Data'!S$10:S$147,0))/$D148</f>
        <v>#VALUE!</v>
      </c>
      <c r="T148" s="62" t="e">
        <f>(_xlfn.XLOOKUP('Summary Data'!$A148,'Round 1 Data'!$A$10:$A$143,'Round 1 Data'!U$10:U$144,0)+_xlfn.XLOOKUP('Summary Data'!$A148,'Round 2 Data'!$A$10:$A$146,'Round 2 Data'!U$10:U$146,0)+_xlfn.XLOOKUP('Summary Data'!$A148,'Round 3 Data'!$A$10:$A$145,'Round 3 Data'!U$10:U$145,0)+_xlfn.XLOOKUP('Summary Data'!$A148,'Round 4 Data'!$A$10:$A$147,'Round 4 Data'!U$10:U$147,0))</f>
        <v>#VALUE!</v>
      </c>
    </row>
    <row r="149" spans="1:20" ht="16" thickBot="1" x14ac:dyDescent="0.25">
      <c r="A149" s="61" t="s">
        <v>88</v>
      </c>
      <c r="B149" t="s">
        <v>190</v>
      </c>
      <c r="C149" t="s">
        <v>197</v>
      </c>
      <c r="D149" t="e">
        <f>IF(_xlfn.XLOOKUP('Summary Data'!A149,'Round 1 Data'!$A$10:$A$143,'Round 1 Data'!$E$10:$E$144,0)=0,0,1)+IF(_xlfn.XLOOKUP('Summary Data'!A149,'Round 2 Data'!$A$10:$A$146,'Round 2 Data'!$E$10:$E$146,0)=0,0,1)+IF(_xlfn.XLOOKUP('Summary Data'!A149,'Round 3 Data'!$A$10:$A$145,'Round 3 Data'!$E$10:$E$145,0)=0,0,1)+IF(_xlfn.XLOOKUP('Summary Data'!A149,'Round 4 Data'!$A$10:$A$147,'Round 4 Data'!$E$10:$E$147,0)=0,0,1)</f>
        <v>#VALUE!</v>
      </c>
      <c r="E149" s="57" t="e">
        <f>(_xlfn.XLOOKUP('Summary Data'!$A149,'Round 1 Data'!$A$10:$A$143,'Round 1 Data'!E$10:E$144,0)+_xlfn.XLOOKUP('Summary Data'!$A149,'Round 2 Data'!$A$10:$A$146,'Round 2 Data'!E$10:E$146,0)+_xlfn.XLOOKUP('Summary Data'!$A149,'Round 3 Data'!$A$10:$A$145,'Round 3 Data'!E$10:E$145,0)+_xlfn.XLOOKUP('Summary Data'!$A149,'Round 4 Data'!$A$10:$A$147,'Round 4 Data'!E$10:E$147,0))/$D149</f>
        <v>#VALUE!</v>
      </c>
      <c r="F149" s="57" t="e">
        <f>(_xlfn.XLOOKUP('Summary Data'!$A149,'Round 1 Data'!$A$10:$A$143,'Round 1 Data'!F$10:F$144,0)+_xlfn.XLOOKUP('Summary Data'!$A149,'Round 2 Data'!$A$10:$A$146,'Round 2 Data'!F$10:F$146,0)+_xlfn.XLOOKUP('Summary Data'!$A149,'Round 3 Data'!$A$10:$A$145,'Round 3 Data'!F$10:F$145,0)+_xlfn.XLOOKUP('Summary Data'!$A149,'Round 4 Data'!$A$10:$A$147,'Round 4 Data'!F$10:F$147,0))/$D149</f>
        <v>#VALUE!</v>
      </c>
      <c r="G149" s="57" t="e">
        <f>(_xlfn.XLOOKUP('Summary Data'!$A149,'Round 1 Data'!$A$10:$A$143,'Round 1 Data'!G$10:G$144,0)+_xlfn.XLOOKUP('Summary Data'!$A149,'Round 2 Data'!$A$10:$A$146,'Round 2 Data'!G$10:G$146,0)+_xlfn.XLOOKUP('Summary Data'!$A149,'Round 3 Data'!$A$10:$A$145,'Round 3 Data'!G$10:G$145,0)+_xlfn.XLOOKUP('Summary Data'!$A149,'Round 4 Data'!$A$10:$A$147,'Round 4 Data'!G$10:G$147,0))/$D149</f>
        <v>#VALUE!</v>
      </c>
      <c r="H149" s="57" t="e">
        <f>(_xlfn.XLOOKUP('Summary Data'!$A149,'Round 1 Data'!$A$10:$A$143,'Round 1 Data'!H$10:H$144,0)+_xlfn.XLOOKUP('Summary Data'!$A149,'Round 2 Data'!$A$10:$A$146,'Round 2 Data'!H$10:H$146,0)+_xlfn.XLOOKUP('Summary Data'!$A149,'Round 3 Data'!$A$10:$A$145,'Round 3 Data'!H$10:H$145,0)+_xlfn.XLOOKUP('Summary Data'!$A149,'Round 4 Data'!$A$10:$A$147,'Round 4 Data'!H$10:H$147,0))/$D149</f>
        <v>#VALUE!</v>
      </c>
      <c r="I149" s="57" t="e">
        <f>(_xlfn.XLOOKUP('Summary Data'!$A149,'Round 1 Data'!$A$10:$A$143,'Round 1 Data'!I$10:I$144,0)+_xlfn.XLOOKUP('Summary Data'!$A149,'Round 2 Data'!$A$10:$A$146,'Round 2 Data'!I$10:I$146,0)+_xlfn.XLOOKUP('Summary Data'!$A149,'Round 3 Data'!$A$10:$A$145,'Round 3 Data'!I$10:I$145,0)+_xlfn.XLOOKUP('Summary Data'!$A149,'Round 4 Data'!$A$10:$A$147,'Round 4 Data'!I$10:I$147,0))/$D149</f>
        <v>#VALUE!</v>
      </c>
      <c r="J149" s="57" t="e">
        <f>(_xlfn.XLOOKUP('Summary Data'!$A149,'Round 1 Data'!$A$10:$A$143,'Round 1 Data'!J$10:J$144,0)+_xlfn.XLOOKUP('Summary Data'!$A149,'Round 2 Data'!$A$10:$A$146,'Round 2 Data'!J$10:J$146,0)+_xlfn.XLOOKUP('Summary Data'!$A149,'Round 3 Data'!$A$10:$A$145,'Round 3 Data'!J$10:J$145,0)+_xlfn.XLOOKUP('Summary Data'!$A149,'Round 4 Data'!$A$10:$A$147,'Round 4 Data'!J$10:J$147,0))/$D149</f>
        <v>#VALUE!</v>
      </c>
      <c r="K149" s="57" t="e">
        <f>(_xlfn.XLOOKUP('Summary Data'!$A149,'Round 1 Data'!$A$10:$A$143,'Round 1 Data'!K$10:K$144,0)+_xlfn.XLOOKUP('Summary Data'!$A149,'Round 2 Data'!$A$10:$A$146,'Round 2 Data'!K$10:K$146,0)+_xlfn.XLOOKUP('Summary Data'!$A149,'Round 3 Data'!$A$10:$A$145,'Round 3 Data'!K$10:K$145,0)+_xlfn.XLOOKUP('Summary Data'!$A149,'Round 4 Data'!$A$10:$A$147,'Round 4 Data'!K$10:K$147,0))/$D149</f>
        <v>#VALUE!</v>
      </c>
      <c r="L149" s="57" t="e">
        <f>(_xlfn.XLOOKUP('Summary Data'!$A149,'Round 1 Data'!$A$10:$A$143,'Round 1 Data'!L$10:L$144,0)+_xlfn.XLOOKUP('Summary Data'!$A149,'Round 2 Data'!$A$10:$A$146,'Round 2 Data'!L$10:L$146,0)+_xlfn.XLOOKUP('Summary Data'!$A149,'Round 3 Data'!$A$10:$A$145,'Round 3 Data'!L$10:L$145,0)+_xlfn.XLOOKUP('Summary Data'!$A149,'Round 4 Data'!$A$10:$A$147,'Round 4 Data'!L$10:L$147,0))/$D149</f>
        <v>#VALUE!</v>
      </c>
      <c r="M149" s="57" t="e">
        <f>(_xlfn.XLOOKUP('Summary Data'!$A149,'Round 1 Data'!$A$10:$A$143,'Round 1 Data'!M$10:M$144,0)+_xlfn.XLOOKUP('Summary Data'!$A149,'Round 2 Data'!$A$10:$A$146,'Round 2 Data'!M$10:M$146,0)+_xlfn.XLOOKUP('Summary Data'!$A149,'Round 3 Data'!$A$10:$A$145,'Round 3 Data'!M$10:M$145,0)+_xlfn.XLOOKUP('Summary Data'!$A149,'Round 4 Data'!$A$10:$A$147,'Round 4 Data'!M$10:M$147,0))/$D149</f>
        <v>#VALUE!</v>
      </c>
      <c r="N149" s="57" t="e">
        <f>(_xlfn.XLOOKUP('Summary Data'!$A149,'Round 1 Data'!$A$10:$A$143,'Round 1 Data'!N$10:N$144,0)+_xlfn.XLOOKUP('Summary Data'!$A149,'Round 2 Data'!$A$10:$A$146,'Round 2 Data'!N$10:N$146,0)+_xlfn.XLOOKUP('Summary Data'!$A149,'Round 3 Data'!$A$10:$A$145,'Round 3 Data'!N$10:N$145,0)+_xlfn.XLOOKUP('Summary Data'!$A149,'Round 4 Data'!$A$10:$A$147,'Round 4 Data'!N$10:N$147,0))/$D149</f>
        <v>#VALUE!</v>
      </c>
      <c r="O149" s="57" t="e">
        <f>(_xlfn.XLOOKUP('Summary Data'!$A149,'Round 1 Data'!$A$10:$A$143,'Round 1 Data'!O$10:O$144,0)+_xlfn.XLOOKUP('Summary Data'!$A149,'Round 2 Data'!$A$10:$A$146,'Round 2 Data'!O$10:O$146,0)+_xlfn.XLOOKUP('Summary Data'!$A149,'Round 3 Data'!$A$10:$A$145,'Round 3 Data'!O$10:O$145,0)+_xlfn.XLOOKUP('Summary Data'!$A149,'Round 4 Data'!$A$10:$A$147,'Round 4 Data'!O$10:O$147,0))/$D149</f>
        <v>#VALUE!</v>
      </c>
      <c r="P149" s="57" t="e">
        <f>(_xlfn.XLOOKUP('Summary Data'!$A149,'Round 1 Data'!$A$10:$A$143,'Round 1 Data'!P$10:P$144,0)+_xlfn.XLOOKUP('Summary Data'!$A149,'Round 2 Data'!$A$10:$A$146,'Round 2 Data'!P$10:P$146,0)+_xlfn.XLOOKUP('Summary Data'!$A149,'Round 3 Data'!$A$10:$A$145,'Round 3 Data'!P$10:P$145,0)+_xlfn.XLOOKUP('Summary Data'!$A149,'Round 4 Data'!$A$10:$A$147,'Round 4 Data'!P$10:P$147,0))/$D149</f>
        <v>#VALUE!</v>
      </c>
      <c r="Q149" s="57" t="e">
        <f>(_xlfn.XLOOKUP('Summary Data'!$A149,'Round 1 Data'!$A$10:$A$143,'Round 1 Data'!Q$10:Q$144,0)+_xlfn.XLOOKUP('Summary Data'!$A149,'Round 2 Data'!$A$10:$A$146,'Round 2 Data'!Q$10:Q$146,0)+_xlfn.XLOOKUP('Summary Data'!$A149,'Round 3 Data'!$A$10:$A$145,'Round 3 Data'!Q$10:Q$145,0)+_xlfn.XLOOKUP('Summary Data'!$A149,'Round 4 Data'!$A$10:$A$147,'Round 4 Data'!Q$10:Q$147,0))/$D149</f>
        <v>#VALUE!</v>
      </c>
      <c r="R149" s="57" t="e">
        <f>(_xlfn.XLOOKUP('Summary Data'!$A149,'Round 1 Data'!$A$10:$A$143,'Round 1 Data'!R$10:R$144,0)+_xlfn.XLOOKUP('Summary Data'!$A149,'Round 2 Data'!$A$10:$A$146,'Round 2 Data'!R$10:R$146,0)+_xlfn.XLOOKUP('Summary Data'!$A149,'Round 3 Data'!$A$10:$A$145,'Round 3 Data'!R$10:R$145,0)+_xlfn.XLOOKUP('Summary Data'!$A149,'Round 4 Data'!$A$10:$A$147,'Round 4 Data'!R$10:R$147,0))/$D149</f>
        <v>#VALUE!</v>
      </c>
      <c r="S149" s="57" t="e">
        <f>(_xlfn.XLOOKUP('Summary Data'!$A149,'Round 1 Data'!$A$10:$A$143,'Round 1 Data'!S$10:S$144,0)+_xlfn.XLOOKUP('Summary Data'!$A149,'Round 2 Data'!$A$10:$A$146,'Round 2 Data'!S$10:S$146,0)+_xlfn.XLOOKUP('Summary Data'!$A149,'Round 3 Data'!$A$10:$A$145,'Round 3 Data'!S$10:S$145,0)+_xlfn.XLOOKUP('Summary Data'!$A149,'Round 4 Data'!$A$10:$A$147,'Round 4 Data'!S$10:S$147,0))/$D149</f>
        <v>#VALUE!</v>
      </c>
      <c r="T149" s="62" t="e">
        <f>(_xlfn.XLOOKUP('Summary Data'!$A149,'Round 1 Data'!$A$10:$A$143,'Round 1 Data'!U$10:U$144,0)+_xlfn.XLOOKUP('Summary Data'!$A149,'Round 2 Data'!$A$10:$A$146,'Round 2 Data'!U$10:U$146,0)+_xlfn.XLOOKUP('Summary Data'!$A149,'Round 3 Data'!$A$10:$A$145,'Round 3 Data'!U$10:U$145,0)+_xlfn.XLOOKUP('Summary Data'!$A149,'Round 4 Data'!$A$10:$A$147,'Round 4 Data'!U$10:U$147,0))</f>
        <v>#VALUE!</v>
      </c>
    </row>
    <row r="150" spans="1:20" ht="16" thickBot="1" x14ac:dyDescent="0.25">
      <c r="A150" s="63" t="s">
        <v>93</v>
      </c>
      <c r="B150" t="s">
        <v>190</v>
      </c>
      <c r="C150" t="s">
        <v>198</v>
      </c>
      <c r="D150" t="e">
        <f>IF(_xlfn.XLOOKUP('Summary Data'!A150,'Round 1 Data'!$A$10:$A$143,'Round 1 Data'!$E$10:$E$144,0)=0,0,1)+IF(_xlfn.XLOOKUP('Summary Data'!A150,'Round 2 Data'!$A$10:$A$146,'Round 2 Data'!$E$10:$E$146,0)=0,0,1)+IF(_xlfn.XLOOKUP('Summary Data'!A150,'Round 3 Data'!$A$10:$A$145,'Round 3 Data'!$E$10:$E$145,0)=0,0,1)+IF(_xlfn.XLOOKUP('Summary Data'!A150,'Round 4 Data'!$A$10:$A$147,'Round 4 Data'!$E$10:$E$147,0)=0,0,1)</f>
        <v>#VALUE!</v>
      </c>
      <c r="E150" s="57" t="e">
        <f>(_xlfn.XLOOKUP('Summary Data'!$A150,'Round 1 Data'!$A$10:$A$143,'Round 1 Data'!E$10:E$144,0)+_xlfn.XLOOKUP('Summary Data'!$A150,'Round 2 Data'!$A$10:$A$146,'Round 2 Data'!E$10:E$146,0)+_xlfn.XLOOKUP('Summary Data'!$A150,'Round 3 Data'!$A$10:$A$145,'Round 3 Data'!E$10:E$145,0)+_xlfn.XLOOKUP('Summary Data'!$A150,'Round 4 Data'!$A$10:$A$147,'Round 4 Data'!E$10:E$147,0))/$D150</f>
        <v>#VALUE!</v>
      </c>
      <c r="F150" s="57" t="e">
        <f>(_xlfn.XLOOKUP('Summary Data'!$A150,'Round 1 Data'!$A$10:$A$143,'Round 1 Data'!F$10:F$144,0)+_xlfn.XLOOKUP('Summary Data'!$A150,'Round 2 Data'!$A$10:$A$146,'Round 2 Data'!F$10:F$146,0)+_xlfn.XLOOKUP('Summary Data'!$A150,'Round 3 Data'!$A$10:$A$145,'Round 3 Data'!F$10:F$145,0)+_xlfn.XLOOKUP('Summary Data'!$A150,'Round 4 Data'!$A$10:$A$147,'Round 4 Data'!F$10:F$147,0))/$D150</f>
        <v>#VALUE!</v>
      </c>
      <c r="G150" s="57" t="e">
        <f>(_xlfn.XLOOKUP('Summary Data'!$A150,'Round 1 Data'!$A$10:$A$143,'Round 1 Data'!G$10:G$144,0)+_xlfn.XLOOKUP('Summary Data'!$A150,'Round 2 Data'!$A$10:$A$146,'Round 2 Data'!G$10:G$146,0)+_xlfn.XLOOKUP('Summary Data'!$A150,'Round 3 Data'!$A$10:$A$145,'Round 3 Data'!G$10:G$145,0)+_xlfn.XLOOKUP('Summary Data'!$A150,'Round 4 Data'!$A$10:$A$147,'Round 4 Data'!G$10:G$147,0))/$D150</f>
        <v>#VALUE!</v>
      </c>
      <c r="H150" s="57" t="e">
        <f>(_xlfn.XLOOKUP('Summary Data'!$A150,'Round 1 Data'!$A$10:$A$143,'Round 1 Data'!H$10:H$144,0)+_xlfn.XLOOKUP('Summary Data'!$A150,'Round 2 Data'!$A$10:$A$146,'Round 2 Data'!H$10:H$146,0)+_xlfn.XLOOKUP('Summary Data'!$A150,'Round 3 Data'!$A$10:$A$145,'Round 3 Data'!H$10:H$145,0)+_xlfn.XLOOKUP('Summary Data'!$A150,'Round 4 Data'!$A$10:$A$147,'Round 4 Data'!H$10:H$147,0))/$D150</f>
        <v>#VALUE!</v>
      </c>
      <c r="I150" s="57" t="e">
        <f>(_xlfn.XLOOKUP('Summary Data'!$A150,'Round 1 Data'!$A$10:$A$143,'Round 1 Data'!I$10:I$144,0)+_xlfn.XLOOKUP('Summary Data'!$A150,'Round 2 Data'!$A$10:$A$146,'Round 2 Data'!I$10:I$146,0)+_xlfn.XLOOKUP('Summary Data'!$A150,'Round 3 Data'!$A$10:$A$145,'Round 3 Data'!I$10:I$145,0)+_xlfn.XLOOKUP('Summary Data'!$A150,'Round 4 Data'!$A$10:$A$147,'Round 4 Data'!I$10:I$147,0))/$D150</f>
        <v>#VALUE!</v>
      </c>
      <c r="J150" s="57" t="e">
        <f>(_xlfn.XLOOKUP('Summary Data'!$A150,'Round 1 Data'!$A$10:$A$143,'Round 1 Data'!J$10:J$144,0)+_xlfn.XLOOKUP('Summary Data'!$A150,'Round 2 Data'!$A$10:$A$146,'Round 2 Data'!J$10:J$146,0)+_xlfn.XLOOKUP('Summary Data'!$A150,'Round 3 Data'!$A$10:$A$145,'Round 3 Data'!J$10:J$145,0)+_xlfn.XLOOKUP('Summary Data'!$A150,'Round 4 Data'!$A$10:$A$147,'Round 4 Data'!J$10:J$147,0))/$D150</f>
        <v>#VALUE!</v>
      </c>
      <c r="K150" s="57" t="e">
        <f>(_xlfn.XLOOKUP('Summary Data'!$A150,'Round 1 Data'!$A$10:$A$143,'Round 1 Data'!K$10:K$144,0)+_xlfn.XLOOKUP('Summary Data'!$A150,'Round 2 Data'!$A$10:$A$146,'Round 2 Data'!K$10:K$146,0)+_xlfn.XLOOKUP('Summary Data'!$A150,'Round 3 Data'!$A$10:$A$145,'Round 3 Data'!K$10:K$145,0)+_xlfn.XLOOKUP('Summary Data'!$A150,'Round 4 Data'!$A$10:$A$147,'Round 4 Data'!K$10:K$147,0))/$D150</f>
        <v>#VALUE!</v>
      </c>
      <c r="L150" s="57" t="e">
        <f>(_xlfn.XLOOKUP('Summary Data'!$A150,'Round 1 Data'!$A$10:$A$143,'Round 1 Data'!L$10:L$144,0)+_xlfn.XLOOKUP('Summary Data'!$A150,'Round 2 Data'!$A$10:$A$146,'Round 2 Data'!L$10:L$146,0)+_xlfn.XLOOKUP('Summary Data'!$A150,'Round 3 Data'!$A$10:$A$145,'Round 3 Data'!L$10:L$145,0)+_xlfn.XLOOKUP('Summary Data'!$A150,'Round 4 Data'!$A$10:$A$147,'Round 4 Data'!L$10:L$147,0))/$D150</f>
        <v>#VALUE!</v>
      </c>
      <c r="M150" s="57" t="e">
        <f>(_xlfn.XLOOKUP('Summary Data'!$A150,'Round 1 Data'!$A$10:$A$143,'Round 1 Data'!M$10:M$144,0)+_xlfn.XLOOKUP('Summary Data'!$A150,'Round 2 Data'!$A$10:$A$146,'Round 2 Data'!M$10:M$146,0)+_xlfn.XLOOKUP('Summary Data'!$A150,'Round 3 Data'!$A$10:$A$145,'Round 3 Data'!M$10:M$145,0)+_xlfn.XLOOKUP('Summary Data'!$A150,'Round 4 Data'!$A$10:$A$147,'Round 4 Data'!M$10:M$147,0))/$D150</f>
        <v>#VALUE!</v>
      </c>
      <c r="N150" s="57" t="e">
        <f>(_xlfn.XLOOKUP('Summary Data'!$A150,'Round 1 Data'!$A$10:$A$143,'Round 1 Data'!N$10:N$144,0)+_xlfn.XLOOKUP('Summary Data'!$A150,'Round 2 Data'!$A$10:$A$146,'Round 2 Data'!N$10:N$146,0)+_xlfn.XLOOKUP('Summary Data'!$A150,'Round 3 Data'!$A$10:$A$145,'Round 3 Data'!N$10:N$145,0)+_xlfn.XLOOKUP('Summary Data'!$A150,'Round 4 Data'!$A$10:$A$147,'Round 4 Data'!N$10:N$147,0))/$D150</f>
        <v>#VALUE!</v>
      </c>
      <c r="O150" s="57" t="e">
        <f>(_xlfn.XLOOKUP('Summary Data'!$A150,'Round 1 Data'!$A$10:$A$143,'Round 1 Data'!O$10:O$144,0)+_xlfn.XLOOKUP('Summary Data'!$A150,'Round 2 Data'!$A$10:$A$146,'Round 2 Data'!O$10:O$146,0)+_xlfn.XLOOKUP('Summary Data'!$A150,'Round 3 Data'!$A$10:$A$145,'Round 3 Data'!O$10:O$145,0)+_xlfn.XLOOKUP('Summary Data'!$A150,'Round 4 Data'!$A$10:$A$147,'Round 4 Data'!O$10:O$147,0))/$D150</f>
        <v>#VALUE!</v>
      </c>
      <c r="P150" s="57" t="e">
        <f>(_xlfn.XLOOKUP('Summary Data'!$A150,'Round 1 Data'!$A$10:$A$143,'Round 1 Data'!P$10:P$144,0)+_xlfn.XLOOKUP('Summary Data'!$A150,'Round 2 Data'!$A$10:$A$146,'Round 2 Data'!P$10:P$146,0)+_xlfn.XLOOKUP('Summary Data'!$A150,'Round 3 Data'!$A$10:$A$145,'Round 3 Data'!P$10:P$145,0)+_xlfn.XLOOKUP('Summary Data'!$A150,'Round 4 Data'!$A$10:$A$147,'Round 4 Data'!P$10:P$147,0))/$D150</f>
        <v>#VALUE!</v>
      </c>
      <c r="Q150" s="57" t="e">
        <f>(_xlfn.XLOOKUP('Summary Data'!$A150,'Round 1 Data'!$A$10:$A$143,'Round 1 Data'!Q$10:Q$144,0)+_xlfn.XLOOKUP('Summary Data'!$A150,'Round 2 Data'!$A$10:$A$146,'Round 2 Data'!Q$10:Q$146,0)+_xlfn.XLOOKUP('Summary Data'!$A150,'Round 3 Data'!$A$10:$A$145,'Round 3 Data'!Q$10:Q$145,0)+_xlfn.XLOOKUP('Summary Data'!$A150,'Round 4 Data'!$A$10:$A$147,'Round 4 Data'!Q$10:Q$147,0))/$D150</f>
        <v>#VALUE!</v>
      </c>
      <c r="R150" s="57" t="e">
        <f>(_xlfn.XLOOKUP('Summary Data'!$A150,'Round 1 Data'!$A$10:$A$143,'Round 1 Data'!R$10:R$144,0)+_xlfn.XLOOKUP('Summary Data'!$A150,'Round 2 Data'!$A$10:$A$146,'Round 2 Data'!R$10:R$146,0)+_xlfn.XLOOKUP('Summary Data'!$A150,'Round 3 Data'!$A$10:$A$145,'Round 3 Data'!R$10:R$145,0)+_xlfn.XLOOKUP('Summary Data'!$A150,'Round 4 Data'!$A$10:$A$147,'Round 4 Data'!R$10:R$147,0))/$D150</f>
        <v>#VALUE!</v>
      </c>
      <c r="S150" s="57" t="e">
        <f>(_xlfn.XLOOKUP('Summary Data'!$A150,'Round 1 Data'!$A$10:$A$143,'Round 1 Data'!S$10:S$144,0)+_xlfn.XLOOKUP('Summary Data'!$A150,'Round 2 Data'!$A$10:$A$146,'Round 2 Data'!S$10:S$146,0)+_xlfn.XLOOKUP('Summary Data'!$A150,'Round 3 Data'!$A$10:$A$145,'Round 3 Data'!S$10:S$145,0)+_xlfn.XLOOKUP('Summary Data'!$A150,'Round 4 Data'!$A$10:$A$147,'Round 4 Data'!S$10:S$147,0))/$D150</f>
        <v>#VALUE!</v>
      </c>
      <c r="T150" s="62" t="e">
        <f>(_xlfn.XLOOKUP('Summary Data'!$A150,'Round 1 Data'!$A$10:$A$143,'Round 1 Data'!U$10:U$144,0)+_xlfn.XLOOKUP('Summary Data'!$A150,'Round 2 Data'!$A$10:$A$146,'Round 2 Data'!U$10:U$146,0)+_xlfn.XLOOKUP('Summary Data'!$A150,'Round 3 Data'!$A$10:$A$145,'Round 3 Data'!U$10:U$145,0)+_xlfn.XLOOKUP('Summary Data'!$A150,'Round 4 Data'!$A$10:$A$147,'Round 4 Data'!U$10:U$147,0))</f>
        <v>#VALUE!</v>
      </c>
    </row>
    <row r="151" spans="1:20" ht="16" thickBot="1" x14ac:dyDescent="0.25">
      <c r="A151" s="61" t="s">
        <v>102</v>
      </c>
      <c r="B151" t="s">
        <v>190</v>
      </c>
      <c r="C151" t="s">
        <v>201</v>
      </c>
      <c r="D151" t="e">
        <f>IF(_xlfn.XLOOKUP('Summary Data'!A151,'Round 1 Data'!$A$10:$A$143,'Round 1 Data'!$E$10:$E$144,0)=0,0,1)+IF(_xlfn.XLOOKUP('Summary Data'!A151,'Round 2 Data'!$A$10:$A$146,'Round 2 Data'!$E$10:$E$146,0)=0,0,1)+IF(_xlfn.XLOOKUP('Summary Data'!A151,'Round 3 Data'!$A$10:$A$145,'Round 3 Data'!$E$10:$E$145,0)=0,0,1)+IF(_xlfn.XLOOKUP('Summary Data'!A151,'Round 4 Data'!$A$10:$A$147,'Round 4 Data'!$E$10:$E$147,0)=0,0,1)</f>
        <v>#VALUE!</v>
      </c>
      <c r="E151" s="57" t="e">
        <f>(_xlfn.XLOOKUP('Summary Data'!$A151,'Round 1 Data'!$A$10:$A$143,'Round 1 Data'!E$10:E$144,0)+_xlfn.XLOOKUP('Summary Data'!$A151,'Round 2 Data'!$A$10:$A$146,'Round 2 Data'!E$10:E$146,0)+_xlfn.XLOOKUP('Summary Data'!$A151,'Round 3 Data'!$A$10:$A$145,'Round 3 Data'!E$10:E$145,0)+_xlfn.XLOOKUP('Summary Data'!$A151,'Round 4 Data'!$A$10:$A$147,'Round 4 Data'!E$10:E$147,0))/$D151</f>
        <v>#VALUE!</v>
      </c>
      <c r="F151" s="57" t="e">
        <f>(_xlfn.XLOOKUP('Summary Data'!$A151,'Round 1 Data'!$A$10:$A$143,'Round 1 Data'!F$10:F$144,0)+_xlfn.XLOOKUP('Summary Data'!$A151,'Round 2 Data'!$A$10:$A$146,'Round 2 Data'!F$10:F$146,0)+_xlfn.XLOOKUP('Summary Data'!$A151,'Round 3 Data'!$A$10:$A$145,'Round 3 Data'!F$10:F$145,0)+_xlfn.XLOOKUP('Summary Data'!$A151,'Round 4 Data'!$A$10:$A$147,'Round 4 Data'!F$10:F$147,0))/$D151</f>
        <v>#VALUE!</v>
      </c>
      <c r="G151" s="57" t="e">
        <f>(_xlfn.XLOOKUP('Summary Data'!$A151,'Round 1 Data'!$A$10:$A$143,'Round 1 Data'!G$10:G$144,0)+_xlfn.XLOOKUP('Summary Data'!$A151,'Round 2 Data'!$A$10:$A$146,'Round 2 Data'!G$10:G$146,0)+_xlfn.XLOOKUP('Summary Data'!$A151,'Round 3 Data'!$A$10:$A$145,'Round 3 Data'!G$10:G$145,0)+_xlfn.XLOOKUP('Summary Data'!$A151,'Round 4 Data'!$A$10:$A$147,'Round 4 Data'!G$10:G$147,0))/$D151</f>
        <v>#VALUE!</v>
      </c>
      <c r="H151" s="57" t="e">
        <f>(_xlfn.XLOOKUP('Summary Data'!$A151,'Round 1 Data'!$A$10:$A$143,'Round 1 Data'!H$10:H$144,0)+_xlfn.XLOOKUP('Summary Data'!$A151,'Round 2 Data'!$A$10:$A$146,'Round 2 Data'!H$10:H$146,0)+_xlfn.XLOOKUP('Summary Data'!$A151,'Round 3 Data'!$A$10:$A$145,'Round 3 Data'!H$10:H$145,0)+_xlfn.XLOOKUP('Summary Data'!$A151,'Round 4 Data'!$A$10:$A$147,'Round 4 Data'!H$10:H$147,0))/$D151</f>
        <v>#VALUE!</v>
      </c>
      <c r="I151" s="57" t="e">
        <f>(_xlfn.XLOOKUP('Summary Data'!$A151,'Round 1 Data'!$A$10:$A$143,'Round 1 Data'!I$10:I$144,0)+_xlfn.XLOOKUP('Summary Data'!$A151,'Round 2 Data'!$A$10:$A$146,'Round 2 Data'!I$10:I$146,0)+_xlfn.XLOOKUP('Summary Data'!$A151,'Round 3 Data'!$A$10:$A$145,'Round 3 Data'!I$10:I$145,0)+_xlfn.XLOOKUP('Summary Data'!$A151,'Round 4 Data'!$A$10:$A$147,'Round 4 Data'!I$10:I$147,0))/$D151</f>
        <v>#VALUE!</v>
      </c>
      <c r="J151" s="57" t="e">
        <f>(_xlfn.XLOOKUP('Summary Data'!$A151,'Round 1 Data'!$A$10:$A$143,'Round 1 Data'!J$10:J$144,0)+_xlfn.XLOOKUP('Summary Data'!$A151,'Round 2 Data'!$A$10:$A$146,'Round 2 Data'!J$10:J$146,0)+_xlfn.XLOOKUP('Summary Data'!$A151,'Round 3 Data'!$A$10:$A$145,'Round 3 Data'!J$10:J$145,0)+_xlfn.XLOOKUP('Summary Data'!$A151,'Round 4 Data'!$A$10:$A$147,'Round 4 Data'!J$10:J$147,0))/$D151</f>
        <v>#VALUE!</v>
      </c>
      <c r="K151" s="57" t="e">
        <f>(_xlfn.XLOOKUP('Summary Data'!$A151,'Round 1 Data'!$A$10:$A$143,'Round 1 Data'!K$10:K$144,0)+_xlfn.XLOOKUP('Summary Data'!$A151,'Round 2 Data'!$A$10:$A$146,'Round 2 Data'!K$10:K$146,0)+_xlfn.XLOOKUP('Summary Data'!$A151,'Round 3 Data'!$A$10:$A$145,'Round 3 Data'!K$10:K$145,0)+_xlfn.XLOOKUP('Summary Data'!$A151,'Round 4 Data'!$A$10:$A$147,'Round 4 Data'!K$10:K$147,0))/$D151</f>
        <v>#VALUE!</v>
      </c>
      <c r="L151" s="57" t="e">
        <f>(_xlfn.XLOOKUP('Summary Data'!$A151,'Round 1 Data'!$A$10:$A$143,'Round 1 Data'!L$10:L$144,0)+_xlfn.XLOOKUP('Summary Data'!$A151,'Round 2 Data'!$A$10:$A$146,'Round 2 Data'!L$10:L$146,0)+_xlfn.XLOOKUP('Summary Data'!$A151,'Round 3 Data'!$A$10:$A$145,'Round 3 Data'!L$10:L$145,0)+_xlfn.XLOOKUP('Summary Data'!$A151,'Round 4 Data'!$A$10:$A$147,'Round 4 Data'!L$10:L$147,0))/$D151</f>
        <v>#VALUE!</v>
      </c>
      <c r="M151" s="57" t="e">
        <f>(_xlfn.XLOOKUP('Summary Data'!$A151,'Round 1 Data'!$A$10:$A$143,'Round 1 Data'!M$10:M$144,0)+_xlfn.XLOOKUP('Summary Data'!$A151,'Round 2 Data'!$A$10:$A$146,'Round 2 Data'!M$10:M$146,0)+_xlfn.XLOOKUP('Summary Data'!$A151,'Round 3 Data'!$A$10:$A$145,'Round 3 Data'!M$10:M$145,0)+_xlfn.XLOOKUP('Summary Data'!$A151,'Round 4 Data'!$A$10:$A$147,'Round 4 Data'!M$10:M$147,0))/$D151</f>
        <v>#VALUE!</v>
      </c>
      <c r="N151" s="57" t="e">
        <f>(_xlfn.XLOOKUP('Summary Data'!$A151,'Round 1 Data'!$A$10:$A$143,'Round 1 Data'!N$10:N$144,0)+_xlfn.XLOOKUP('Summary Data'!$A151,'Round 2 Data'!$A$10:$A$146,'Round 2 Data'!N$10:N$146,0)+_xlfn.XLOOKUP('Summary Data'!$A151,'Round 3 Data'!$A$10:$A$145,'Round 3 Data'!N$10:N$145,0)+_xlfn.XLOOKUP('Summary Data'!$A151,'Round 4 Data'!$A$10:$A$147,'Round 4 Data'!N$10:N$147,0))/$D151</f>
        <v>#VALUE!</v>
      </c>
      <c r="O151" s="57" t="e">
        <f>(_xlfn.XLOOKUP('Summary Data'!$A151,'Round 1 Data'!$A$10:$A$143,'Round 1 Data'!O$10:O$144,0)+_xlfn.XLOOKUP('Summary Data'!$A151,'Round 2 Data'!$A$10:$A$146,'Round 2 Data'!O$10:O$146,0)+_xlfn.XLOOKUP('Summary Data'!$A151,'Round 3 Data'!$A$10:$A$145,'Round 3 Data'!O$10:O$145,0)+_xlfn.XLOOKUP('Summary Data'!$A151,'Round 4 Data'!$A$10:$A$147,'Round 4 Data'!O$10:O$147,0))/$D151</f>
        <v>#VALUE!</v>
      </c>
      <c r="P151" s="57" t="e">
        <f>(_xlfn.XLOOKUP('Summary Data'!$A151,'Round 1 Data'!$A$10:$A$143,'Round 1 Data'!P$10:P$144,0)+_xlfn.XLOOKUP('Summary Data'!$A151,'Round 2 Data'!$A$10:$A$146,'Round 2 Data'!P$10:P$146,0)+_xlfn.XLOOKUP('Summary Data'!$A151,'Round 3 Data'!$A$10:$A$145,'Round 3 Data'!P$10:P$145,0)+_xlfn.XLOOKUP('Summary Data'!$A151,'Round 4 Data'!$A$10:$A$147,'Round 4 Data'!P$10:P$147,0))/$D151</f>
        <v>#VALUE!</v>
      </c>
      <c r="Q151" s="57" t="e">
        <f>(_xlfn.XLOOKUP('Summary Data'!$A151,'Round 1 Data'!$A$10:$A$143,'Round 1 Data'!Q$10:Q$144,0)+_xlfn.XLOOKUP('Summary Data'!$A151,'Round 2 Data'!$A$10:$A$146,'Round 2 Data'!Q$10:Q$146,0)+_xlfn.XLOOKUP('Summary Data'!$A151,'Round 3 Data'!$A$10:$A$145,'Round 3 Data'!Q$10:Q$145,0)+_xlfn.XLOOKUP('Summary Data'!$A151,'Round 4 Data'!$A$10:$A$147,'Round 4 Data'!Q$10:Q$147,0))/$D151</f>
        <v>#VALUE!</v>
      </c>
      <c r="R151" s="57" t="e">
        <f>(_xlfn.XLOOKUP('Summary Data'!$A151,'Round 1 Data'!$A$10:$A$143,'Round 1 Data'!R$10:R$144,0)+_xlfn.XLOOKUP('Summary Data'!$A151,'Round 2 Data'!$A$10:$A$146,'Round 2 Data'!R$10:R$146,0)+_xlfn.XLOOKUP('Summary Data'!$A151,'Round 3 Data'!$A$10:$A$145,'Round 3 Data'!R$10:R$145,0)+_xlfn.XLOOKUP('Summary Data'!$A151,'Round 4 Data'!$A$10:$A$147,'Round 4 Data'!R$10:R$147,0))/$D151</f>
        <v>#VALUE!</v>
      </c>
      <c r="S151" s="57" t="e">
        <f>(_xlfn.XLOOKUP('Summary Data'!$A151,'Round 1 Data'!$A$10:$A$143,'Round 1 Data'!S$10:S$144,0)+_xlfn.XLOOKUP('Summary Data'!$A151,'Round 2 Data'!$A$10:$A$146,'Round 2 Data'!S$10:S$146,0)+_xlfn.XLOOKUP('Summary Data'!$A151,'Round 3 Data'!$A$10:$A$145,'Round 3 Data'!S$10:S$145,0)+_xlfn.XLOOKUP('Summary Data'!$A151,'Round 4 Data'!$A$10:$A$147,'Round 4 Data'!S$10:S$147,0))/$D151</f>
        <v>#VALUE!</v>
      </c>
      <c r="T151" s="62" t="e">
        <f>(_xlfn.XLOOKUP('Summary Data'!$A151,'Round 1 Data'!$A$10:$A$143,'Round 1 Data'!U$10:U$144,0)+_xlfn.XLOOKUP('Summary Data'!$A151,'Round 2 Data'!$A$10:$A$146,'Round 2 Data'!U$10:U$146,0)+_xlfn.XLOOKUP('Summary Data'!$A151,'Round 3 Data'!$A$10:$A$145,'Round 3 Data'!U$10:U$145,0)+_xlfn.XLOOKUP('Summary Data'!$A151,'Round 4 Data'!$A$10:$A$147,'Round 4 Data'!U$10:U$147,0))</f>
        <v>#VALUE!</v>
      </c>
    </row>
    <row r="152" spans="1:20" ht="16" thickBot="1" x14ac:dyDescent="0.25">
      <c r="A152" s="64" t="s">
        <v>115</v>
      </c>
      <c r="B152" t="s">
        <v>192</v>
      </c>
      <c r="C152" t="s">
        <v>198</v>
      </c>
      <c r="D152" t="e">
        <f>IF(_xlfn.XLOOKUP('Summary Data'!A152,'Round 1 Data'!$A$10:$A$143,'Round 1 Data'!$E$10:$E$144,0)=0,0,1)+IF(_xlfn.XLOOKUP('Summary Data'!A152,'Round 2 Data'!$A$10:$A$146,'Round 2 Data'!$E$10:$E$146,0)=0,0,1)+IF(_xlfn.XLOOKUP('Summary Data'!A152,'Round 3 Data'!$A$10:$A$145,'Round 3 Data'!$E$10:$E$145,0)=0,0,1)+IF(_xlfn.XLOOKUP('Summary Data'!A152,'Round 4 Data'!$A$10:$A$147,'Round 4 Data'!$E$10:$E$147,0)=0,0,1)</f>
        <v>#VALUE!</v>
      </c>
      <c r="E152" s="57" t="e">
        <f>(_xlfn.XLOOKUP('Summary Data'!$A152,'Round 1 Data'!$A$10:$A$143,'Round 1 Data'!E$10:E$144,0)+_xlfn.XLOOKUP('Summary Data'!$A152,'Round 2 Data'!$A$10:$A$146,'Round 2 Data'!E$10:E$146,0)+_xlfn.XLOOKUP('Summary Data'!$A152,'Round 3 Data'!$A$10:$A$145,'Round 3 Data'!E$10:E$145,0)+_xlfn.XLOOKUP('Summary Data'!$A152,'Round 4 Data'!$A$10:$A$147,'Round 4 Data'!E$10:E$147,0))/$D152</f>
        <v>#VALUE!</v>
      </c>
      <c r="F152" s="57" t="e">
        <f>(_xlfn.XLOOKUP('Summary Data'!$A152,'Round 1 Data'!$A$10:$A$143,'Round 1 Data'!F$10:F$144,0)+_xlfn.XLOOKUP('Summary Data'!$A152,'Round 2 Data'!$A$10:$A$146,'Round 2 Data'!F$10:F$146,0)+_xlfn.XLOOKUP('Summary Data'!$A152,'Round 3 Data'!$A$10:$A$145,'Round 3 Data'!F$10:F$145,0)+_xlfn.XLOOKUP('Summary Data'!$A152,'Round 4 Data'!$A$10:$A$147,'Round 4 Data'!F$10:F$147,0))/$D152</f>
        <v>#VALUE!</v>
      </c>
      <c r="G152" s="57" t="e">
        <f>(_xlfn.XLOOKUP('Summary Data'!$A152,'Round 1 Data'!$A$10:$A$143,'Round 1 Data'!G$10:G$144,0)+_xlfn.XLOOKUP('Summary Data'!$A152,'Round 2 Data'!$A$10:$A$146,'Round 2 Data'!G$10:G$146,0)+_xlfn.XLOOKUP('Summary Data'!$A152,'Round 3 Data'!$A$10:$A$145,'Round 3 Data'!G$10:G$145,0)+_xlfn.XLOOKUP('Summary Data'!$A152,'Round 4 Data'!$A$10:$A$147,'Round 4 Data'!G$10:G$147,0))/$D152</f>
        <v>#VALUE!</v>
      </c>
      <c r="H152" s="57" t="e">
        <f>(_xlfn.XLOOKUP('Summary Data'!$A152,'Round 1 Data'!$A$10:$A$143,'Round 1 Data'!H$10:H$144,0)+_xlfn.XLOOKUP('Summary Data'!$A152,'Round 2 Data'!$A$10:$A$146,'Round 2 Data'!H$10:H$146,0)+_xlfn.XLOOKUP('Summary Data'!$A152,'Round 3 Data'!$A$10:$A$145,'Round 3 Data'!H$10:H$145,0)+_xlfn.XLOOKUP('Summary Data'!$A152,'Round 4 Data'!$A$10:$A$147,'Round 4 Data'!H$10:H$147,0))/$D152</f>
        <v>#VALUE!</v>
      </c>
      <c r="I152" s="57" t="e">
        <f>(_xlfn.XLOOKUP('Summary Data'!$A152,'Round 1 Data'!$A$10:$A$143,'Round 1 Data'!I$10:I$144,0)+_xlfn.XLOOKUP('Summary Data'!$A152,'Round 2 Data'!$A$10:$A$146,'Round 2 Data'!I$10:I$146,0)+_xlfn.XLOOKUP('Summary Data'!$A152,'Round 3 Data'!$A$10:$A$145,'Round 3 Data'!I$10:I$145,0)+_xlfn.XLOOKUP('Summary Data'!$A152,'Round 4 Data'!$A$10:$A$147,'Round 4 Data'!I$10:I$147,0))/$D152</f>
        <v>#VALUE!</v>
      </c>
      <c r="J152" s="57" t="e">
        <f>(_xlfn.XLOOKUP('Summary Data'!$A152,'Round 1 Data'!$A$10:$A$143,'Round 1 Data'!J$10:J$144,0)+_xlfn.XLOOKUP('Summary Data'!$A152,'Round 2 Data'!$A$10:$A$146,'Round 2 Data'!J$10:J$146,0)+_xlfn.XLOOKUP('Summary Data'!$A152,'Round 3 Data'!$A$10:$A$145,'Round 3 Data'!J$10:J$145,0)+_xlfn.XLOOKUP('Summary Data'!$A152,'Round 4 Data'!$A$10:$A$147,'Round 4 Data'!J$10:J$147,0))/$D152</f>
        <v>#VALUE!</v>
      </c>
      <c r="K152" s="57" t="e">
        <f>(_xlfn.XLOOKUP('Summary Data'!$A152,'Round 1 Data'!$A$10:$A$143,'Round 1 Data'!K$10:K$144,0)+_xlfn.XLOOKUP('Summary Data'!$A152,'Round 2 Data'!$A$10:$A$146,'Round 2 Data'!K$10:K$146,0)+_xlfn.XLOOKUP('Summary Data'!$A152,'Round 3 Data'!$A$10:$A$145,'Round 3 Data'!K$10:K$145,0)+_xlfn.XLOOKUP('Summary Data'!$A152,'Round 4 Data'!$A$10:$A$147,'Round 4 Data'!K$10:K$147,0))/$D152</f>
        <v>#VALUE!</v>
      </c>
      <c r="L152" s="57" t="e">
        <f>(_xlfn.XLOOKUP('Summary Data'!$A152,'Round 1 Data'!$A$10:$A$143,'Round 1 Data'!L$10:L$144,0)+_xlfn.XLOOKUP('Summary Data'!$A152,'Round 2 Data'!$A$10:$A$146,'Round 2 Data'!L$10:L$146,0)+_xlfn.XLOOKUP('Summary Data'!$A152,'Round 3 Data'!$A$10:$A$145,'Round 3 Data'!L$10:L$145,0)+_xlfn.XLOOKUP('Summary Data'!$A152,'Round 4 Data'!$A$10:$A$147,'Round 4 Data'!L$10:L$147,0))/$D152</f>
        <v>#VALUE!</v>
      </c>
      <c r="M152" s="57" t="e">
        <f>(_xlfn.XLOOKUP('Summary Data'!$A152,'Round 1 Data'!$A$10:$A$143,'Round 1 Data'!M$10:M$144,0)+_xlfn.XLOOKUP('Summary Data'!$A152,'Round 2 Data'!$A$10:$A$146,'Round 2 Data'!M$10:M$146,0)+_xlfn.XLOOKUP('Summary Data'!$A152,'Round 3 Data'!$A$10:$A$145,'Round 3 Data'!M$10:M$145,0)+_xlfn.XLOOKUP('Summary Data'!$A152,'Round 4 Data'!$A$10:$A$147,'Round 4 Data'!M$10:M$147,0))/$D152</f>
        <v>#VALUE!</v>
      </c>
      <c r="N152" s="57" t="e">
        <f>(_xlfn.XLOOKUP('Summary Data'!$A152,'Round 1 Data'!$A$10:$A$143,'Round 1 Data'!N$10:N$144,0)+_xlfn.XLOOKUP('Summary Data'!$A152,'Round 2 Data'!$A$10:$A$146,'Round 2 Data'!N$10:N$146,0)+_xlfn.XLOOKUP('Summary Data'!$A152,'Round 3 Data'!$A$10:$A$145,'Round 3 Data'!N$10:N$145,0)+_xlfn.XLOOKUP('Summary Data'!$A152,'Round 4 Data'!$A$10:$A$147,'Round 4 Data'!N$10:N$147,0))/$D152</f>
        <v>#VALUE!</v>
      </c>
      <c r="O152" s="57" t="e">
        <f>(_xlfn.XLOOKUP('Summary Data'!$A152,'Round 1 Data'!$A$10:$A$143,'Round 1 Data'!O$10:O$144,0)+_xlfn.XLOOKUP('Summary Data'!$A152,'Round 2 Data'!$A$10:$A$146,'Round 2 Data'!O$10:O$146,0)+_xlfn.XLOOKUP('Summary Data'!$A152,'Round 3 Data'!$A$10:$A$145,'Round 3 Data'!O$10:O$145,0)+_xlfn.XLOOKUP('Summary Data'!$A152,'Round 4 Data'!$A$10:$A$147,'Round 4 Data'!O$10:O$147,0))/$D152</f>
        <v>#VALUE!</v>
      </c>
      <c r="P152" s="57" t="e">
        <f>(_xlfn.XLOOKUP('Summary Data'!$A152,'Round 1 Data'!$A$10:$A$143,'Round 1 Data'!P$10:P$144,0)+_xlfn.XLOOKUP('Summary Data'!$A152,'Round 2 Data'!$A$10:$A$146,'Round 2 Data'!P$10:P$146,0)+_xlfn.XLOOKUP('Summary Data'!$A152,'Round 3 Data'!$A$10:$A$145,'Round 3 Data'!P$10:P$145,0)+_xlfn.XLOOKUP('Summary Data'!$A152,'Round 4 Data'!$A$10:$A$147,'Round 4 Data'!P$10:P$147,0))/$D152</f>
        <v>#VALUE!</v>
      </c>
      <c r="Q152" s="57" t="e">
        <f>(_xlfn.XLOOKUP('Summary Data'!$A152,'Round 1 Data'!$A$10:$A$143,'Round 1 Data'!Q$10:Q$144,0)+_xlfn.XLOOKUP('Summary Data'!$A152,'Round 2 Data'!$A$10:$A$146,'Round 2 Data'!Q$10:Q$146,0)+_xlfn.XLOOKUP('Summary Data'!$A152,'Round 3 Data'!$A$10:$A$145,'Round 3 Data'!Q$10:Q$145,0)+_xlfn.XLOOKUP('Summary Data'!$A152,'Round 4 Data'!$A$10:$A$147,'Round 4 Data'!Q$10:Q$147,0))/$D152</f>
        <v>#VALUE!</v>
      </c>
      <c r="R152" s="57" t="e">
        <f>(_xlfn.XLOOKUP('Summary Data'!$A152,'Round 1 Data'!$A$10:$A$143,'Round 1 Data'!R$10:R$144,0)+_xlfn.XLOOKUP('Summary Data'!$A152,'Round 2 Data'!$A$10:$A$146,'Round 2 Data'!R$10:R$146,0)+_xlfn.XLOOKUP('Summary Data'!$A152,'Round 3 Data'!$A$10:$A$145,'Round 3 Data'!R$10:R$145,0)+_xlfn.XLOOKUP('Summary Data'!$A152,'Round 4 Data'!$A$10:$A$147,'Round 4 Data'!R$10:R$147,0))/$D152</f>
        <v>#VALUE!</v>
      </c>
      <c r="S152" s="57" t="e">
        <f>(_xlfn.XLOOKUP('Summary Data'!$A152,'Round 1 Data'!$A$10:$A$143,'Round 1 Data'!S$10:S$144,0)+_xlfn.XLOOKUP('Summary Data'!$A152,'Round 2 Data'!$A$10:$A$146,'Round 2 Data'!S$10:S$146,0)+_xlfn.XLOOKUP('Summary Data'!$A152,'Round 3 Data'!$A$10:$A$145,'Round 3 Data'!S$10:S$145,0)+_xlfn.XLOOKUP('Summary Data'!$A152,'Round 4 Data'!$A$10:$A$147,'Round 4 Data'!S$10:S$147,0))/$D152</f>
        <v>#VALUE!</v>
      </c>
      <c r="T152" s="62" t="e">
        <f>(_xlfn.XLOOKUP('Summary Data'!$A152,'Round 1 Data'!$A$10:$A$143,'Round 1 Data'!U$10:U$144,0)+_xlfn.XLOOKUP('Summary Data'!$A152,'Round 2 Data'!$A$10:$A$146,'Round 2 Data'!U$10:U$146,0)+_xlfn.XLOOKUP('Summary Data'!$A152,'Round 3 Data'!$A$10:$A$145,'Round 3 Data'!U$10:U$145,0)+_xlfn.XLOOKUP('Summary Data'!$A152,'Round 4 Data'!$A$10:$A$147,'Round 4 Data'!U$10:U$147,0))</f>
        <v>#VALUE!</v>
      </c>
    </row>
    <row r="153" spans="1:20" ht="16" thickBot="1" x14ac:dyDescent="0.25">
      <c r="A153" s="65" t="s">
        <v>122</v>
      </c>
      <c r="B153" t="s">
        <v>192</v>
      </c>
      <c r="C153" t="s">
        <v>200</v>
      </c>
      <c r="D153" t="e">
        <f>IF(_xlfn.XLOOKUP('Summary Data'!A153,'Round 1 Data'!$A$10:$A$143,'Round 1 Data'!$E$10:$E$144,0)=0,0,1)+IF(_xlfn.XLOOKUP('Summary Data'!A153,'Round 2 Data'!$A$10:$A$146,'Round 2 Data'!$E$10:$E$146,0)=0,0,1)+IF(_xlfn.XLOOKUP('Summary Data'!A153,'Round 3 Data'!$A$10:$A$145,'Round 3 Data'!$E$10:$E$145,0)=0,0,1)+IF(_xlfn.XLOOKUP('Summary Data'!A153,'Round 4 Data'!$A$10:$A$147,'Round 4 Data'!$E$10:$E$147,0)=0,0,1)</f>
        <v>#VALUE!</v>
      </c>
      <c r="E153" s="57" t="e">
        <f>(_xlfn.XLOOKUP('Summary Data'!$A153,'Round 1 Data'!$A$10:$A$143,'Round 1 Data'!E$10:E$144,0)+_xlfn.XLOOKUP('Summary Data'!$A153,'Round 2 Data'!$A$10:$A$146,'Round 2 Data'!E$10:E$146,0)+_xlfn.XLOOKUP('Summary Data'!$A153,'Round 3 Data'!$A$10:$A$145,'Round 3 Data'!E$10:E$145,0)+_xlfn.XLOOKUP('Summary Data'!$A153,'Round 4 Data'!$A$10:$A$147,'Round 4 Data'!E$10:E$147,0))/$D153</f>
        <v>#VALUE!</v>
      </c>
      <c r="F153" s="57" t="e">
        <f>(_xlfn.XLOOKUP('Summary Data'!$A153,'Round 1 Data'!$A$10:$A$143,'Round 1 Data'!F$10:F$144,0)+_xlfn.XLOOKUP('Summary Data'!$A153,'Round 2 Data'!$A$10:$A$146,'Round 2 Data'!F$10:F$146,0)+_xlfn.XLOOKUP('Summary Data'!$A153,'Round 3 Data'!$A$10:$A$145,'Round 3 Data'!F$10:F$145,0)+_xlfn.XLOOKUP('Summary Data'!$A153,'Round 4 Data'!$A$10:$A$147,'Round 4 Data'!F$10:F$147,0))/$D153</f>
        <v>#VALUE!</v>
      </c>
      <c r="G153" s="57" t="e">
        <f>(_xlfn.XLOOKUP('Summary Data'!$A153,'Round 1 Data'!$A$10:$A$143,'Round 1 Data'!G$10:G$144,0)+_xlfn.XLOOKUP('Summary Data'!$A153,'Round 2 Data'!$A$10:$A$146,'Round 2 Data'!G$10:G$146,0)+_xlfn.XLOOKUP('Summary Data'!$A153,'Round 3 Data'!$A$10:$A$145,'Round 3 Data'!G$10:G$145,0)+_xlfn.XLOOKUP('Summary Data'!$A153,'Round 4 Data'!$A$10:$A$147,'Round 4 Data'!G$10:G$147,0))/$D153</f>
        <v>#VALUE!</v>
      </c>
      <c r="H153" s="57" t="e">
        <f>(_xlfn.XLOOKUP('Summary Data'!$A153,'Round 1 Data'!$A$10:$A$143,'Round 1 Data'!H$10:H$144,0)+_xlfn.XLOOKUP('Summary Data'!$A153,'Round 2 Data'!$A$10:$A$146,'Round 2 Data'!H$10:H$146,0)+_xlfn.XLOOKUP('Summary Data'!$A153,'Round 3 Data'!$A$10:$A$145,'Round 3 Data'!H$10:H$145,0)+_xlfn.XLOOKUP('Summary Data'!$A153,'Round 4 Data'!$A$10:$A$147,'Round 4 Data'!H$10:H$147,0))/$D153</f>
        <v>#VALUE!</v>
      </c>
      <c r="I153" s="57" t="e">
        <f>(_xlfn.XLOOKUP('Summary Data'!$A153,'Round 1 Data'!$A$10:$A$143,'Round 1 Data'!I$10:I$144,0)+_xlfn.XLOOKUP('Summary Data'!$A153,'Round 2 Data'!$A$10:$A$146,'Round 2 Data'!I$10:I$146,0)+_xlfn.XLOOKUP('Summary Data'!$A153,'Round 3 Data'!$A$10:$A$145,'Round 3 Data'!I$10:I$145,0)+_xlfn.XLOOKUP('Summary Data'!$A153,'Round 4 Data'!$A$10:$A$147,'Round 4 Data'!I$10:I$147,0))/$D153</f>
        <v>#VALUE!</v>
      </c>
      <c r="J153" s="57" t="e">
        <f>(_xlfn.XLOOKUP('Summary Data'!$A153,'Round 1 Data'!$A$10:$A$143,'Round 1 Data'!J$10:J$144,0)+_xlfn.XLOOKUP('Summary Data'!$A153,'Round 2 Data'!$A$10:$A$146,'Round 2 Data'!J$10:J$146,0)+_xlfn.XLOOKUP('Summary Data'!$A153,'Round 3 Data'!$A$10:$A$145,'Round 3 Data'!J$10:J$145,0)+_xlfn.XLOOKUP('Summary Data'!$A153,'Round 4 Data'!$A$10:$A$147,'Round 4 Data'!J$10:J$147,0))/$D153</f>
        <v>#VALUE!</v>
      </c>
      <c r="K153" s="57" t="e">
        <f>(_xlfn.XLOOKUP('Summary Data'!$A153,'Round 1 Data'!$A$10:$A$143,'Round 1 Data'!K$10:K$144,0)+_xlfn.XLOOKUP('Summary Data'!$A153,'Round 2 Data'!$A$10:$A$146,'Round 2 Data'!K$10:K$146,0)+_xlfn.XLOOKUP('Summary Data'!$A153,'Round 3 Data'!$A$10:$A$145,'Round 3 Data'!K$10:K$145,0)+_xlfn.XLOOKUP('Summary Data'!$A153,'Round 4 Data'!$A$10:$A$147,'Round 4 Data'!K$10:K$147,0))/$D153</f>
        <v>#VALUE!</v>
      </c>
      <c r="L153" s="57" t="e">
        <f>(_xlfn.XLOOKUP('Summary Data'!$A153,'Round 1 Data'!$A$10:$A$143,'Round 1 Data'!L$10:L$144,0)+_xlfn.XLOOKUP('Summary Data'!$A153,'Round 2 Data'!$A$10:$A$146,'Round 2 Data'!L$10:L$146,0)+_xlfn.XLOOKUP('Summary Data'!$A153,'Round 3 Data'!$A$10:$A$145,'Round 3 Data'!L$10:L$145,0)+_xlfn.XLOOKUP('Summary Data'!$A153,'Round 4 Data'!$A$10:$A$147,'Round 4 Data'!L$10:L$147,0))/$D153</f>
        <v>#VALUE!</v>
      </c>
      <c r="M153" s="57" t="e">
        <f>(_xlfn.XLOOKUP('Summary Data'!$A153,'Round 1 Data'!$A$10:$A$143,'Round 1 Data'!M$10:M$144,0)+_xlfn.XLOOKUP('Summary Data'!$A153,'Round 2 Data'!$A$10:$A$146,'Round 2 Data'!M$10:M$146,0)+_xlfn.XLOOKUP('Summary Data'!$A153,'Round 3 Data'!$A$10:$A$145,'Round 3 Data'!M$10:M$145,0)+_xlfn.XLOOKUP('Summary Data'!$A153,'Round 4 Data'!$A$10:$A$147,'Round 4 Data'!M$10:M$147,0))/$D153</f>
        <v>#VALUE!</v>
      </c>
      <c r="N153" s="57" t="e">
        <f>(_xlfn.XLOOKUP('Summary Data'!$A153,'Round 1 Data'!$A$10:$A$143,'Round 1 Data'!N$10:N$144,0)+_xlfn.XLOOKUP('Summary Data'!$A153,'Round 2 Data'!$A$10:$A$146,'Round 2 Data'!N$10:N$146,0)+_xlfn.XLOOKUP('Summary Data'!$A153,'Round 3 Data'!$A$10:$A$145,'Round 3 Data'!N$10:N$145,0)+_xlfn.XLOOKUP('Summary Data'!$A153,'Round 4 Data'!$A$10:$A$147,'Round 4 Data'!N$10:N$147,0))/$D153</f>
        <v>#VALUE!</v>
      </c>
      <c r="O153" s="57" t="e">
        <f>(_xlfn.XLOOKUP('Summary Data'!$A153,'Round 1 Data'!$A$10:$A$143,'Round 1 Data'!O$10:O$144,0)+_xlfn.XLOOKUP('Summary Data'!$A153,'Round 2 Data'!$A$10:$A$146,'Round 2 Data'!O$10:O$146,0)+_xlfn.XLOOKUP('Summary Data'!$A153,'Round 3 Data'!$A$10:$A$145,'Round 3 Data'!O$10:O$145,0)+_xlfn.XLOOKUP('Summary Data'!$A153,'Round 4 Data'!$A$10:$A$147,'Round 4 Data'!O$10:O$147,0))/$D153</f>
        <v>#VALUE!</v>
      </c>
      <c r="P153" s="57" t="e">
        <f>(_xlfn.XLOOKUP('Summary Data'!$A153,'Round 1 Data'!$A$10:$A$143,'Round 1 Data'!P$10:P$144,0)+_xlfn.XLOOKUP('Summary Data'!$A153,'Round 2 Data'!$A$10:$A$146,'Round 2 Data'!P$10:P$146,0)+_xlfn.XLOOKUP('Summary Data'!$A153,'Round 3 Data'!$A$10:$A$145,'Round 3 Data'!P$10:P$145,0)+_xlfn.XLOOKUP('Summary Data'!$A153,'Round 4 Data'!$A$10:$A$147,'Round 4 Data'!P$10:P$147,0))/$D153</f>
        <v>#VALUE!</v>
      </c>
      <c r="Q153" s="57" t="e">
        <f>(_xlfn.XLOOKUP('Summary Data'!$A153,'Round 1 Data'!$A$10:$A$143,'Round 1 Data'!Q$10:Q$144,0)+_xlfn.XLOOKUP('Summary Data'!$A153,'Round 2 Data'!$A$10:$A$146,'Round 2 Data'!Q$10:Q$146,0)+_xlfn.XLOOKUP('Summary Data'!$A153,'Round 3 Data'!$A$10:$A$145,'Round 3 Data'!Q$10:Q$145,0)+_xlfn.XLOOKUP('Summary Data'!$A153,'Round 4 Data'!$A$10:$A$147,'Round 4 Data'!Q$10:Q$147,0))/$D153</f>
        <v>#VALUE!</v>
      </c>
      <c r="R153" s="57" t="e">
        <f>(_xlfn.XLOOKUP('Summary Data'!$A153,'Round 1 Data'!$A$10:$A$143,'Round 1 Data'!R$10:R$144,0)+_xlfn.XLOOKUP('Summary Data'!$A153,'Round 2 Data'!$A$10:$A$146,'Round 2 Data'!R$10:R$146,0)+_xlfn.XLOOKUP('Summary Data'!$A153,'Round 3 Data'!$A$10:$A$145,'Round 3 Data'!R$10:R$145,0)+_xlfn.XLOOKUP('Summary Data'!$A153,'Round 4 Data'!$A$10:$A$147,'Round 4 Data'!R$10:R$147,0))/$D153</f>
        <v>#VALUE!</v>
      </c>
      <c r="S153" s="57" t="e">
        <f>(_xlfn.XLOOKUP('Summary Data'!$A153,'Round 1 Data'!$A$10:$A$143,'Round 1 Data'!S$10:S$144,0)+_xlfn.XLOOKUP('Summary Data'!$A153,'Round 2 Data'!$A$10:$A$146,'Round 2 Data'!S$10:S$146,0)+_xlfn.XLOOKUP('Summary Data'!$A153,'Round 3 Data'!$A$10:$A$145,'Round 3 Data'!S$10:S$145,0)+_xlfn.XLOOKUP('Summary Data'!$A153,'Round 4 Data'!$A$10:$A$147,'Round 4 Data'!S$10:S$147,0))/$D153</f>
        <v>#VALUE!</v>
      </c>
      <c r="T153" s="62" t="e">
        <f>(_xlfn.XLOOKUP('Summary Data'!$A153,'Round 1 Data'!$A$10:$A$143,'Round 1 Data'!U$10:U$144,0)+_xlfn.XLOOKUP('Summary Data'!$A153,'Round 2 Data'!$A$10:$A$146,'Round 2 Data'!U$10:U$146,0)+_xlfn.XLOOKUP('Summary Data'!$A153,'Round 3 Data'!$A$10:$A$145,'Round 3 Data'!U$10:U$145,0)+_xlfn.XLOOKUP('Summary Data'!$A153,'Round 4 Data'!$A$10:$A$147,'Round 4 Data'!U$10:U$147,0))</f>
        <v>#VALUE!</v>
      </c>
    </row>
    <row r="154" spans="1:20" ht="16" thickBot="1" x14ac:dyDescent="0.25">
      <c r="A154" s="63" t="s">
        <v>149</v>
      </c>
      <c r="B154" t="s">
        <v>189</v>
      </c>
      <c r="C154" t="s">
        <v>194</v>
      </c>
      <c r="D154" t="e">
        <f>IF(_xlfn.XLOOKUP('Summary Data'!A154,'Round 1 Data'!$A$10:$A$143,'Round 1 Data'!$E$10:$E$144,0)=0,0,1)+IF(_xlfn.XLOOKUP('Summary Data'!A154,'Round 2 Data'!$A$10:$A$146,'Round 2 Data'!$E$10:$E$146,0)=0,0,1)+IF(_xlfn.XLOOKUP('Summary Data'!A154,'Round 3 Data'!$A$10:$A$145,'Round 3 Data'!$E$10:$E$145,0)=0,0,1)+IF(_xlfn.XLOOKUP('Summary Data'!A154,'Round 4 Data'!$A$10:$A$147,'Round 4 Data'!$E$10:$E$147,0)=0,0,1)</f>
        <v>#VALUE!</v>
      </c>
      <c r="E154" s="57" t="e">
        <f>(_xlfn.XLOOKUP('Summary Data'!$A154,'Round 1 Data'!$A$10:$A$143,'Round 1 Data'!E$10:E$144,0)+_xlfn.XLOOKUP('Summary Data'!$A154,'Round 2 Data'!$A$10:$A$146,'Round 2 Data'!E$10:E$146,0)+_xlfn.XLOOKUP('Summary Data'!$A154,'Round 3 Data'!$A$10:$A$145,'Round 3 Data'!E$10:E$145,0)+_xlfn.XLOOKUP('Summary Data'!$A154,'Round 4 Data'!$A$10:$A$147,'Round 4 Data'!E$10:E$147,0))/$D154</f>
        <v>#VALUE!</v>
      </c>
      <c r="F154" s="57" t="e">
        <f>(_xlfn.XLOOKUP('Summary Data'!$A154,'Round 1 Data'!$A$10:$A$143,'Round 1 Data'!F$10:F$144,0)+_xlfn.XLOOKUP('Summary Data'!$A154,'Round 2 Data'!$A$10:$A$146,'Round 2 Data'!F$10:F$146,0)+_xlfn.XLOOKUP('Summary Data'!$A154,'Round 3 Data'!$A$10:$A$145,'Round 3 Data'!F$10:F$145,0)+_xlfn.XLOOKUP('Summary Data'!$A154,'Round 4 Data'!$A$10:$A$147,'Round 4 Data'!F$10:F$147,0))/$D154</f>
        <v>#VALUE!</v>
      </c>
      <c r="G154" s="57" t="e">
        <f>(_xlfn.XLOOKUP('Summary Data'!$A154,'Round 1 Data'!$A$10:$A$143,'Round 1 Data'!G$10:G$144,0)+_xlfn.XLOOKUP('Summary Data'!$A154,'Round 2 Data'!$A$10:$A$146,'Round 2 Data'!G$10:G$146,0)+_xlfn.XLOOKUP('Summary Data'!$A154,'Round 3 Data'!$A$10:$A$145,'Round 3 Data'!G$10:G$145,0)+_xlfn.XLOOKUP('Summary Data'!$A154,'Round 4 Data'!$A$10:$A$147,'Round 4 Data'!G$10:G$147,0))/$D154</f>
        <v>#VALUE!</v>
      </c>
      <c r="H154" s="57" t="e">
        <f>(_xlfn.XLOOKUP('Summary Data'!$A154,'Round 1 Data'!$A$10:$A$143,'Round 1 Data'!H$10:H$144,0)+_xlfn.XLOOKUP('Summary Data'!$A154,'Round 2 Data'!$A$10:$A$146,'Round 2 Data'!H$10:H$146,0)+_xlfn.XLOOKUP('Summary Data'!$A154,'Round 3 Data'!$A$10:$A$145,'Round 3 Data'!H$10:H$145,0)+_xlfn.XLOOKUP('Summary Data'!$A154,'Round 4 Data'!$A$10:$A$147,'Round 4 Data'!H$10:H$147,0))/$D154</f>
        <v>#VALUE!</v>
      </c>
      <c r="I154" s="57" t="e">
        <f>(_xlfn.XLOOKUP('Summary Data'!$A154,'Round 1 Data'!$A$10:$A$143,'Round 1 Data'!I$10:I$144,0)+_xlfn.XLOOKUP('Summary Data'!$A154,'Round 2 Data'!$A$10:$A$146,'Round 2 Data'!I$10:I$146,0)+_xlfn.XLOOKUP('Summary Data'!$A154,'Round 3 Data'!$A$10:$A$145,'Round 3 Data'!I$10:I$145,0)+_xlfn.XLOOKUP('Summary Data'!$A154,'Round 4 Data'!$A$10:$A$147,'Round 4 Data'!I$10:I$147,0))/$D154</f>
        <v>#VALUE!</v>
      </c>
      <c r="J154" s="57" t="e">
        <f>(_xlfn.XLOOKUP('Summary Data'!$A154,'Round 1 Data'!$A$10:$A$143,'Round 1 Data'!J$10:J$144,0)+_xlfn.XLOOKUP('Summary Data'!$A154,'Round 2 Data'!$A$10:$A$146,'Round 2 Data'!J$10:J$146,0)+_xlfn.XLOOKUP('Summary Data'!$A154,'Round 3 Data'!$A$10:$A$145,'Round 3 Data'!J$10:J$145,0)+_xlfn.XLOOKUP('Summary Data'!$A154,'Round 4 Data'!$A$10:$A$147,'Round 4 Data'!J$10:J$147,0))/$D154</f>
        <v>#VALUE!</v>
      </c>
      <c r="K154" s="57" t="e">
        <f>(_xlfn.XLOOKUP('Summary Data'!$A154,'Round 1 Data'!$A$10:$A$143,'Round 1 Data'!K$10:K$144,0)+_xlfn.XLOOKUP('Summary Data'!$A154,'Round 2 Data'!$A$10:$A$146,'Round 2 Data'!K$10:K$146,0)+_xlfn.XLOOKUP('Summary Data'!$A154,'Round 3 Data'!$A$10:$A$145,'Round 3 Data'!K$10:K$145,0)+_xlfn.XLOOKUP('Summary Data'!$A154,'Round 4 Data'!$A$10:$A$147,'Round 4 Data'!K$10:K$147,0))/$D154</f>
        <v>#VALUE!</v>
      </c>
      <c r="L154" s="57" t="e">
        <f>(_xlfn.XLOOKUP('Summary Data'!$A154,'Round 1 Data'!$A$10:$A$143,'Round 1 Data'!L$10:L$144,0)+_xlfn.XLOOKUP('Summary Data'!$A154,'Round 2 Data'!$A$10:$A$146,'Round 2 Data'!L$10:L$146,0)+_xlfn.XLOOKUP('Summary Data'!$A154,'Round 3 Data'!$A$10:$A$145,'Round 3 Data'!L$10:L$145,0)+_xlfn.XLOOKUP('Summary Data'!$A154,'Round 4 Data'!$A$10:$A$147,'Round 4 Data'!L$10:L$147,0))/$D154</f>
        <v>#VALUE!</v>
      </c>
      <c r="M154" s="57" t="e">
        <f>(_xlfn.XLOOKUP('Summary Data'!$A154,'Round 1 Data'!$A$10:$A$143,'Round 1 Data'!M$10:M$144,0)+_xlfn.XLOOKUP('Summary Data'!$A154,'Round 2 Data'!$A$10:$A$146,'Round 2 Data'!M$10:M$146,0)+_xlfn.XLOOKUP('Summary Data'!$A154,'Round 3 Data'!$A$10:$A$145,'Round 3 Data'!M$10:M$145,0)+_xlfn.XLOOKUP('Summary Data'!$A154,'Round 4 Data'!$A$10:$A$147,'Round 4 Data'!M$10:M$147,0))/$D154</f>
        <v>#VALUE!</v>
      </c>
      <c r="N154" s="57" t="e">
        <f>(_xlfn.XLOOKUP('Summary Data'!$A154,'Round 1 Data'!$A$10:$A$143,'Round 1 Data'!N$10:N$144,0)+_xlfn.XLOOKUP('Summary Data'!$A154,'Round 2 Data'!$A$10:$A$146,'Round 2 Data'!N$10:N$146,0)+_xlfn.XLOOKUP('Summary Data'!$A154,'Round 3 Data'!$A$10:$A$145,'Round 3 Data'!N$10:N$145,0)+_xlfn.XLOOKUP('Summary Data'!$A154,'Round 4 Data'!$A$10:$A$147,'Round 4 Data'!N$10:N$147,0))/$D154</f>
        <v>#VALUE!</v>
      </c>
      <c r="O154" s="57" t="e">
        <f>(_xlfn.XLOOKUP('Summary Data'!$A154,'Round 1 Data'!$A$10:$A$143,'Round 1 Data'!O$10:O$144,0)+_xlfn.XLOOKUP('Summary Data'!$A154,'Round 2 Data'!$A$10:$A$146,'Round 2 Data'!O$10:O$146,0)+_xlfn.XLOOKUP('Summary Data'!$A154,'Round 3 Data'!$A$10:$A$145,'Round 3 Data'!O$10:O$145,0)+_xlfn.XLOOKUP('Summary Data'!$A154,'Round 4 Data'!$A$10:$A$147,'Round 4 Data'!O$10:O$147,0))/$D154</f>
        <v>#VALUE!</v>
      </c>
      <c r="P154" s="57" t="e">
        <f>(_xlfn.XLOOKUP('Summary Data'!$A154,'Round 1 Data'!$A$10:$A$143,'Round 1 Data'!P$10:P$144,0)+_xlfn.XLOOKUP('Summary Data'!$A154,'Round 2 Data'!$A$10:$A$146,'Round 2 Data'!P$10:P$146,0)+_xlfn.XLOOKUP('Summary Data'!$A154,'Round 3 Data'!$A$10:$A$145,'Round 3 Data'!P$10:P$145,0)+_xlfn.XLOOKUP('Summary Data'!$A154,'Round 4 Data'!$A$10:$A$147,'Round 4 Data'!P$10:P$147,0))/$D154</f>
        <v>#VALUE!</v>
      </c>
      <c r="Q154" s="57" t="e">
        <f>(_xlfn.XLOOKUP('Summary Data'!$A154,'Round 1 Data'!$A$10:$A$143,'Round 1 Data'!Q$10:Q$144,0)+_xlfn.XLOOKUP('Summary Data'!$A154,'Round 2 Data'!$A$10:$A$146,'Round 2 Data'!Q$10:Q$146,0)+_xlfn.XLOOKUP('Summary Data'!$A154,'Round 3 Data'!$A$10:$A$145,'Round 3 Data'!Q$10:Q$145,0)+_xlfn.XLOOKUP('Summary Data'!$A154,'Round 4 Data'!$A$10:$A$147,'Round 4 Data'!Q$10:Q$147,0))/$D154</f>
        <v>#VALUE!</v>
      </c>
      <c r="R154" s="57" t="e">
        <f>(_xlfn.XLOOKUP('Summary Data'!$A154,'Round 1 Data'!$A$10:$A$143,'Round 1 Data'!R$10:R$144,0)+_xlfn.XLOOKUP('Summary Data'!$A154,'Round 2 Data'!$A$10:$A$146,'Round 2 Data'!R$10:R$146,0)+_xlfn.XLOOKUP('Summary Data'!$A154,'Round 3 Data'!$A$10:$A$145,'Round 3 Data'!R$10:R$145,0)+_xlfn.XLOOKUP('Summary Data'!$A154,'Round 4 Data'!$A$10:$A$147,'Round 4 Data'!R$10:R$147,0))/$D154</f>
        <v>#VALUE!</v>
      </c>
      <c r="S154" s="57" t="e">
        <f>(_xlfn.XLOOKUP('Summary Data'!$A154,'Round 1 Data'!$A$10:$A$143,'Round 1 Data'!S$10:S$144,0)+_xlfn.XLOOKUP('Summary Data'!$A154,'Round 2 Data'!$A$10:$A$146,'Round 2 Data'!S$10:S$146,0)+_xlfn.XLOOKUP('Summary Data'!$A154,'Round 3 Data'!$A$10:$A$145,'Round 3 Data'!S$10:S$145,0)+_xlfn.XLOOKUP('Summary Data'!$A154,'Round 4 Data'!$A$10:$A$147,'Round 4 Data'!S$10:S$147,0))/$D154</f>
        <v>#VALUE!</v>
      </c>
      <c r="T154" s="62" t="e">
        <f>(_xlfn.XLOOKUP('Summary Data'!$A154,'Round 1 Data'!$A$10:$A$143,'Round 1 Data'!U$10:U$144,0)+_xlfn.XLOOKUP('Summary Data'!$A154,'Round 2 Data'!$A$10:$A$146,'Round 2 Data'!U$10:U$146,0)+_xlfn.XLOOKUP('Summary Data'!$A154,'Round 3 Data'!$A$10:$A$145,'Round 3 Data'!U$10:U$145,0)+_xlfn.XLOOKUP('Summary Data'!$A154,'Round 4 Data'!$A$10:$A$147,'Round 4 Data'!U$10:U$147,0))</f>
        <v>#VALUE!</v>
      </c>
    </row>
    <row r="155" spans="1:20" ht="16" thickBot="1" x14ac:dyDescent="0.25">
      <c r="A155" s="65" t="s">
        <v>150</v>
      </c>
      <c r="B155" t="s">
        <v>189</v>
      </c>
      <c r="C155" t="s">
        <v>196</v>
      </c>
      <c r="D155" t="e">
        <f>IF(_xlfn.XLOOKUP('Summary Data'!A155,'Round 1 Data'!$A$10:$A$143,'Round 1 Data'!$E$10:$E$144,0)=0,0,1)+IF(_xlfn.XLOOKUP('Summary Data'!A155,'Round 2 Data'!$A$10:$A$146,'Round 2 Data'!$E$10:$E$146,0)=0,0,1)+IF(_xlfn.XLOOKUP('Summary Data'!A155,'Round 3 Data'!$A$10:$A$145,'Round 3 Data'!$E$10:$E$145,0)=0,0,1)+IF(_xlfn.XLOOKUP('Summary Data'!A155,'Round 4 Data'!$A$10:$A$147,'Round 4 Data'!$E$10:$E$147,0)=0,0,1)</f>
        <v>#VALUE!</v>
      </c>
      <c r="E155" s="57" t="e">
        <f>(_xlfn.XLOOKUP('Summary Data'!$A155,'Round 1 Data'!$A$10:$A$143,'Round 1 Data'!E$10:E$144,0)+_xlfn.XLOOKUP('Summary Data'!$A155,'Round 2 Data'!$A$10:$A$146,'Round 2 Data'!E$10:E$146,0)+_xlfn.XLOOKUP('Summary Data'!$A155,'Round 3 Data'!$A$10:$A$145,'Round 3 Data'!E$10:E$145,0)+_xlfn.XLOOKUP('Summary Data'!$A155,'Round 4 Data'!$A$10:$A$147,'Round 4 Data'!E$10:E$147,0))/$D155</f>
        <v>#VALUE!</v>
      </c>
      <c r="F155" s="57" t="e">
        <f>(_xlfn.XLOOKUP('Summary Data'!$A155,'Round 1 Data'!$A$10:$A$143,'Round 1 Data'!F$10:F$144,0)+_xlfn.XLOOKUP('Summary Data'!$A155,'Round 2 Data'!$A$10:$A$146,'Round 2 Data'!F$10:F$146,0)+_xlfn.XLOOKUP('Summary Data'!$A155,'Round 3 Data'!$A$10:$A$145,'Round 3 Data'!F$10:F$145,0)+_xlfn.XLOOKUP('Summary Data'!$A155,'Round 4 Data'!$A$10:$A$147,'Round 4 Data'!F$10:F$147,0))/$D155</f>
        <v>#VALUE!</v>
      </c>
      <c r="G155" s="57" t="e">
        <f>(_xlfn.XLOOKUP('Summary Data'!$A155,'Round 1 Data'!$A$10:$A$143,'Round 1 Data'!G$10:G$144,0)+_xlfn.XLOOKUP('Summary Data'!$A155,'Round 2 Data'!$A$10:$A$146,'Round 2 Data'!G$10:G$146,0)+_xlfn.XLOOKUP('Summary Data'!$A155,'Round 3 Data'!$A$10:$A$145,'Round 3 Data'!G$10:G$145,0)+_xlfn.XLOOKUP('Summary Data'!$A155,'Round 4 Data'!$A$10:$A$147,'Round 4 Data'!G$10:G$147,0))/$D155</f>
        <v>#VALUE!</v>
      </c>
      <c r="H155" s="57" t="e">
        <f>(_xlfn.XLOOKUP('Summary Data'!$A155,'Round 1 Data'!$A$10:$A$143,'Round 1 Data'!H$10:H$144,0)+_xlfn.XLOOKUP('Summary Data'!$A155,'Round 2 Data'!$A$10:$A$146,'Round 2 Data'!H$10:H$146,0)+_xlfn.XLOOKUP('Summary Data'!$A155,'Round 3 Data'!$A$10:$A$145,'Round 3 Data'!H$10:H$145,0)+_xlfn.XLOOKUP('Summary Data'!$A155,'Round 4 Data'!$A$10:$A$147,'Round 4 Data'!H$10:H$147,0))/$D155</f>
        <v>#VALUE!</v>
      </c>
      <c r="I155" s="57" t="e">
        <f>(_xlfn.XLOOKUP('Summary Data'!$A155,'Round 1 Data'!$A$10:$A$143,'Round 1 Data'!I$10:I$144,0)+_xlfn.XLOOKUP('Summary Data'!$A155,'Round 2 Data'!$A$10:$A$146,'Round 2 Data'!I$10:I$146,0)+_xlfn.XLOOKUP('Summary Data'!$A155,'Round 3 Data'!$A$10:$A$145,'Round 3 Data'!I$10:I$145,0)+_xlfn.XLOOKUP('Summary Data'!$A155,'Round 4 Data'!$A$10:$A$147,'Round 4 Data'!I$10:I$147,0))/$D155</f>
        <v>#VALUE!</v>
      </c>
      <c r="J155" s="57" t="e">
        <f>(_xlfn.XLOOKUP('Summary Data'!$A155,'Round 1 Data'!$A$10:$A$143,'Round 1 Data'!J$10:J$144,0)+_xlfn.XLOOKUP('Summary Data'!$A155,'Round 2 Data'!$A$10:$A$146,'Round 2 Data'!J$10:J$146,0)+_xlfn.XLOOKUP('Summary Data'!$A155,'Round 3 Data'!$A$10:$A$145,'Round 3 Data'!J$10:J$145,0)+_xlfn.XLOOKUP('Summary Data'!$A155,'Round 4 Data'!$A$10:$A$147,'Round 4 Data'!J$10:J$147,0))/$D155</f>
        <v>#VALUE!</v>
      </c>
      <c r="K155" s="57" t="e">
        <f>(_xlfn.XLOOKUP('Summary Data'!$A155,'Round 1 Data'!$A$10:$A$143,'Round 1 Data'!K$10:K$144,0)+_xlfn.XLOOKUP('Summary Data'!$A155,'Round 2 Data'!$A$10:$A$146,'Round 2 Data'!K$10:K$146,0)+_xlfn.XLOOKUP('Summary Data'!$A155,'Round 3 Data'!$A$10:$A$145,'Round 3 Data'!K$10:K$145,0)+_xlfn.XLOOKUP('Summary Data'!$A155,'Round 4 Data'!$A$10:$A$147,'Round 4 Data'!K$10:K$147,0))/$D155</f>
        <v>#VALUE!</v>
      </c>
      <c r="L155" s="57" t="e">
        <f>(_xlfn.XLOOKUP('Summary Data'!$A155,'Round 1 Data'!$A$10:$A$143,'Round 1 Data'!L$10:L$144,0)+_xlfn.XLOOKUP('Summary Data'!$A155,'Round 2 Data'!$A$10:$A$146,'Round 2 Data'!L$10:L$146,0)+_xlfn.XLOOKUP('Summary Data'!$A155,'Round 3 Data'!$A$10:$A$145,'Round 3 Data'!L$10:L$145,0)+_xlfn.XLOOKUP('Summary Data'!$A155,'Round 4 Data'!$A$10:$A$147,'Round 4 Data'!L$10:L$147,0))/$D155</f>
        <v>#VALUE!</v>
      </c>
      <c r="M155" s="57" t="e">
        <f>(_xlfn.XLOOKUP('Summary Data'!$A155,'Round 1 Data'!$A$10:$A$143,'Round 1 Data'!M$10:M$144,0)+_xlfn.XLOOKUP('Summary Data'!$A155,'Round 2 Data'!$A$10:$A$146,'Round 2 Data'!M$10:M$146,0)+_xlfn.XLOOKUP('Summary Data'!$A155,'Round 3 Data'!$A$10:$A$145,'Round 3 Data'!M$10:M$145,0)+_xlfn.XLOOKUP('Summary Data'!$A155,'Round 4 Data'!$A$10:$A$147,'Round 4 Data'!M$10:M$147,0))/$D155</f>
        <v>#VALUE!</v>
      </c>
      <c r="N155" s="57" t="e">
        <f>(_xlfn.XLOOKUP('Summary Data'!$A155,'Round 1 Data'!$A$10:$A$143,'Round 1 Data'!N$10:N$144,0)+_xlfn.XLOOKUP('Summary Data'!$A155,'Round 2 Data'!$A$10:$A$146,'Round 2 Data'!N$10:N$146,0)+_xlfn.XLOOKUP('Summary Data'!$A155,'Round 3 Data'!$A$10:$A$145,'Round 3 Data'!N$10:N$145,0)+_xlfn.XLOOKUP('Summary Data'!$A155,'Round 4 Data'!$A$10:$A$147,'Round 4 Data'!N$10:N$147,0))/$D155</f>
        <v>#VALUE!</v>
      </c>
      <c r="O155" s="57" t="e">
        <f>(_xlfn.XLOOKUP('Summary Data'!$A155,'Round 1 Data'!$A$10:$A$143,'Round 1 Data'!O$10:O$144,0)+_xlfn.XLOOKUP('Summary Data'!$A155,'Round 2 Data'!$A$10:$A$146,'Round 2 Data'!O$10:O$146,0)+_xlfn.XLOOKUP('Summary Data'!$A155,'Round 3 Data'!$A$10:$A$145,'Round 3 Data'!O$10:O$145,0)+_xlfn.XLOOKUP('Summary Data'!$A155,'Round 4 Data'!$A$10:$A$147,'Round 4 Data'!O$10:O$147,0))/$D155</f>
        <v>#VALUE!</v>
      </c>
      <c r="P155" s="57" t="e">
        <f>(_xlfn.XLOOKUP('Summary Data'!$A155,'Round 1 Data'!$A$10:$A$143,'Round 1 Data'!P$10:P$144,0)+_xlfn.XLOOKUP('Summary Data'!$A155,'Round 2 Data'!$A$10:$A$146,'Round 2 Data'!P$10:P$146,0)+_xlfn.XLOOKUP('Summary Data'!$A155,'Round 3 Data'!$A$10:$A$145,'Round 3 Data'!P$10:P$145,0)+_xlfn.XLOOKUP('Summary Data'!$A155,'Round 4 Data'!$A$10:$A$147,'Round 4 Data'!P$10:P$147,0))/$D155</f>
        <v>#VALUE!</v>
      </c>
      <c r="Q155" s="57" t="e">
        <f>(_xlfn.XLOOKUP('Summary Data'!$A155,'Round 1 Data'!$A$10:$A$143,'Round 1 Data'!Q$10:Q$144,0)+_xlfn.XLOOKUP('Summary Data'!$A155,'Round 2 Data'!$A$10:$A$146,'Round 2 Data'!Q$10:Q$146,0)+_xlfn.XLOOKUP('Summary Data'!$A155,'Round 3 Data'!$A$10:$A$145,'Round 3 Data'!Q$10:Q$145,0)+_xlfn.XLOOKUP('Summary Data'!$A155,'Round 4 Data'!$A$10:$A$147,'Round 4 Data'!Q$10:Q$147,0))/$D155</f>
        <v>#VALUE!</v>
      </c>
      <c r="R155" s="57" t="e">
        <f>(_xlfn.XLOOKUP('Summary Data'!$A155,'Round 1 Data'!$A$10:$A$143,'Round 1 Data'!R$10:R$144,0)+_xlfn.XLOOKUP('Summary Data'!$A155,'Round 2 Data'!$A$10:$A$146,'Round 2 Data'!R$10:R$146,0)+_xlfn.XLOOKUP('Summary Data'!$A155,'Round 3 Data'!$A$10:$A$145,'Round 3 Data'!R$10:R$145,0)+_xlfn.XLOOKUP('Summary Data'!$A155,'Round 4 Data'!$A$10:$A$147,'Round 4 Data'!R$10:R$147,0))/$D155</f>
        <v>#VALUE!</v>
      </c>
      <c r="S155" s="57" t="e">
        <f>(_xlfn.XLOOKUP('Summary Data'!$A155,'Round 1 Data'!$A$10:$A$143,'Round 1 Data'!S$10:S$144,0)+_xlfn.XLOOKUP('Summary Data'!$A155,'Round 2 Data'!$A$10:$A$146,'Round 2 Data'!S$10:S$146,0)+_xlfn.XLOOKUP('Summary Data'!$A155,'Round 3 Data'!$A$10:$A$145,'Round 3 Data'!S$10:S$145,0)+_xlfn.XLOOKUP('Summary Data'!$A155,'Round 4 Data'!$A$10:$A$147,'Round 4 Data'!S$10:S$147,0))/$D155</f>
        <v>#VALUE!</v>
      </c>
      <c r="T155" s="62" t="e">
        <f>(_xlfn.XLOOKUP('Summary Data'!$A155,'Round 1 Data'!$A$10:$A$143,'Round 1 Data'!U$10:U$144,0)+_xlfn.XLOOKUP('Summary Data'!$A155,'Round 2 Data'!$A$10:$A$146,'Round 2 Data'!U$10:U$146,0)+_xlfn.XLOOKUP('Summary Data'!$A155,'Round 3 Data'!$A$10:$A$145,'Round 3 Data'!U$10:U$145,0)+_xlfn.XLOOKUP('Summary Data'!$A155,'Round 4 Data'!$A$10:$A$147,'Round 4 Data'!U$10:U$147,0))</f>
        <v>#VALUE!</v>
      </c>
    </row>
    <row r="156" spans="1:20" ht="16" thickBot="1" x14ac:dyDescent="0.25">
      <c r="A156" s="64" t="s">
        <v>151</v>
      </c>
      <c r="B156" t="s">
        <v>189</v>
      </c>
      <c r="C156" t="s">
        <v>199</v>
      </c>
      <c r="D156" t="e">
        <f>IF(_xlfn.XLOOKUP('Summary Data'!A156,'Round 1 Data'!$A$10:$A$143,'Round 1 Data'!$E$10:$E$144,0)=0,0,1)+IF(_xlfn.XLOOKUP('Summary Data'!A156,'Round 2 Data'!$A$10:$A$146,'Round 2 Data'!$E$10:$E$146,0)=0,0,1)+IF(_xlfn.XLOOKUP('Summary Data'!A156,'Round 3 Data'!$A$10:$A$145,'Round 3 Data'!$E$10:$E$145,0)=0,0,1)+IF(_xlfn.XLOOKUP('Summary Data'!A156,'Round 4 Data'!$A$10:$A$147,'Round 4 Data'!$E$10:$E$147,0)=0,0,1)</f>
        <v>#VALUE!</v>
      </c>
      <c r="E156" s="57" t="e">
        <f>(_xlfn.XLOOKUP('Summary Data'!$A156,'Round 1 Data'!$A$10:$A$143,'Round 1 Data'!E$10:E$144,0)+_xlfn.XLOOKUP('Summary Data'!$A156,'Round 2 Data'!$A$10:$A$146,'Round 2 Data'!E$10:E$146,0)+_xlfn.XLOOKUP('Summary Data'!$A156,'Round 3 Data'!$A$10:$A$145,'Round 3 Data'!E$10:E$145,0)+_xlfn.XLOOKUP('Summary Data'!$A156,'Round 4 Data'!$A$10:$A$147,'Round 4 Data'!E$10:E$147,0))/$D156</f>
        <v>#VALUE!</v>
      </c>
      <c r="F156" s="57" t="e">
        <f>(_xlfn.XLOOKUP('Summary Data'!$A156,'Round 1 Data'!$A$10:$A$143,'Round 1 Data'!F$10:F$144,0)+_xlfn.XLOOKUP('Summary Data'!$A156,'Round 2 Data'!$A$10:$A$146,'Round 2 Data'!F$10:F$146,0)+_xlfn.XLOOKUP('Summary Data'!$A156,'Round 3 Data'!$A$10:$A$145,'Round 3 Data'!F$10:F$145,0)+_xlfn.XLOOKUP('Summary Data'!$A156,'Round 4 Data'!$A$10:$A$147,'Round 4 Data'!F$10:F$147,0))/$D156</f>
        <v>#VALUE!</v>
      </c>
      <c r="G156" s="57" t="e">
        <f>(_xlfn.XLOOKUP('Summary Data'!$A156,'Round 1 Data'!$A$10:$A$143,'Round 1 Data'!G$10:G$144,0)+_xlfn.XLOOKUP('Summary Data'!$A156,'Round 2 Data'!$A$10:$A$146,'Round 2 Data'!G$10:G$146,0)+_xlfn.XLOOKUP('Summary Data'!$A156,'Round 3 Data'!$A$10:$A$145,'Round 3 Data'!G$10:G$145,0)+_xlfn.XLOOKUP('Summary Data'!$A156,'Round 4 Data'!$A$10:$A$147,'Round 4 Data'!G$10:G$147,0))/$D156</f>
        <v>#VALUE!</v>
      </c>
      <c r="H156" s="57" t="e">
        <f>(_xlfn.XLOOKUP('Summary Data'!$A156,'Round 1 Data'!$A$10:$A$143,'Round 1 Data'!H$10:H$144,0)+_xlfn.XLOOKUP('Summary Data'!$A156,'Round 2 Data'!$A$10:$A$146,'Round 2 Data'!H$10:H$146,0)+_xlfn.XLOOKUP('Summary Data'!$A156,'Round 3 Data'!$A$10:$A$145,'Round 3 Data'!H$10:H$145,0)+_xlfn.XLOOKUP('Summary Data'!$A156,'Round 4 Data'!$A$10:$A$147,'Round 4 Data'!H$10:H$147,0))/$D156</f>
        <v>#VALUE!</v>
      </c>
      <c r="I156" s="57" t="e">
        <f>(_xlfn.XLOOKUP('Summary Data'!$A156,'Round 1 Data'!$A$10:$A$143,'Round 1 Data'!I$10:I$144,0)+_xlfn.XLOOKUP('Summary Data'!$A156,'Round 2 Data'!$A$10:$A$146,'Round 2 Data'!I$10:I$146,0)+_xlfn.XLOOKUP('Summary Data'!$A156,'Round 3 Data'!$A$10:$A$145,'Round 3 Data'!I$10:I$145,0)+_xlfn.XLOOKUP('Summary Data'!$A156,'Round 4 Data'!$A$10:$A$147,'Round 4 Data'!I$10:I$147,0))/$D156</f>
        <v>#VALUE!</v>
      </c>
      <c r="J156" s="57" t="e">
        <f>(_xlfn.XLOOKUP('Summary Data'!$A156,'Round 1 Data'!$A$10:$A$143,'Round 1 Data'!J$10:J$144,0)+_xlfn.XLOOKUP('Summary Data'!$A156,'Round 2 Data'!$A$10:$A$146,'Round 2 Data'!J$10:J$146,0)+_xlfn.XLOOKUP('Summary Data'!$A156,'Round 3 Data'!$A$10:$A$145,'Round 3 Data'!J$10:J$145,0)+_xlfn.XLOOKUP('Summary Data'!$A156,'Round 4 Data'!$A$10:$A$147,'Round 4 Data'!J$10:J$147,0))/$D156</f>
        <v>#VALUE!</v>
      </c>
      <c r="K156" s="57" t="e">
        <f>(_xlfn.XLOOKUP('Summary Data'!$A156,'Round 1 Data'!$A$10:$A$143,'Round 1 Data'!K$10:K$144,0)+_xlfn.XLOOKUP('Summary Data'!$A156,'Round 2 Data'!$A$10:$A$146,'Round 2 Data'!K$10:K$146,0)+_xlfn.XLOOKUP('Summary Data'!$A156,'Round 3 Data'!$A$10:$A$145,'Round 3 Data'!K$10:K$145,0)+_xlfn.XLOOKUP('Summary Data'!$A156,'Round 4 Data'!$A$10:$A$147,'Round 4 Data'!K$10:K$147,0))/$D156</f>
        <v>#VALUE!</v>
      </c>
      <c r="L156" s="57" t="e">
        <f>(_xlfn.XLOOKUP('Summary Data'!$A156,'Round 1 Data'!$A$10:$A$143,'Round 1 Data'!L$10:L$144,0)+_xlfn.XLOOKUP('Summary Data'!$A156,'Round 2 Data'!$A$10:$A$146,'Round 2 Data'!L$10:L$146,0)+_xlfn.XLOOKUP('Summary Data'!$A156,'Round 3 Data'!$A$10:$A$145,'Round 3 Data'!L$10:L$145,0)+_xlfn.XLOOKUP('Summary Data'!$A156,'Round 4 Data'!$A$10:$A$147,'Round 4 Data'!L$10:L$147,0))/$D156</f>
        <v>#VALUE!</v>
      </c>
      <c r="M156" s="57" t="e">
        <f>(_xlfn.XLOOKUP('Summary Data'!$A156,'Round 1 Data'!$A$10:$A$143,'Round 1 Data'!M$10:M$144,0)+_xlfn.XLOOKUP('Summary Data'!$A156,'Round 2 Data'!$A$10:$A$146,'Round 2 Data'!M$10:M$146,0)+_xlfn.XLOOKUP('Summary Data'!$A156,'Round 3 Data'!$A$10:$A$145,'Round 3 Data'!M$10:M$145,0)+_xlfn.XLOOKUP('Summary Data'!$A156,'Round 4 Data'!$A$10:$A$147,'Round 4 Data'!M$10:M$147,0))/$D156</f>
        <v>#VALUE!</v>
      </c>
      <c r="N156" s="57" t="e">
        <f>(_xlfn.XLOOKUP('Summary Data'!$A156,'Round 1 Data'!$A$10:$A$143,'Round 1 Data'!N$10:N$144,0)+_xlfn.XLOOKUP('Summary Data'!$A156,'Round 2 Data'!$A$10:$A$146,'Round 2 Data'!N$10:N$146,0)+_xlfn.XLOOKUP('Summary Data'!$A156,'Round 3 Data'!$A$10:$A$145,'Round 3 Data'!N$10:N$145,0)+_xlfn.XLOOKUP('Summary Data'!$A156,'Round 4 Data'!$A$10:$A$147,'Round 4 Data'!N$10:N$147,0))/$D156</f>
        <v>#VALUE!</v>
      </c>
      <c r="O156" s="57" t="e">
        <f>(_xlfn.XLOOKUP('Summary Data'!$A156,'Round 1 Data'!$A$10:$A$143,'Round 1 Data'!O$10:O$144,0)+_xlfn.XLOOKUP('Summary Data'!$A156,'Round 2 Data'!$A$10:$A$146,'Round 2 Data'!O$10:O$146,0)+_xlfn.XLOOKUP('Summary Data'!$A156,'Round 3 Data'!$A$10:$A$145,'Round 3 Data'!O$10:O$145,0)+_xlfn.XLOOKUP('Summary Data'!$A156,'Round 4 Data'!$A$10:$A$147,'Round 4 Data'!O$10:O$147,0))/$D156</f>
        <v>#VALUE!</v>
      </c>
      <c r="P156" s="57" t="e">
        <f>(_xlfn.XLOOKUP('Summary Data'!$A156,'Round 1 Data'!$A$10:$A$143,'Round 1 Data'!P$10:P$144,0)+_xlfn.XLOOKUP('Summary Data'!$A156,'Round 2 Data'!$A$10:$A$146,'Round 2 Data'!P$10:P$146,0)+_xlfn.XLOOKUP('Summary Data'!$A156,'Round 3 Data'!$A$10:$A$145,'Round 3 Data'!P$10:P$145,0)+_xlfn.XLOOKUP('Summary Data'!$A156,'Round 4 Data'!$A$10:$A$147,'Round 4 Data'!P$10:P$147,0))/$D156</f>
        <v>#VALUE!</v>
      </c>
      <c r="Q156" s="57" t="e">
        <f>(_xlfn.XLOOKUP('Summary Data'!$A156,'Round 1 Data'!$A$10:$A$143,'Round 1 Data'!Q$10:Q$144,0)+_xlfn.XLOOKUP('Summary Data'!$A156,'Round 2 Data'!$A$10:$A$146,'Round 2 Data'!Q$10:Q$146,0)+_xlfn.XLOOKUP('Summary Data'!$A156,'Round 3 Data'!$A$10:$A$145,'Round 3 Data'!Q$10:Q$145,0)+_xlfn.XLOOKUP('Summary Data'!$A156,'Round 4 Data'!$A$10:$A$147,'Round 4 Data'!Q$10:Q$147,0))/$D156</f>
        <v>#VALUE!</v>
      </c>
      <c r="R156" s="57" t="e">
        <f>(_xlfn.XLOOKUP('Summary Data'!$A156,'Round 1 Data'!$A$10:$A$143,'Round 1 Data'!R$10:R$144,0)+_xlfn.XLOOKUP('Summary Data'!$A156,'Round 2 Data'!$A$10:$A$146,'Round 2 Data'!R$10:R$146,0)+_xlfn.XLOOKUP('Summary Data'!$A156,'Round 3 Data'!$A$10:$A$145,'Round 3 Data'!R$10:R$145,0)+_xlfn.XLOOKUP('Summary Data'!$A156,'Round 4 Data'!$A$10:$A$147,'Round 4 Data'!R$10:R$147,0))/$D156</f>
        <v>#VALUE!</v>
      </c>
      <c r="S156" s="57" t="e">
        <f>(_xlfn.XLOOKUP('Summary Data'!$A156,'Round 1 Data'!$A$10:$A$143,'Round 1 Data'!S$10:S$144,0)+_xlfn.XLOOKUP('Summary Data'!$A156,'Round 2 Data'!$A$10:$A$146,'Round 2 Data'!S$10:S$146,0)+_xlfn.XLOOKUP('Summary Data'!$A156,'Round 3 Data'!$A$10:$A$145,'Round 3 Data'!S$10:S$145,0)+_xlfn.XLOOKUP('Summary Data'!$A156,'Round 4 Data'!$A$10:$A$147,'Round 4 Data'!S$10:S$147,0))/$D156</f>
        <v>#VALUE!</v>
      </c>
      <c r="T156" s="62" t="e">
        <f>(_xlfn.XLOOKUP('Summary Data'!$A156,'Round 1 Data'!$A$10:$A$143,'Round 1 Data'!U$10:U$144,0)+_xlfn.XLOOKUP('Summary Data'!$A156,'Round 2 Data'!$A$10:$A$146,'Round 2 Data'!U$10:U$146,0)+_xlfn.XLOOKUP('Summary Data'!$A156,'Round 3 Data'!$A$10:$A$145,'Round 3 Data'!U$10:U$145,0)+_xlfn.XLOOKUP('Summary Data'!$A156,'Round 4 Data'!$A$10:$A$147,'Round 4 Data'!U$10:U$147,0))</f>
        <v>#VALUE!</v>
      </c>
    </row>
    <row r="157" spans="1:20" ht="16" thickBot="1" x14ac:dyDescent="0.25">
      <c r="A157" s="61" t="s">
        <v>153</v>
      </c>
      <c r="B157" t="s">
        <v>192</v>
      </c>
      <c r="C157" t="s">
        <v>196</v>
      </c>
      <c r="D157" t="e">
        <f>IF(_xlfn.XLOOKUP('Summary Data'!A157,'Round 1 Data'!$A$10:$A$143,'Round 1 Data'!$E$10:$E$144,0)=0,0,1)+IF(_xlfn.XLOOKUP('Summary Data'!A157,'Round 2 Data'!$A$10:$A$146,'Round 2 Data'!$E$10:$E$146,0)=0,0,1)+IF(_xlfn.XLOOKUP('Summary Data'!A157,'Round 3 Data'!$A$10:$A$145,'Round 3 Data'!$E$10:$E$145,0)=0,0,1)+IF(_xlfn.XLOOKUP('Summary Data'!A157,'Round 4 Data'!$A$10:$A$147,'Round 4 Data'!$E$10:$E$147,0)=0,0,1)</f>
        <v>#VALUE!</v>
      </c>
      <c r="E157" s="57" t="e">
        <f>(_xlfn.XLOOKUP('Summary Data'!$A157,'Round 1 Data'!$A$10:$A$143,'Round 1 Data'!E$10:E$144,0)+_xlfn.XLOOKUP('Summary Data'!$A157,'Round 2 Data'!$A$10:$A$146,'Round 2 Data'!E$10:E$146,0)+_xlfn.XLOOKUP('Summary Data'!$A157,'Round 3 Data'!$A$10:$A$145,'Round 3 Data'!E$10:E$145,0)+_xlfn.XLOOKUP('Summary Data'!$A157,'Round 4 Data'!$A$10:$A$147,'Round 4 Data'!E$10:E$147,0))/$D157</f>
        <v>#VALUE!</v>
      </c>
      <c r="F157" s="57" t="e">
        <f>(_xlfn.XLOOKUP('Summary Data'!$A157,'Round 1 Data'!$A$10:$A$143,'Round 1 Data'!F$10:F$144,0)+_xlfn.XLOOKUP('Summary Data'!$A157,'Round 2 Data'!$A$10:$A$146,'Round 2 Data'!F$10:F$146,0)+_xlfn.XLOOKUP('Summary Data'!$A157,'Round 3 Data'!$A$10:$A$145,'Round 3 Data'!F$10:F$145,0)+_xlfn.XLOOKUP('Summary Data'!$A157,'Round 4 Data'!$A$10:$A$147,'Round 4 Data'!F$10:F$147,0))/$D157</f>
        <v>#VALUE!</v>
      </c>
      <c r="G157" s="57" t="e">
        <f>(_xlfn.XLOOKUP('Summary Data'!$A157,'Round 1 Data'!$A$10:$A$143,'Round 1 Data'!G$10:G$144,0)+_xlfn.XLOOKUP('Summary Data'!$A157,'Round 2 Data'!$A$10:$A$146,'Round 2 Data'!G$10:G$146,0)+_xlfn.XLOOKUP('Summary Data'!$A157,'Round 3 Data'!$A$10:$A$145,'Round 3 Data'!G$10:G$145,0)+_xlfn.XLOOKUP('Summary Data'!$A157,'Round 4 Data'!$A$10:$A$147,'Round 4 Data'!G$10:G$147,0))/$D157</f>
        <v>#VALUE!</v>
      </c>
      <c r="H157" s="57" t="e">
        <f>(_xlfn.XLOOKUP('Summary Data'!$A157,'Round 1 Data'!$A$10:$A$143,'Round 1 Data'!H$10:H$144,0)+_xlfn.XLOOKUP('Summary Data'!$A157,'Round 2 Data'!$A$10:$A$146,'Round 2 Data'!H$10:H$146,0)+_xlfn.XLOOKUP('Summary Data'!$A157,'Round 3 Data'!$A$10:$A$145,'Round 3 Data'!H$10:H$145,0)+_xlfn.XLOOKUP('Summary Data'!$A157,'Round 4 Data'!$A$10:$A$147,'Round 4 Data'!H$10:H$147,0))/$D157</f>
        <v>#VALUE!</v>
      </c>
      <c r="I157" s="57" t="e">
        <f>(_xlfn.XLOOKUP('Summary Data'!$A157,'Round 1 Data'!$A$10:$A$143,'Round 1 Data'!I$10:I$144,0)+_xlfn.XLOOKUP('Summary Data'!$A157,'Round 2 Data'!$A$10:$A$146,'Round 2 Data'!I$10:I$146,0)+_xlfn.XLOOKUP('Summary Data'!$A157,'Round 3 Data'!$A$10:$A$145,'Round 3 Data'!I$10:I$145,0)+_xlfn.XLOOKUP('Summary Data'!$A157,'Round 4 Data'!$A$10:$A$147,'Round 4 Data'!I$10:I$147,0))/$D157</f>
        <v>#VALUE!</v>
      </c>
      <c r="J157" s="57" t="e">
        <f>(_xlfn.XLOOKUP('Summary Data'!$A157,'Round 1 Data'!$A$10:$A$143,'Round 1 Data'!J$10:J$144,0)+_xlfn.XLOOKUP('Summary Data'!$A157,'Round 2 Data'!$A$10:$A$146,'Round 2 Data'!J$10:J$146,0)+_xlfn.XLOOKUP('Summary Data'!$A157,'Round 3 Data'!$A$10:$A$145,'Round 3 Data'!J$10:J$145,0)+_xlfn.XLOOKUP('Summary Data'!$A157,'Round 4 Data'!$A$10:$A$147,'Round 4 Data'!J$10:J$147,0))/$D157</f>
        <v>#VALUE!</v>
      </c>
      <c r="K157" s="57" t="e">
        <f>(_xlfn.XLOOKUP('Summary Data'!$A157,'Round 1 Data'!$A$10:$A$143,'Round 1 Data'!K$10:K$144,0)+_xlfn.XLOOKUP('Summary Data'!$A157,'Round 2 Data'!$A$10:$A$146,'Round 2 Data'!K$10:K$146,0)+_xlfn.XLOOKUP('Summary Data'!$A157,'Round 3 Data'!$A$10:$A$145,'Round 3 Data'!K$10:K$145,0)+_xlfn.XLOOKUP('Summary Data'!$A157,'Round 4 Data'!$A$10:$A$147,'Round 4 Data'!K$10:K$147,0))/$D157</f>
        <v>#VALUE!</v>
      </c>
      <c r="L157" s="57" t="e">
        <f>(_xlfn.XLOOKUP('Summary Data'!$A157,'Round 1 Data'!$A$10:$A$143,'Round 1 Data'!L$10:L$144,0)+_xlfn.XLOOKUP('Summary Data'!$A157,'Round 2 Data'!$A$10:$A$146,'Round 2 Data'!L$10:L$146,0)+_xlfn.XLOOKUP('Summary Data'!$A157,'Round 3 Data'!$A$10:$A$145,'Round 3 Data'!L$10:L$145,0)+_xlfn.XLOOKUP('Summary Data'!$A157,'Round 4 Data'!$A$10:$A$147,'Round 4 Data'!L$10:L$147,0))/$D157</f>
        <v>#VALUE!</v>
      </c>
      <c r="M157" s="57" t="e">
        <f>(_xlfn.XLOOKUP('Summary Data'!$A157,'Round 1 Data'!$A$10:$A$143,'Round 1 Data'!M$10:M$144,0)+_xlfn.XLOOKUP('Summary Data'!$A157,'Round 2 Data'!$A$10:$A$146,'Round 2 Data'!M$10:M$146,0)+_xlfn.XLOOKUP('Summary Data'!$A157,'Round 3 Data'!$A$10:$A$145,'Round 3 Data'!M$10:M$145,0)+_xlfn.XLOOKUP('Summary Data'!$A157,'Round 4 Data'!$A$10:$A$147,'Round 4 Data'!M$10:M$147,0))/$D157</f>
        <v>#VALUE!</v>
      </c>
      <c r="N157" s="57" t="e">
        <f>(_xlfn.XLOOKUP('Summary Data'!$A157,'Round 1 Data'!$A$10:$A$143,'Round 1 Data'!N$10:N$144,0)+_xlfn.XLOOKUP('Summary Data'!$A157,'Round 2 Data'!$A$10:$A$146,'Round 2 Data'!N$10:N$146,0)+_xlfn.XLOOKUP('Summary Data'!$A157,'Round 3 Data'!$A$10:$A$145,'Round 3 Data'!N$10:N$145,0)+_xlfn.XLOOKUP('Summary Data'!$A157,'Round 4 Data'!$A$10:$A$147,'Round 4 Data'!N$10:N$147,0))/$D157</f>
        <v>#VALUE!</v>
      </c>
      <c r="O157" s="57" t="e">
        <f>(_xlfn.XLOOKUP('Summary Data'!$A157,'Round 1 Data'!$A$10:$A$143,'Round 1 Data'!O$10:O$144,0)+_xlfn.XLOOKUP('Summary Data'!$A157,'Round 2 Data'!$A$10:$A$146,'Round 2 Data'!O$10:O$146,0)+_xlfn.XLOOKUP('Summary Data'!$A157,'Round 3 Data'!$A$10:$A$145,'Round 3 Data'!O$10:O$145,0)+_xlfn.XLOOKUP('Summary Data'!$A157,'Round 4 Data'!$A$10:$A$147,'Round 4 Data'!O$10:O$147,0))/$D157</f>
        <v>#VALUE!</v>
      </c>
      <c r="P157" s="57" t="e">
        <f>(_xlfn.XLOOKUP('Summary Data'!$A157,'Round 1 Data'!$A$10:$A$143,'Round 1 Data'!P$10:P$144,0)+_xlfn.XLOOKUP('Summary Data'!$A157,'Round 2 Data'!$A$10:$A$146,'Round 2 Data'!P$10:P$146,0)+_xlfn.XLOOKUP('Summary Data'!$A157,'Round 3 Data'!$A$10:$A$145,'Round 3 Data'!P$10:P$145,0)+_xlfn.XLOOKUP('Summary Data'!$A157,'Round 4 Data'!$A$10:$A$147,'Round 4 Data'!P$10:P$147,0))/$D157</f>
        <v>#VALUE!</v>
      </c>
      <c r="Q157" s="57" t="e">
        <f>(_xlfn.XLOOKUP('Summary Data'!$A157,'Round 1 Data'!$A$10:$A$143,'Round 1 Data'!Q$10:Q$144,0)+_xlfn.XLOOKUP('Summary Data'!$A157,'Round 2 Data'!$A$10:$A$146,'Round 2 Data'!Q$10:Q$146,0)+_xlfn.XLOOKUP('Summary Data'!$A157,'Round 3 Data'!$A$10:$A$145,'Round 3 Data'!Q$10:Q$145,0)+_xlfn.XLOOKUP('Summary Data'!$A157,'Round 4 Data'!$A$10:$A$147,'Round 4 Data'!Q$10:Q$147,0))/$D157</f>
        <v>#VALUE!</v>
      </c>
      <c r="R157" s="57" t="e">
        <f>(_xlfn.XLOOKUP('Summary Data'!$A157,'Round 1 Data'!$A$10:$A$143,'Round 1 Data'!R$10:R$144,0)+_xlfn.XLOOKUP('Summary Data'!$A157,'Round 2 Data'!$A$10:$A$146,'Round 2 Data'!R$10:R$146,0)+_xlfn.XLOOKUP('Summary Data'!$A157,'Round 3 Data'!$A$10:$A$145,'Round 3 Data'!R$10:R$145,0)+_xlfn.XLOOKUP('Summary Data'!$A157,'Round 4 Data'!$A$10:$A$147,'Round 4 Data'!R$10:R$147,0))/$D157</f>
        <v>#VALUE!</v>
      </c>
      <c r="S157" s="57" t="e">
        <f>(_xlfn.XLOOKUP('Summary Data'!$A157,'Round 1 Data'!$A$10:$A$143,'Round 1 Data'!S$10:S$144,0)+_xlfn.XLOOKUP('Summary Data'!$A157,'Round 2 Data'!$A$10:$A$146,'Round 2 Data'!S$10:S$146,0)+_xlfn.XLOOKUP('Summary Data'!$A157,'Round 3 Data'!$A$10:$A$145,'Round 3 Data'!S$10:S$145,0)+_xlfn.XLOOKUP('Summary Data'!$A157,'Round 4 Data'!$A$10:$A$147,'Round 4 Data'!S$10:S$147,0))/$D157</f>
        <v>#VALUE!</v>
      </c>
      <c r="T157" s="62" t="e">
        <f>(_xlfn.XLOOKUP('Summary Data'!$A157,'Round 1 Data'!$A$10:$A$143,'Round 1 Data'!U$10:U$144,0)+_xlfn.XLOOKUP('Summary Data'!$A157,'Round 2 Data'!$A$10:$A$146,'Round 2 Data'!U$10:U$146,0)+_xlfn.XLOOKUP('Summary Data'!$A157,'Round 3 Data'!$A$10:$A$145,'Round 3 Data'!U$10:U$145,0)+_xlfn.XLOOKUP('Summary Data'!$A157,'Round 4 Data'!$A$10:$A$147,'Round 4 Data'!U$10:U$147,0))</f>
        <v>#VALUE!</v>
      </c>
    </row>
    <row r="158" spans="1:20" ht="16" thickBot="1" x14ac:dyDescent="0.25">
      <c r="A158" s="63" t="s">
        <v>155</v>
      </c>
      <c r="B158" t="s">
        <v>188</v>
      </c>
      <c r="C158" t="s">
        <v>194</v>
      </c>
      <c r="D158" t="e">
        <f>IF(_xlfn.XLOOKUP('Summary Data'!A158,'Round 1 Data'!$A$10:$A$143,'Round 1 Data'!$E$10:$E$144,0)=0,0,1)+IF(_xlfn.XLOOKUP('Summary Data'!A158,'Round 2 Data'!$A$10:$A$146,'Round 2 Data'!$E$10:$E$146,0)=0,0,1)+IF(_xlfn.XLOOKUP('Summary Data'!A158,'Round 3 Data'!$A$10:$A$145,'Round 3 Data'!$E$10:$E$145,0)=0,0,1)+IF(_xlfn.XLOOKUP('Summary Data'!A158,'Round 4 Data'!$A$10:$A$147,'Round 4 Data'!$E$10:$E$147,0)=0,0,1)</f>
        <v>#VALUE!</v>
      </c>
      <c r="E158" s="57" t="e">
        <f>(_xlfn.XLOOKUP('Summary Data'!$A158,'Round 1 Data'!$A$10:$A$143,'Round 1 Data'!E$10:E$144,0)+_xlfn.XLOOKUP('Summary Data'!$A158,'Round 2 Data'!$A$10:$A$146,'Round 2 Data'!E$10:E$146,0)+_xlfn.XLOOKUP('Summary Data'!$A158,'Round 3 Data'!$A$10:$A$145,'Round 3 Data'!E$10:E$145,0)+_xlfn.XLOOKUP('Summary Data'!$A158,'Round 4 Data'!$A$10:$A$147,'Round 4 Data'!E$10:E$147,0))/$D158</f>
        <v>#VALUE!</v>
      </c>
      <c r="F158" s="57" t="e">
        <f>(_xlfn.XLOOKUP('Summary Data'!$A158,'Round 1 Data'!$A$10:$A$143,'Round 1 Data'!F$10:F$144,0)+_xlfn.XLOOKUP('Summary Data'!$A158,'Round 2 Data'!$A$10:$A$146,'Round 2 Data'!F$10:F$146,0)+_xlfn.XLOOKUP('Summary Data'!$A158,'Round 3 Data'!$A$10:$A$145,'Round 3 Data'!F$10:F$145,0)+_xlfn.XLOOKUP('Summary Data'!$A158,'Round 4 Data'!$A$10:$A$147,'Round 4 Data'!F$10:F$147,0))/$D158</f>
        <v>#VALUE!</v>
      </c>
      <c r="G158" s="57" t="e">
        <f>(_xlfn.XLOOKUP('Summary Data'!$A158,'Round 1 Data'!$A$10:$A$143,'Round 1 Data'!G$10:G$144,0)+_xlfn.XLOOKUP('Summary Data'!$A158,'Round 2 Data'!$A$10:$A$146,'Round 2 Data'!G$10:G$146,0)+_xlfn.XLOOKUP('Summary Data'!$A158,'Round 3 Data'!$A$10:$A$145,'Round 3 Data'!G$10:G$145,0)+_xlfn.XLOOKUP('Summary Data'!$A158,'Round 4 Data'!$A$10:$A$147,'Round 4 Data'!G$10:G$147,0))/$D158</f>
        <v>#VALUE!</v>
      </c>
      <c r="H158" s="57" t="e">
        <f>(_xlfn.XLOOKUP('Summary Data'!$A158,'Round 1 Data'!$A$10:$A$143,'Round 1 Data'!H$10:H$144,0)+_xlfn.XLOOKUP('Summary Data'!$A158,'Round 2 Data'!$A$10:$A$146,'Round 2 Data'!H$10:H$146,0)+_xlfn.XLOOKUP('Summary Data'!$A158,'Round 3 Data'!$A$10:$A$145,'Round 3 Data'!H$10:H$145,0)+_xlfn.XLOOKUP('Summary Data'!$A158,'Round 4 Data'!$A$10:$A$147,'Round 4 Data'!H$10:H$147,0))/$D158</f>
        <v>#VALUE!</v>
      </c>
      <c r="I158" s="57" t="e">
        <f>(_xlfn.XLOOKUP('Summary Data'!$A158,'Round 1 Data'!$A$10:$A$143,'Round 1 Data'!I$10:I$144,0)+_xlfn.XLOOKUP('Summary Data'!$A158,'Round 2 Data'!$A$10:$A$146,'Round 2 Data'!I$10:I$146,0)+_xlfn.XLOOKUP('Summary Data'!$A158,'Round 3 Data'!$A$10:$A$145,'Round 3 Data'!I$10:I$145,0)+_xlfn.XLOOKUP('Summary Data'!$A158,'Round 4 Data'!$A$10:$A$147,'Round 4 Data'!I$10:I$147,0))/$D158</f>
        <v>#VALUE!</v>
      </c>
      <c r="J158" s="57" t="e">
        <f>(_xlfn.XLOOKUP('Summary Data'!$A158,'Round 1 Data'!$A$10:$A$143,'Round 1 Data'!J$10:J$144,0)+_xlfn.XLOOKUP('Summary Data'!$A158,'Round 2 Data'!$A$10:$A$146,'Round 2 Data'!J$10:J$146,0)+_xlfn.XLOOKUP('Summary Data'!$A158,'Round 3 Data'!$A$10:$A$145,'Round 3 Data'!J$10:J$145,0)+_xlfn.XLOOKUP('Summary Data'!$A158,'Round 4 Data'!$A$10:$A$147,'Round 4 Data'!J$10:J$147,0))/$D158</f>
        <v>#VALUE!</v>
      </c>
      <c r="K158" s="57" t="e">
        <f>(_xlfn.XLOOKUP('Summary Data'!$A158,'Round 1 Data'!$A$10:$A$143,'Round 1 Data'!K$10:K$144,0)+_xlfn.XLOOKUP('Summary Data'!$A158,'Round 2 Data'!$A$10:$A$146,'Round 2 Data'!K$10:K$146,0)+_xlfn.XLOOKUP('Summary Data'!$A158,'Round 3 Data'!$A$10:$A$145,'Round 3 Data'!K$10:K$145,0)+_xlfn.XLOOKUP('Summary Data'!$A158,'Round 4 Data'!$A$10:$A$147,'Round 4 Data'!K$10:K$147,0))/$D158</f>
        <v>#VALUE!</v>
      </c>
      <c r="L158" s="57" t="e">
        <f>(_xlfn.XLOOKUP('Summary Data'!$A158,'Round 1 Data'!$A$10:$A$143,'Round 1 Data'!L$10:L$144,0)+_xlfn.XLOOKUP('Summary Data'!$A158,'Round 2 Data'!$A$10:$A$146,'Round 2 Data'!L$10:L$146,0)+_xlfn.XLOOKUP('Summary Data'!$A158,'Round 3 Data'!$A$10:$A$145,'Round 3 Data'!L$10:L$145,0)+_xlfn.XLOOKUP('Summary Data'!$A158,'Round 4 Data'!$A$10:$A$147,'Round 4 Data'!L$10:L$147,0))/$D158</f>
        <v>#VALUE!</v>
      </c>
      <c r="M158" s="57" t="e">
        <f>(_xlfn.XLOOKUP('Summary Data'!$A158,'Round 1 Data'!$A$10:$A$143,'Round 1 Data'!M$10:M$144,0)+_xlfn.XLOOKUP('Summary Data'!$A158,'Round 2 Data'!$A$10:$A$146,'Round 2 Data'!M$10:M$146,0)+_xlfn.XLOOKUP('Summary Data'!$A158,'Round 3 Data'!$A$10:$A$145,'Round 3 Data'!M$10:M$145,0)+_xlfn.XLOOKUP('Summary Data'!$A158,'Round 4 Data'!$A$10:$A$147,'Round 4 Data'!M$10:M$147,0))/$D158</f>
        <v>#VALUE!</v>
      </c>
      <c r="N158" s="57" t="e">
        <f>(_xlfn.XLOOKUP('Summary Data'!$A158,'Round 1 Data'!$A$10:$A$143,'Round 1 Data'!N$10:N$144,0)+_xlfn.XLOOKUP('Summary Data'!$A158,'Round 2 Data'!$A$10:$A$146,'Round 2 Data'!N$10:N$146,0)+_xlfn.XLOOKUP('Summary Data'!$A158,'Round 3 Data'!$A$10:$A$145,'Round 3 Data'!N$10:N$145,0)+_xlfn.XLOOKUP('Summary Data'!$A158,'Round 4 Data'!$A$10:$A$147,'Round 4 Data'!N$10:N$147,0))/$D158</f>
        <v>#VALUE!</v>
      </c>
      <c r="O158" s="57" t="e">
        <f>(_xlfn.XLOOKUP('Summary Data'!$A158,'Round 1 Data'!$A$10:$A$143,'Round 1 Data'!O$10:O$144,0)+_xlfn.XLOOKUP('Summary Data'!$A158,'Round 2 Data'!$A$10:$A$146,'Round 2 Data'!O$10:O$146,0)+_xlfn.XLOOKUP('Summary Data'!$A158,'Round 3 Data'!$A$10:$A$145,'Round 3 Data'!O$10:O$145,0)+_xlfn.XLOOKUP('Summary Data'!$A158,'Round 4 Data'!$A$10:$A$147,'Round 4 Data'!O$10:O$147,0))/$D158</f>
        <v>#VALUE!</v>
      </c>
      <c r="P158" s="57" t="e">
        <f>(_xlfn.XLOOKUP('Summary Data'!$A158,'Round 1 Data'!$A$10:$A$143,'Round 1 Data'!P$10:P$144,0)+_xlfn.XLOOKUP('Summary Data'!$A158,'Round 2 Data'!$A$10:$A$146,'Round 2 Data'!P$10:P$146,0)+_xlfn.XLOOKUP('Summary Data'!$A158,'Round 3 Data'!$A$10:$A$145,'Round 3 Data'!P$10:P$145,0)+_xlfn.XLOOKUP('Summary Data'!$A158,'Round 4 Data'!$A$10:$A$147,'Round 4 Data'!P$10:P$147,0))/$D158</f>
        <v>#VALUE!</v>
      </c>
      <c r="Q158" s="57" t="e">
        <f>(_xlfn.XLOOKUP('Summary Data'!$A158,'Round 1 Data'!$A$10:$A$143,'Round 1 Data'!Q$10:Q$144,0)+_xlfn.XLOOKUP('Summary Data'!$A158,'Round 2 Data'!$A$10:$A$146,'Round 2 Data'!Q$10:Q$146,0)+_xlfn.XLOOKUP('Summary Data'!$A158,'Round 3 Data'!$A$10:$A$145,'Round 3 Data'!Q$10:Q$145,0)+_xlfn.XLOOKUP('Summary Data'!$A158,'Round 4 Data'!$A$10:$A$147,'Round 4 Data'!Q$10:Q$147,0))/$D158</f>
        <v>#VALUE!</v>
      </c>
      <c r="R158" s="57" t="e">
        <f>(_xlfn.XLOOKUP('Summary Data'!$A158,'Round 1 Data'!$A$10:$A$143,'Round 1 Data'!R$10:R$144,0)+_xlfn.XLOOKUP('Summary Data'!$A158,'Round 2 Data'!$A$10:$A$146,'Round 2 Data'!R$10:R$146,0)+_xlfn.XLOOKUP('Summary Data'!$A158,'Round 3 Data'!$A$10:$A$145,'Round 3 Data'!R$10:R$145,0)+_xlfn.XLOOKUP('Summary Data'!$A158,'Round 4 Data'!$A$10:$A$147,'Round 4 Data'!R$10:R$147,0))/$D158</f>
        <v>#VALUE!</v>
      </c>
      <c r="S158" s="57" t="e">
        <f>(_xlfn.XLOOKUP('Summary Data'!$A158,'Round 1 Data'!$A$10:$A$143,'Round 1 Data'!S$10:S$144,0)+_xlfn.XLOOKUP('Summary Data'!$A158,'Round 2 Data'!$A$10:$A$146,'Round 2 Data'!S$10:S$146,0)+_xlfn.XLOOKUP('Summary Data'!$A158,'Round 3 Data'!$A$10:$A$145,'Round 3 Data'!S$10:S$145,0)+_xlfn.XLOOKUP('Summary Data'!$A158,'Round 4 Data'!$A$10:$A$147,'Round 4 Data'!S$10:S$147,0))/$D158</f>
        <v>#VALUE!</v>
      </c>
      <c r="T158" s="62" t="e">
        <f>(_xlfn.XLOOKUP('Summary Data'!$A158,'Round 1 Data'!$A$10:$A$143,'Round 1 Data'!U$10:U$144,0)+_xlfn.XLOOKUP('Summary Data'!$A158,'Round 2 Data'!$A$10:$A$146,'Round 2 Data'!U$10:U$146,0)+_xlfn.XLOOKUP('Summary Data'!$A158,'Round 3 Data'!$A$10:$A$145,'Round 3 Data'!U$10:U$145,0)+_xlfn.XLOOKUP('Summary Data'!$A158,'Round 4 Data'!$A$10:$A$147,'Round 4 Data'!U$10:U$147,0))</f>
        <v>#VALUE!</v>
      </c>
    </row>
    <row r="159" spans="1:20" ht="16" thickBot="1" x14ac:dyDescent="0.25">
      <c r="A159" s="61" t="s">
        <v>156</v>
      </c>
      <c r="B159" t="s">
        <v>188</v>
      </c>
      <c r="C159" t="s">
        <v>194</v>
      </c>
      <c r="D159" t="e">
        <f>IF(_xlfn.XLOOKUP('Summary Data'!A159,'Round 1 Data'!$A$10:$A$143,'Round 1 Data'!$E$10:$E$144,0)=0,0,1)+IF(_xlfn.XLOOKUP('Summary Data'!A159,'Round 2 Data'!$A$10:$A$146,'Round 2 Data'!$E$10:$E$146,0)=0,0,1)+IF(_xlfn.XLOOKUP('Summary Data'!A159,'Round 3 Data'!$A$10:$A$145,'Round 3 Data'!$E$10:$E$145,0)=0,0,1)+IF(_xlfn.XLOOKUP('Summary Data'!A159,'Round 4 Data'!$A$10:$A$147,'Round 4 Data'!$E$10:$E$147,0)=0,0,1)</f>
        <v>#VALUE!</v>
      </c>
      <c r="E159" s="57" t="e">
        <f>(_xlfn.XLOOKUP('Summary Data'!$A159,'Round 1 Data'!$A$10:$A$143,'Round 1 Data'!E$10:E$144,0)+_xlfn.XLOOKUP('Summary Data'!$A159,'Round 2 Data'!$A$10:$A$146,'Round 2 Data'!E$10:E$146,0)+_xlfn.XLOOKUP('Summary Data'!$A159,'Round 3 Data'!$A$10:$A$145,'Round 3 Data'!E$10:E$145,0)+_xlfn.XLOOKUP('Summary Data'!$A159,'Round 4 Data'!$A$10:$A$147,'Round 4 Data'!E$10:E$147,0))/$D159</f>
        <v>#VALUE!</v>
      </c>
      <c r="F159" s="57" t="e">
        <f>(_xlfn.XLOOKUP('Summary Data'!$A159,'Round 1 Data'!$A$10:$A$143,'Round 1 Data'!F$10:F$144,0)+_xlfn.XLOOKUP('Summary Data'!$A159,'Round 2 Data'!$A$10:$A$146,'Round 2 Data'!F$10:F$146,0)+_xlfn.XLOOKUP('Summary Data'!$A159,'Round 3 Data'!$A$10:$A$145,'Round 3 Data'!F$10:F$145,0)+_xlfn.XLOOKUP('Summary Data'!$A159,'Round 4 Data'!$A$10:$A$147,'Round 4 Data'!F$10:F$147,0))/$D159</f>
        <v>#VALUE!</v>
      </c>
      <c r="G159" s="57" t="e">
        <f>(_xlfn.XLOOKUP('Summary Data'!$A159,'Round 1 Data'!$A$10:$A$143,'Round 1 Data'!G$10:G$144,0)+_xlfn.XLOOKUP('Summary Data'!$A159,'Round 2 Data'!$A$10:$A$146,'Round 2 Data'!G$10:G$146,0)+_xlfn.XLOOKUP('Summary Data'!$A159,'Round 3 Data'!$A$10:$A$145,'Round 3 Data'!G$10:G$145,0)+_xlfn.XLOOKUP('Summary Data'!$A159,'Round 4 Data'!$A$10:$A$147,'Round 4 Data'!G$10:G$147,0))/$D159</f>
        <v>#VALUE!</v>
      </c>
      <c r="H159" s="57" t="e">
        <f>(_xlfn.XLOOKUP('Summary Data'!$A159,'Round 1 Data'!$A$10:$A$143,'Round 1 Data'!H$10:H$144,0)+_xlfn.XLOOKUP('Summary Data'!$A159,'Round 2 Data'!$A$10:$A$146,'Round 2 Data'!H$10:H$146,0)+_xlfn.XLOOKUP('Summary Data'!$A159,'Round 3 Data'!$A$10:$A$145,'Round 3 Data'!H$10:H$145,0)+_xlfn.XLOOKUP('Summary Data'!$A159,'Round 4 Data'!$A$10:$A$147,'Round 4 Data'!H$10:H$147,0))/$D159</f>
        <v>#VALUE!</v>
      </c>
      <c r="I159" s="57" t="e">
        <f>(_xlfn.XLOOKUP('Summary Data'!$A159,'Round 1 Data'!$A$10:$A$143,'Round 1 Data'!I$10:I$144,0)+_xlfn.XLOOKUP('Summary Data'!$A159,'Round 2 Data'!$A$10:$A$146,'Round 2 Data'!I$10:I$146,0)+_xlfn.XLOOKUP('Summary Data'!$A159,'Round 3 Data'!$A$10:$A$145,'Round 3 Data'!I$10:I$145,0)+_xlfn.XLOOKUP('Summary Data'!$A159,'Round 4 Data'!$A$10:$A$147,'Round 4 Data'!I$10:I$147,0))/$D159</f>
        <v>#VALUE!</v>
      </c>
      <c r="J159" s="57" t="e">
        <f>(_xlfn.XLOOKUP('Summary Data'!$A159,'Round 1 Data'!$A$10:$A$143,'Round 1 Data'!J$10:J$144,0)+_xlfn.XLOOKUP('Summary Data'!$A159,'Round 2 Data'!$A$10:$A$146,'Round 2 Data'!J$10:J$146,0)+_xlfn.XLOOKUP('Summary Data'!$A159,'Round 3 Data'!$A$10:$A$145,'Round 3 Data'!J$10:J$145,0)+_xlfn.XLOOKUP('Summary Data'!$A159,'Round 4 Data'!$A$10:$A$147,'Round 4 Data'!J$10:J$147,0))/$D159</f>
        <v>#VALUE!</v>
      </c>
      <c r="K159" s="57" t="e">
        <f>(_xlfn.XLOOKUP('Summary Data'!$A159,'Round 1 Data'!$A$10:$A$143,'Round 1 Data'!K$10:K$144,0)+_xlfn.XLOOKUP('Summary Data'!$A159,'Round 2 Data'!$A$10:$A$146,'Round 2 Data'!K$10:K$146,0)+_xlfn.XLOOKUP('Summary Data'!$A159,'Round 3 Data'!$A$10:$A$145,'Round 3 Data'!K$10:K$145,0)+_xlfn.XLOOKUP('Summary Data'!$A159,'Round 4 Data'!$A$10:$A$147,'Round 4 Data'!K$10:K$147,0))/$D159</f>
        <v>#VALUE!</v>
      </c>
      <c r="L159" s="57" t="e">
        <f>(_xlfn.XLOOKUP('Summary Data'!$A159,'Round 1 Data'!$A$10:$A$143,'Round 1 Data'!L$10:L$144,0)+_xlfn.XLOOKUP('Summary Data'!$A159,'Round 2 Data'!$A$10:$A$146,'Round 2 Data'!L$10:L$146,0)+_xlfn.XLOOKUP('Summary Data'!$A159,'Round 3 Data'!$A$10:$A$145,'Round 3 Data'!L$10:L$145,0)+_xlfn.XLOOKUP('Summary Data'!$A159,'Round 4 Data'!$A$10:$A$147,'Round 4 Data'!L$10:L$147,0))/$D159</f>
        <v>#VALUE!</v>
      </c>
      <c r="M159" s="57" t="e">
        <f>(_xlfn.XLOOKUP('Summary Data'!$A159,'Round 1 Data'!$A$10:$A$143,'Round 1 Data'!M$10:M$144,0)+_xlfn.XLOOKUP('Summary Data'!$A159,'Round 2 Data'!$A$10:$A$146,'Round 2 Data'!M$10:M$146,0)+_xlfn.XLOOKUP('Summary Data'!$A159,'Round 3 Data'!$A$10:$A$145,'Round 3 Data'!M$10:M$145,0)+_xlfn.XLOOKUP('Summary Data'!$A159,'Round 4 Data'!$A$10:$A$147,'Round 4 Data'!M$10:M$147,0))/$D159</f>
        <v>#VALUE!</v>
      </c>
      <c r="N159" s="57" t="e">
        <f>(_xlfn.XLOOKUP('Summary Data'!$A159,'Round 1 Data'!$A$10:$A$143,'Round 1 Data'!N$10:N$144,0)+_xlfn.XLOOKUP('Summary Data'!$A159,'Round 2 Data'!$A$10:$A$146,'Round 2 Data'!N$10:N$146,0)+_xlfn.XLOOKUP('Summary Data'!$A159,'Round 3 Data'!$A$10:$A$145,'Round 3 Data'!N$10:N$145,0)+_xlfn.XLOOKUP('Summary Data'!$A159,'Round 4 Data'!$A$10:$A$147,'Round 4 Data'!N$10:N$147,0))/$D159</f>
        <v>#VALUE!</v>
      </c>
      <c r="O159" s="57" t="e">
        <f>(_xlfn.XLOOKUP('Summary Data'!$A159,'Round 1 Data'!$A$10:$A$143,'Round 1 Data'!O$10:O$144,0)+_xlfn.XLOOKUP('Summary Data'!$A159,'Round 2 Data'!$A$10:$A$146,'Round 2 Data'!O$10:O$146,0)+_xlfn.XLOOKUP('Summary Data'!$A159,'Round 3 Data'!$A$10:$A$145,'Round 3 Data'!O$10:O$145,0)+_xlfn.XLOOKUP('Summary Data'!$A159,'Round 4 Data'!$A$10:$A$147,'Round 4 Data'!O$10:O$147,0))/$D159</f>
        <v>#VALUE!</v>
      </c>
      <c r="P159" s="57" t="e">
        <f>(_xlfn.XLOOKUP('Summary Data'!$A159,'Round 1 Data'!$A$10:$A$143,'Round 1 Data'!P$10:P$144,0)+_xlfn.XLOOKUP('Summary Data'!$A159,'Round 2 Data'!$A$10:$A$146,'Round 2 Data'!P$10:P$146,0)+_xlfn.XLOOKUP('Summary Data'!$A159,'Round 3 Data'!$A$10:$A$145,'Round 3 Data'!P$10:P$145,0)+_xlfn.XLOOKUP('Summary Data'!$A159,'Round 4 Data'!$A$10:$A$147,'Round 4 Data'!P$10:P$147,0))/$D159</f>
        <v>#VALUE!</v>
      </c>
      <c r="Q159" s="57" t="e">
        <f>(_xlfn.XLOOKUP('Summary Data'!$A159,'Round 1 Data'!$A$10:$A$143,'Round 1 Data'!Q$10:Q$144,0)+_xlfn.XLOOKUP('Summary Data'!$A159,'Round 2 Data'!$A$10:$A$146,'Round 2 Data'!Q$10:Q$146,0)+_xlfn.XLOOKUP('Summary Data'!$A159,'Round 3 Data'!$A$10:$A$145,'Round 3 Data'!Q$10:Q$145,0)+_xlfn.XLOOKUP('Summary Data'!$A159,'Round 4 Data'!$A$10:$A$147,'Round 4 Data'!Q$10:Q$147,0))/$D159</f>
        <v>#VALUE!</v>
      </c>
      <c r="R159" s="57" t="e">
        <f>(_xlfn.XLOOKUP('Summary Data'!$A159,'Round 1 Data'!$A$10:$A$143,'Round 1 Data'!R$10:R$144,0)+_xlfn.XLOOKUP('Summary Data'!$A159,'Round 2 Data'!$A$10:$A$146,'Round 2 Data'!R$10:R$146,0)+_xlfn.XLOOKUP('Summary Data'!$A159,'Round 3 Data'!$A$10:$A$145,'Round 3 Data'!R$10:R$145,0)+_xlfn.XLOOKUP('Summary Data'!$A159,'Round 4 Data'!$A$10:$A$147,'Round 4 Data'!R$10:R$147,0))/$D159</f>
        <v>#VALUE!</v>
      </c>
      <c r="S159" s="57" t="e">
        <f>(_xlfn.XLOOKUP('Summary Data'!$A159,'Round 1 Data'!$A$10:$A$143,'Round 1 Data'!S$10:S$144,0)+_xlfn.XLOOKUP('Summary Data'!$A159,'Round 2 Data'!$A$10:$A$146,'Round 2 Data'!S$10:S$146,0)+_xlfn.XLOOKUP('Summary Data'!$A159,'Round 3 Data'!$A$10:$A$145,'Round 3 Data'!S$10:S$145,0)+_xlfn.XLOOKUP('Summary Data'!$A159,'Round 4 Data'!$A$10:$A$147,'Round 4 Data'!S$10:S$147,0))/$D159</f>
        <v>#VALUE!</v>
      </c>
      <c r="T159" s="62" t="e">
        <f>(_xlfn.XLOOKUP('Summary Data'!$A159,'Round 1 Data'!$A$10:$A$143,'Round 1 Data'!U$10:U$144,0)+_xlfn.XLOOKUP('Summary Data'!$A159,'Round 2 Data'!$A$10:$A$146,'Round 2 Data'!U$10:U$146,0)+_xlfn.XLOOKUP('Summary Data'!$A159,'Round 3 Data'!$A$10:$A$145,'Round 3 Data'!U$10:U$145,0)+_xlfn.XLOOKUP('Summary Data'!$A159,'Round 4 Data'!$A$10:$A$147,'Round 4 Data'!U$10:U$147,0))</f>
        <v>#VALUE!</v>
      </c>
    </row>
    <row r="160" spans="1:20" ht="16" thickBot="1" x14ac:dyDescent="0.25">
      <c r="A160" s="63" t="s">
        <v>157</v>
      </c>
      <c r="B160" t="s">
        <v>188</v>
      </c>
      <c r="C160" t="s">
        <v>195</v>
      </c>
      <c r="D160" t="e">
        <f>IF(_xlfn.XLOOKUP('Summary Data'!A160,'Round 1 Data'!$A$10:$A$143,'Round 1 Data'!$E$10:$E$144,0)=0,0,1)+IF(_xlfn.XLOOKUP('Summary Data'!A160,'Round 2 Data'!$A$10:$A$146,'Round 2 Data'!$E$10:$E$146,0)=0,0,1)+IF(_xlfn.XLOOKUP('Summary Data'!A160,'Round 3 Data'!$A$10:$A$145,'Round 3 Data'!$E$10:$E$145,0)=0,0,1)+IF(_xlfn.XLOOKUP('Summary Data'!A160,'Round 4 Data'!$A$10:$A$147,'Round 4 Data'!$E$10:$E$147,0)=0,0,1)</f>
        <v>#VALUE!</v>
      </c>
      <c r="E160" s="57" t="e">
        <f>(_xlfn.XLOOKUP('Summary Data'!$A160,'Round 1 Data'!$A$10:$A$143,'Round 1 Data'!E$10:E$144,0)+_xlfn.XLOOKUP('Summary Data'!$A160,'Round 2 Data'!$A$10:$A$146,'Round 2 Data'!E$10:E$146,0)+_xlfn.XLOOKUP('Summary Data'!$A160,'Round 3 Data'!$A$10:$A$145,'Round 3 Data'!E$10:E$145,0)+_xlfn.XLOOKUP('Summary Data'!$A160,'Round 4 Data'!$A$10:$A$147,'Round 4 Data'!E$10:E$147,0))/$D160</f>
        <v>#VALUE!</v>
      </c>
      <c r="F160" s="57" t="e">
        <f>(_xlfn.XLOOKUP('Summary Data'!$A160,'Round 1 Data'!$A$10:$A$143,'Round 1 Data'!F$10:F$144,0)+_xlfn.XLOOKUP('Summary Data'!$A160,'Round 2 Data'!$A$10:$A$146,'Round 2 Data'!F$10:F$146,0)+_xlfn.XLOOKUP('Summary Data'!$A160,'Round 3 Data'!$A$10:$A$145,'Round 3 Data'!F$10:F$145,0)+_xlfn.XLOOKUP('Summary Data'!$A160,'Round 4 Data'!$A$10:$A$147,'Round 4 Data'!F$10:F$147,0))/$D160</f>
        <v>#VALUE!</v>
      </c>
      <c r="G160" s="57" t="e">
        <f>(_xlfn.XLOOKUP('Summary Data'!$A160,'Round 1 Data'!$A$10:$A$143,'Round 1 Data'!G$10:G$144,0)+_xlfn.XLOOKUP('Summary Data'!$A160,'Round 2 Data'!$A$10:$A$146,'Round 2 Data'!G$10:G$146,0)+_xlfn.XLOOKUP('Summary Data'!$A160,'Round 3 Data'!$A$10:$A$145,'Round 3 Data'!G$10:G$145,0)+_xlfn.XLOOKUP('Summary Data'!$A160,'Round 4 Data'!$A$10:$A$147,'Round 4 Data'!G$10:G$147,0))/$D160</f>
        <v>#VALUE!</v>
      </c>
      <c r="H160" s="57" t="e">
        <f>(_xlfn.XLOOKUP('Summary Data'!$A160,'Round 1 Data'!$A$10:$A$143,'Round 1 Data'!H$10:H$144,0)+_xlfn.XLOOKUP('Summary Data'!$A160,'Round 2 Data'!$A$10:$A$146,'Round 2 Data'!H$10:H$146,0)+_xlfn.XLOOKUP('Summary Data'!$A160,'Round 3 Data'!$A$10:$A$145,'Round 3 Data'!H$10:H$145,0)+_xlfn.XLOOKUP('Summary Data'!$A160,'Round 4 Data'!$A$10:$A$147,'Round 4 Data'!H$10:H$147,0))/$D160</f>
        <v>#VALUE!</v>
      </c>
      <c r="I160" s="57" t="e">
        <f>(_xlfn.XLOOKUP('Summary Data'!$A160,'Round 1 Data'!$A$10:$A$143,'Round 1 Data'!I$10:I$144,0)+_xlfn.XLOOKUP('Summary Data'!$A160,'Round 2 Data'!$A$10:$A$146,'Round 2 Data'!I$10:I$146,0)+_xlfn.XLOOKUP('Summary Data'!$A160,'Round 3 Data'!$A$10:$A$145,'Round 3 Data'!I$10:I$145,0)+_xlfn.XLOOKUP('Summary Data'!$A160,'Round 4 Data'!$A$10:$A$147,'Round 4 Data'!I$10:I$147,0))/$D160</f>
        <v>#VALUE!</v>
      </c>
      <c r="J160" s="57" t="e">
        <f>(_xlfn.XLOOKUP('Summary Data'!$A160,'Round 1 Data'!$A$10:$A$143,'Round 1 Data'!J$10:J$144,0)+_xlfn.XLOOKUP('Summary Data'!$A160,'Round 2 Data'!$A$10:$A$146,'Round 2 Data'!J$10:J$146,0)+_xlfn.XLOOKUP('Summary Data'!$A160,'Round 3 Data'!$A$10:$A$145,'Round 3 Data'!J$10:J$145,0)+_xlfn.XLOOKUP('Summary Data'!$A160,'Round 4 Data'!$A$10:$A$147,'Round 4 Data'!J$10:J$147,0))/$D160</f>
        <v>#VALUE!</v>
      </c>
      <c r="K160" s="57" t="e">
        <f>(_xlfn.XLOOKUP('Summary Data'!$A160,'Round 1 Data'!$A$10:$A$143,'Round 1 Data'!K$10:K$144,0)+_xlfn.XLOOKUP('Summary Data'!$A160,'Round 2 Data'!$A$10:$A$146,'Round 2 Data'!K$10:K$146,0)+_xlfn.XLOOKUP('Summary Data'!$A160,'Round 3 Data'!$A$10:$A$145,'Round 3 Data'!K$10:K$145,0)+_xlfn.XLOOKUP('Summary Data'!$A160,'Round 4 Data'!$A$10:$A$147,'Round 4 Data'!K$10:K$147,0))/$D160</f>
        <v>#VALUE!</v>
      </c>
      <c r="L160" s="57" t="e">
        <f>(_xlfn.XLOOKUP('Summary Data'!$A160,'Round 1 Data'!$A$10:$A$143,'Round 1 Data'!L$10:L$144,0)+_xlfn.XLOOKUP('Summary Data'!$A160,'Round 2 Data'!$A$10:$A$146,'Round 2 Data'!L$10:L$146,0)+_xlfn.XLOOKUP('Summary Data'!$A160,'Round 3 Data'!$A$10:$A$145,'Round 3 Data'!L$10:L$145,0)+_xlfn.XLOOKUP('Summary Data'!$A160,'Round 4 Data'!$A$10:$A$147,'Round 4 Data'!L$10:L$147,0))/$D160</f>
        <v>#VALUE!</v>
      </c>
      <c r="M160" s="57" t="e">
        <f>(_xlfn.XLOOKUP('Summary Data'!$A160,'Round 1 Data'!$A$10:$A$143,'Round 1 Data'!M$10:M$144,0)+_xlfn.XLOOKUP('Summary Data'!$A160,'Round 2 Data'!$A$10:$A$146,'Round 2 Data'!M$10:M$146,0)+_xlfn.XLOOKUP('Summary Data'!$A160,'Round 3 Data'!$A$10:$A$145,'Round 3 Data'!M$10:M$145,0)+_xlfn.XLOOKUP('Summary Data'!$A160,'Round 4 Data'!$A$10:$A$147,'Round 4 Data'!M$10:M$147,0))/$D160</f>
        <v>#VALUE!</v>
      </c>
      <c r="N160" s="57" t="e">
        <f>(_xlfn.XLOOKUP('Summary Data'!$A160,'Round 1 Data'!$A$10:$A$143,'Round 1 Data'!N$10:N$144,0)+_xlfn.XLOOKUP('Summary Data'!$A160,'Round 2 Data'!$A$10:$A$146,'Round 2 Data'!N$10:N$146,0)+_xlfn.XLOOKUP('Summary Data'!$A160,'Round 3 Data'!$A$10:$A$145,'Round 3 Data'!N$10:N$145,0)+_xlfn.XLOOKUP('Summary Data'!$A160,'Round 4 Data'!$A$10:$A$147,'Round 4 Data'!N$10:N$147,0))/$D160</f>
        <v>#VALUE!</v>
      </c>
      <c r="O160" s="57" t="e">
        <f>(_xlfn.XLOOKUP('Summary Data'!$A160,'Round 1 Data'!$A$10:$A$143,'Round 1 Data'!O$10:O$144,0)+_xlfn.XLOOKUP('Summary Data'!$A160,'Round 2 Data'!$A$10:$A$146,'Round 2 Data'!O$10:O$146,0)+_xlfn.XLOOKUP('Summary Data'!$A160,'Round 3 Data'!$A$10:$A$145,'Round 3 Data'!O$10:O$145,0)+_xlfn.XLOOKUP('Summary Data'!$A160,'Round 4 Data'!$A$10:$A$147,'Round 4 Data'!O$10:O$147,0))/$D160</f>
        <v>#VALUE!</v>
      </c>
      <c r="P160" s="57" t="e">
        <f>(_xlfn.XLOOKUP('Summary Data'!$A160,'Round 1 Data'!$A$10:$A$143,'Round 1 Data'!P$10:P$144,0)+_xlfn.XLOOKUP('Summary Data'!$A160,'Round 2 Data'!$A$10:$A$146,'Round 2 Data'!P$10:P$146,0)+_xlfn.XLOOKUP('Summary Data'!$A160,'Round 3 Data'!$A$10:$A$145,'Round 3 Data'!P$10:P$145,0)+_xlfn.XLOOKUP('Summary Data'!$A160,'Round 4 Data'!$A$10:$A$147,'Round 4 Data'!P$10:P$147,0))/$D160</f>
        <v>#VALUE!</v>
      </c>
      <c r="Q160" s="57" t="e">
        <f>(_xlfn.XLOOKUP('Summary Data'!$A160,'Round 1 Data'!$A$10:$A$143,'Round 1 Data'!Q$10:Q$144,0)+_xlfn.XLOOKUP('Summary Data'!$A160,'Round 2 Data'!$A$10:$A$146,'Round 2 Data'!Q$10:Q$146,0)+_xlfn.XLOOKUP('Summary Data'!$A160,'Round 3 Data'!$A$10:$A$145,'Round 3 Data'!Q$10:Q$145,0)+_xlfn.XLOOKUP('Summary Data'!$A160,'Round 4 Data'!$A$10:$A$147,'Round 4 Data'!Q$10:Q$147,0))/$D160</f>
        <v>#VALUE!</v>
      </c>
      <c r="R160" s="57" t="e">
        <f>(_xlfn.XLOOKUP('Summary Data'!$A160,'Round 1 Data'!$A$10:$A$143,'Round 1 Data'!R$10:R$144,0)+_xlfn.XLOOKUP('Summary Data'!$A160,'Round 2 Data'!$A$10:$A$146,'Round 2 Data'!R$10:R$146,0)+_xlfn.XLOOKUP('Summary Data'!$A160,'Round 3 Data'!$A$10:$A$145,'Round 3 Data'!R$10:R$145,0)+_xlfn.XLOOKUP('Summary Data'!$A160,'Round 4 Data'!$A$10:$A$147,'Round 4 Data'!R$10:R$147,0))/$D160</f>
        <v>#VALUE!</v>
      </c>
      <c r="S160" s="57" t="e">
        <f>(_xlfn.XLOOKUP('Summary Data'!$A160,'Round 1 Data'!$A$10:$A$143,'Round 1 Data'!S$10:S$144,0)+_xlfn.XLOOKUP('Summary Data'!$A160,'Round 2 Data'!$A$10:$A$146,'Round 2 Data'!S$10:S$146,0)+_xlfn.XLOOKUP('Summary Data'!$A160,'Round 3 Data'!$A$10:$A$145,'Round 3 Data'!S$10:S$145,0)+_xlfn.XLOOKUP('Summary Data'!$A160,'Round 4 Data'!$A$10:$A$147,'Round 4 Data'!S$10:S$147,0))/$D160</f>
        <v>#VALUE!</v>
      </c>
      <c r="T160" s="62" t="e">
        <f>(_xlfn.XLOOKUP('Summary Data'!$A160,'Round 1 Data'!$A$10:$A$143,'Round 1 Data'!U$10:U$144,0)+_xlfn.XLOOKUP('Summary Data'!$A160,'Round 2 Data'!$A$10:$A$146,'Round 2 Data'!U$10:U$146,0)+_xlfn.XLOOKUP('Summary Data'!$A160,'Round 3 Data'!$A$10:$A$145,'Round 3 Data'!U$10:U$145,0)+_xlfn.XLOOKUP('Summary Data'!$A160,'Round 4 Data'!$A$10:$A$147,'Round 4 Data'!U$10:U$147,0))</f>
        <v>#VALUE!</v>
      </c>
    </row>
    <row r="161" spans="1:20" ht="16" thickBot="1" x14ac:dyDescent="0.25">
      <c r="A161" s="65" t="s">
        <v>158</v>
      </c>
      <c r="B161" t="s">
        <v>188</v>
      </c>
      <c r="C161" t="s">
        <v>195</v>
      </c>
      <c r="D161" t="e">
        <f>IF(_xlfn.XLOOKUP('Summary Data'!A161,'Round 1 Data'!$A$10:$A$143,'Round 1 Data'!$E$10:$E$144,0)=0,0,1)+IF(_xlfn.XLOOKUP('Summary Data'!A161,'Round 2 Data'!$A$10:$A$146,'Round 2 Data'!$E$10:$E$146,0)=0,0,1)+IF(_xlfn.XLOOKUP('Summary Data'!A161,'Round 3 Data'!$A$10:$A$145,'Round 3 Data'!$E$10:$E$145,0)=0,0,1)+IF(_xlfn.XLOOKUP('Summary Data'!A161,'Round 4 Data'!$A$10:$A$147,'Round 4 Data'!$E$10:$E$147,0)=0,0,1)</f>
        <v>#VALUE!</v>
      </c>
      <c r="E161" s="57" t="e">
        <f>(_xlfn.XLOOKUP('Summary Data'!$A161,'Round 1 Data'!$A$10:$A$143,'Round 1 Data'!E$10:E$144,0)+_xlfn.XLOOKUP('Summary Data'!$A161,'Round 2 Data'!$A$10:$A$146,'Round 2 Data'!E$10:E$146,0)+_xlfn.XLOOKUP('Summary Data'!$A161,'Round 3 Data'!$A$10:$A$145,'Round 3 Data'!E$10:E$145,0)+_xlfn.XLOOKUP('Summary Data'!$A161,'Round 4 Data'!$A$10:$A$147,'Round 4 Data'!E$10:E$147,0))/$D161</f>
        <v>#VALUE!</v>
      </c>
      <c r="F161" s="57" t="e">
        <f>(_xlfn.XLOOKUP('Summary Data'!$A161,'Round 1 Data'!$A$10:$A$143,'Round 1 Data'!F$10:F$144,0)+_xlfn.XLOOKUP('Summary Data'!$A161,'Round 2 Data'!$A$10:$A$146,'Round 2 Data'!F$10:F$146,0)+_xlfn.XLOOKUP('Summary Data'!$A161,'Round 3 Data'!$A$10:$A$145,'Round 3 Data'!F$10:F$145,0)+_xlfn.XLOOKUP('Summary Data'!$A161,'Round 4 Data'!$A$10:$A$147,'Round 4 Data'!F$10:F$147,0))/$D161</f>
        <v>#VALUE!</v>
      </c>
      <c r="G161" s="57" t="e">
        <f>(_xlfn.XLOOKUP('Summary Data'!$A161,'Round 1 Data'!$A$10:$A$143,'Round 1 Data'!G$10:G$144,0)+_xlfn.XLOOKUP('Summary Data'!$A161,'Round 2 Data'!$A$10:$A$146,'Round 2 Data'!G$10:G$146,0)+_xlfn.XLOOKUP('Summary Data'!$A161,'Round 3 Data'!$A$10:$A$145,'Round 3 Data'!G$10:G$145,0)+_xlfn.XLOOKUP('Summary Data'!$A161,'Round 4 Data'!$A$10:$A$147,'Round 4 Data'!G$10:G$147,0))/$D161</f>
        <v>#VALUE!</v>
      </c>
      <c r="H161" s="57" t="e">
        <f>(_xlfn.XLOOKUP('Summary Data'!$A161,'Round 1 Data'!$A$10:$A$143,'Round 1 Data'!H$10:H$144,0)+_xlfn.XLOOKUP('Summary Data'!$A161,'Round 2 Data'!$A$10:$A$146,'Round 2 Data'!H$10:H$146,0)+_xlfn.XLOOKUP('Summary Data'!$A161,'Round 3 Data'!$A$10:$A$145,'Round 3 Data'!H$10:H$145,0)+_xlfn.XLOOKUP('Summary Data'!$A161,'Round 4 Data'!$A$10:$A$147,'Round 4 Data'!H$10:H$147,0))/$D161</f>
        <v>#VALUE!</v>
      </c>
      <c r="I161" s="57" t="e">
        <f>(_xlfn.XLOOKUP('Summary Data'!$A161,'Round 1 Data'!$A$10:$A$143,'Round 1 Data'!I$10:I$144,0)+_xlfn.XLOOKUP('Summary Data'!$A161,'Round 2 Data'!$A$10:$A$146,'Round 2 Data'!I$10:I$146,0)+_xlfn.XLOOKUP('Summary Data'!$A161,'Round 3 Data'!$A$10:$A$145,'Round 3 Data'!I$10:I$145,0)+_xlfn.XLOOKUP('Summary Data'!$A161,'Round 4 Data'!$A$10:$A$147,'Round 4 Data'!I$10:I$147,0))/$D161</f>
        <v>#VALUE!</v>
      </c>
      <c r="J161" s="57" t="e">
        <f>(_xlfn.XLOOKUP('Summary Data'!$A161,'Round 1 Data'!$A$10:$A$143,'Round 1 Data'!J$10:J$144,0)+_xlfn.XLOOKUP('Summary Data'!$A161,'Round 2 Data'!$A$10:$A$146,'Round 2 Data'!J$10:J$146,0)+_xlfn.XLOOKUP('Summary Data'!$A161,'Round 3 Data'!$A$10:$A$145,'Round 3 Data'!J$10:J$145,0)+_xlfn.XLOOKUP('Summary Data'!$A161,'Round 4 Data'!$A$10:$A$147,'Round 4 Data'!J$10:J$147,0))/$D161</f>
        <v>#VALUE!</v>
      </c>
      <c r="K161" s="57" t="e">
        <f>(_xlfn.XLOOKUP('Summary Data'!$A161,'Round 1 Data'!$A$10:$A$143,'Round 1 Data'!K$10:K$144,0)+_xlfn.XLOOKUP('Summary Data'!$A161,'Round 2 Data'!$A$10:$A$146,'Round 2 Data'!K$10:K$146,0)+_xlfn.XLOOKUP('Summary Data'!$A161,'Round 3 Data'!$A$10:$A$145,'Round 3 Data'!K$10:K$145,0)+_xlfn.XLOOKUP('Summary Data'!$A161,'Round 4 Data'!$A$10:$A$147,'Round 4 Data'!K$10:K$147,0))/$D161</f>
        <v>#VALUE!</v>
      </c>
      <c r="L161" s="57" t="e">
        <f>(_xlfn.XLOOKUP('Summary Data'!$A161,'Round 1 Data'!$A$10:$A$143,'Round 1 Data'!L$10:L$144,0)+_xlfn.XLOOKUP('Summary Data'!$A161,'Round 2 Data'!$A$10:$A$146,'Round 2 Data'!L$10:L$146,0)+_xlfn.XLOOKUP('Summary Data'!$A161,'Round 3 Data'!$A$10:$A$145,'Round 3 Data'!L$10:L$145,0)+_xlfn.XLOOKUP('Summary Data'!$A161,'Round 4 Data'!$A$10:$A$147,'Round 4 Data'!L$10:L$147,0))/$D161</f>
        <v>#VALUE!</v>
      </c>
      <c r="M161" s="57" t="e">
        <f>(_xlfn.XLOOKUP('Summary Data'!$A161,'Round 1 Data'!$A$10:$A$143,'Round 1 Data'!M$10:M$144,0)+_xlfn.XLOOKUP('Summary Data'!$A161,'Round 2 Data'!$A$10:$A$146,'Round 2 Data'!M$10:M$146,0)+_xlfn.XLOOKUP('Summary Data'!$A161,'Round 3 Data'!$A$10:$A$145,'Round 3 Data'!M$10:M$145,0)+_xlfn.XLOOKUP('Summary Data'!$A161,'Round 4 Data'!$A$10:$A$147,'Round 4 Data'!M$10:M$147,0))/$D161</f>
        <v>#VALUE!</v>
      </c>
      <c r="N161" s="57" t="e">
        <f>(_xlfn.XLOOKUP('Summary Data'!$A161,'Round 1 Data'!$A$10:$A$143,'Round 1 Data'!N$10:N$144,0)+_xlfn.XLOOKUP('Summary Data'!$A161,'Round 2 Data'!$A$10:$A$146,'Round 2 Data'!N$10:N$146,0)+_xlfn.XLOOKUP('Summary Data'!$A161,'Round 3 Data'!$A$10:$A$145,'Round 3 Data'!N$10:N$145,0)+_xlfn.XLOOKUP('Summary Data'!$A161,'Round 4 Data'!$A$10:$A$147,'Round 4 Data'!N$10:N$147,0))/$D161</f>
        <v>#VALUE!</v>
      </c>
      <c r="O161" s="57" t="e">
        <f>(_xlfn.XLOOKUP('Summary Data'!$A161,'Round 1 Data'!$A$10:$A$143,'Round 1 Data'!O$10:O$144,0)+_xlfn.XLOOKUP('Summary Data'!$A161,'Round 2 Data'!$A$10:$A$146,'Round 2 Data'!O$10:O$146,0)+_xlfn.XLOOKUP('Summary Data'!$A161,'Round 3 Data'!$A$10:$A$145,'Round 3 Data'!O$10:O$145,0)+_xlfn.XLOOKUP('Summary Data'!$A161,'Round 4 Data'!$A$10:$A$147,'Round 4 Data'!O$10:O$147,0))/$D161</f>
        <v>#VALUE!</v>
      </c>
      <c r="P161" s="57" t="e">
        <f>(_xlfn.XLOOKUP('Summary Data'!$A161,'Round 1 Data'!$A$10:$A$143,'Round 1 Data'!P$10:P$144,0)+_xlfn.XLOOKUP('Summary Data'!$A161,'Round 2 Data'!$A$10:$A$146,'Round 2 Data'!P$10:P$146,0)+_xlfn.XLOOKUP('Summary Data'!$A161,'Round 3 Data'!$A$10:$A$145,'Round 3 Data'!P$10:P$145,0)+_xlfn.XLOOKUP('Summary Data'!$A161,'Round 4 Data'!$A$10:$A$147,'Round 4 Data'!P$10:P$147,0))/$D161</f>
        <v>#VALUE!</v>
      </c>
      <c r="Q161" s="57" t="e">
        <f>(_xlfn.XLOOKUP('Summary Data'!$A161,'Round 1 Data'!$A$10:$A$143,'Round 1 Data'!Q$10:Q$144,0)+_xlfn.XLOOKUP('Summary Data'!$A161,'Round 2 Data'!$A$10:$A$146,'Round 2 Data'!Q$10:Q$146,0)+_xlfn.XLOOKUP('Summary Data'!$A161,'Round 3 Data'!$A$10:$A$145,'Round 3 Data'!Q$10:Q$145,0)+_xlfn.XLOOKUP('Summary Data'!$A161,'Round 4 Data'!$A$10:$A$147,'Round 4 Data'!Q$10:Q$147,0))/$D161</f>
        <v>#VALUE!</v>
      </c>
      <c r="R161" s="57" t="e">
        <f>(_xlfn.XLOOKUP('Summary Data'!$A161,'Round 1 Data'!$A$10:$A$143,'Round 1 Data'!R$10:R$144,0)+_xlfn.XLOOKUP('Summary Data'!$A161,'Round 2 Data'!$A$10:$A$146,'Round 2 Data'!R$10:R$146,0)+_xlfn.XLOOKUP('Summary Data'!$A161,'Round 3 Data'!$A$10:$A$145,'Round 3 Data'!R$10:R$145,0)+_xlfn.XLOOKUP('Summary Data'!$A161,'Round 4 Data'!$A$10:$A$147,'Round 4 Data'!R$10:R$147,0))/$D161</f>
        <v>#VALUE!</v>
      </c>
      <c r="S161" s="57" t="e">
        <f>(_xlfn.XLOOKUP('Summary Data'!$A161,'Round 1 Data'!$A$10:$A$143,'Round 1 Data'!S$10:S$144,0)+_xlfn.XLOOKUP('Summary Data'!$A161,'Round 2 Data'!$A$10:$A$146,'Round 2 Data'!S$10:S$146,0)+_xlfn.XLOOKUP('Summary Data'!$A161,'Round 3 Data'!$A$10:$A$145,'Round 3 Data'!S$10:S$145,0)+_xlfn.XLOOKUP('Summary Data'!$A161,'Round 4 Data'!$A$10:$A$147,'Round 4 Data'!S$10:S$147,0))/$D161</f>
        <v>#VALUE!</v>
      </c>
      <c r="T161" s="62" t="e">
        <f>(_xlfn.XLOOKUP('Summary Data'!$A161,'Round 1 Data'!$A$10:$A$143,'Round 1 Data'!U$10:U$144,0)+_xlfn.XLOOKUP('Summary Data'!$A161,'Round 2 Data'!$A$10:$A$146,'Round 2 Data'!U$10:U$146,0)+_xlfn.XLOOKUP('Summary Data'!$A161,'Round 3 Data'!$A$10:$A$145,'Round 3 Data'!U$10:U$145,0)+_xlfn.XLOOKUP('Summary Data'!$A161,'Round 4 Data'!$A$10:$A$147,'Round 4 Data'!U$10:U$147,0))</f>
        <v>#VALUE!</v>
      </c>
    </row>
    <row r="162" spans="1:20" ht="16" thickBot="1" x14ac:dyDescent="0.25">
      <c r="A162" s="61" t="s">
        <v>160</v>
      </c>
      <c r="B162" t="s">
        <v>188</v>
      </c>
      <c r="C162" t="s">
        <v>197</v>
      </c>
      <c r="D162" t="e">
        <f>IF(_xlfn.XLOOKUP('Summary Data'!A162,'Round 1 Data'!$A$10:$A$143,'Round 1 Data'!$E$10:$E$144,0)=0,0,1)+IF(_xlfn.XLOOKUP('Summary Data'!A162,'Round 2 Data'!$A$10:$A$146,'Round 2 Data'!$E$10:$E$146,0)=0,0,1)+IF(_xlfn.XLOOKUP('Summary Data'!A162,'Round 3 Data'!$A$10:$A$145,'Round 3 Data'!$E$10:$E$145,0)=0,0,1)+IF(_xlfn.XLOOKUP('Summary Data'!A162,'Round 4 Data'!$A$10:$A$147,'Round 4 Data'!$E$10:$E$147,0)=0,0,1)</f>
        <v>#VALUE!</v>
      </c>
      <c r="E162" s="57" t="e">
        <f>(_xlfn.XLOOKUP('Summary Data'!$A162,'Round 1 Data'!$A$10:$A$143,'Round 1 Data'!E$10:E$144,0)+_xlfn.XLOOKUP('Summary Data'!$A162,'Round 2 Data'!$A$10:$A$146,'Round 2 Data'!E$10:E$146,0)+_xlfn.XLOOKUP('Summary Data'!$A162,'Round 3 Data'!$A$10:$A$145,'Round 3 Data'!E$10:E$145,0)+_xlfn.XLOOKUP('Summary Data'!$A162,'Round 4 Data'!$A$10:$A$147,'Round 4 Data'!E$10:E$147,0))/$D162</f>
        <v>#VALUE!</v>
      </c>
      <c r="F162" s="57" t="e">
        <f>(_xlfn.XLOOKUP('Summary Data'!$A162,'Round 1 Data'!$A$10:$A$143,'Round 1 Data'!F$10:F$144,0)+_xlfn.XLOOKUP('Summary Data'!$A162,'Round 2 Data'!$A$10:$A$146,'Round 2 Data'!F$10:F$146,0)+_xlfn.XLOOKUP('Summary Data'!$A162,'Round 3 Data'!$A$10:$A$145,'Round 3 Data'!F$10:F$145,0)+_xlfn.XLOOKUP('Summary Data'!$A162,'Round 4 Data'!$A$10:$A$147,'Round 4 Data'!F$10:F$147,0))/$D162</f>
        <v>#VALUE!</v>
      </c>
      <c r="G162" s="57" t="e">
        <f>(_xlfn.XLOOKUP('Summary Data'!$A162,'Round 1 Data'!$A$10:$A$143,'Round 1 Data'!G$10:G$144,0)+_xlfn.XLOOKUP('Summary Data'!$A162,'Round 2 Data'!$A$10:$A$146,'Round 2 Data'!G$10:G$146,0)+_xlfn.XLOOKUP('Summary Data'!$A162,'Round 3 Data'!$A$10:$A$145,'Round 3 Data'!G$10:G$145,0)+_xlfn.XLOOKUP('Summary Data'!$A162,'Round 4 Data'!$A$10:$A$147,'Round 4 Data'!G$10:G$147,0))/$D162</f>
        <v>#VALUE!</v>
      </c>
      <c r="H162" s="57" t="e">
        <f>(_xlfn.XLOOKUP('Summary Data'!$A162,'Round 1 Data'!$A$10:$A$143,'Round 1 Data'!H$10:H$144,0)+_xlfn.XLOOKUP('Summary Data'!$A162,'Round 2 Data'!$A$10:$A$146,'Round 2 Data'!H$10:H$146,0)+_xlfn.XLOOKUP('Summary Data'!$A162,'Round 3 Data'!$A$10:$A$145,'Round 3 Data'!H$10:H$145,0)+_xlfn.XLOOKUP('Summary Data'!$A162,'Round 4 Data'!$A$10:$A$147,'Round 4 Data'!H$10:H$147,0))/$D162</f>
        <v>#VALUE!</v>
      </c>
      <c r="I162" s="57" t="e">
        <f>(_xlfn.XLOOKUP('Summary Data'!$A162,'Round 1 Data'!$A$10:$A$143,'Round 1 Data'!I$10:I$144,0)+_xlfn.XLOOKUP('Summary Data'!$A162,'Round 2 Data'!$A$10:$A$146,'Round 2 Data'!I$10:I$146,0)+_xlfn.XLOOKUP('Summary Data'!$A162,'Round 3 Data'!$A$10:$A$145,'Round 3 Data'!I$10:I$145,0)+_xlfn.XLOOKUP('Summary Data'!$A162,'Round 4 Data'!$A$10:$A$147,'Round 4 Data'!I$10:I$147,0))/$D162</f>
        <v>#VALUE!</v>
      </c>
      <c r="J162" s="57" t="e">
        <f>(_xlfn.XLOOKUP('Summary Data'!$A162,'Round 1 Data'!$A$10:$A$143,'Round 1 Data'!J$10:J$144,0)+_xlfn.XLOOKUP('Summary Data'!$A162,'Round 2 Data'!$A$10:$A$146,'Round 2 Data'!J$10:J$146,0)+_xlfn.XLOOKUP('Summary Data'!$A162,'Round 3 Data'!$A$10:$A$145,'Round 3 Data'!J$10:J$145,0)+_xlfn.XLOOKUP('Summary Data'!$A162,'Round 4 Data'!$A$10:$A$147,'Round 4 Data'!J$10:J$147,0))/$D162</f>
        <v>#VALUE!</v>
      </c>
      <c r="K162" s="57" t="e">
        <f>(_xlfn.XLOOKUP('Summary Data'!$A162,'Round 1 Data'!$A$10:$A$143,'Round 1 Data'!K$10:K$144,0)+_xlfn.XLOOKUP('Summary Data'!$A162,'Round 2 Data'!$A$10:$A$146,'Round 2 Data'!K$10:K$146,0)+_xlfn.XLOOKUP('Summary Data'!$A162,'Round 3 Data'!$A$10:$A$145,'Round 3 Data'!K$10:K$145,0)+_xlfn.XLOOKUP('Summary Data'!$A162,'Round 4 Data'!$A$10:$A$147,'Round 4 Data'!K$10:K$147,0))/$D162</f>
        <v>#VALUE!</v>
      </c>
      <c r="L162" s="57" t="e">
        <f>(_xlfn.XLOOKUP('Summary Data'!$A162,'Round 1 Data'!$A$10:$A$143,'Round 1 Data'!L$10:L$144,0)+_xlfn.XLOOKUP('Summary Data'!$A162,'Round 2 Data'!$A$10:$A$146,'Round 2 Data'!L$10:L$146,0)+_xlfn.XLOOKUP('Summary Data'!$A162,'Round 3 Data'!$A$10:$A$145,'Round 3 Data'!L$10:L$145,0)+_xlfn.XLOOKUP('Summary Data'!$A162,'Round 4 Data'!$A$10:$A$147,'Round 4 Data'!L$10:L$147,0))/$D162</f>
        <v>#VALUE!</v>
      </c>
      <c r="M162" s="57" t="e">
        <f>(_xlfn.XLOOKUP('Summary Data'!$A162,'Round 1 Data'!$A$10:$A$143,'Round 1 Data'!M$10:M$144,0)+_xlfn.XLOOKUP('Summary Data'!$A162,'Round 2 Data'!$A$10:$A$146,'Round 2 Data'!M$10:M$146,0)+_xlfn.XLOOKUP('Summary Data'!$A162,'Round 3 Data'!$A$10:$A$145,'Round 3 Data'!M$10:M$145,0)+_xlfn.XLOOKUP('Summary Data'!$A162,'Round 4 Data'!$A$10:$A$147,'Round 4 Data'!M$10:M$147,0))/$D162</f>
        <v>#VALUE!</v>
      </c>
      <c r="N162" s="57" t="e">
        <f>(_xlfn.XLOOKUP('Summary Data'!$A162,'Round 1 Data'!$A$10:$A$143,'Round 1 Data'!N$10:N$144,0)+_xlfn.XLOOKUP('Summary Data'!$A162,'Round 2 Data'!$A$10:$A$146,'Round 2 Data'!N$10:N$146,0)+_xlfn.XLOOKUP('Summary Data'!$A162,'Round 3 Data'!$A$10:$A$145,'Round 3 Data'!N$10:N$145,0)+_xlfn.XLOOKUP('Summary Data'!$A162,'Round 4 Data'!$A$10:$A$147,'Round 4 Data'!N$10:N$147,0))/$D162</f>
        <v>#VALUE!</v>
      </c>
      <c r="O162" s="57" t="e">
        <f>(_xlfn.XLOOKUP('Summary Data'!$A162,'Round 1 Data'!$A$10:$A$143,'Round 1 Data'!O$10:O$144,0)+_xlfn.XLOOKUP('Summary Data'!$A162,'Round 2 Data'!$A$10:$A$146,'Round 2 Data'!O$10:O$146,0)+_xlfn.XLOOKUP('Summary Data'!$A162,'Round 3 Data'!$A$10:$A$145,'Round 3 Data'!O$10:O$145,0)+_xlfn.XLOOKUP('Summary Data'!$A162,'Round 4 Data'!$A$10:$A$147,'Round 4 Data'!O$10:O$147,0))/$D162</f>
        <v>#VALUE!</v>
      </c>
      <c r="P162" s="57" t="e">
        <f>(_xlfn.XLOOKUP('Summary Data'!$A162,'Round 1 Data'!$A$10:$A$143,'Round 1 Data'!P$10:P$144,0)+_xlfn.XLOOKUP('Summary Data'!$A162,'Round 2 Data'!$A$10:$A$146,'Round 2 Data'!P$10:P$146,0)+_xlfn.XLOOKUP('Summary Data'!$A162,'Round 3 Data'!$A$10:$A$145,'Round 3 Data'!P$10:P$145,0)+_xlfn.XLOOKUP('Summary Data'!$A162,'Round 4 Data'!$A$10:$A$147,'Round 4 Data'!P$10:P$147,0))/$D162</f>
        <v>#VALUE!</v>
      </c>
      <c r="Q162" s="57" t="e">
        <f>(_xlfn.XLOOKUP('Summary Data'!$A162,'Round 1 Data'!$A$10:$A$143,'Round 1 Data'!Q$10:Q$144,0)+_xlfn.XLOOKUP('Summary Data'!$A162,'Round 2 Data'!$A$10:$A$146,'Round 2 Data'!Q$10:Q$146,0)+_xlfn.XLOOKUP('Summary Data'!$A162,'Round 3 Data'!$A$10:$A$145,'Round 3 Data'!Q$10:Q$145,0)+_xlfn.XLOOKUP('Summary Data'!$A162,'Round 4 Data'!$A$10:$A$147,'Round 4 Data'!Q$10:Q$147,0))/$D162</f>
        <v>#VALUE!</v>
      </c>
      <c r="R162" s="57" t="e">
        <f>(_xlfn.XLOOKUP('Summary Data'!$A162,'Round 1 Data'!$A$10:$A$143,'Round 1 Data'!R$10:R$144,0)+_xlfn.XLOOKUP('Summary Data'!$A162,'Round 2 Data'!$A$10:$A$146,'Round 2 Data'!R$10:R$146,0)+_xlfn.XLOOKUP('Summary Data'!$A162,'Round 3 Data'!$A$10:$A$145,'Round 3 Data'!R$10:R$145,0)+_xlfn.XLOOKUP('Summary Data'!$A162,'Round 4 Data'!$A$10:$A$147,'Round 4 Data'!R$10:R$147,0))/$D162</f>
        <v>#VALUE!</v>
      </c>
      <c r="S162" s="57" t="e">
        <f>(_xlfn.XLOOKUP('Summary Data'!$A162,'Round 1 Data'!$A$10:$A$143,'Round 1 Data'!S$10:S$144,0)+_xlfn.XLOOKUP('Summary Data'!$A162,'Round 2 Data'!$A$10:$A$146,'Round 2 Data'!S$10:S$146,0)+_xlfn.XLOOKUP('Summary Data'!$A162,'Round 3 Data'!$A$10:$A$145,'Round 3 Data'!S$10:S$145,0)+_xlfn.XLOOKUP('Summary Data'!$A162,'Round 4 Data'!$A$10:$A$147,'Round 4 Data'!S$10:S$147,0))/$D162</f>
        <v>#VALUE!</v>
      </c>
      <c r="T162" s="62" t="e">
        <f>(_xlfn.XLOOKUP('Summary Data'!$A162,'Round 1 Data'!$A$10:$A$143,'Round 1 Data'!U$10:U$144,0)+_xlfn.XLOOKUP('Summary Data'!$A162,'Round 2 Data'!$A$10:$A$146,'Round 2 Data'!U$10:U$146,0)+_xlfn.XLOOKUP('Summary Data'!$A162,'Round 3 Data'!$A$10:$A$145,'Round 3 Data'!U$10:U$145,0)+_xlfn.XLOOKUP('Summary Data'!$A162,'Round 4 Data'!$A$10:$A$147,'Round 4 Data'!U$10:U$147,0))</f>
        <v>#VALUE!</v>
      </c>
    </row>
    <row r="163" spans="1:20" ht="16" thickBot="1" x14ac:dyDescent="0.25">
      <c r="A163" s="64" t="s">
        <v>165</v>
      </c>
      <c r="B163" t="s">
        <v>188</v>
      </c>
      <c r="C163" t="s">
        <v>201</v>
      </c>
      <c r="D163" t="e">
        <f>IF(_xlfn.XLOOKUP('Summary Data'!A163,'Round 1 Data'!$A$10:$A$143,'Round 1 Data'!$E$10:$E$144,0)=0,0,1)+IF(_xlfn.XLOOKUP('Summary Data'!A163,'Round 2 Data'!$A$10:$A$146,'Round 2 Data'!$E$10:$E$146,0)=0,0,1)+IF(_xlfn.XLOOKUP('Summary Data'!A163,'Round 3 Data'!$A$10:$A$145,'Round 3 Data'!$E$10:$E$145,0)=0,0,1)+IF(_xlfn.XLOOKUP('Summary Data'!A163,'Round 4 Data'!$A$10:$A$147,'Round 4 Data'!$E$10:$E$147,0)=0,0,1)</f>
        <v>#VALUE!</v>
      </c>
      <c r="E163" s="57" t="e">
        <f>(_xlfn.XLOOKUP('Summary Data'!$A163,'Round 1 Data'!$A$10:$A$143,'Round 1 Data'!E$10:E$144,0)+_xlfn.XLOOKUP('Summary Data'!$A163,'Round 2 Data'!$A$10:$A$146,'Round 2 Data'!E$10:E$146,0)+_xlfn.XLOOKUP('Summary Data'!$A163,'Round 3 Data'!$A$10:$A$145,'Round 3 Data'!E$10:E$145,0)+_xlfn.XLOOKUP('Summary Data'!$A163,'Round 4 Data'!$A$10:$A$147,'Round 4 Data'!E$10:E$147,0))/$D163</f>
        <v>#VALUE!</v>
      </c>
      <c r="F163" s="57" t="e">
        <f>(_xlfn.XLOOKUP('Summary Data'!$A163,'Round 1 Data'!$A$10:$A$143,'Round 1 Data'!F$10:F$144,0)+_xlfn.XLOOKUP('Summary Data'!$A163,'Round 2 Data'!$A$10:$A$146,'Round 2 Data'!F$10:F$146,0)+_xlfn.XLOOKUP('Summary Data'!$A163,'Round 3 Data'!$A$10:$A$145,'Round 3 Data'!F$10:F$145,0)+_xlfn.XLOOKUP('Summary Data'!$A163,'Round 4 Data'!$A$10:$A$147,'Round 4 Data'!F$10:F$147,0))/$D163</f>
        <v>#VALUE!</v>
      </c>
      <c r="G163" s="57" t="e">
        <f>(_xlfn.XLOOKUP('Summary Data'!$A163,'Round 1 Data'!$A$10:$A$143,'Round 1 Data'!G$10:G$144,0)+_xlfn.XLOOKUP('Summary Data'!$A163,'Round 2 Data'!$A$10:$A$146,'Round 2 Data'!G$10:G$146,0)+_xlfn.XLOOKUP('Summary Data'!$A163,'Round 3 Data'!$A$10:$A$145,'Round 3 Data'!G$10:G$145,0)+_xlfn.XLOOKUP('Summary Data'!$A163,'Round 4 Data'!$A$10:$A$147,'Round 4 Data'!G$10:G$147,0))/$D163</f>
        <v>#VALUE!</v>
      </c>
      <c r="H163" s="57" t="e">
        <f>(_xlfn.XLOOKUP('Summary Data'!$A163,'Round 1 Data'!$A$10:$A$143,'Round 1 Data'!H$10:H$144,0)+_xlfn.XLOOKUP('Summary Data'!$A163,'Round 2 Data'!$A$10:$A$146,'Round 2 Data'!H$10:H$146,0)+_xlfn.XLOOKUP('Summary Data'!$A163,'Round 3 Data'!$A$10:$A$145,'Round 3 Data'!H$10:H$145,0)+_xlfn.XLOOKUP('Summary Data'!$A163,'Round 4 Data'!$A$10:$A$147,'Round 4 Data'!H$10:H$147,0))/$D163</f>
        <v>#VALUE!</v>
      </c>
      <c r="I163" s="57" t="e">
        <f>(_xlfn.XLOOKUP('Summary Data'!$A163,'Round 1 Data'!$A$10:$A$143,'Round 1 Data'!I$10:I$144,0)+_xlfn.XLOOKUP('Summary Data'!$A163,'Round 2 Data'!$A$10:$A$146,'Round 2 Data'!I$10:I$146,0)+_xlfn.XLOOKUP('Summary Data'!$A163,'Round 3 Data'!$A$10:$A$145,'Round 3 Data'!I$10:I$145,0)+_xlfn.XLOOKUP('Summary Data'!$A163,'Round 4 Data'!$A$10:$A$147,'Round 4 Data'!I$10:I$147,0))/$D163</f>
        <v>#VALUE!</v>
      </c>
      <c r="J163" s="57" t="e">
        <f>(_xlfn.XLOOKUP('Summary Data'!$A163,'Round 1 Data'!$A$10:$A$143,'Round 1 Data'!J$10:J$144,0)+_xlfn.XLOOKUP('Summary Data'!$A163,'Round 2 Data'!$A$10:$A$146,'Round 2 Data'!J$10:J$146,0)+_xlfn.XLOOKUP('Summary Data'!$A163,'Round 3 Data'!$A$10:$A$145,'Round 3 Data'!J$10:J$145,0)+_xlfn.XLOOKUP('Summary Data'!$A163,'Round 4 Data'!$A$10:$A$147,'Round 4 Data'!J$10:J$147,0))/$D163</f>
        <v>#VALUE!</v>
      </c>
      <c r="K163" s="57" t="e">
        <f>(_xlfn.XLOOKUP('Summary Data'!$A163,'Round 1 Data'!$A$10:$A$143,'Round 1 Data'!K$10:K$144,0)+_xlfn.XLOOKUP('Summary Data'!$A163,'Round 2 Data'!$A$10:$A$146,'Round 2 Data'!K$10:K$146,0)+_xlfn.XLOOKUP('Summary Data'!$A163,'Round 3 Data'!$A$10:$A$145,'Round 3 Data'!K$10:K$145,0)+_xlfn.XLOOKUP('Summary Data'!$A163,'Round 4 Data'!$A$10:$A$147,'Round 4 Data'!K$10:K$147,0))/$D163</f>
        <v>#VALUE!</v>
      </c>
      <c r="L163" s="57" t="e">
        <f>(_xlfn.XLOOKUP('Summary Data'!$A163,'Round 1 Data'!$A$10:$A$143,'Round 1 Data'!L$10:L$144,0)+_xlfn.XLOOKUP('Summary Data'!$A163,'Round 2 Data'!$A$10:$A$146,'Round 2 Data'!L$10:L$146,0)+_xlfn.XLOOKUP('Summary Data'!$A163,'Round 3 Data'!$A$10:$A$145,'Round 3 Data'!L$10:L$145,0)+_xlfn.XLOOKUP('Summary Data'!$A163,'Round 4 Data'!$A$10:$A$147,'Round 4 Data'!L$10:L$147,0))/$D163</f>
        <v>#VALUE!</v>
      </c>
      <c r="M163" s="57" t="e">
        <f>(_xlfn.XLOOKUP('Summary Data'!$A163,'Round 1 Data'!$A$10:$A$143,'Round 1 Data'!M$10:M$144,0)+_xlfn.XLOOKUP('Summary Data'!$A163,'Round 2 Data'!$A$10:$A$146,'Round 2 Data'!M$10:M$146,0)+_xlfn.XLOOKUP('Summary Data'!$A163,'Round 3 Data'!$A$10:$A$145,'Round 3 Data'!M$10:M$145,0)+_xlfn.XLOOKUP('Summary Data'!$A163,'Round 4 Data'!$A$10:$A$147,'Round 4 Data'!M$10:M$147,0))/$D163</f>
        <v>#VALUE!</v>
      </c>
      <c r="N163" s="57" t="e">
        <f>(_xlfn.XLOOKUP('Summary Data'!$A163,'Round 1 Data'!$A$10:$A$143,'Round 1 Data'!N$10:N$144,0)+_xlfn.XLOOKUP('Summary Data'!$A163,'Round 2 Data'!$A$10:$A$146,'Round 2 Data'!N$10:N$146,0)+_xlfn.XLOOKUP('Summary Data'!$A163,'Round 3 Data'!$A$10:$A$145,'Round 3 Data'!N$10:N$145,0)+_xlfn.XLOOKUP('Summary Data'!$A163,'Round 4 Data'!$A$10:$A$147,'Round 4 Data'!N$10:N$147,0))/$D163</f>
        <v>#VALUE!</v>
      </c>
      <c r="O163" s="57" t="e">
        <f>(_xlfn.XLOOKUP('Summary Data'!$A163,'Round 1 Data'!$A$10:$A$143,'Round 1 Data'!O$10:O$144,0)+_xlfn.XLOOKUP('Summary Data'!$A163,'Round 2 Data'!$A$10:$A$146,'Round 2 Data'!O$10:O$146,0)+_xlfn.XLOOKUP('Summary Data'!$A163,'Round 3 Data'!$A$10:$A$145,'Round 3 Data'!O$10:O$145,0)+_xlfn.XLOOKUP('Summary Data'!$A163,'Round 4 Data'!$A$10:$A$147,'Round 4 Data'!O$10:O$147,0))/$D163</f>
        <v>#VALUE!</v>
      </c>
      <c r="P163" s="57" t="e">
        <f>(_xlfn.XLOOKUP('Summary Data'!$A163,'Round 1 Data'!$A$10:$A$143,'Round 1 Data'!P$10:P$144,0)+_xlfn.XLOOKUP('Summary Data'!$A163,'Round 2 Data'!$A$10:$A$146,'Round 2 Data'!P$10:P$146,0)+_xlfn.XLOOKUP('Summary Data'!$A163,'Round 3 Data'!$A$10:$A$145,'Round 3 Data'!P$10:P$145,0)+_xlfn.XLOOKUP('Summary Data'!$A163,'Round 4 Data'!$A$10:$A$147,'Round 4 Data'!P$10:P$147,0))/$D163</f>
        <v>#VALUE!</v>
      </c>
      <c r="Q163" s="57" t="e">
        <f>(_xlfn.XLOOKUP('Summary Data'!$A163,'Round 1 Data'!$A$10:$A$143,'Round 1 Data'!Q$10:Q$144,0)+_xlfn.XLOOKUP('Summary Data'!$A163,'Round 2 Data'!$A$10:$A$146,'Round 2 Data'!Q$10:Q$146,0)+_xlfn.XLOOKUP('Summary Data'!$A163,'Round 3 Data'!$A$10:$A$145,'Round 3 Data'!Q$10:Q$145,0)+_xlfn.XLOOKUP('Summary Data'!$A163,'Round 4 Data'!$A$10:$A$147,'Round 4 Data'!Q$10:Q$147,0))/$D163</f>
        <v>#VALUE!</v>
      </c>
      <c r="R163" s="57" t="e">
        <f>(_xlfn.XLOOKUP('Summary Data'!$A163,'Round 1 Data'!$A$10:$A$143,'Round 1 Data'!R$10:R$144,0)+_xlfn.XLOOKUP('Summary Data'!$A163,'Round 2 Data'!$A$10:$A$146,'Round 2 Data'!R$10:R$146,0)+_xlfn.XLOOKUP('Summary Data'!$A163,'Round 3 Data'!$A$10:$A$145,'Round 3 Data'!R$10:R$145,0)+_xlfn.XLOOKUP('Summary Data'!$A163,'Round 4 Data'!$A$10:$A$147,'Round 4 Data'!R$10:R$147,0))/$D163</f>
        <v>#VALUE!</v>
      </c>
      <c r="S163" s="57" t="e">
        <f>(_xlfn.XLOOKUP('Summary Data'!$A163,'Round 1 Data'!$A$10:$A$143,'Round 1 Data'!S$10:S$144,0)+_xlfn.XLOOKUP('Summary Data'!$A163,'Round 2 Data'!$A$10:$A$146,'Round 2 Data'!S$10:S$146,0)+_xlfn.XLOOKUP('Summary Data'!$A163,'Round 3 Data'!$A$10:$A$145,'Round 3 Data'!S$10:S$145,0)+_xlfn.XLOOKUP('Summary Data'!$A163,'Round 4 Data'!$A$10:$A$147,'Round 4 Data'!S$10:S$147,0))/$D163</f>
        <v>#VALUE!</v>
      </c>
      <c r="T163" s="62" t="e">
        <f>(_xlfn.XLOOKUP('Summary Data'!$A163,'Round 1 Data'!$A$10:$A$143,'Round 1 Data'!U$10:U$144,0)+_xlfn.XLOOKUP('Summary Data'!$A163,'Round 2 Data'!$A$10:$A$146,'Round 2 Data'!U$10:U$146,0)+_xlfn.XLOOKUP('Summary Data'!$A163,'Round 3 Data'!$A$10:$A$145,'Round 3 Data'!U$10:U$145,0)+_xlfn.XLOOKUP('Summary Data'!$A163,'Round 4 Data'!$A$10:$A$147,'Round 4 Data'!U$10:U$147,0))</f>
        <v>#VALUE!</v>
      </c>
    </row>
    <row r="164" spans="1:20" ht="16" thickBot="1" x14ac:dyDescent="0.25">
      <c r="A164" s="61" t="s">
        <v>168</v>
      </c>
      <c r="B164" t="s">
        <v>190</v>
      </c>
      <c r="C164" t="s">
        <v>199</v>
      </c>
      <c r="D164" t="e">
        <f>IF(_xlfn.XLOOKUP('Summary Data'!A164,'Round 1 Data'!$A$10:$A$143,'Round 1 Data'!$E$10:$E$144,0)=0,0,1)+IF(_xlfn.XLOOKUP('Summary Data'!A164,'Round 2 Data'!$A$10:$A$146,'Round 2 Data'!$E$10:$E$146,0)=0,0,1)+IF(_xlfn.XLOOKUP('Summary Data'!A164,'Round 3 Data'!$A$10:$A$145,'Round 3 Data'!$E$10:$E$145,0)=0,0,1)+IF(_xlfn.XLOOKUP('Summary Data'!A164,'Round 4 Data'!$A$10:$A$147,'Round 4 Data'!$E$10:$E$147,0)=0,0,1)</f>
        <v>#VALUE!</v>
      </c>
      <c r="E164" s="57" t="e">
        <f>(_xlfn.XLOOKUP('Summary Data'!$A164,'Round 1 Data'!$A$10:$A$143,'Round 1 Data'!E$10:E$144,0)+_xlfn.XLOOKUP('Summary Data'!$A164,'Round 2 Data'!$A$10:$A$146,'Round 2 Data'!E$10:E$146,0)+_xlfn.XLOOKUP('Summary Data'!$A164,'Round 3 Data'!$A$10:$A$145,'Round 3 Data'!E$10:E$145,0)+_xlfn.XLOOKUP('Summary Data'!$A164,'Round 4 Data'!$A$10:$A$147,'Round 4 Data'!E$10:E$147,0))/$D164</f>
        <v>#VALUE!</v>
      </c>
      <c r="F164" s="57" t="e">
        <f>(_xlfn.XLOOKUP('Summary Data'!$A164,'Round 1 Data'!$A$10:$A$143,'Round 1 Data'!F$10:F$144,0)+_xlfn.XLOOKUP('Summary Data'!$A164,'Round 2 Data'!$A$10:$A$146,'Round 2 Data'!F$10:F$146,0)+_xlfn.XLOOKUP('Summary Data'!$A164,'Round 3 Data'!$A$10:$A$145,'Round 3 Data'!F$10:F$145,0)+_xlfn.XLOOKUP('Summary Data'!$A164,'Round 4 Data'!$A$10:$A$147,'Round 4 Data'!F$10:F$147,0))/$D164</f>
        <v>#VALUE!</v>
      </c>
      <c r="G164" s="57" t="e">
        <f>(_xlfn.XLOOKUP('Summary Data'!$A164,'Round 1 Data'!$A$10:$A$143,'Round 1 Data'!G$10:G$144,0)+_xlfn.XLOOKUP('Summary Data'!$A164,'Round 2 Data'!$A$10:$A$146,'Round 2 Data'!G$10:G$146,0)+_xlfn.XLOOKUP('Summary Data'!$A164,'Round 3 Data'!$A$10:$A$145,'Round 3 Data'!G$10:G$145,0)+_xlfn.XLOOKUP('Summary Data'!$A164,'Round 4 Data'!$A$10:$A$147,'Round 4 Data'!G$10:G$147,0))/$D164</f>
        <v>#VALUE!</v>
      </c>
      <c r="H164" s="57" t="e">
        <f>(_xlfn.XLOOKUP('Summary Data'!$A164,'Round 1 Data'!$A$10:$A$143,'Round 1 Data'!H$10:H$144,0)+_xlfn.XLOOKUP('Summary Data'!$A164,'Round 2 Data'!$A$10:$A$146,'Round 2 Data'!H$10:H$146,0)+_xlfn.XLOOKUP('Summary Data'!$A164,'Round 3 Data'!$A$10:$A$145,'Round 3 Data'!H$10:H$145,0)+_xlfn.XLOOKUP('Summary Data'!$A164,'Round 4 Data'!$A$10:$A$147,'Round 4 Data'!H$10:H$147,0))/$D164</f>
        <v>#VALUE!</v>
      </c>
      <c r="I164" s="57" t="e">
        <f>(_xlfn.XLOOKUP('Summary Data'!$A164,'Round 1 Data'!$A$10:$A$143,'Round 1 Data'!I$10:I$144,0)+_xlfn.XLOOKUP('Summary Data'!$A164,'Round 2 Data'!$A$10:$A$146,'Round 2 Data'!I$10:I$146,0)+_xlfn.XLOOKUP('Summary Data'!$A164,'Round 3 Data'!$A$10:$A$145,'Round 3 Data'!I$10:I$145,0)+_xlfn.XLOOKUP('Summary Data'!$A164,'Round 4 Data'!$A$10:$A$147,'Round 4 Data'!I$10:I$147,0))/$D164</f>
        <v>#VALUE!</v>
      </c>
      <c r="J164" s="57" t="e">
        <f>(_xlfn.XLOOKUP('Summary Data'!$A164,'Round 1 Data'!$A$10:$A$143,'Round 1 Data'!J$10:J$144,0)+_xlfn.XLOOKUP('Summary Data'!$A164,'Round 2 Data'!$A$10:$A$146,'Round 2 Data'!J$10:J$146,0)+_xlfn.XLOOKUP('Summary Data'!$A164,'Round 3 Data'!$A$10:$A$145,'Round 3 Data'!J$10:J$145,0)+_xlfn.XLOOKUP('Summary Data'!$A164,'Round 4 Data'!$A$10:$A$147,'Round 4 Data'!J$10:J$147,0))/$D164</f>
        <v>#VALUE!</v>
      </c>
      <c r="K164" s="57" t="e">
        <f>(_xlfn.XLOOKUP('Summary Data'!$A164,'Round 1 Data'!$A$10:$A$143,'Round 1 Data'!K$10:K$144,0)+_xlfn.XLOOKUP('Summary Data'!$A164,'Round 2 Data'!$A$10:$A$146,'Round 2 Data'!K$10:K$146,0)+_xlfn.XLOOKUP('Summary Data'!$A164,'Round 3 Data'!$A$10:$A$145,'Round 3 Data'!K$10:K$145,0)+_xlfn.XLOOKUP('Summary Data'!$A164,'Round 4 Data'!$A$10:$A$147,'Round 4 Data'!K$10:K$147,0))/$D164</f>
        <v>#VALUE!</v>
      </c>
      <c r="L164" s="57" t="e">
        <f>(_xlfn.XLOOKUP('Summary Data'!$A164,'Round 1 Data'!$A$10:$A$143,'Round 1 Data'!L$10:L$144,0)+_xlfn.XLOOKUP('Summary Data'!$A164,'Round 2 Data'!$A$10:$A$146,'Round 2 Data'!L$10:L$146,0)+_xlfn.XLOOKUP('Summary Data'!$A164,'Round 3 Data'!$A$10:$A$145,'Round 3 Data'!L$10:L$145,0)+_xlfn.XLOOKUP('Summary Data'!$A164,'Round 4 Data'!$A$10:$A$147,'Round 4 Data'!L$10:L$147,0))/$D164</f>
        <v>#VALUE!</v>
      </c>
      <c r="M164" s="57" t="e">
        <f>(_xlfn.XLOOKUP('Summary Data'!$A164,'Round 1 Data'!$A$10:$A$143,'Round 1 Data'!M$10:M$144,0)+_xlfn.XLOOKUP('Summary Data'!$A164,'Round 2 Data'!$A$10:$A$146,'Round 2 Data'!M$10:M$146,0)+_xlfn.XLOOKUP('Summary Data'!$A164,'Round 3 Data'!$A$10:$A$145,'Round 3 Data'!M$10:M$145,0)+_xlfn.XLOOKUP('Summary Data'!$A164,'Round 4 Data'!$A$10:$A$147,'Round 4 Data'!M$10:M$147,0))/$D164</f>
        <v>#VALUE!</v>
      </c>
      <c r="N164" s="57" t="e">
        <f>(_xlfn.XLOOKUP('Summary Data'!$A164,'Round 1 Data'!$A$10:$A$143,'Round 1 Data'!N$10:N$144,0)+_xlfn.XLOOKUP('Summary Data'!$A164,'Round 2 Data'!$A$10:$A$146,'Round 2 Data'!N$10:N$146,0)+_xlfn.XLOOKUP('Summary Data'!$A164,'Round 3 Data'!$A$10:$A$145,'Round 3 Data'!N$10:N$145,0)+_xlfn.XLOOKUP('Summary Data'!$A164,'Round 4 Data'!$A$10:$A$147,'Round 4 Data'!N$10:N$147,0))/$D164</f>
        <v>#VALUE!</v>
      </c>
      <c r="O164" s="57" t="e">
        <f>(_xlfn.XLOOKUP('Summary Data'!$A164,'Round 1 Data'!$A$10:$A$143,'Round 1 Data'!O$10:O$144,0)+_xlfn.XLOOKUP('Summary Data'!$A164,'Round 2 Data'!$A$10:$A$146,'Round 2 Data'!O$10:O$146,0)+_xlfn.XLOOKUP('Summary Data'!$A164,'Round 3 Data'!$A$10:$A$145,'Round 3 Data'!O$10:O$145,0)+_xlfn.XLOOKUP('Summary Data'!$A164,'Round 4 Data'!$A$10:$A$147,'Round 4 Data'!O$10:O$147,0))/$D164</f>
        <v>#VALUE!</v>
      </c>
      <c r="P164" s="57" t="e">
        <f>(_xlfn.XLOOKUP('Summary Data'!$A164,'Round 1 Data'!$A$10:$A$143,'Round 1 Data'!P$10:P$144,0)+_xlfn.XLOOKUP('Summary Data'!$A164,'Round 2 Data'!$A$10:$A$146,'Round 2 Data'!P$10:P$146,0)+_xlfn.XLOOKUP('Summary Data'!$A164,'Round 3 Data'!$A$10:$A$145,'Round 3 Data'!P$10:P$145,0)+_xlfn.XLOOKUP('Summary Data'!$A164,'Round 4 Data'!$A$10:$A$147,'Round 4 Data'!P$10:P$147,0))/$D164</f>
        <v>#VALUE!</v>
      </c>
      <c r="Q164" s="57" t="e">
        <f>(_xlfn.XLOOKUP('Summary Data'!$A164,'Round 1 Data'!$A$10:$A$143,'Round 1 Data'!Q$10:Q$144,0)+_xlfn.XLOOKUP('Summary Data'!$A164,'Round 2 Data'!$A$10:$A$146,'Round 2 Data'!Q$10:Q$146,0)+_xlfn.XLOOKUP('Summary Data'!$A164,'Round 3 Data'!$A$10:$A$145,'Round 3 Data'!Q$10:Q$145,0)+_xlfn.XLOOKUP('Summary Data'!$A164,'Round 4 Data'!$A$10:$A$147,'Round 4 Data'!Q$10:Q$147,0))/$D164</f>
        <v>#VALUE!</v>
      </c>
      <c r="R164" s="57" t="e">
        <f>(_xlfn.XLOOKUP('Summary Data'!$A164,'Round 1 Data'!$A$10:$A$143,'Round 1 Data'!R$10:R$144,0)+_xlfn.XLOOKUP('Summary Data'!$A164,'Round 2 Data'!$A$10:$A$146,'Round 2 Data'!R$10:R$146,0)+_xlfn.XLOOKUP('Summary Data'!$A164,'Round 3 Data'!$A$10:$A$145,'Round 3 Data'!R$10:R$145,0)+_xlfn.XLOOKUP('Summary Data'!$A164,'Round 4 Data'!$A$10:$A$147,'Round 4 Data'!R$10:R$147,0))/$D164</f>
        <v>#VALUE!</v>
      </c>
      <c r="S164" s="57" t="e">
        <f>(_xlfn.XLOOKUP('Summary Data'!$A164,'Round 1 Data'!$A$10:$A$143,'Round 1 Data'!S$10:S$144,0)+_xlfn.XLOOKUP('Summary Data'!$A164,'Round 2 Data'!$A$10:$A$146,'Round 2 Data'!S$10:S$146,0)+_xlfn.XLOOKUP('Summary Data'!$A164,'Round 3 Data'!$A$10:$A$145,'Round 3 Data'!S$10:S$145,0)+_xlfn.XLOOKUP('Summary Data'!$A164,'Round 4 Data'!$A$10:$A$147,'Round 4 Data'!S$10:S$147,0))/$D164</f>
        <v>#VALUE!</v>
      </c>
      <c r="T164" s="62" t="e">
        <f>(_xlfn.XLOOKUP('Summary Data'!$A164,'Round 1 Data'!$A$10:$A$143,'Round 1 Data'!U$10:U$144,0)+_xlfn.XLOOKUP('Summary Data'!$A164,'Round 2 Data'!$A$10:$A$146,'Round 2 Data'!U$10:U$146,0)+_xlfn.XLOOKUP('Summary Data'!$A164,'Round 3 Data'!$A$10:$A$145,'Round 3 Data'!U$10:U$145,0)+_xlfn.XLOOKUP('Summary Data'!$A164,'Round 4 Data'!$A$10:$A$147,'Round 4 Data'!U$10:U$147,0))</f>
        <v>#VALUE!</v>
      </c>
    </row>
    <row r="165" spans="1:20" ht="16" thickBot="1" x14ac:dyDescent="0.25">
      <c r="A165" s="63" t="s">
        <v>169</v>
      </c>
      <c r="B165" t="s">
        <v>193</v>
      </c>
      <c r="C165" t="s">
        <v>200</v>
      </c>
      <c r="D165" t="e">
        <f>IF(_xlfn.XLOOKUP('Summary Data'!A165,'Round 1 Data'!$A$10:$A$143,'Round 1 Data'!$E$10:$E$144,0)=0,0,1)+IF(_xlfn.XLOOKUP('Summary Data'!A165,'Round 2 Data'!$A$10:$A$146,'Round 2 Data'!$E$10:$E$146,0)=0,0,1)+IF(_xlfn.XLOOKUP('Summary Data'!A165,'Round 3 Data'!$A$10:$A$145,'Round 3 Data'!$E$10:$E$145,0)=0,0,1)+IF(_xlfn.XLOOKUP('Summary Data'!A165,'Round 4 Data'!$A$10:$A$147,'Round 4 Data'!$E$10:$E$147,0)=0,0,1)</f>
        <v>#VALUE!</v>
      </c>
      <c r="E165" s="57" t="e">
        <f>(_xlfn.XLOOKUP('Summary Data'!$A165,'Round 1 Data'!$A$10:$A$143,'Round 1 Data'!E$10:E$144,0)+_xlfn.XLOOKUP('Summary Data'!$A165,'Round 2 Data'!$A$10:$A$146,'Round 2 Data'!E$10:E$146,0)+_xlfn.XLOOKUP('Summary Data'!$A165,'Round 3 Data'!$A$10:$A$145,'Round 3 Data'!E$10:E$145,0)+_xlfn.XLOOKUP('Summary Data'!$A165,'Round 4 Data'!$A$10:$A$147,'Round 4 Data'!E$10:E$147,0))/$D165</f>
        <v>#VALUE!</v>
      </c>
      <c r="F165" s="57" t="e">
        <f>(_xlfn.XLOOKUP('Summary Data'!$A165,'Round 1 Data'!$A$10:$A$143,'Round 1 Data'!F$10:F$144,0)+_xlfn.XLOOKUP('Summary Data'!$A165,'Round 2 Data'!$A$10:$A$146,'Round 2 Data'!F$10:F$146,0)+_xlfn.XLOOKUP('Summary Data'!$A165,'Round 3 Data'!$A$10:$A$145,'Round 3 Data'!F$10:F$145,0)+_xlfn.XLOOKUP('Summary Data'!$A165,'Round 4 Data'!$A$10:$A$147,'Round 4 Data'!F$10:F$147,0))/$D165</f>
        <v>#VALUE!</v>
      </c>
      <c r="G165" s="57" t="e">
        <f>(_xlfn.XLOOKUP('Summary Data'!$A165,'Round 1 Data'!$A$10:$A$143,'Round 1 Data'!G$10:G$144,0)+_xlfn.XLOOKUP('Summary Data'!$A165,'Round 2 Data'!$A$10:$A$146,'Round 2 Data'!G$10:G$146,0)+_xlfn.XLOOKUP('Summary Data'!$A165,'Round 3 Data'!$A$10:$A$145,'Round 3 Data'!G$10:G$145,0)+_xlfn.XLOOKUP('Summary Data'!$A165,'Round 4 Data'!$A$10:$A$147,'Round 4 Data'!G$10:G$147,0))/$D165</f>
        <v>#VALUE!</v>
      </c>
      <c r="H165" s="57" t="e">
        <f>(_xlfn.XLOOKUP('Summary Data'!$A165,'Round 1 Data'!$A$10:$A$143,'Round 1 Data'!H$10:H$144,0)+_xlfn.XLOOKUP('Summary Data'!$A165,'Round 2 Data'!$A$10:$A$146,'Round 2 Data'!H$10:H$146,0)+_xlfn.XLOOKUP('Summary Data'!$A165,'Round 3 Data'!$A$10:$A$145,'Round 3 Data'!H$10:H$145,0)+_xlfn.XLOOKUP('Summary Data'!$A165,'Round 4 Data'!$A$10:$A$147,'Round 4 Data'!H$10:H$147,0))/$D165</f>
        <v>#VALUE!</v>
      </c>
      <c r="I165" s="57" t="e">
        <f>(_xlfn.XLOOKUP('Summary Data'!$A165,'Round 1 Data'!$A$10:$A$143,'Round 1 Data'!I$10:I$144,0)+_xlfn.XLOOKUP('Summary Data'!$A165,'Round 2 Data'!$A$10:$A$146,'Round 2 Data'!I$10:I$146,0)+_xlfn.XLOOKUP('Summary Data'!$A165,'Round 3 Data'!$A$10:$A$145,'Round 3 Data'!I$10:I$145,0)+_xlfn.XLOOKUP('Summary Data'!$A165,'Round 4 Data'!$A$10:$A$147,'Round 4 Data'!I$10:I$147,0))/$D165</f>
        <v>#VALUE!</v>
      </c>
      <c r="J165" s="57" t="e">
        <f>(_xlfn.XLOOKUP('Summary Data'!$A165,'Round 1 Data'!$A$10:$A$143,'Round 1 Data'!J$10:J$144,0)+_xlfn.XLOOKUP('Summary Data'!$A165,'Round 2 Data'!$A$10:$A$146,'Round 2 Data'!J$10:J$146,0)+_xlfn.XLOOKUP('Summary Data'!$A165,'Round 3 Data'!$A$10:$A$145,'Round 3 Data'!J$10:J$145,0)+_xlfn.XLOOKUP('Summary Data'!$A165,'Round 4 Data'!$A$10:$A$147,'Round 4 Data'!J$10:J$147,0))/$D165</f>
        <v>#VALUE!</v>
      </c>
      <c r="K165" s="57" t="e">
        <f>(_xlfn.XLOOKUP('Summary Data'!$A165,'Round 1 Data'!$A$10:$A$143,'Round 1 Data'!K$10:K$144,0)+_xlfn.XLOOKUP('Summary Data'!$A165,'Round 2 Data'!$A$10:$A$146,'Round 2 Data'!K$10:K$146,0)+_xlfn.XLOOKUP('Summary Data'!$A165,'Round 3 Data'!$A$10:$A$145,'Round 3 Data'!K$10:K$145,0)+_xlfn.XLOOKUP('Summary Data'!$A165,'Round 4 Data'!$A$10:$A$147,'Round 4 Data'!K$10:K$147,0))/$D165</f>
        <v>#VALUE!</v>
      </c>
      <c r="L165" s="57" t="e">
        <f>(_xlfn.XLOOKUP('Summary Data'!$A165,'Round 1 Data'!$A$10:$A$143,'Round 1 Data'!L$10:L$144,0)+_xlfn.XLOOKUP('Summary Data'!$A165,'Round 2 Data'!$A$10:$A$146,'Round 2 Data'!L$10:L$146,0)+_xlfn.XLOOKUP('Summary Data'!$A165,'Round 3 Data'!$A$10:$A$145,'Round 3 Data'!L$10:L$145,0)+_xlfn.XLOOKUP('Summary Data'!$A165,'Round 4 Data'!$A$10:$A$147,'Round 4 Data'!L$10:L$147,0))/$D165</f>
        <v>#VALUE!</v>
      </c>
      <c r="M165" s="57" t="e">
        <f>(_xlfn.XLOOKUP('Summary Data'!$A165,'Round 1 Data'!$A$10:$A$143,'Round 1 Data'!M$10:M$144,0)+_xlfn.XLOOKUP('Summary Data'!$A165,'Round 2 Data'!$A$10:$A$146,'Round 2 Data'!M$10:M$146,0)+_xlfn.XLOOKUP('Summary Data'!$A165,'Round 3 Data'!$A$10:$A$145,'Round 3 Data'!M$10:M$145,0)+_xlfn.XLOOKUP('Summary Data'!$A165,'Round 4 Data'!$A$10:$A$147,'Round 4 Data'!M$10:M$147,0))/$D165</f>
        <v>#VALUE!</v>
      </c>
      <c r="N165" s="57" t="e">
        <f>(_xlfn.XLOOKUP('Summary Data'!$A165,'Round 1 Data'!$A$10:$A$143,'Round 1 Data'!N$10:N$144,0)+_xlfn.XLOOKUP('Summary Data'!$A165,'Round 2 Data'!$A$10:$A$146,'Round 2 Data'!N$10:N$146,0)+_xlfn.XLOOKUP('Summary Data'!$A165,'Round 3 Data'!$A$10:$A$145,'Round 3 Data'!N$10:N$145,0)+_xlfn.XLOOKUP('Summary Data'!$A165,'Round 4 Data'!$A$10:$A$147,'Round 4 Data'!N$10:N$147,0))/$D165</f>
        <v>#VALUE!</v>
      </c>
      <c r="O165" s="57" t="e">
        <f>(_xlfn.XLOOKUP('Summary Data'!$A165,'Round 1 Data'!$A$10:$A$143,'Round 1 Data'!O$10:O$144,0)+_xlfn.XLOOKUP('Summary Data'!$A165,'Round 2 Data'!$A$10:$A$146,'Round 2 Data'!O$10:O$146,0)+_xlfn.XLOOKUP('Summary Data'!$A165,'Round 3 Data'!$A$10:$A$145,'Round 3 Data'!O$10:O$145,0)+_xlfn.XLOOKUP('Summary Data'!$A165,'Round 4 Data'!$A$10:$A$147,'Round 4 Data'!O$10:O$147,0))/$D165</f>
        <v>#VALUE!</v>
      </c>
      <c r="P165" s="57" t="e">
        <f>(_xlfn.XLOOKUP('Summary Data'!$A165,'Round 1 Data'!$A$10:$A$143,'Round 1 Data'!P$10:P$144,0)+_xlfn.XLOOKUP('Summary Data'!$A165,'Round 2 Data'!$A$10:$A$146,'Round 2 Data'!P$10:P$146,0)+_xlfn.XLOOKUP('Summary Data'!$A165,'Round 3 Data'!$A$10:$A$145,'Round 3 Data'!P$10:P$145,0)+_xlfn.XLOOKUP('Summary Data'!$A165,'Round 4 Data'!$A$10:$A$147,'Round 4 Data'!P$10:P$147,0))/$D165</f>
        <v>#VALUE!</v>
      </c>
      <c r="Q165" s="57" t="e">
        <f>(_xlfn.XLOOKUP('Summary Data'!$A165,'Round 1 Data'!$A$10:$A$143,'Round 1 Data'!Q$10:Q$144,0)+_xlfn.XLOOKUP('Summary Data'!$A165,'Round 2 Data'!$A$10:$A$146,'Round 2 Data'!Q$10:Q$146,0)+_xlfn.XLOOKUP('Summary Data'!$A165,'Round 3 Data'!$A$10:$A$145,'Round 3 Data'!Q$10:Q$145,0)+_xlfn.XLOOKUP('Summary Data'!$A165,'Round 4 Data'!$A$10:$A$147,'Round 4 Data'!Q$10:Q$147,0))/$D165</f>
        <v>#VALUE!</v>
      </c>
      <c r="R165" s="57" t="e">
        <f>(_xlfn.XLOOKUP('Summary Data'!$A165,'Round 1 Data'!$A$10:$A$143,'Round 1 Data'!R$10:R$144,0)+_xlfn.XLOOKUP('Summary Data'!$A165,'Round 2 Data'!$A$10:$A$146,'Round 2 Data'!R$10:R$146,0)+_xlfn.XLOOKUP('Summary Data'!$A165,'Round 3 Data'!$A$10:$A$145,'Round 3 Data'!R$10:R$145,0)+_xlfn.XLOOKUP('Summary Data'!$A165,'Round 4 Data'!$A$10:$A$147,'Round 4 Data'!R$10:R$147,0))/$D165</f>
        <v>#VALUE!</v>
      </c>
      <c r="S165" s="57" t="e">
        <f>(_xlfn.XLOOKUP('Summary Data'!$A165,'Round 1 Data'!$A$10:$A$143,'Round 1 Data'!S$10:S$144,0)+_xlfn.XLOOKUP('Summary Data'!$A165,'Round 2 Data'!$A$10:$A$146,'Round 2 Data'!S$10:S$146,0)+_xlfn.XLOOKUP('Summary Data'!$A165,'Round 3 Data'!$A$10:$A$145,'Round 3 Data'!S$10:S$145,0)+_xlfn.XLOOKUP('Summary Data'!$A165,'Round 4 Data'!$A$10:$A$147,'Round 4 Data'!S$10:S$147,0))/$D165</f>
        <v>#VALUE!</v>
      </c>
      <c r="T165" s="62" t="e">
        <f>(_xlfn.XLOOKUP('Summary Data'!$A165,'Round 1 Data'!$A$10:$A$143,'Round 1 Data'!U$10:U$144,0)+_xlfn.XLOOKUP('Summary Data'!$A165,'Round 2 Data'!$A$10:$A$146,'Round 2 Data'!U$10:U$146,0)+_xlfn.XLOOKUP('Summary Data'!$A165,'Round 3 Data'!$A$10:$A$145,'Round 3 Data'!U$10:U$145,0)+_xlfn.XLOOKUP('Summary Data'!$A165,'Round 4 Data'!$A$10:$A$147,'Round 4 Data'!U$10:U$147,0))</f>
        <v>#VALUE!</v>
      </c>
    </row>
    <row r="166" spans="1:20" ht="16" thickBot="1" x14ac:dyDescent="0.25">
      <c r="A166" s="65" t="s">
        <v>170</v>
      </c>
      <c r="B166" t="s">
        <v>191</v>
      </c>
      <c r="C166" t="s">
        <v>197</v>
      </c>
      <c r="D166" t="e">
        <f>IF(_xlfn.XLOOKUP('Summary Data'!A166,'Round 1 Data'!$A$10:$A$143,'Round 1 Data'!$E$10:$E$144,0)=0,0,1)+IF(_xlfn.XLOOKUP('Summary Data'!A166,'Round 2 Data'!$A$10:$A$146,'Round 2 Data'!$E$10:$E$146,0)=0,0,1)+IF(_xlfn.XLOOKUP('Summary Data'!A166,'Round 3 Data'!$A$10:$A$145,'Round 3 Data'!$E$10:$E$145,0)=0,0,1)+IF(_xlfn.XLOOKUP('Summary Data'!A166,'Round 4 Data'!$A$10:$A$147,'Round 4 Data'!$E$10:$E$147,0)=0,0,1)</f>
        <v>#VALUE!</v>
      </c>
      <c r="E166" s="57" t="e">
        <f>(_xlfn.XLOOKUP('Summary Data'!$A166,'Round 1 Data'!$A$10:$A$143,'Round 1 Data'!E$10:E$144,0)+_xlfn.XLOOKUP('Summary Data'!$A166,'Round 2 Data'!$A$10:$A$146,'Round 2 Data'!E$10:E$146,0)+_xlfn.XLOOKUP('Summary Data'!$A166,'Round 3 Data'!$A$10:$A$145,'Round 3 Data'!E$10:E$145,0)+_xlfn.XLOOKUP('Summary Data'!$A166,'Round 4 Data'!$A$10:$A$147,'Round 4 Data'!E$10:E$147,0))/$D166</f>
        <v>#VALUE!</v>
      </c>
      <c r="F166" s="57" t="e">
        <f>(_xlfn.XLOOKUP('Summary Data'!$A166,'Round 1 Data'!$A$10:$A$143,'Round 1 Data'!F$10:F$144,0)+_xlfn.XLOOKUP('Summary Data'!$A166,'Round 2 Data'!$A$10:$A$146,'Round 2 Data'!F$10:F$146,0)+_xlfn.XLOOKUP('Summary Data'!$A166,'Round 3 Data'!$A$10:$A$145,'Round 3 Data'!F$10:F$145,0)+_xlfn.XLOOKUP('Summary Data'!$A166,'Round 4 Data'!$A$10:$A$147,'Round 4 Data'!F$10:F$147,0))/$D166</f>
        <v>#VALUE!</v>
      </c>
      <c r="G166" s="57" t="e">
        <f>(_xlfn.XLOOKUP('Summary Data'!$A166,'Round 1 Data'!$A$10:$A$143,'Round 1 Data'!G$10:G$144,0)+_xlfn.XLOOKUP('Summary Data'!$A166,'Round 2 Data'!$A$10:$A$146,'Round 2 Data'!G$10:G$146,0)+_xlfn.XLOOKUP('Summary Data'!$A166,'Round 3 Data'!$A$10:$A$145,'Round 3 Data'!G$10:G$145,0)+_xlfn.XLOOKUP('Summary Data'!$A166,'Round 4 Data'!$A$10:$A$147,'Round 4 Data'!G$10:G$147,0))/$D166</f>
        <v>#VALUE!</v>
      </c>
      <c r="H166" s="57" t="e">
        <f>(_xlfn.XLOOKUP('Summary Data'!$A166,'Round 1 Data'!$A$10:$A$143,'Round 1 Data'!H$10:H$144,0)+_xlfn.XLOOKUP('Summary Data'!$A166,'Round 2 Data'!$A$10:$A$146,'Round 2 Data'!H$10:H$146,0)+_xlfn.XLOOKUP('Summary Data'!$A166,'Round 3 Data'!$A$10:$A$145,'Round 3 Data'!H$10:H$145,0)+_xlfn.XLOOKUP('Summary Data'!$A166,'Round 4 Data'!$A$10:$A$147,'Round 4 Data'!H$10:H$147,0))/$D166</f>
        <v>#VALUE!</v>
      </c>
      <c r="I166" s="57" t="e">
        <f>(_xlfn.XLOOKUP('Summary Data'!$A166,'Round 1 Data'!$A$10:$A$143,'Round 1 Data'!I$10:I$144,0)+_xlfn.XLOOKUP('Summary Data'!$A166,'Round 2 Data'!$A$10:$A$146,'Round 2 Data'!I$10:I$146,0)+_xlfn.XLOOKUP('Summary Data'!$A166,'Round 3 Data'!$A$10:$A$145,'Round 3 Data'!I$10:I$145,0)+_xlfn.XLOOKUP('Summary Data'!$A166,'Round 4 Data'!$A$10:$A$147,'Round 4 Data'!I$10:I$147,0))/$D166</f>
        <v>#VALUE!</v>
      </c>
      <c r="J166" s="57" t="e">
        <f>(_xlfn.XLOOKUP('Summary Data'!$A166,'Round 1 Data'!$A$10:$A$143,'Round 1 Data'!J$10:J$144,0)+_xlfn.XLOOKUP('Summary Data'!$A166,'Round 2 Data'!$A$10:$A$146,'Round 2 Data'!J$10:J$146,0)+_xlfn.XLOOKUP('Summary Data'!$A166,'Round 3 Data'!$A$10:$A$145,'Round 3 Data'!J$10:J$145,0)+_xlfn.XLOOKUP('Summary Data'!$A166,'Round 4 Data'!$A$10:$A$147,'Round 4 Data'!J$10:J$147,0))/$D166</f>
        <v>#VALUE!</v>
      </c>
      <c r="K166" s="57" t="e">
        <f>(_xlfn.XLOOKUP('Summary Data'!$A166,'Round 1 Data'!$A$10:$A$143,'Round 1 Data'!K$10:K$144,0)+_xlfn.XLOOKUP('Summary Data'!$A166,'Round 2 Data'!$A$10:$A$146,'Round 2 Data'!K$10:K$146,0)+_xlfn.XLOOKUP('Summary Data'!$A166,'Round 3 Data'!$A$10:$A$145,'Round 3 Data'!K$10:K$145,0)+_xlfn.XLOOKUP('Summary Data'!$A166,'Round 4 Data'!$A$10:$A$147,'Round 4 Data'!K$10:K$147,0))/$D166</f>
        <v>#VALUE!</v>
      </c>
      <c r="L166" s="57" t="e">
        <f>(_xlfn.XLOOKUP('Summary Data'!$A166,'Round 1 Data'!$A$10:$A$143,'Round 1 Data'!L$10:L$144,0)+_xlfn.XLOOKUP('Summary Data'!$A166,'Round 2 Data'!$A$10:$A$146,'Round 2 Data'!L$10:L$146,0)+_xlfn.XLOOKUP('Summary Data'!$A166,'Round 3 Data'!$A$10:$A$145,'Round 3 Data'!L$10:L$145,0)+_xlfn.XLOOKUP('Summary Data'!$A166,'Round 4 Data'!$A$10:$A$147,'Round 4 Data'!L$10:L$147,0))/$D166</f>
        <v>#VALUE!</v>
      </c>
      <c r="M166" s="57" t="e">
        <f>(_xlfn.XLOOKUP('Summary Data'!$A166,'Round 1 Data'!$A$10:$A$143,'Round 1 Data'!M$10:M$144,0)+_xlfn.XLOOKUP('Summary Data'!$A166,'Round 2 Data'!$A$10:$A$146,'Round 2 Data'!M$10:M$146,0)+_xlfn.XLOOKUP('Summary Data'!$A166,'Round 3 Data'!$A$10:$A$145,'Round 3 Data'!M$10:M$145,0)+_xlfn.XLOOKUP('Summary Data'!$A166,'Round 4 Data'!$A$10:$A$147,'Round 4 Data'!M$10:M$147,0))/$D166</f>
        <v>#VALUE!</v>
      </c>
      <c r="N166" s="57" t="e">
        <f>(_xlfn.XLOOKUP('Summary Data'!$A166,'Round 1 Data'!$A$10:$A$143,'Round 1 Data'!N$10:N$144,0)+_xlfn.XLOOKUP('Summary Data'!$A166,'Round 2 Data'!$A$10:$A$146,'Round 2 Data'!N$10:N$146,0)+_xlfn.XLOOKUP('Summary Data'!$A166,'Round 3 Data'!$A$10:$A$145,'Round 3 Data'!N$10:N$145,0)+_xlfn.XLOOKUP('Summary Data'!$A166,'Round 4 Data'!$A$10:$A$147,'Round 4 Data'!N$10:N$147,0))/$D166</f>
        <v>#VALUE!</v>
      </c>
      <c r="O166" s="57" t="e">
        <f>(_xlfn.XLOOKUP('Summary Data'!$A166,'Round 1 Data'!$A$10:$A$143,'Round 1 Data'!O$10:O$144,0)+_xlfn.XLOOKUP('Summary Data'!$A166,'Round 2 Data'!$A$10:$A$146,'Round 2 Data'!O$10:O$146,0)+_xlfn.XLOOKUP('Summary Data'!$A166,'Round 3 Data'!$A$10:$A$145,'Round 3 Data'!O$10:O$145,0)+_xlfn.XLOOKUP('Summary Data'!$A166,'Round 4 Data'!$A$10:$A$147,'Round 4 Data'!O$10:O$147,0))/$D166</f>
        <v>#VALUE!</v>
      </c>
      <c r="P166" s="57" t="e">
        <f>(_xlfn.XLOOKUP('Summary Data'!$A166,'Round 1 Data'!$A$10:$A$143,'Round 1 Data'!P$10:P$144,0)+_xlfn.XLOOKUP('Summary Data'!$A166,'Round 2 Data'!$A$10:$A$146,'Round 2 Data'!P$10:P$146,0)+_xlfn.XLOOKUP('Summary Data'!$A166,'Round 3 Data'!$A$10:$A$145,'Round 3 Data'!P$10:P$145,0)+_xlfn.XLOOKUP('Summary Data'!$A166,'Round 4 Data'!$A$10:$A$147,'Round 4 Data'!P$10:P$147,0))/$D166</f>
        <v>#VALUE!</v>
      </c>
      <c r="Q166" s="57" t="e">
        <f>(_xlfn.XLOOKUP('Summary Data'!$A166,'Round 1 Data'!$A$10:$A$143,'Round 1 Data'!Q$10:Q$144,0)+_xlfn.XLOOKUP('Summary Data'!$A166,'Round 2 Data'!$A$10:$A$146,'Round 2 Data'!Q$10:Q$146,0)+_xlfn.XLOOKUP('Summary Data'!$A166,'Round 3 Data'!$A$10:$A$145,'Round 3 Data'!Q$10:Q$145,0)+_xlfn.XLOOKUP('Summary Data'!$A166,'Round 4 Data'!$A$10:$A$147,'Round 4 Data'!Q$10:Q$147,0))/$D166</f>
        <v>#VALUE!</v>
      </c>
      <c r="R166" s="57" t="e">
        <f>(_xlfn.XLOOKUP('Summary Data'!$A166,'Round 1 Data'!$A$10:$A$143,'Round 1 Data'!R$10:R$144,0)+_xlfn.XLOOKUP('Summary Data'!$A166,'Round 2 Data'!$A$10:$A$146,'Round 2 Data'!R$10:R$146,0)+_xlfn.XLOOKUP('Summary Data'!$A166,'Round 3 Data'!$A$10:$A$145,'Round 3 Data'!R$10:R$145,0)+_xlfn.XLOOKUP('Summary Data'!$A166,'Round 4 Data'!$A$10:$A$147,'Round 4 Data'!R$10:R$147,0))/$D166</f>
        <v>#VALUE!</v>
      </c>
      <c r="S166" s="57" t="e">
        <f>(_xlfn.XLOOKUP('Summary Data'!$A166,'Round 1 Data'!$A$10:$A$143,'Round 1 Data'!S$10:S$144,0)+_xlfn.XLOOKUP('Summary Data'!$A166,'Round 2 Data'!$A$10:$A$146,'Round 2 Data'!S$10:S$146,0)+_xlfn.XLOOKUP('Summary Data'!$A166,'Round 3 Data'!$A$10:$A$145,'Round 3 Data'!S$10:S$145,0)+_xlfn.XLOOKUP('Summary Data'!$A166,'Round 4 Data'!$A$10:$A$147,'Round 4 Data'!S$10:S$147,0))/$D166</f>
        <v>#VALUE!</v>
      </c>
      <c r="T166" s="62" t="e">
        <f>(_xlfn.XLOOKUP('Summary Data'!$A166,'Round 1 Data'!$A$10:$A$143,'Round 1 Data'!U$10:U$144,0)+_xlfn.XLOOKUP('Summary Data'!$A166,'Round 2 Data'!$A$10:$A$146,'Round 2 Data'!U$10:U$146,0)+_xlfn.XLOOKUP('Summary Data'!$A166,'Round 3 Data'!$A$10:$A$145,'Round 3 Data'!U$10:U$145,0)+_xlfn.XLOOKUP('Summary Data'!$A166,'Round 4 Data'!$A$10:$A$147,'Round 4 Data'!U$10:U$147,0))</f>
        <v>#VALUE!</v>
      </c>
    </row>
    <row r="167" spans="1:20" ht="16" thickBot="1" x14ac:dyDescent="0.25">
      <c r="A167" s="64" t="s">
        <v>171</v>
      </c>
      <c r="B167" t="s">
        <v>191</v>
      </c>
      <c r="C167" t="s">
        <v>198</v>
      </c>
      <c r="D167" t="e">
        <f>IF(_xlfn.XLOOKUP('Summary Data'!A167,'Round 1 Data'!$A$10:$A$143,'Round 1 Data'!$E$10:$E$144,0)=0,0,1)+IF(_xlfn.XLOOKUP('Summary Data'!A167,'Round 2 Data'!$A$10:$A$146,'Round 2 Data'!$E$10:$E$146,0)=0,0,1)+IF(_xlfn.XLOOKUP('Summary Data'!A167,'Round 3 Data'!$A$10:$A$145,'Round 3 Data'!$E$10:$E$145,0)=0,0,1)+IF(_xlfn.XLOOKUP('Summary Data'!A167,'Round 4 Data'!$A$10:$A$147,'Round 4 Data'!$E$10:$E$147,0)=0,0,1)</f>
        <v>#VALUE!</v>
      </c>
      <c r="E167" s="57" t="e">
        <f>(_xlfn.XLOOKUP('Summary Data'!$A167,'Round 1 Data'!$A$10:$A$143,'Round 1 Data'!E$10:E$144,0)+_xlfn.XLOOKUP('Summary Data'!$A167,'Round 2 Data'!$A$10:$A$146,'Round 2 Data'!E$10:E$146,0)+_xlfn.XLOOKUP('Summary Data'!$A167,'Round 3 Data'!$A$10:$A$145,'Round 3 Data'!E$10:E$145,0)+_xlfn.XLOOKUP('Summary Data'!$A167,'Round 4 Data'!$A$10:$A$147,'Round 4 Data'!E$10:E$147,0))/$D167</f>
        <v>#VALUE!</v>
      </c>
      <c r="F167" s="57" t="e">
        <f>(_xlfn.XLOOKUP('Summary Data'!$A167,'Round 1 Data'!$A$10:$A$143,'Round 1 Data'!F$10:F$144,0)+_xlfn.XLOOKUP('Summary Data'!$A167,'Round 2 Data'!$A$10:$A$146,'Round 2 Data'!F$10:F$146,0)+_xlfn.XLOOKUP('Summary Data'!$A167,'Round 3 Data'!$A$10:$A$145,'Round 3 Data'!F$10:F$145,0)+_xlfn.XLOOKUP('Summary Data'!$A167,'Round 4 Data'!$A$10:$A$147,'Round 4 Data'!F$10:F$147,0))/$D167</f>
        <v>#VALUE!</v>
      </c>
      <c r="G167" s="57" t="e">
        <f>(_xlfn.XLOOKUP('Summary Data'!$A167,'Round 1 Data'!$A$10:$A$143,'Round 1 Data'!G$10:G$144,0)+_xlfn.XLOOKUP('Summary Data'!$A167,'Round 2 Data'!$A$10:$A$146,'Round 2 Data'!G$10:G$146,0)+_xlfn.XLOOKUP('Summary Data'!$A167,'Round 3 Data'!$A$10:$A$145,'Round 3 Data'!G$10:G$145,0)+_xlfn.XLOOKUP('Summary Data'!$A167,'Round 4 Data'!$A$10:$A$147,'Round 4 Data'!G$10:G$147,0))/$D167</f>
        <v>#VALUE!</v>
      </c>
      <c r="H167" s="57" t="e">
        <f>(_xlfn.XLOOKUP('Summary Data'!$A167,'Round 1 Data'!$A$10:$A$143,'Round 1 Data'!H$10:H$144,0)+_xlfn.XLOOKUP('Summary Data'!$A167,'Round 2 Data'!$A$10:$A$146,'Round 2 Data'!H$10:H$146,0)+_xlfn.XLOOKUP('Summary Data'!$A167,'Round 3 Data'!$A$10:$A$145,'Round 3 Data'!H$10:H$145,0)+_xlfn.XLOOKUP('Summary Data'!$A167,'Round 4 Data'!$A$10:$A$147,'Round 4 Data'!H$10:H$147,0))/$D167</f>
        <v>#VALUE!</v>
      </c>
      <c r="I167" s="57" t="e">
        <f>(_xlfn.XLOOKUP('Summary Data'!$A167,'Round 1 Data'!$A$10:$A$143,'Round 1 Data'!I$10:I$144,0)+_xlfn.XLOOKUP('Summary Data'!$A167,'Round 2 Data'!$A$10:$A$146,'Round 2 Data'!I$10:I$146,0)+_xlfn.XLOOKUP('Summary Data'!$A167,'Round 3 Data'!$A$10:$A$145,'Round 3 Data'!I$10:I$145,0)+_xlfn.XLOOKUP('Summary Data'!$A167,'Round 4 Data'!$A$10:$A$147,'Round 4 Data'!I$10:I$147,0))/$D167</f>
        <v>#VALUE!</v>
      </c>
      <c r="J167" s="57" t="e">
        <f>(_xlfn.XLOOKUP('Summary Data'!$A167,'Round 1 Data'!$A$10:$A$143,'Round 1 Data'!J$10:J$144,0)+_xlfn.XLOOKUP('Summary Data'!$A167,'Round 2 Data'!$A$10:$A$146,'Round 2 Data'!J$10:J$146,0)+_xlfn.XLOOKUP('Summary Data'!$A167,'Round 3 Data'!$A$10:$A$145,'Round 3 Data'!J$10:J$145,0)+_xlfn.XLOOKUP('Summary Data'!$A167,'Round 4 Data'!$A$10:$A$147,'Round 4 Data'!J$10:J$147,0))/$D167</f>
        <v>#VALUE!</v>
      </c>
      <c r="K167" s="57" t="e">
        <f>(_xlfn.XLOOKUP('Summary Data'!$A167,'Round 1 Data'!$A$10:$A$143,'Round 1 Data'!K$10:K$144,0)+_xlfn.XLOOKUP('Summary Data'!$A167,'Round 2 Data'!$A$10:$A$146,'Round 2 Data'!K$10:K$146,0)+_xlfn.XLOOKUP('Summary Data'!$A167,'Round 3 Data'!$A$10:$A$145,'Round 3 Data'!K$10:K$145,0)+_xlfn.XLOOKUP('Summary Data'!$A167,'Round 4 Data'!$A$10:$A$147,'Round 4 Data'!K$10:K$147,0))/$D167</f>
        <v>#VALUE!</v>
      </c>
      <c r="L167" s="57" t="e">
        <f>(_xlfn.XLOOKUP('Summary Data'!$A167,'Round 1 Data'!$A$10:$A$143,'Round 1 Data'!L$10:L$144,0)+_xlfn.XLOOKUP('Summary Data'!$A167,'Round 2 Data'!$A$10:$A$146,'Round 2 Data'!L$10:L$146,0)+_xlfn.XLOOKUP('Summary Data'!$A167,'Round 3 Data'!$A$10:$A$145,'Round 3 Data'!L$10:L$145,0)+_xlfn.XLOOKUP('Summary Data'!$A167,'Round 4 Data'!$A$10:$A$147,'Round 4 Data'!L$10:L$147,0))/$D167</f>
        <v>#VALUE!</v>
      </c>
      <c r="M167" s="57" t="e">
        <f>(_xlfn.XLOOKUP('Summary Data'!$A167,'Round 1 Data'!$A$10:$A$143,'Round 1 Data'!M$10:M$144,0)+_xlfn.XLOOKUP('Summary Data'!$A167,'Round 2 Data'!$A$10:$A$146,'Round 2 Data'!M$10:M$146,0)+_xlfn.XLOOKUP('Summary Data'!$A167,'Round 3 Data'!$A$10:$A$145,'Round 3 Data'!M$10:M$145,0)+_xlfn.XLOOKUP('Summary Data'!$A167,'Round 4 Data'!$A$10:$A$147,'Round 4 Data'!M$10:M$147,0))/$D167</f>
        <v>#VALUE!</v>
      </c>
      <c r="N167" s="57" t="e">
        <f>(_xlfn.XLOOKUP('Summary Data'!$A167,'Round 1 Data'!$A$10:$A$143,'Round 1 Data'!N$10:N$144,0)+_xlfn.XLOOKUP('Summary Data'!$A167,'Round 2 Data'!$A$10:$A$146,'Round 2 Data'!N$10:N$146,0)+_xlfn.XLOOKUP('Summary Data'!$A167,'Round 3 Data'!$A$10:$A$145,'Round 3 Data'!N$10:N$145,0)+_xlfn.XLOOKUP('Summary Data'!$A167,'Round 4 Data'!$A$10:$A$147,'Round 4 Data'!N$10:N$147,0))/$D167</f>
        <v>#VALUE!</v>
      </c>
      <c r="O167" s="57" t="e">
        <f>(_xlfn.XLOOKUP('Summary Data'!$A167,'Round 1 Data'!$A$10:$A$143,'Round 1 Data'!O$10:O$144,0)+_xlfn.XLOOKUP('Summary Data'!$A167,'Round 2 Data'!$A$10:$A$146,'Round 2 Data'!O$10:O$146,0)+_xlfn.XLOOKUP('Summary Data'!$A167,'Round 3 Data'!$A$10:$A$145,'Round 3 Data'!O$10:O$145,0)+_xlfn.XLOOKUP('Summary Data'!$A167,'Round 4 Data'!$A$10:$A$147,'Round 4 Data'!O$10:O$147,0))/$D167</f>
        <v>#VALUE!</v>
      </c>
      <c r="P167" s="57" t="e">
        <f>(_xlfn.XLOOKUP('Summary Data'!$A167,'Round 1 Data'!$A$10:$A$143,'Round 1 Data'!P$10:P$144,0)+_xlfn.XLOOKUP('Summary Data'!$A167,'Round 2 Data'!$A$10:$A$146,'Round 2 Data'!P$10:P$146,0)+_xlfn.XLOOKUP('Summary Data'!$A167,'Round 3 Data'!$A$10:$A$145,'Round 3 Data'!P$10:P$145,0)+_xlfn.XLOOKUP('Summary Data'!$A167,'Round 4 Data'!$A$10:$A$147,'Round 4 Data'!P$10:P$147,0))/$D167</f>
        <v>#VALUE!</v>
      </c>
      <c r="Q167" s="57" t="e">
        <f>(_xlfn.XLOOKUP('Summary Data'!$A167,'Round 1 Data'!$A$10:$A$143,'Round 1 Data'!Q$10:Q$144,0)+_xlfn.XLOOKUP('Summary Data'!$A167,'Round 2 Data'!$A$10:$A$146,'Round 2 Data'!Q$10:Q$146,0)+_xlfn.XLOOKUP('Summary Data'!$A167,'Round 3 Data'!$A$10:$A$145,'Round 3 Data'!Q$10:Q$145,0)+_xlfn.XLOOKUP('Summary Data'!$A167,'Round 4 Data'!$A$10:$A$147,'Round 4 Data'!Q$10:Q$147,0))/$D167</f>
        <v>#VALUE!</v>
      </c>
      <c r="R167" s="57" t="e">
        <f>(_xlfn.XLOOKUP('Summary Data'!$A167,'Round 1 Data'!$A$10:$A$143,'Round 1 Data'!R$10:R$144,0)+_xlfn.XLOOKUP('Summary Data'!$A167,'Round 2 Data'!$A$10:$A$146,'Round 2 Data'!R$10:R$146,0)+_xlfn.XLOOKUP('Summary Data'!$A167,'Round 3 Data'!$A$10:$A$145,'Round 3 Data'!R$10:R$145,0)+_xlfn.XLOOKUP('Summary Data'!$A167,'Round 4 Data'!$A$10:$A$147,'Round 4 Data'!R$10:R$147,0))/$D167</f>
        <v>#VALUE!</v>
      </c>
      <c r="S167" s="57" t="e">
        <f>(_xlfn.XLOOKUP('Summary Data'!$A167,'Round 1 Data'!$A$10:$A$143,'Round 1 Data'!S$10:S$144,0)+_xlfn.XLOOKUP('Summary Data'!$A167,'Round 2 Data'!$A$10:$A$146,'Round 2 Data'!S$10:S$146,0)+_xlfn.XLOOKUP('Summary Data'!$A167,'Round 3 Data'!$A$10:$A$145,'Round 3 Data'!S$10:S$145,0)+_xlfn.XLOOKUP('Summary Data'!$A167,'Round 4 Data'!$A$10:$A$147,'Round 4 Data'!S$10:S$147,0))/$D167</f>
        <v>#VALUE!</v>
      </c>
      <c r="T167" s="62" t="e">
        <f>(_xlfn.XLOOKUP('Summary Data'!$A167,'Round 1 Data'!$A$10:$A$143,'Round 1 Data'!U$10:U$144,0)+_xlfn.XLOOKUP('Summary Data'!$A167,'Round 2 Data'!$A$10:$A$146,'Round 2 Data'!U$10:U$146,0)+_xlfn.XLOOKUP('Summary Data'!$A167,'Round 3 Data'!$A$10:$A$145,'Round 3 Data'!U$10:U$145,0)+_xlfn.XLOOKUP('Summary Data'!$A167,'Round 4 Data'!$A$10:$A$147,'Round 4 Data'!U$10:U$147,0))</f>
        <v>#VALUE!</v>
      </c>
    </row>
    <row r="168" spans="1:20" ht="16" thickBot="1" x14ac:dyDescent="0.25">
      <c r="A168" s="65" t="s">
        <v>172</v>
      </c>
      <c r="B168" t="s">
        <v>191</v>
      </c>
      <c r="C168" t="s">
        <v>198</v>
      </c>
      <c r="D168" t="e">
        <f>IF(_xlfn.XLOOKUP('Summary Data'!A168,'Round 1 Data'!$A$10:$A$143,'Round 1 Data'!$E$10:$E$144,0)=0,0,1)+IF(_xlfn.XLOOKUP('Summary Data'!A168,'Round 2 Data'!$A$10:$A$146,'Round 2 Data'!$E$10:$E$146,0)=0,0,1)+IF(_xlfn.XLOOKUP('Summary Data'!A168,'Round 3 Data'!$A$10:$A$145,'Round 3 Data'!$E$10:$E$145,0)=0,0,1)+IF(_xlfn.XLOOKUP('Summary Data'!A168,'Round 4 Data'!$A$10:$A$147,'Round 4 Data'!$E$10:$E$147,0)=0,0,1)</f>
        <v>#VALUE!</v>
      </c>
      <c r="E168" s="57" t="e">
        <f>(_xlfn.XLOOKUP('Summary Data'!$A168,'Round 1 Data'!$A$10:$A$143,'Round 1 Data'!E$10:E$144,0)+_xlfn.XLOOKUP('Summary Data'!$A168,'Round 2 Data'!$A$10:$A$146,'Round 2 Data'!E$10:E$146,0)+_xlfn.XLOOKUP('Summary Data'!$A168,'Round 3 Data'!$A$10:$A$145,'Round 3 Data'!E$10:E$145,0)+_xlfn.XLOOKUP('Summary Data'!$A168,'Round 4 Data'!$A$10:$A$147,'Round 4 Data'!E$10:E$147,0))/$D168</f>
        <v>#VALUE!</v>
      </c>
      <c r="F168" s="57" t="e">
        <f>(_xlfn.XLOOKUP('Summary Data'!$A168,'Round 1 Data'!$A$10:$A$143,'Round 1 Data'!F$10:F$144,0)+_xlfn.XLOOKUP('Summary Data'!$A168,'Round 2 Data'!$A$10:$A$146,'Round 2 Data'!F$10:F$146,0)+_xlfn.XLOOKUP('Summary Data'!$A168,'Round 3 Data'!$A$10:$A$145,'Round 3 Data'!F$10:F$145,0)+_xlfn.XLOOKUP('Summary Data'!$A168,'Round 4 Data'!$A$10:$A$147,'Round 4 Data'!F$10:F$147,0))/$D168</f>
        <v>#VALUE!</v>
      </c>
      <c r="G168" s="57" t="e">
        <f>(_xlfn.XLOOKUP('Summary Data'!$A168,'Round 1 Data'!$A$10:$A$143,'Round 1 Data'!G$10:G$144,0)+_xlfn.XLOOKUP('Summary Data'!$A168,'Round 2 Data'!$A$10:$A$146,'Round 2 Data'!G$10:G$146,0)+_xlfn.XLOOKUP('Summary Data'!$A168,'Round 3 Data'!$A$10:$A$145,'Round 3 Data'!G$10:G$145,0)+_xlfn.XLOOKUP('Summary Data'!$A168,'Round 4 Data'!$A$10:$A$147,'Round 4 Data'!G$10:G$147,0))/$D168</f>
        <v>#VALUE!</v>
      </c>
      <c r="H168" s="57" t="e">
        <f>(_xlfn.XLOOKUP('Summary Data'!$A168,'Round 1 Data'!$A$10:$A$143,'Round 1 Data'!H$10:H$144,0)+_xlfn.XLOOKUP('Summary Data'!$A168,'Round 2 Data'!$A$10:$A$146,'Round 2 Data'!H$10:H$146,0)+_xlfn.XLOOKUP('Summary Data'!$A168,'Round 3 Data'!$A$10:$A$145,'Round 3 Data'!H$10:H$145,0)+_xlfn.XLOOKUP('Summary Data'!$A168,'Round 4 Data'!$A$10:$A$147,'Round 4 Data'!H$10:H$147,0))/$D168</f>
        <v>#VALUE!</v>
      </c>
      <c r="I168" s="57" t="e">
        <f>(_xlfn.XLOOKUP('Summary Data'!$A168,'Round 1 Data'!$A$10:$A$143,'Round 1 Data'!I$10:I$144,0)+_xlfn.XLOOKUP('Summary Data'!$A168,'Round 2 Data'!$A$10:$A$146,'Round 2 Data'!I$10:I$146,0)+_xlfn.XLOOKUP('Summary Data'!$A168,'Round 3 Data'!$A$10:$A$145,'Round 3 Data'!I$10:I$145,0)+_xlfn.XLOOKUP('Summary Data'!$A168,'Round 4 Data'!$A$10:$A$147,'Round 4 Data'!I$10:I$147,0))/$D168</f>
        <v>#VALUE!</v>
      </c>
      <c r="J168" s="57" t="e">
        <f>(_xlfn.XLOOKUP('Summary Data'!$A168,'Round 1 Data'!$A$10:$A$143,'Round 1 Data'!J$10:J$144,0)+_xlfn.XLOOKUP('Summary Data'!$A168,'Round 2 Data'!$A$10:$A$146,'Round 2 Data'!J$10:J$146,0)+_xlfn.XLOOKUP('Summary Data'!$A168,'Round 3 Data'!$A$10:$A$145,'Round 3 Data'!J$10:J$145,0)+_xlfn.XLOOKUP('Summary Data'!$A168,'Round 4 Data'!$A$10:$A$147,'Round 4 Data'!J$10:J$147,0))/$D168</f>
        <v>#VALUE!</v>
      </c>
      <c r="K168" s="57" t="e">
        <f>(_xlfn.XLOOKUP('Summary Data'!$A168,'Round 1 Data'!$A$10:$A$143,'Round 1 Data'!K$10:K$144,0)+_xlfn.XLOOKUP('Summary Data'!$A168,'Round 2 Data'!$A$10:$A$146,'Round 2 Data'!K$10:K$146,0)+_xlfn.XLOOKUP('Summary Data'!$A168,'Round 3 Data'!$A$10:$A$145,'Round 3 Data'!K$10:K$145,0)+_xlfn.XLOOKUP('Summary Data'!$A168,'Round 4 Data'!$A$10:$A$147,'Round 4 Data'!K$10:K$147,0))/$D168</f>
        <v>#VALUE!</v>
      </c>
      <c r="L168" s="57" t="e">
        <f>(_xlfn.XLOOKUP('Summary Data'!$A168,'Round 1 Data'!$A$10:$A$143,'Round 1 Data'!L$10:L$144,0)+_xlfn.XLOOKUP('Summary Data'!$A168,'Round 2 Data'!$A$10:$A$146,'Round 2 Data'!L$10:L$146,0)+_xlfn.XLOOKUP('Summary Data'!$A168,'Round 3 Data'!$A$10:$A$145,'Round 3 Data'!L$10:L$145,0)+_xlfn.XLOOKUP('Summary Data'!$A168,'Round 4 Data'!$A$10:$A$147,'Round 4 Data'!L$10:L$147,0))/$D168</f>
        <v>#VALUE!</v>
      </c>
      <c r="M168" s="57" t="e">
        <f>(_xlfn.XLOOKUP('Summary Data'!$A168,'Round 1 Data'!$A$10:$A$143,'Round 1 Data'!M$10:M$144,0)+_xlfn.XLOOKUP('Summary Data'!$A168,'Round 2 Data'!$A$10:$A$146,'Round 2 Data'!M$10:M$146,0)+_xlfn.XLOOKUP('Summary Data'!$A168,'Round 3 Data'!$A$10:$A$145,'Round 3 Data'!M$10:M$145,0)+_xlfn.XLOOKUP('Summary Data'!$A168,'Round 4 Data'!$A$10:$A$147,'Round 4 Data'!M$10:M$147,0))/$D168</f>
        <v>#VALUE!</v>
      </c>
      <c r="N168" s="57" t="e">
        <f>(_xlfn.XLOOKUP('Summary Data'!$A168,'Round 1 Data'!$A$10:$A$143,'Round 1 Data'!N$10:N$144,0)+_xlfn.XLOOKUP('Summary Data'!$A168,'Round 2 Data'!$A$10:$A$146,'Round 2 Data'!N$10:N$146,0)+_xlfn.XLOOKUP('Summary Data'!$A168,'Round 3 Data'!$A$10:$A$145,'Round 3 Data'!N$10:N$145,0)+_xlfn.XLOOKUP('Summary Data'!$A168,'Round 4 Data'!$A$10:$A$147,'Round 4 Data'!N$10:N$147,0))/$D168</f>
        <v>#VALUE!</v>
      </c>
      <c r="O168" s="57" t="e">
        <f>(_xlfn.XLOOKUP('Summary Data'!$A168,'Round 1 Data'!$A$10:$A$143,'Round 1 Data'!O$10:O$144,0)+_xlfn.XLOOKUP('Summary Data'!$A168,'Round 2 Data'!$A$10:$A$146,'Round 2 Data'!O$10:O$146,0)+_xlfn.XLOOKUP('Summary Data'!$A168,'Round 3 Data'!$A$10:$A$145,'Round 3 Data'!O$10:O$145,0)+_xlfn.XLOOKUP('Summary Data'!$A168,'Round 4 Data'!$A$10:$A$147,'Round 4 Data'!O$10:O$147,0))/$D168</f>
        <v>#VALUE!</v>
      </c>
      <c r="P168" s="57" t="e">
        <f>(_xlfn.XLOOKUP('Summary Data'!$A168,'Round 1 Data'!$A$10:$A$143,'Round 1 Data'!P$10:P$144,0)+_xlfn.XLOOKUP('Summary Data'!$A168,'Round 2 Data'!$A$10:$A$146,'Round 2 Data'!P$10:P$146,0)+_xlfn.XLOOKUP('Summary Data'!$A168,'Round 3 Data'!$A$10:$A$145,'Round 3 Data'!P$10:P$145,0)+_xlfn.XLOOKUP('Summary Data'!$A168,'Round 4 Data'!$A$10:$A$147,'Round 4 Data'!P$10:P$147,0))/$D168</f>
        <v>#VALUE!</v>
      </c>
      <c r="Q168" s="57" t="e">
        <f>(_xlfn.XLOOKUP('Summary Data'!$A168,'Round 1 Data'!$A$10:$A$143,'Round 1 Data'!Q$10:Q$144,0)+_xlfn.XLOOKUP('Summary Data'!$A168,'Round 2 Data'!$A$10:$A$146,'Round 2 Data'!Q$10:Q$146,0)+_xlfn.XLOOKUP('Summary Data'!$A168,'Round 3 Data'!$A$10:$A$145,'Round 3 Data'!Q$10:Q$145,0)+_xlfn.XLOOKUP('Summary Data'!$A168,'Round 4 Data'!$A$10:$A$147,'Round 4 Data'!Q$10:Q$147,0))/$D168</f>
        <v>#VALUE!</v>
      </c>
      <c r="R168" s="57" t="e">
        <f>(_xlfn.XLOOKUP('Summary Data'!$A168,'Round 1 Data'!$A$10:$A$143,'Round 1 Data'!R$10:R$144,0)+_xlfn.XLOOKUP('Summary Data'!$A168,'Round 2 Data'!$A$10:$A$146,'Round 2 Data'!R$10:R$146,0)+_xlfn.XLOOKUP('Summary Data'!$A168,'Round 3 Data'!$A$10:$A$145,'Round 3 Data'!R$10:R$145,0)+_xlfn.XLOOKUP('Summary Data'!$A168,'Round 4 Data'!$A$10:$A$147,'Round 4 Data'!R$10:R$147,0))/$D168</f>
        <v>#VALUE!</v>
      </c>
      <c r="S168" s="57" t="e">
        <f>(_xlfn.XLOOKUP('Summary Data'!$A168,'Round 1 Data'!$A$10:$A$143,'Round 1 Data'!S$10:S$144,0)+_xlfn.XLOOKUP('Summary Data'!$A168,'Round 2 Data'!$A$10:$A$146,'Round 2 Data'!S$10:S$146,0)+_xlfn.XLOOKUP('Summary Data'!$A168,'Round 3 Data'!$A$10:$A$145,'Round 3 Data'!S$10:S$145,0)+_xlfn.XLOOKUP('Summary Data'!$A168,'Round 4 Data'!$A$10:$A$147,'Round 4 Data'!S$10:S$147,0))/$D168</f>
        <v>#VALUE!</v>
      </c>
      <c r="T168" s="62" t="e">
        <f>(_xlfn.XLOOKUP('Summary Data'!$A168,'Round 1 Data'!$A$10:$A$143,'Round 1 Data'!U$10:U$144,0)+_xlfn.XLOOKUP('Summary Data'!$A168,'Round 2 Data'!$A$10:$A$146,'Round 2 Data'!U$10:U$146,0)+_xlfn.XLOOKUP('Summary Data'!$A168,'Round 3 Data'!$A$10:$A$145,'Round 3 Data'!U$10:U$145,0)+_xlfn.XLOOKUP('Summary Data'!$A168,'Round 4 Data'!$A$10:$A$147,'Round 4 Data'!U$10:U$147,0))</f>
        <v>#VALUE!</v>
      </c>
    </row>
    <row r="169" spans="1:20" ht="16" thickBot="1" x14ac:dyDescent="0.25">
      <c r="A169" s="64" t="s">
        <v>173</v>
      </c>
      <c r="B169" t="s">
        <v>190</v>
      </c>
      <c r="C169" t="s">
        <v>199</v>
      </c>
      <c r="D169" t="e">
        <f>IF(_xlfn.XLOOKUP('Summary Data'!A169,'Round 1 Data'!$A$10:$A$143,'Round 1 Data'!$E$10:$E$144,0)=0,0,1)+IF(_xlfn.XLOOKUP('Summary Data'!A169,'Round 2 Data'!$A$10:$A$146,'Round 2 Data'!$E$10:$E$146,0)=0,0,1)+IF(_xlfn.XLOOKUP('Summary Data'!A169,'Round 3 Data'!$A$10:$A$145,'Round 3 Data'!$E$10:$E$145,0)=0,0,1)+IF(_xlfn.XLOOKUP('Summary Data'!A169,'Round 4 Data'!$A$10:$A$147,'Round 4 Data'!$E$10:$E$147,0)=0,0,1)</f>
        <v>#VALUE!</v>
      </c>
      <c r="E169" s="57" t="e">
        <f>(_xlfn.XLOOKUP('Summary Data'!$A169,'Round 1 Data'!$A$10:$A$143,'Round 1 Data'!E$10:E$144,0)+_xlfn.XLOOKUP('Summary Data'!$A169,'Round 2 Data'!$A$10:$A$146,'Round 2 Data'!E$10:E$146,0)+_xlfn.XLOOKUP('Summary Data'!$A169,'Round 3 Data'!$A$10:$A$145,'Round 3 Data'!E$10:E$145,0)+_xlfn.XLOOKUP('Summary Data'!$A169,'Round 4 Data'!$A$10:$A$147,'Round 4 Data'!E$10:E$147,0))/$D169</f>
        <v>#VALUE!</v>
      </c>
      <c r="F169" s="57" t="e">
        <f>(_xlfn.XLOOKUP('Summary Data'!$A169,'Round 1 Data'!$A$10:$A$143,'Round 1 Data'!F$10:F$144,0)+_xlfn.XLOOKUP('Summary Data'!$A169,'Round 2 Data'!$A$10:$A$146,'Round 2 Data'!F$10:F$146,0)+_xlfn.XLOOKUP('Summary Data'!$A169,'Round 3 Data'!$A$10:$A$145,'Round 3 Data'!F$10:F$145,0)+_xlfn.XLOOKUP('Summary Data'!$A169,'Round 4 Data'!$A$10:$A$147,'Round 4 Data'!F$10:F$147,0))/$D169</f>
        <v>#VALUE!</v>
      </c>
      <c r="G169" s="57" t="e">
        <f>(_xlfn.XLOOKUP('Summary Data'!$A169,'Round 1 Data'!$A$10:$A$143,'Round 1 Data'!G$10:G$144,0)+_xlfn.XLOOKUP('Summary Data'!$A169,'Round 2 Data'!$A$10:$A$146,'Round 2 Data'!G$10:G$146,0)+_xlfn.XLOOKUP('Summary Data'!$A169,'Round 3 Data'!$A$10:$A$145,'Round 3 Data'!G$10:G$145,0)+_xlfn.XLOOKUP('Summary Data'!$A169,'Round 4 Data'!$A$10:$A$147,'Round 4 Data'!G$10:G$147,0))/$D169</f>
        <v>#VALUE!</v>
      </c>
      <c r="H169" s="57" t="e">
        <f>(_xlfn.XLOOKUP('Summary Data'!$A169,'Round 1 Data'!$A$10:$A$143,'Round 1 Data'!H$10:H$144,0)+_xlfn.XLOOKUP('Summary Data'!$A169,'Round 2 Data'!$A$10:$A$146,'Round 2 Data'!H$10:H$146,0)+_xlfn.XLOOKUP('Summary Data'!$A169,'Round 3 Data'!$A$10:$A$145,'Round 3 Data'!H$10:H$145,0)+_xlfn.XLOOKUP('Summary Data'!$A169,'Round 4 Data'!$A$10:$A$147,'Round 4 Data'!H$10:H$147,0))/$D169</f>
        <v>#VALUE!</v>
      </c>
      <c r="I169" s="57" t="e">
        <f>(_xlfn.XLOOKUP('Summary Data'!$A169,'Round 1 Data'!$A$10:$A$143,'Round 1 Data'!I$10:I$144,0)+_xlfn.XLOOKUP('Summary Data'!$A169,'Round 2 Data'!$A$10:$A$146,'Round 2 Data'!I$10:I$146,0)+_xlfn.XLOOKUP('Summary Data'!$A169,'Round 3 Data'!$A$10:$A$145,'Round 3 Data'!I$10:I$145,0)+_xlfn.XLOOKUP('Summary Data'!$A169,'Round 4 Data'!$A$10:$A$147,'Round 4 Data'!I$10:I$147,0))/$D169</f>
        <v>#VALUE!</v>
      </c>
      <c r="J169" s="57" t="e">
        <f>(_xlfn.XLOOKUP('Summary Data'!$A169,'Round 1 Data'!$A$10:$A$143,'Round 1 Data'!J$10:J$144,0)+_xlfn.XLOOKUP('Summary Data'!$A169,'Round 2 Data'!$A$10:$A$146,'Round 2 Data'!J$10:J$146,0)+_xlfn.XLOOKUP('Summary Data'!$A169,'Round 3 Data'!$A$10:$A$145,'Round 3 Data'!J$10:J$145,0)+_xlfn.XLOOKUP('Summary Data'!$A169,'Round 4 Data'!$A$10:$A$147,'Round 4 Data'!J$10:J$147,0))/$D169</f>
        <v>#VALUE!</v>
      </c>
      <c r="K169" s="57" t="e">
        <f>(_xlfn.XLOOKUP('Summary Data'!$A169,'Round 1 Data'!$A$10:$A$143,'Round 1 Data'!K$10:K$144,0)+_xlfn.XLOOKUP('Summary Data'!$A169,'Round 2 Data'!$A$10:$A$146,'Round 2 Data'!K$10:K$146,0)+_xlfn.XLOOKUP('Summary Data'!$A169,'Round 3 Data'!$A$10:$A$145,'Round 3 Data'!K$10:K$145,0)+_xlfn.XLOOKUP('Summary Data'!$A169,'Round 4 Data'!$A$10:$A$147,'Round 4 Data'!K$10:K$147,0))/$D169</f>
        <v>#VALUE!</v>
      </c>
      <c r="L169" s="57" t="e">
        <f>(_xlfn.XLOOKUP('Summary Data'!$A169,'Round 1 Data'!$A$10:$A$143,'Round 1 Data'!L$10:L$144,0)+_xlfn.XLOOKUP('Summary Data'!$A169,'Round 2 Data'!$A$10:$A$146,'Round 2 Data'!L$10:L$146,0)+_xlfn.XLOOKUP('Summary Data'!$A169,'Round 3 Data'!$A$10:$A$145,'Round 3 Data'!L$10:L$145,0)+_xlfn.XLOOKUP('Summary Data'!$A169,'Round 4 Data'!$A$10:$A$147,'Round 4 Data'!L$10:L$147,0))/$D169</f>
        <v>#VALUE!</v>
      </c>
      <c r="M169" s="57" t="e">
        <f>(_xlfn.XLOOKUP('Summary Data'!$A169,'Round 1 Data'!$A$10:$A$143,'Round 1 Data'!M$10:M$144,0)+_xlfn.XLOOKUP('Summary Data'!$A169,'Round 2 Data'!$A$10:$A$146,'Round 2 Data'!M$10:M$146,0)+_xlfn.XLOOKUP('Summary Data'!$A169,'Round 3 Data'!$A$10:$A$145,'Round 3 Data'!M$10:M$145,0)+_xlfn.XLOOKUP('Summary Data'!$A169,'Round 4 Data'!$A$10:$A$147,'Round 4 Data'!M$10:M$147,0))/$D169</f>
        <v>#VALUE!</v>
      </c>
      <c r="N169" s="57" t="e">
        <f>(_xlfn.XLOOKUP('Summary Data'!$A169,'Round 1 Data'!$A$10:$A$143,'Round 1 Data'!N$10:N$144,0)+_xlfn.XLOOKUP('Summary Data'!$A169,'Round 2 Data'!$A$10:$A$146,'Round 2 Data'!N$10:N$146,0)+_xlfn.XLOOKUP('Summary Data'!$A169,'Round 3 Data'!$A$10:$A$145,'Round 3 Data'!N$10:N$145,0)+_xlfn.XLOOKUP('Summary Data'!$A169,'Round 4 Data'!$A$10:$A$147,'Round 4 Data'!N$10:N$147,0))/$D169</f>
        <v>#VALUE!</v>
      </c>
      <c r="O169" s="57" t="e">
        <f>(_xlfn.XLOOKUP('Summary Data'!$A169,'Round 1 Data'!$A$10:$A$143,'Round 1 Data'!O$10:O$144,0)+_xlfn.XLOOKUP('Summary Data'!$A169,'Round 2 Data'!$A$10:$A$146,'Round 2 Data'!O$10:O$146,0)+_xlfn.XLOOKUP('Summary Data'!$A169,'Round 3 Data'!$A$10:$A$145,'Round 3 Data'!O$10:O$145,0)+_xlfn.XLOOKUP('Summary Data'!$A169,'Round 4 Data'!$A$10:$A$147,'Round 4 Data'!O$10:O$147,0))/$D169</f>
        <v>#VALUE!</v>
      </c>
      <c r="P169" s="57" t="e">
        <f>(_xlfn.XLOOKUP('Summary Data'!$A169,'Round 1 Data'!$A$10:$A$143,'Round 1 Data'!P$10:P$144,0)+_xlfn.XLOOKUP('Summary Data'!$A169,'Round 2 Data'!$A$10:$A$146,'Round 2 Data'!P$10:P$146,0)+_xlfn.XLOOKUP('Summary Data'!$A169,'Round 3 Data'!$A$10:$A$145,'Round 3 Data'!P$10:P$145,0)+_xlfn.XLOOKUP('Summary Data'!$A169,'Round 4 Data'!$A$10:$A$147,'Round 4 Data'!P$10:P$147,0))/$D169</f>
        <v>#VALUE!</v>
      </c>
      <c r="Q169" s="57" t="e">
        <f>(_xlfn.XLOOKUP('Summary Data'!$A169,'Round 1 Data'!$A$10:$A$143,'Round 1 Data'!Q$10:Q$144,0)+_xlfn.XLOOKUP('Summary Data'!$A169,'Round 2 Data'!$A$10:$A$146,'Round 2 Data'!Q$10:Q$146,0)+_xlfn.XLOOKUP('Summary Data'!$A169,'Round 3 Data'!$A$10:$A$145,'Round 3 Data'!Q$10:Q$145,0)+_xlfn.XLOOKUP('Summary Data'!$A169,'Round 4 Data'!$A$10:$A$147,'Round 4 Data'!Q$10:Q$147,0))/$D169</f>
        <v>#VALUE!</v>
      </c>
      <c r="R169" s="57" t="e">
        <f>(_xlfn.XLOOKUP('Summary Data'!$A169,'Round 1 Data'!$A$10:$A$143,'Round 1 Data'!R$10:R$144,0)+_xlfn.XLOOKUP('Summary Data'!$A169,'Round 2 Data'!$A$10:$A$146,'Round 2 Data'!R$10:R$146,0)+_xlfn.XLOOKUP('Summary Data'!$A169,'Round 3 Data'!$A$10:$A$145,'Round 3 Data'!R$10:R$145,0)+_xlfn.XLOOKUP('Summary Data'!$A169,'Round 4 Data'!$A$10:$A$147,'Round 4 Data'!R$10:R$147,0))/$D169</f>
        <v>#VALUE!</v>
      </c>
      <c r="S169" s="57" t="e">
        <f>(_xlfn.XLOOKUP('Summary Data'!$A169,'Round 1 Data'!$A$10:$A$143,'Round 1 Data'!S$10:S$144,0)+_xlfn.XLOOKUP('Summary Data'!$A169,'Round 2 Data'!$A$10:$A$146,'Round 2 Data'!S$10:S$146,0)+_xlfn.XLOOKUP('Summary Data'!$A169,'Round 3 Data'!$A$10:$A$145,'Round 3 Data'!S$10:S$145,0)+_xlfn.XLOOKUP('Summary Data'!$A169,'Round 4 Data'!$A$10:$A$147,'Round 4 Data'!S$10:S$147,0))/$D169</f>
        <v>#VALUE!</v>
      </c>
      <c r="T169" s="62" t="e">
        <f>(_xlfn.XLOOKUP('Summary Data'!$A169,'Round 1 Data'!$A$10:$A$143,'Round 1 Data'!U$10:U$144,0)+_xlfn.XLOOKUP('Summary Data'!$A169,'Round 2 Data'!$A$10:$A$146,'Round 2 Data'!U$10:U$146,0)+_xlfn.XLOOKUP('Summary Data'!$A169,'Round 3 Data'!$A$10:$A$145,'Round 3 Data'!U$10:U$145,0)+_xlfn.XLOOKUP('Summary Data'!$A169,'Round 4 Data'!$A$10:$A$147,'Round 4 Data'!U$10:U$147,0))</f>
        <v>#VALUE!</v>
      </c>
    </row>
    <row r="170" spans="1:20" ht="16" thickBot="1" x14ac:dyDescent="0.25">
      <c r="A170" s="61" t="s">
        <v>174</v>
      </c>
      <c r="B170" t="s">
        <v>193</v>
      </c>
      <c r="C170" t="s">
        <v>194</v>
      </c>
      <c r="D170" t="e">
        <f>IF(_xlfn.XLOOKUP('Summary Data'!A170,'Round 1 Data'!$A$10:$A$143,'Round 1 Data'!$E$10:$E$144,0)=0,0,1)+IF(_xlfn.XLOOKUP('Summary Data'!A170,'Round 2 Data'!$A$10:$A$146,'Round 2 Data'!$E$10:$E$146,0)=0,0,1)+IF(_xlfn.XLOOKUP('Summary Data'!A170,'Round 3 Data'!$A$10:$A$145,'Round 3 Data'!$E$10:$E$145,0)=0,0,1)+IF(_xlfn.XLOOKUP('Summary Data'!A170,'Round 4 Data'!$A$10:$A$147,'Round 4 Data'!$E$10:$E$147,0)=0,0,1)</f>
        <v>#VALUE!</v>
      </c>
      <c r="E170" s="57" t="e">
        <f>(_xlfn.XLOOKUP('Summary Data'!$A170,'Round 1 Data'!$A$10:$A$143,'Round 1 Data'!E$10:E$144,0)+_xlfn.XLOOKUP('Summary Data'!$A170,'Round 2 Data'!$A$10:$A$146,'Round 2 Data'!E$10:E$146,0)+_xlfn.XLOOKUP('Summary Data'!$A170,'Round 3 Data'!$A$10:$A$145,'Round 3 Data'!E$10:E$145,0)+_xlfn.XLOOKUP('Summary Data'!$A170,'Round 4 Data'!$A$10:$A$147,'Round 4 Data'!E$10:E$147,0))/$D170</f>
        <v>#VALUE!</v>
      </c>
      <c r="F170" s="57" t="e">
        <f>(_xlfn.XLOOKUP('Summary Data'!$A170,'Round 1 Data'!$A$10:$A$143,'Round 1 Data'!F$10:F$144,0)+_xlfn.XLOOKUP('Summary Data'!$A170,'Round 2 Data'!$A$10:$A$146,'Round 2 Data'!F$10:F$146,0)+_xlfn.XLOOKUP('Summary Data'!$A170,'Round 3 Data'!$A$10:$A$145,'Round 3 Data'!F$10:F$145,0)+_xlfn.XLOOKUP('Summary Data'!$A170,'Round 4 Data'!$A$10:$A$147,'Round 4 Data'!F$10:F$147,0))/$D170</f>
        <v>#VALUE!</v>
      </c>
      <c r="G170" s="57" t="e">
        <f>(_xlfn.XLOOKUP('Summary Data'!$A170,'Round 1 Data'!$A$10:$A$143,'Round 1 Data'!G$10:G$144,0)+_xlfn.XLOOKUP('Summary Data'!$A170,'Round 2 Data'!$A$10:$A$146,'Round 2 Data'!G$10:G$146,0)+_xlfn.XLOOKUP('Summary Data'!$A170,'Round 3 Data'!$A$10:$A$145,'Round 3 Data'!G$10:G$145,0)+_xlfn.XLOOKUP('Summary Data'!$A170,'Round 4 Data'!$A$10:$A$147,'Round 4 Data'!G$10:G$147,0))/$D170</f>
        <v>#VALUE!</v>
      </c>
      <c r="H170" s="57" t="e">
        <f>(_xlfn.XLOOKUP('Summary Data'!$A170,'Round 1 Data'!$A$10:$A$143,'Round 1 Data'!H$10:H$144,0)+_xlfn.XLOOKUP('Summary Data'!$A170,'Round 2 Data'!$A$10:$A$146,'Round 2 Data'!H$10:H$146,0)+_xlfn.XLOOKUP('Summary Data'!$A170,'Round 3 Data'!$A$10:$A$145,'Round 3 Data'!H$10:H$145,0)+_xlfn.XLOOKUP('Summary Data'!$A170,'Round 4 Data'!$A$10:$A$147,'Round 4 Data'!H$10:H$147,0))/$D170</f>
        <v>#VALUE!</v>
      </c>
      <c r="I170" s="57" t="e">
        <f>(_xlfn.XLOOKUP('Summary Data'!$A170,'Round 1 Data'!$A$10:$A$143,'Round 1 Data'!I$10:I$144,0)+_xlfn.XLOOKUP('Summary Data'!$A170,'Round 2 Data'!$A$10:$A$146,'Round 2 Data'!I$10:I$146,0)+_xlfn.XLOOKUP('Summary Data'!$A170,'Round 3 Data'!$A$10:$A$145,'Round 3 Data'!I$10:I$145,0)+_xlfn.XLOOKUP('Summary Data'!$A170,'Round 4 Data'!$A$10:$A$147,'Round 4 Data'!I$10:I$147,0))/$D170</f>
        <v>#VALUE!</v>
      </c>
      <c r="J170" s="57" t="e">
        <f>(_xlfn.XLOOKUP('Summary Data'!$A170,'Round 1 Data'!$A$10:$A$143,'Round 1 Data'!J$10:J$144,0)+_xlfn.XLOOKUP('Summary Data'!$A170,'Round 2 Data'!$A$10:$A$146,'Round 2 Data'!J$10:J$146,0)+_xlfn.XLOOKUP('Summary Data'!$A170,'Round 3 Data'!$A$10:$A$145,'Round 3 Data'!J$10:J$145,0)+_xlfn.XLOOKUP('Summary Data'!$A170,'Round 4 Data'!$A$10:$A$147,'Round 4 Data'!J$10:J$147,0))/$D170</f>
        <v>#VALUE!</v>
      </c>
      <c r="K170" s="57" t="e">
        <f>(_xlfn.XLOOKUP('Summary Data'!$A170,'Round 1 Data'!$A$10:$A$143,'Round 1 Data'!K$10:K$144,0)+_xlfn.XLOOKUP('Summary Data'!$A170,'Round 2 Data'!$A$10:$A$146,'Round 2 Data'!K$10:K$146,0)+_xlfn.XLOOKUP('Summary Data'!$A170,'Round 3 Data'!$A$10:$A$145,'Round 3 Data'!K$10:K$145,0)+_xlfn.XLOOKUP('Summary Data'!$A170,'Round 4 Data'!$A$10:$A$147,'Round 4 Data'!K$10:K$147,0))/$D170</f>
        <v>#VALUE!</v>
      </c>
      <c r="L170" s="57" t="e">
        <f>(_xlfn.XLOOKUP('Summary Data'!$A170,'Round 1 Data'!$A$10:$A$143,'Round 1 Data'!L$10:L$144,0)+_xlfn.XLOOKUP('Summary Data'!$A170,'Round 2 Data'!$A$10:$A$146,'Round 2 Data'!L$10:L$146,0)+_xlfn.XLOOKUP('Summary Data'!$A170,'Round 3 Data'!$A$10:$A$145,'Round 3 Data'!L$10:L$145,0)+_xlfn.XLOOKUP('Summary Data'!$A170,'Round 4 Data'!$A$10:$A$147,'Round 4 Data'!L$10:L$147,0))/$D170</f>
        <v>#VALUE!</v>
      </c>
      <c r="M170" s="57" t="e">
        <f>(_xlfn.XLOOKUP('Summary Data'!$A170,'Round 1 Data'!$A$10:$A$143,'Round 1 Data'!M$10:M$144,0)+_xlfn.XLOOKUP('Summary Data'!$A170,'Round 2 Data'!$A$10:$A$146,'Round 2 Data'!M$10:M$146,0)+_xlfn.XLOOKUP('Summary Data'!$A170,'Round 3 Data'!$A$10:$A$145,'Round 3 Data'!M$10:M$145,0)+_xlfn.XLOOKUP('Summary Data'!$A170,'Round 4 Data'!$A$10:$A$147,'Round 4 Data'!M$10:M$147,0))/$D170</f>
        <v>#VALUE!</v>
      </c>
      <c r="N170" s="57" t="e">
        <f>(_xlfn.XLOOKUP('Summary Data'!$A170,'Round 1 Data'!$A$10:$A$143,'Round 1 Data'!N$10:N$144,0)+_xlfn.XLOOKUP('Summary Data'!$A170,'Round 2 Data'!$A$10:$A$146,'Round 2 Data'!N$10:N$146,0)+_xlfn.XLOOKUP('Summary Data'!$A170,'Round 3 Data'!$A$10:$A$145,'Round 3 Data'!N$10:N$145,0)+_xlfn.XLOOKUP('Summary Data'!$A170,'Round 4 Data'!$A$10:$A$147,'Round 4 Data'!N$10:N$147,0))/$D170</f>
        <v>#VALUE!</v>
      </c>
      <c r="O170" s="57" t="e">
        <f>(_xlfn.XLOOKUP('Summary Data'!$A170,'Round 1 Data'!$A$10:$A$143,'Round 1 Data'!O$10:O$144,0)+_xlfn.XLOOKUP('Summary Data'!$A170,'Round 2 Data'!$A$10:$A$146,'Round 2 Data'!O$10:O$146,0)+_xlfn.XLOOKUP('Summary Data'!$A170,'Round 3 Data'!$A$10:$A$145,'Round 3 Data'!O$10:O$145,0)+_xlfn.XLOOKUP('Summary Data'!$A170,'Round 4 Data'!$A$10:$A$147,'Round 4 Data'!O$10:O$147,0))/$D170</f>
        <v>#VALUE!</v>
      </c>
      <c r="P170" s="57" t="e">
        <f>(_xlfn.XLOOKUP('Summary Data'!$A170,'Round 1 Data'!$A$10:$A$143,'Round 1 Data'!P$10:P$144,0)+_xlfn.XLOOKUP('Summary Data'!$A170,'Round 2 Data'!$A$10:$A$146,'Round 2 Data'!P$10:P$146,0)+_xlfn.XLOOKUP('Summary Data'!$A170,'Round 3 Data'!$A$10:$A$145,'Round 3 Data'!P$10:P$145,0)+_xlfn.XLOOKUP('Summary Data'!$A170,'Round 4 Data'!$A$10:$A$147,'Round 4 Data'!P$10:P$147,0))/$D170</f>
        <v>#VALUE!</v>
      </c>
      <c r="Q170" s="57" t="e">
        <f>(_xlfn.XLOOKUP('Summary Data'!$A170,'Round 1 Data'!$A$10:$A$143,'Round 1 Data'!Q$10:Q$144,0)+_xlfn.XLOOKUP('Summary Data'!$A170,'Round 2 Data'!$A$10:$A$146,'Round 2 Data'!Q$10:Q$146,0)+_xlfn.XLOOKUP('Summary Data'!$A170,'Round 3 Data'!$A$10:$A$145,'Round 3 Data'!Q$10:Q$145,0)+_xlfn.XLOOKUP('Summary Data'!$A170,'Round 4 Data'!$A$10:$A$147,'Round 4 Data'!Q$10:Q$147,0))/$D170</f>
        <v>#VALUE!</v>
      </c>
      <c r="R170" s="57" t="e">
        <f>(_xlfn.XLOOKUP('Summary Data'!$A170,'Round 1 Data'!$A$10:$A$143,'Round 1 Data'!R$10:R$144,0)+_xlfn.XLOOKUP('Summary Data'!$A170,'Round 2 Data'!$A$10:$A$146,'Round 2 Data'!R$10:R$146,0)+_xlfn.XLOOKUP('Summary Data'!$A170,'Round 3 Data'!$A$10:$A$145,'Round 3 Data'!R$10:R$145,0)+_xlfn.XLOOKUP('Summary Data'!$A170,'Round 4 Data'!$A$10:$A$147,'Round 4 Data'!R$10:R$147,0))/$D170</f>
        <v>#VALUE!</v>
      </c>
      <c r="S170" s="57" t="e">
        <f>(_xlfn.XLOOKUP('Summary Data'!$A170,'Round 1 Data'!$A$10:$A$143,'Round 1 Data'!S$10:S$144,0)+_xlfn.XLOOKUP('Summary Data'!$A170,'Round 2 Data'!$A$10:$A$146,'Round 2 Data'!S$10:S$146,0)+_xlfn.XLOOKUP('Summary Data'!$A170,'Round 3 Data'!$A$10:$A$145,'Round 3 Data'!S$10:S$145,0)+_xlfn.XLOOKUP('Summary Data'!$A170,'Round 4 Data'!$A$10:$A$147,'Round 4 Data'!S$10:S$147,0))/$D170</f>
        <v>#VALUE!</v>
      </c>
      <c r="T170" s="62" t="e">
        <f>(_xlfn.XLOOKUP('Summary Data'!$A170,'Round 1 Data'!$A$10:$A$143,'Round 1 Data'!U$10:U$144,0)+_xlfn.XLOOKUP('Summary Data'!$A170,'Round 2 Data'!$A$10:$A$146,'Round 2 Data'!U$10:U$146,0)+_xlfn.XLOOKUP('Summary Data'!$A170,'Round 3 Data'!$A$10:$A$145,'Round 3 Data'!U$10:U$145,0)+_xlfn.XLOOKUP('Summary Data'!$A170,'Round 4 Data'!$A$10:$A$147,'Round 4 Data'!U$10:U$147,0))</f>
        <v>#VALUE!</v>
      </c>
    </row>
    <row r="171" spans="1:20" ht="16" thickBot="1" x14ac:dyDescent="0.25">
      <c r="A171" s="63" t="s">
        <v>175</v>
      </c>
      <c r="B171" t="s">
        <v>193</v>
      </c>
      <c r="C171" t="s">
        <v>195</v>
      </c>
      <c r="D171" t="e">
        <f>IF(_xlfn.XLOOKUP('Summary Data'!A171,'Round 1 Data'!$A$10:$A$143,'Round 1 Data'!$E$10:$E$144,0)=0,0,1)+IF(_xlfn.XLOOKUP('Summary Data'!A171,'Round 2 Data'!$A$10:$A$146,'Round 2 Data'!$E$10:$E$146,0)=0,0,1)+IF(_xlfn.XLOOKUP('Summary Data'!A171,'Round 3 Data'!$A$10:$A$145,'Round 3 Data'!$E$10:$E$145,0)=0,0,1)+IF(_xlfn.XLOOKUP('Summary Data'!A171,'Round 4 Data'!$A$10:$A$147,'Round 4 Data'!$E$10:$E$147,0)=0,0,1)</f>
        <v>#VALUE!</v>
      </c>
      <c r="E171" s="57" t="e">
        <f>(_xlfn.XLOOKUP('Summary Data'!$A171,'Round 1 Data'!$A$10:$A$143,'Round 1 Data'!E$10:E$144,0)+_xlfn.XLOOKUP('Summary Data'!$A171,'Round 2 Data'!$A$10:$A$146,'Round 2 Data'!E$10:E$146,0)+_xlfn.XLOOKUP('Summary Data'!$A171,'Round 3 Data'!$A$10:$A$145,'Round 3 Data'!E$10:E$145,0)+_xlfn.XLOOKUP('Summary Data'!$A171,'Round 4 Data'!$A$10:$A$147,'Round 4 Data'!E$10:E$147,0))/$D171</f>
        <v>#VALUE!</v>
      </c>
      <c r="F171" s="57" t="e">
        <f>(_xlfn.XLOOKUP('Summary Data'!$A171,'Round 1 Data'!$A$10:$A$143,'Round 1 Data'!F$10:F$144,0)+_xlfn.XLOOKUP('Summary Data'!$A171,'Round 2 Data'!$A$10:$A$146,'Round 2 Data'!F$10:F$146,0)+_xlfn.XLOOKUP('Summary Data'!$A171,'Round 3 Data'!$A$10:$A$145,'Round 3 Data'!F$10:F$145,0)+_xlfn.XLOOKUP('Summary Data'!$A171,'Round 4 Data'!$A$10:$A$147,'Round 4 Data'!F$10:F$147,0))/$D171</f>
        <v>#VALUE!</v>
      </c>
      <c r="G171" s="57" t="e">
        <f>(_xlfn.XLOOKUP('Summary Data'!$A171,'Round 1 Data'!$A$10:$A$143,'Round 1 Data'!G$10:G$144,0)+_xlfn.XLOOKUP('Summary Data'!$A171,'Round 2 Data'!$A$10:$A$146,'Round 2 Data'!G$10:G$146,0)+_xlfn.XLOOKUP('Summary Data'!$A171,'Round 3 Data'!$A$10:$A$145,'Round 3 Data'!G$10:G$145,0)+_xlfn.XLOOKUP('Summary Data'!$A171,'Round 4 Data'!$A$10:$A$147,'Round 4 Data'!G$10:G$147,0))/$D171</f>
        <v>#VALUE!</v>
      </c>
      <c r="H171" s="57" t="e">
        <f>(_xlfn.XLOOKUP('Summary Data'!$A171,'Round 1 Data'!$A$10:$A$143,'Round 1 Data'!H$10:H$144,0)+_xlfn.XLOOKUP('Summary Data'!$A171,'Round 2 Data'!$A$10:$A$146,'Round 2 Data'!H$10:H$146,0)+_xlfn.XLOOKUP('Summary Data'!$A171,'Round 3 Data'!$A$10:$A$145,'Round 3 Data'!H$10:H$145,0)+_xlfn.XLOOKUP('Summary Data'!$A171,'Round 4 Data'!$A$10:$A$147,'Round 4 Data'!H$10:H$147,0))/$D171</f>
        <v>#VALUE!</v>
      </c>
      <c r="I171" s="57" t="e">
        <f>(_xlfn.XLOOKUP('Summary Data'!$A171,'Round 1 Data'!$A$10:$A$143,'Round 1 Data'!I$10:I$144,0)+_xlfn.XLOOKUP('Summary Data'!$A171,'Round 2 Data'!$A$10:$A$146,'Round 2 Data'!I$10:I$146,0)+_xlfn.XLOOKUP('Summary Data'!$A171,'Round 3 Data'!$A$10:$A$145,'Round 3 Data'!I$10:I$145,0)+_xlfn.XLOOKUP('Summary Data'!$A171,'Round 4 Data'!$A$10:$A$147,'Round 4 Data'!I$10:I$147,0))/$D171</f>
        <v>#VALUE!</v>
      </c>
      <c r="J171" s="57" t="e">
        <f>(_xlfn.XLOOKUP('Summary Data'!$A171,'Round 1 Data'!$A$10:$A$143,'Round 1 Data'!J$10:J$144,0)+_xlfn.XLOOKUP('Summary Data'!$A171,'Round 2 Data'!$A$10:$A$146,'Round 2 Data'!J$10:J$146,0)+_xlfn.XLOOKUP('Summary Data'!$A171,'Round 3 Data'!$A$10:$A$145,'Round 3 Data'!J$10:J$145,0)+_xlfn.XLOOKUP('Summary Data'!$A171,'Round 4 Data'!$A$10:$A$147,'Round 4 Data'!J$10:J$147,0))/$D171</f>
        <v>#VALUE!</v>
      </c>
      <c r="K171" s="57" t="e">
        <f>(_xlfn.XLOOKUP('Summary Data'!$A171,'Round 1 Data'!$A$10:$A$143,'Round 1 Data'!K$10:K$144,0)+_xlfn.XLOOKUP('Summary Data'!$A171,'Round 2 Data'!$A$10:$A$146,'Round 2 Data'!K$10:K$146,0)+_xlfn.XLOOKUP('Summary Data'!$A171,'Round 3 Data'!$A$10:$A$145,'Round 3 Data'!K$10:K$145,0)+_xlfn.XLOOKUP('Summary Data'!$A171,'Round 4 Data'!$A$10:$A$147,'Round 4 Data'!K$10:K$147,0))/$D171</f>
        <v>#VALUE!</v>
      </c>
      <c r="L171" s="57" t="e">
        <f>(_xlfn.XLOOKUP('Summary Data'!$A171,'Round 1 Data'!$A$10:$A$143,'Round 1 Data'!L$10:L$144,0)+_xlfn.XLOOKUP('Summary Data'!$A171,'Round 2 Data'!$A$10:$A$146,'Round 2 Data'!L$10:L$146,0)+_xlfn.XLOOKUP('Summary Data'!$A171,'Round 3 Data'!$A$10:$A$145,'Round 3 Data'!L$10:L$145,0)+_xlfn.XLOOKUP('Summary Data'!$A171,'Round 4 Data'!$A$10:$A$147,'Round 4 Data'!L$10:L$147,0))/$D171</f>
        <v>#VALUE!</v>
      </c>
      <c r="M171" s="57" t="e">
        <f>(_xlfn.XLOOKUP('Summary Data'!$A171,'Round 1 Data'!$A$10:$A$143,'Round 1 Data'!M$10:M$144,0)+_xlfn.XLOOKUP('Summary Data'!$A171,'Round 2 Data'!$A$10:$A$146,'Round 2 Data'!M$10:M$146,0)+_xlfn.XLOOKUP('Summary Data'!$A171,'Round 3 Data'!$A$10:$A$145,'Round 3 Data'!M$10:M$145,0)+_xlfn.XLOOKUP('Summary Data'!$A171,'Round 4 Data'!$A$10:$A$147,'Round 4 Data'!M$10:M$147,0))/$D171</f>
        <v>#VALUE!</v>
      </c>
      <c r="N171" s="57" t="e">
        <f>(_xlfn.XLOOKUP('Summary Data'!$A171,'Round 1 Data'!$A$10:$A$143,'Round 1 Data'!N$10:N$144,0)+_xlfn.XLOOKUP('Summary Data'!$A171,'Round 2 Data'!$A$10:$A$146,'Round 2 Data'!N$10:N$146,0)+_xlfn.XLOOKUP('Summary Data'!$A171,'Round 3 Data'!$A$10:$A$145,'Round 3 Data'!N$10:N$145,0)+_xlfn.XLOOKUP('Summary Data'!$A171,'Round 4 Data'!$A$10:$A$147,'Round 4 Data'!N$10:N$147,0))/$D171</f>
        <v>#VALUE!</v>
      </c>
      <c r="O171" s="57" t="e">
        <f>(_xlfn.XLOOKUP('Summary Data'!$A171,'Round 1 Data'!$A$10:$A$143,'Round 1 Data'!O$10:O$144,0)+_xlfn.XLOOKUP('Summary Data'!$A171,'Round 2 Data'!$A$10:$A$146,'Round 2 Data'!O$10:O$146,0)+_xlfn.XLOOKUP('Summary Data'!$A171,'Round 3 Data'!$A$10:$A$145,'Round 3 Data'!O$10:O$145,0)+_xlfn.XLOOKUP('Summary Data'!$A171,'Round 4 Data'!$A$10:$A$147,'Round 4 Data'!O$10:O$147,0))/$D171</f>
        <v>#VALUE!</v>
      </c>
      <c r="P171" s="57" t="e">
        <f>(_xlfn.XLOOKUP('Summary Data'!$A171,'Round 1 Data'!$A$10:$A$143,'Round 1 Data'!P$10:P$144,0)+_xlfn.XLOOKUP('Summary Data'!$A171,'Round 2 Data'!$A$10:$A$146,'Round 2 Data'!P$10:P$146,0)+_xlfn.XLOOKUP('Summary Data'!$A171,'Round 3 Data'!$A$10:$A$145,'Round 3 Data'!P$10:P$145,0)+_xlfn.XLOOKUP('Summary Data'!$A171,'Round 4 Data'!$A$10:$A$147,'Round 4 Data'!P$10:P$147,0))/$D171</f>
        <v>#VALUE!</v>
      </c>
      <c r="Q171" s="57" t="e">
        <f>(_xlfn.XLOOKUP('Summary Data'!$A171,'Round 1 Data'!$A$10:$A$143,'Round 1 Data'!Q$10:Q$144,0)+_xlfn.XLOOKUP('Summary Data'!$A171,'Round 2 Data'!$A$10:$A$146,'Round 2 Data'!Q$10:Q$146,0)+_xlfn.XLOOKUP('Summary Data'!$A171,'Round 3 Data'!$A$10:$A$145,'Round 3 Data'!Q$10:Q$145,0)+_xlfn.XLOOKUP('Summary Data'!$A171,'Round 4 Data'!$A$10:$A$147,'Round 4 Data'!Q$10:Q$147,0))/$D171</f>
        <v>#VALUE!</v>
      </c>
      <c r="R171" s="57" t="e">
        <f>(_xlfn.XLOOKUP('Summary Data'!$A171,'Round 1 Data'!$A$10:$A$143,'Round 1 Data'!R$10:R$144,0)+_xlfn.XLOOKUP('Summary Data'!$A171,'Round 2 Data'!$A$10:$A$146,'Round 2 Data'!R$10:R$146,0)+_xlfn.XLOOKUP('Summary Data'!$A171,'Round 3 Data'!$A$10:$A$145,'Round 3 Data'!R$10:R$145,0)+_xlfn.XLOOKUP('Summary Data'!$A171,'Round 4 Data'!$A$10:$A$147,'Round 4 Data'!R$10:R$147,0))/$D171</f>
        <v>#VALUE!</v>
      </c>
      <c r="S171" s="57" t="e">
        <f>(_xlfn.XLOOKUP('Summary Data'!$A171,'Round 1 Data'!$A$10:$A$143,'Round 1 Data'!S$10:S$144,0)+_xlfn.XLOOKUP('Summary Data'!$A171,'Round 2 Data'!$A$10:$A$146,'Round 2 Data'!S$10:S$146,0)+_xlfn.XLOOKUP('Summary Data'!$A171,'Round 3 Data'!$A$10:$A$145,'Round 3 Data'!S$10:S$145,0)+_xlfn.XLOOKUP('Summary Data'!$A171,'Round 4 Data'!$A$10:$A$147,'Round 4 Data'!S$10:S$147,0))/$D171</f>
        <v>#VALUE!</v>
      </c>
      <c r="T171" s="62" t="e">
        <f>(_xlfn.XLOOKUP('Summary Data'!$A171,'Round 1 Data'!$A$10:$A$143,'Round 1 Data'!U$10:U$144,0)+_xlfn.XLOOKUP('Summary Data'!$A171,'Round 2 Data'!$A$10:$A$146,'Round 2 Data'!U$10:U$146,0)+_xlfn.XLOOKUP('Summary Data'!$A171,'Round 3 Data'!$A$10:$A$145,'Round 3 Data'!U$10:U$145,0)+_xlfn.XLOOKUP('Summary Data'!$A171,'Round 4 Data'!$A$10:$A$147,'Round 4 Data'!U$10:U$147,0))</f>
        <v>#VALUE!</v>
      </c>
    </row>
    <row r="172" spans="1:20" ht="16" thickBot="1" x14ac:dyDescent="0.25">
      <c r="A172" s="65" t="s">
        <v>176</v>
      </c>
      <c r="B172" t="s">
        <v>193</v>
      </c>
      <c r="C172" t="s">
        <v>197</v>
      </c>
      <c r="D172" t="e">
        <f>IF(_xlfn.XLOOKUP('Summary Data'!A172,'Round 1 Data'!$A$10:$A$143,'Round 1 Data'!$E$10:$E$144,0)=0,0,1)+IF(_xlfn.XLOOKUP('Summary Data'!A172,'Round 2 Data'!$A$10:$A$146,'Round 2 Data'!$E$10:$E$146,0)=0,0,1)+IF(_xlfn.XLOOKUP('Summary Data'!A172,'Round 3 Data'!$A$10:$A$145,'Round 3 Data'!$E$10:$E$145,0)=0,0,1)+IF(_xlfn.XLOOKUP('Summary Data'!A172,'Round 4 Data'!$A$10:$A$147,'Round 4 Data'!$E$10:$E$147,0)=0,0,1)</f>
        <v>#VALUE!</v>
      </c>
      <c r="E172" s="57" t="e">
        <f>(_xlfn.XLOOKUP('Summary Data'!$A172,'Round 1 Data'!$A$10:$A$143,'Round 1 Data'!E$10:E$144,0)+_xlfn.XLOOKUP('Summary Data'!$A172,'Round 2 Data'!$A$10:$A$146,'Round 2 Data'!E$10:E$146,0)+_xlfn.XLOOKUP('Summary Data'!$A172,'Round 3 Data'!$A$10:$A$145,'Round 3 Data'!E$10:E$145,0)+_xlfn.XLOOKUP('Summary Data'!$A172,'Round 4 Data'!$A$10:$A$147,'Round 4 Data'!E$10:E$147,0))/$D172</f>
        <v>#VALUE!</v>
      </c>
      <c r="F172" s="57" t="e">
        <f>(_xlfn.XLOOKUP('Summary Data'!$A172,'Round 1 Data'!$A$10:$A$143,'Round 1 Data'!F$10:F$144,0)+_xlfn.XLOOKUP('Summary Data'!$A172,'Round 2 Data'!$A$10:$A$146,'Round 2 Data'!F$10:F$146,0)+_xlfn.XLOOKUP('Summary Data'!$A172,'Round 3 Data'!$A$10:$A$145,'Round 3 Data'!F$10:F$145,0)+_xlfn.XLOOKUP('Summary Data'!$A172,'Round 4 Data'!$A$10:$A$147,'Round 4 Data'!F$10:F$147,0))/$D172</f>
        <v>#VALUE!</v>
      </c>
      <c r="G172" s="57" t="e">
        <f>(_xlfn.XLOOKUP('Summary Data'!$A172,'Round 1 Data'!$A$10:$A$143,'Round 1 Data'!G$10:G$144,0)+_xlfn.XLOOKUP('Summary Data'!$A172,'Round 2 Data'!$A$10:$A$146,'Round 2 Data'!G$10:G$146,0)+_xlfn.XLOOKUP('Summary Data'!$A172,'Round 3 Data'!$A$10:$A$145,'Round 3 Data'!G$10:G$145,0)+_xlfn.XLOOKUP('Summary Data'!$A172,'Round 4 Data'!$A$10:$A$147,'Round 4 Data'!G$10:G$147,0))/$D172</f>
        <v>#VALUE!</v>
      </c>
      <c r="H172" s="57" t="e">
        <f>(_xlfn.XLOOKUP('Summary Data'!$A172,'Round 1 Data'!$A$10:$A$143,'Round 1 Data'!H$10:H$144,0)+_xlfn.XLOOKUP('Summary Data'!$A172,'Round 2 Data'!$A$10:$A$146,'Round 2 Data'!H$10:H$146,0)+_xlfn.XLOOKUP('Summary Data'!$A172,'Round 3 Data'!$A$10:$A$145,'Round 3 Data'!H$10:H$145,0)+_xlfn.XLOOKUP('Summary Data'!$A172,'Round 4 Data'!$A$10:$A$147,'Round 4 Data'!H$10:H$147,0))/$D172</f>
        <v>#VALUE!</v>
      </c>
      <c r="I172" s="57" t="e">
        <f>(_xlfn.XLOOKUP('Summary Data'!$A172,'Round 1 Data'!$A$10:$A$143,'Round 1 Data'!I$10:I$144,0)+_xlfn.XLOOKUP('Summary Data'!$A172,'Round 2 Data'!$A$10:$A$146,'Round 2 Data'!I$10:I$146,0)+_xlfn.XLOOKUP('Summary Data'!$A172,'Round 3 Data'!$A$10:$A$145,'Round 3 Data'!I$10:I$145,0)+_xlfn.XLOOKUP('Summary Data'!$A172,'Round 4 Data'!$A$10:$A$147,'Round 4 Data'!I$10:I$147,0))/$D172</f>
        <v>#VALUE!</v>
      </c>
      <c r="J172" s="57" t="e">
        <f>(_xlfn.XLOOKUP('Summary Data'!$A172,'Round 1 Data'!$A$10:$A$143,'Round 1 Data'!J$10:J$144,0)+_xlfn.XLOOKUP('Summary Data'!$A172,'Round 2 Data'!$A$10:$A$146,'Round 2 Data'!J$10:J$146,0)+_xlfn.XLOOKUP('Summary Data'!$A172,'Round 3 Data'!$A$10:$A$145,'Round 3 Data'!J$10:J$145,0)+_xlfn.XLOOKUP('Summary Data'!$A172,'Round 4 Data'!$A$10:$A$147,'Round 4 Data'!J$10:J$147,0))/$D172</f>
        <v>#VALUE!</v>
      </c>
      <c r="K172" s="57" t="e">
        <f>(_xlfn.XLOOKUP('Summary Data'!$A172,'Round 1 Data'!$A$10:$A$143,'Round 1 Data'!K$10:K$144,0)+_xlfn.XLOOKUP('Summary Data'!$A172,'Round 2 Data'!$A$10:$A$146,'Round 2 Data'!K$10:K$146,0)+_xlfn.XLOOKUP('Summary Data'!$A172,'Round 3 Data'!$A$10:$A$145,'Round 3 Data'!K$10:K$145,0)+_xlfn.XLOOKUP('Summary Data'!$A172,'Round 4 Data'!$A$10:$A$147,'Round 4 Data'!K$10:K$147,0))/$D172</f>
        <v>#VALUE!</v>
      </c>
      <c r="L172" s="57" t="e">
        <f>(_xlfn.XLOOKUP('Summary Data'!$A172,'Round 1 Data'!$A$10:$A$143,'Round 1 Data'!L$10:L$144,0)+_xlfn.XLOOKUP('Summary Data'!$A172,'Round 2 Data'!$A$10:$A$146,'Round 2 Data'!L$10:L$146,0)+_xlfn.XLOOKUP('Summary Data'!$A172,'Round 3 Data'!$A$10:$A$145,'Round 3 Data'!L$10:L$145,0)+_xlfn.XLOOKUP('Summary Data'!$A172,'Round 4 Data'!$A$10:$A$147,'Round 4 Data'!L$10:L$147,0))/$D172</f>
        <v>#VALUE!</v>
      </c>
      <c r="M172" s="57" t="e">
        <f>(_xlfn.XLOOKUP('Summary Data'!$A172,'Round 1 Data'!$A$10:$A$143,'Round 1 Data'!M$10:M$144,0)+_xlfn.XLOOKUP('Summary Data'!$A172,'Round 2 Data'!$A$10:$A$146,'Round 2 Data'!M$10:M$146,0)+_xlfn.XLOOKUP('Summary Data'!$A172,'Round 3 Data'!$A$10:$A$145,'Round 3 Data'!M$10:M$145,0)+_xlfn.XLOOKUP('Summary Data'!$A172,'Round 4 Data'!$A$10:$A$147,'Round 4 Data'!M$10:M$147,0))/$D172</f>
        <v>#VALUE!</v>
      </c>
      <c r="N172" s="57" t="e">
        <f>(_xlfn.XLOOKUP('Summary Data'!$A172,'Round 1 Data'!$A$10:$A$143,'Round 1 Data'!N$10:N$144,0)+_xlfn.XLOOKUP('Summary Data'!$A172,'Round 2 Data'!$A$10:$A$146,'Round 2 Data'!N$10:N$146,0)+_xlfn.XLOOKUP('Summary Data'!$A172,'Round 3 Data'!$A$10:$A$145,'Round 3 Data'!N$10:N$145,0)+_xlfn.XLOOKUP('Summary Data'!$A172,'Round 4 Data'!$A$10:$A$147,'Round 4 Data'!N$10:N$147,0))/$D172</f>
        <v>#VALUE!</v>
      </c>
      <c r="O172" s="57" t="e">
        <f>(_xlfn.XLOOKUP('Summary Data'!$A172,'Round 1 Data'!$A$10:$A$143,'Round 1 Data'!O$10:O$144,0)+_xlfn.XLOOKUP('Summary Data'!$A172,'Round 2 Data'!$A$10:$A$146,'Round 2 Data'!O$10:O$146,0)+_xlfn.XLOOKUP('Summary Data'!$A172,'Round 3 Data'!$A$10:$A$145,'Round 3 Data'!O$10:O$145,0)+_xlfn.XLOOKUP('Summary Data'!$A172,'Round 4 Data'!$A$10:$A$147,'Round 4 Data'!O$10:O$147,0))/$D172</f>
        <v>#VALUE!</v>
      </c>
      <c r="P172" s="57" t="e">
        <f>(_xlfn.XLOOKUP('Summary Data'!$A172,'Round 1 Data'!$A$10:$A$143,'Round 1 Data'!P$10:P$144,0)+_xlfn.XLOOKUP('Summary Data'!$A172,'Round 2 Data'!$A$10:$A$146,'Round 2 Data'!P$10:P$146,0)+_xlfn.XLOOKUP('Summary Data'!$A172,'Round 3 Data'!$A$10:$A$145,'Round 3 Data'!P$10:P$145,0)+_xlfn.XLOOKUP('Summary Data'!$A172,'Round 4 Data'!$A$10:$A$147,'Round 4 Data'!P$10:P$147,0))/$D172</f>
        <v>#VALUE!</v>
      </c>
      <c r="Q172" s="57" t="e">
        <f>(_xlfn.XLOOKUP('Summary Data'!$A172,'Round 1 Data'!$A$10:$A$143,'Round 1 Data'!Q$10:Q$144,0)+_xlfn.XLOOKUP('Summary Data'!$A172,'Round 2 Data'!$A$10:$A$146,'Round 2 Data'!Q$10:Q$146,0)+_xlfn.XLOOKUP('Summary Data'!$A172,'Round 3 Data'!$A$10:$A$145,'Round 3 Data'!Q$10:Q$145,0)+_xlfn.XLOOKUP('Summary Data'!$A172,'Round 4 Data'!$A$10:$A$147,'Round 4 Data'!Q$10:Q$147,0))/$D172</f>
        <v>#VALUE!</v>
      </c>
      <c r="R172" s="57" t="e">
        <f>(_xlfn.XLOOKUP('Summary Data'!$A172,'Round 1 Data'!$A$10:$A$143,'Round 1 Data'!R$10:R$144,0)+_xlfn.XLOOKUP('Summary Data'!$A172,'Round 2 Data'!$A$10:$A$146,'Round 2 Data'!R$10:R$146,0)+_xlfn.XLOOKUP('Summary Data'!$A172,'Round 3 Data'!$A$10:$A$145,'Round 3 Data'!R$10:R$145,0)+_xlfn.XLOOKUP('Summary Data'!$A172,'Round 4 Data'!$A$10:$A$147,'Round 4 Data'!R$10:R$147,0))/$D172</f>
        <v>#VALUE!</v>
      </c>
      <c r="S172" s="57" t="e">
        <f>(_xlfn.XLOOKUP('Summary Data'!$A172,'Round 1 Data'!$A$10:$A$143,'Round 1 Data'!S$10:S$144,0)+_xlfn.XLOOKUP('Summary Data'!$A172,'Round 2 Data'!$A$10:$A$146,'Round 2 Data'!S$10:S$146,0)+_xlfn.XLOOKUP('Summary Data'!$A172,'Round 3 Data'!$A$10:$A$145,'Round 3 Data'!S$10:S$145,0)+_xlfn.XLOOKUP('Summary Data'!$A172,'Round 4 Data'!$A$10:$A$147,'Round 4 Data'!S$10:S$147,0))/$D172</f>
        <v>#VALUE!</v>
      </c>
      <c r="T172" s="62" t="e">
        <f>(_xlfn.XLOOKUP('Summary Data'!$A172,'Round 1 Data'!$A$10:$A$143,'Round 1 Data'!U$10:U$144,0)+_xlfn.XLOOKUP('Summary Data'!$A172,'Round 2 Data'!$A$10:$A$146,'Round 2 Data'!U$10:U$146,0)+_xlfn.XLOOKUP('Summary Data'!$A172,'Round 3 Data'!$A$10:$A$145,'Round 3 Data'!U$10:U$145,0)+_xlfn.XLOOKUP('Summary Data'!$A172,'Round 4 Data'!$A$10:$A$147,'Round 4 Data'!U$10:U$147,0))</f>
        <v>#VALUE!</v>
      </c>
    </row>
    <row r="173" spans="1:20" ht="16" thickBot="1" x14ac:dyDescent="0.25">
      <c r="A173" s="63" t="s">
        <v>177</v>
      </c>
      <c r="B173" t="s">
        <v>193</v>
      </c>
      <c r="C173" t="s">
        <v>200</v>
      </c>
      <c r="D173" t="e">
        <f>IF(_xlfn.XLOOKUP('Summary Data'!A173,'Round 1 Data'!$A$10:$A$143,'Round 1 Data'!$E$10:$E$144,0)=0,0,1)+IF(_xlfn.XLOOKUP('Summary Data'!A173,'Round 2 Data'!$A$10:$A$146,'Round 2 Data'!$E$10:$E$146,0)=0,0,1)+IF(_xlfn.XLOOKUP('Summary Data'!A173,'Round 3 Data'!$A$10:$A$145,'Round 3 Data'!$E$10:$E$145,0)=0,0,1)+IF(_xlfn.XLOOKUP('Summary Data'!A173,'Round 4 Data'!$A$10:$A$147,'Round 4 Data'!$E$10:$E$147,0)=0,0,1)</f>
        <v>#VALUE!</v>
      </c>
      <c r="E173" s="57" t="e">
        <f>(_xlfn.XLOOKUP('Summary Data'!$A173,'Round 1 Data'!$A$10:$A$143,'Round 1 Data'!E$10:E$144,0)+_xlfn.XLOOKUP('Summary Data'!$A173,'Round 2 Data'!$A$10:$A$146,'Round 2 Data'!E$10:E$146,0)+_xlfn.XLOOKUP('Summary Data'!$A173,'Round 3 Data'!$A$10:$A$145,'Round 3 Data'!E$10:E$145,0)+_xlfn.XLOOKUP('Summary Data'!$A173,'Round 4 Data'!$A$10:$A$147,'Round 4 Data'!E$10:E$147,0))/$D173</f>
        <v>#VALUE!</v>
      </c>
      <c r="F173" s="57" t="e">
        <f>(_xlfn.XLOOKUP('Summary Data'!$A173,'Round 1 Data'!$A$10:$A$143,'Round 1 Data'!F$10:F$144,0)+_xlfn.XLOOKUP('Summary Data'!$A173,'Round 2 Data'!$A$10:$A$146,'Round 2 Data'!F$10:F$146,0)+_xlfn.XLOOKUP('Summary Data'!$A173,'Round 3 Data'!$A$10:$A$145,'Round 3 Data'!F$10:F$145,0)+_xlfn.XLOOKUP('Summary Data'!$A173,'Round 4 Data'!$A$10:$A$147,'Round 4 Data'!F$10:F$147,0))/$D173</f>
        <v>#VALUE!</v>
      </c>
      <c r="G173" s="57" t="e">
        <f>(_xlfn.XLOOKUP('Summary Data'!$A173,'Round 1 Data'!$A$10:$A$143,'Round 1 Data'!G$10:G$144,0)+_xlfn.XLOOKUP('Summary Data'!$A173,'Round 2 Data'!$A$10:$A$146,'Round 2 Data'!G$10:G$146,0)+_xlfn.XLOOKUP('Summary Data'!$A173,'Round 3 Data'!$A$10:$A$145,'Round 3 Data'!G$10:G$145,0)+_xlfn.XLOOKUP('Summary Data'!$A173,'Round 4 Data'!$A$10:$A$147,'Round 4 Data'!G$10:G$147,0))/$D173</f>
        <v>#VALUE!</v>
      </c>
      <c r="H173" s="57" t="e">
        <f>(_xlfn.XLOOKUP('Summary Data'!$A173,'Round 1 Data'!$A$10:$A$143,'Round 1 Data'!H$10:H$144,0)+_xlfn.XLOOKUP('Summary Data'!$A173,'Round 2 Data'!$A$10:$A$146,'Round 2 Data'!H$10:H$146,0)+_xlfn.XLOOKUP('Summary Data'!$A173,'Round 3 Data'!$A$10:$A$145,'Round 3 Data'!H$10:H$145,0)+_xlfn.XLOOKUP('Summary Data'!$A173,'Round 4 Data'!$A$10:$A$147,'Round 4 Data'!H$10:H$147,0))/$D173</f>
        <v>#VALUE!</v>
      </c>
      <c r="I173" s="57" t="e">
        <f>(_xlfn.XLOOKUP('Summary Data'!$A173,'Round 1 Data'!$A$10:$A$143,'Round 1 Data'!I$10:I$144,0)+_xlfn.XLOOKUP('Summary Data'!$A173,'Round 2 Data'!$A$10:$A$146,'Round 2 Data'!I$10:I$146,0)+_xlfn.XLOOKUP('Summary Data'!$A173,'Round 3 Data'!$A$10:$A$145,'Round 3 Data'!I$10:I$145,0)+_xlfn.XLOOKUP('Summary Data'!$A173,'Round 4 Data'!$A$10:$A$147,'Round 4 Data'!I$10:I$147,0))/$D173</f>
        <v>#VALUE!</v>
      </c>
      <c r="J173" s="57" t="e">
        <f>(_xlfn.XLOOKUP('Summary Data'!$A173,'Round 1 Data'!$A$10:$A$143,'Round 1 Data'!J$10:J$144,0)+_xlfn.XLOOKUP('Summary Data'!$A173,'Round 2 Data'!$A$10:$A$146,'Round 2 Data'!J$10:J$146,0)+_xlfn.XLOOKUP('Summary Data'!$A173,'Round 3 Data'!$A$10:$A$145,'Round 3 Data'!J$10:J$145,0)+_xlfn.XLOOKUP('Summary Data'!$A173,'Round 4 Data'!$A$10:$A$147,'Round 4 Data'!J$10:J$147,0))/$D173</f>
        <v>#VALUE!</v>
      </c>
      <c r="K173" s="57" t="e">
        <f>(_xlfn.XLOOKUP('Summary Data'!$A173,'Round 1 Data'!$A$10:$A$143,'Round 1 Data'!K$10:K$144,0)+_xlfn.XLOOKUP('Summary Data'!$A173,'Round 2 Data'!$A$10:$A$146,'Round 2 Data'!K$10:K$146,0)+_xlfn.XLOOKUP('Summary Data'!$A173,'Round 3 Data'!$A$10:$A$145,'Round 3 Data'!K$10:K$145,0)+_xlfn.XLOOKUP('Summary Data'!$A173,'Round 4 Data'!$A$10:$A$147,'Round 4 Data'!K$10:K$147,0))/$D173</f>
        <v>#VALUE!</v>
      </c>
      <c r="L173" s="57" t="e">
        <f>(_xlfn.XLOOKUP('Summary Data'!$A173,'Round 1 Data'!$A$10:$A$143,'Round 1 Data'!L$10:L$144,0)+_xlfn.XLOOKUP('Summary Data'!$A173,'Round 2 Data'!$A$10:$A$146,'Round 2 Data'!L$10:L$146,0)+_xlfn.XLOOKUP('Summary Data'!$A173,'Round 3 Data'!$A$10:$A$145,'Round 3 Data'!L$10:L$145,0)+_xlfn.XLOOKUP('Summary Data'!$A173,'Round 4 Data'!$A$10:$A$147,'Round 4 Data'!L$10:L$147,0))/$D173</f>
        <v>#VALUE!</v>
      </c>
      <c r="M173" s="57" t="e">
        <f>(_xlfn.XLOOKUP('Summary Data'!$A173,'Round 1 Data'!$A$10:$A$143,'Round 1 Data'!M$10:M$144,0)+_xlfn.XLOOKUP('Summary Data'!$A173,'Round 2 Data'!$A$10:$A$146,'Round 2 Data'!M$10:M$146,0)+_xlfn.XLOOKUP('Summary Data'!$A173,'Round 3 Data'!$A$10:$A$145,'Round 3 Data'!M$10:M$145,0)+_xlfn.XLOOKUP('Summary Data'!$A173,'Round 4 Data'!$A$10:$A$147,'Round 4 Data'!M$10:M$147,0))/$D173</f>
        <v>#VALUE!</v>
      </c>
      <c r="N173" s="57" t="e">
        <f>(_xlfn.XLOOKUP('Summary Data'!$A173,'Round 1 Data'!$A$10:$A$143,'Round 1 Data'!N$10:N$144,0)+_xlfn.XLOOKUP('Summary Data'!$A173,'Round 2 Data'!$A$10:$A$146,'Round 2 Data'!N$10:N$146,0)+_xlfn.XLOOKUP('Summary Data'!$A173,'Round 3 Data'!$A$10:$A$145,'Round 3 Data'!N$10:N$145,0)+_xlfn.XLOOKUP('Summary Data'!$A173,'Round 4 Data'!$A$10:$A$147,'Round 4 Data'!N$10:N$147,0))/$D173</f>
        <v>#VALUE!</v>
      </c>
      <c r="O173" s="57" t="e">
        <f>(_xlfn.XLOOKUP('Summary Data'!$A173,'Round 1 Data'!$A$10:$A$143,'Round 1 Data'!O$10:O$144,0)+_xlfn.XLOOKUP('Summary Data'!$A173,'Round 2 Data'!$A$10:$A$146,'Round 2 Data'!O$10:O$146,0)+_xlfn.XLOOKUP('Summary Data'!$A173,'Round 3 Data'!$A$10:$A$145,'Round 3 Data'!O$10:O$145,0)+_xlfn.XLOOKUP('Summary Data'!$A173,'Round 4 Data'!$A$10:$A$147,'Round 4 Data'!O$10:O$147,0))/$D173</f>
        <v>#VALUE!</v>
      </c>
      <c r="P173" s="57" t="e">
        <f>(_xlfn.XLOOKUP('Summary Data'!$A173,'Round 1 Data'!$A$10:$A$143,'Round 1 Data'!P$10:P$144,0)+_xlfn.XLOOKUP('Summary Data'!$A173,'Round 2 Data'!$A$10:$A$146,'Round 2 Data'!P$10:P$146,0)+_xlfn.XLOOKUP('Summary Data'!$A173,'Round 3 Data'!$A$10:$A$145,'Round 3 Data'!P$10:P$145,0)+_xlfn.XLOOKUP('Summary Data'!$A173,'Round 4 Data'!$A$10:$A$147,'Round 4 Data'!P$10:P$147,0))/$D173</f>
        <v>#VALUE!</v>
      </c>
      <c r="Q173" s="57" t="e">
        <f>(_xlfn.XLOOKUP('Summary Data'!$A173,'Round 1 Data'!$A$10:$A$143,'Round 1 Data'!Q$10:Q$144,0)+_xlfn.XLOOKUP('Summary Data'!$A173,'Round 2 Data'!$A$10:$A$146,'Round 2 Data'!Q$10:Q$146,0)+_xlfn.XLOOKUP('Summary Data'!$A173,'Round 3 Data'!$A$10:$A$145,'Round 3 Data'!Q$10:Q$145,0)+_xlfn.XLOOKUP('Summary Data'!$A173,'Round 4 Data'!$A$10:$A$147,'Round 4 Data'!Q$10:Q$147,0))/$D173</f>
        <v>#VALUE!</v>
      </c>
      <c r="R173" s="57" t="e">
        <f>(_xlfn.XLOOKUP('Summary Data'!$A173,'Round 1 Data'!$A$10:$A$143,'Round 1 Data'!R$10:R$144,0)+_xlfn.XLOOKUP('Summary Data'!$A173,'Round 2 Data'!$A$10:$A$146,'Round 2 Data'!R$10:R$146,0)+_xlfn.XLOOKUP('Summary Data'!$A173,'Round 3 Data'!$A$10:$A$145,'Round 3 Data'!R$10:R$145,0)+_xlfn.XLOOKUP('Summary Data'!$A173,'Round 4 Data'!$A$10:$A$147,'Round 4 Data'!R$10:R$147,0))/$D173</f>
        <v>#VALUE!</v>
      </c>
      <c r="S173" s="57" t="e">
        <f>(_xlfn.XLOOKUP('Summary Data'!$A173,'Round 1 Data'!$A$10:$A$143,'Round 1 Data'!S$10:S$144,0)+_xlfn.XLOOKUP('Summary Data'!$A173,'Round 2 Data'!$A$10:$A$146,'Round 2 Data'!S$10:S$146,0)+_xlfn.XLOOKUP('Summary Data'!$A173,'Round 3 Data'!$A$10:$A$145,'Round 3 Data'!S$10:S$145,0)+_xlfn.XLOOKUP('Summary Data'!$A173,'Round 4 Data'!$A$10:$A$147,'Round 4 Data'!S$10:S$147,0))/$D173</f>
        <v>#VALUE!</v>
      </c>
      <c r="T173" s="62" t="e">
        <f>(_xlfn.XLOOKUP('Summary Data'!$A173,'Round 1 Data'!$A$10:$A$143,'Round 1 Data'!U$10:U$144,0)+_xlfn.XLOOKUP('Summary Data'!$A173,'Round 2 Data'!$A$10:$A$146,'Round 2 Data'!U$10:U$146,0)+_xlfn.XLOOKUP('Summary Data'!$A173,'Round 3 Data'!$A$10:$A$145,'Round 3 Data'!U$10:U$145,0)+_xlfn.XLOOKUP('Summary Data'!$A173,'Round 4 Data'!$A$10:$A$147,'Round 4 Data'!U$10:U$147,0))</f>
        <v>#VALUE!</v>
      </c>
    </row>
    <row r="174" spans="1:20" ht="16" thickBot="1" x14ac:dyDescent="0.25">
      <c r="A174" s="61" t="s">
        <v>178</v>
      </c>
      <c r="B174" t="s">
        <v>193</v>
      </c>
      <c r="C174" t="s">
        <v>201</v>
      </c>
      <c r="D174" t="e">
        <f>IF(_xlfn.XLOOKUP('Summary Data'!A174,'Round 1 Data'!$A$10:$A$143,'Round 1 Data'!$E$10:$E$144,0)=0,0,1)+IF(_xlfn.XLOOKUP('Summary Data'!A174,'Round 2 Data'!$A$10:$A$146,'Round 2 Data'!$E$10:$E$146,0)=0,0,1)+IF(_xlfn.XLOOKUP('Summary Data'!A174,'Round 3 Data'!$A$10:$A$145,'Round 3 Data'!$E$10:$E$145,0)=0,0,1)+IF(_xlfn.XLOOKUP('Summary Data'!A174,'Round 4 Data'!$A$10:$A$147,'Round 4 Data'!$E$10:$E$147,0)=0,0,1)</f>
        <v>#VALUE!</v>
      </c>
      <c r="E174" s="57" t="e">
        <f>(_xlfn.XLOOKUP('Summary Data'!$A174,'Round 1 Data'!$A$10:$A$143,'Round 1 Data'!E$10:E$144,0)+_xlfn.XLOOKUP('Summary Data'!$A174,'Round 2 Data'!$A$10:$A$146,'Round 2 Data'!E$10:E$146,0)+_xlfn.XLOOKUP('Summary Data'!$A174,'Round 3 Data'!$A$10:$A$145,'Round 3 Data'!E$10:E$145,0)+_xlfn.XLOOKUP('Summary Data'!$A174,'Round 4 Data'!$A$10:$A$147,'Round 4 Data'!E$10:E$147,0))/$D174</f>
        <v>#VALUE!</v>
      </c>
      <c r="F174" s="57" t="e">
        <f>(_xlfn.XLOOKUP('Summary Data'!$A174,'Round 1 Data'!$A$10:$A$143,'Round 1 Data'!F$10:F$144,0)+_xlfn.XLOOKUP('Summary Data'!$A174,'Round 2 Data'!$A$10:$A$146,'Round 2 Data'!F$10:F$146,0)+_xlfn.XLOOKUP('Summary Data'!$A174,'Round 3 Data'!$A$10:$A$145,'Round 3 Data'!F$10:F$145,0)+_xlfn.XLOOKUP('Summary Data'!$A174,'Round 4 Data'!$A$10:$A$147,'Round 4 Data'!F$10:F$147,0))/$D174</f>
        <v>#VALUE!</v>
      </c>
      <c r="G174" s="57" t="e">
        <f>(_xlfn.XLOOKUP('Summary Data'!$A174,'Round 1 Data'!$A$10:$A$143,'Round 1 Data'!G$10:G$144,0)+_xlfn.XLOOKUP('Summary Data'!$A174,'Round 2 Data'!$A$10:$A$146,'Round 2 Data'!G$10:G$146,0)+_xlfn.XLOOKUP('Summary Data'!$A174,'Round 3 Data'!$A$10:$A$145,'Round 3 Data'!G$10:G$145,0)+_xlfn.XLOOKUP('Summary Data'!$A174,'Round 4 Data'!$A$10:$A$147,'Round 4 Data'!G$10:G$147,0))/$D174</f>
        <v>#VALUE!</v>
      </c>
      <c r="H174" s="57" t="e">
        <f>(_xlfn.XLOOKUP('Summary Data'!$A174,'Round 1 Data'!$A$10:$A$143,'Round 1 Data'!H$10:H$144,0)+_xlfn.XLOOKUP('Summary Data'!$A174,'Round 2 Data'!$A$10:$A$146,'Round 2 Data'!H$10:H$146,0)+_xlfn.XLOOKUP('Summary Data'!$A174,'Round 3 Data'!$A$10:$A$145,'Round 3 Data'!H$10:H$145,0)+_xlfn.XLOOKUP('Summary Data'!$A174,'Round 4 Data'!$A$10:$A$147,'Round 4 Data'!H$10:H$147,0))/$D174</f>
        <v>#VALUE!</v>
      </c>
      <c r="I174" s="57" t="e">
        <f>(_xlfn.XLOOKUP('Summary Data'!$A174,'Round 1 Data'!$A$10:$A$143,'Round 1 Data'!I$10:I$144,0)+_xlfn.XLOOKUP('Summary Data'!$A174,'Round 2 Data'!$A$10:$A$146,'Round 2 Data'!I$10:I$146,0)+_xlfn.XLOOKUP('Summary Data'!$A174,'Round 3 Data'!$A$10:$A$145,'Round 3 Data'!I$10:I$145,0)+_xlfn.XLOOKUP('Summary Data'!$A174,'Round 4 Data'!$A$10:$A$147,'Round 4 Data'!I$10:I$147,0))/$D174</f>
        <v>#VALUE!</v>
      </c>
      <c r="J174" s="57" t="e">
        <f>(_xlfn.XLOOKUP('Summary Data'!$A174,'Round 1 Data'!$A$10:$A$143,'Round 1 Data'!J$10:J$144,0)+_xlfn.XLOOKUP('Summary Data'!$A174,'Round 2 Data'!$A$10:$A$146,'Round 2 Data'!J$10:J$146,0)+_xlfn.XLOOKUP('Summary Data'!$A174,'Round 3 Data'!$A$10:$A$145,'Round 3 Data'!J$10:J$145,0)+_xlfn.XLOOKUP('Summary Data'!$A174,'Round 4 Data'!$A$10:$A$147,'Round 4 Data'!J$10:J$147,0))/$D174</f>
        <v>#VALUE!</v>
      </c>
      <c r="K174" s="57" t="e">
        <f>(_xlfn.XLOOKUP('Summary Data'!$A174,'Round 1 Data'!$A$10:$A$143,'Round 1 Data'!K$10:K$144,0)+_xlfn.XLOOKUP('Summary Data'!$A174,'Round 2 Data'!$A$10:$A$146,'Round 2 Data'!K$10:K$146,0)+_xlfn.XLOOKUP('Summary Data'!$A174,'Round 3 Data'!$A$10:$A$145,'Round 3 Data'!K$10:K$145,0)+_xlfn.XLOOKUP('Summary Data'!$A174,'Round 4 Data'!$A$10:$A$147,'Round 4 Data'!K$10:K$147,0))/$D174</f>
        <v>#VALUE!</v>
      </c>
      <c r="L174" s="57" t="e">
        <f>(_xlfn.XLOOKUP('Summary Data'!$A174,'Round 1 Data'!$A$10:$A$143,'Round 1 Data'!L$10:L$144,0)+_xlfn.XLOOKUP('Summary Data'!$A174,'Round 2 Data'!$A$10:$A$146,'Round 2 Data'!L$10:L$146,0)+_xlfn.XLOOKUP('Summary Data'!$A174,'Round 3 Data'!$A$10:$A$145,'Round 3 Data'!L$10:L$145,0)+_xlfn.XLOOKUP('Summary Data'!$A174,'Round 4 Data'!$A$10:$A$147,'Round 4 Data'!L$10:L$147,0))/$D174</f>
        <v>#VALUE!</v>
      </c>
      <c r="M174" s="57" t="e">
        <f>(_xlfn.XLOOKUP('Summary Data'!$A174,'Round 1 Data'!$A$10:$A$143,'Round 1 Data'!M$10:M$144,0)+_xlfn.XLOOKUP('Summary Data'!$A174,'Round 2 Data'!$A$10:$A$146,'Round 2 Data'!M$10:M$146,0)+_xlfn.XLOOKUP('Summary Data'!$A174,'Round 3 Data'!$A$10:$A$145,'Round 3 Data'!M$10:M$145,0)+_xlfn.XLOOKUP('Summary Data'!$A174,'Round 4 Data'!$A$10:$A$147,'Round 4 Data'!M$10:M$147,0))/$D174</f>
        <v>#VALUE!</v>
      </c>
      <c r="N174" s="57" t="e">
        <f>(_xlfn.XLOOKUP('Summary Data'!$A174,'Round 1 Data'!$A$10:$A$143,'Round 1 Data'!N$10:N$144,0)+_xlfn.XLOOKUP('Summary Data'!$A174,'Round 2 Data'!$A$10:$A$146,'Round 2 Data'!N$10:N$146,0)+_xlfn.XLOOKUP('Summary Data'!$A174,'Round 3 Data'!$A$10:$A$145,'Round 3 Data'!N$10:N$145,0)+_xlfn.XLOOKUP('Summary Data'!$A174,'Round 4 Data'!$A$10:$A$147,'Round 4 Data'!N$10:N$147,0))/$D174</f>
        <v>#VALUE!</v>
      </c>
      <c r="O174" s="57" t="e">
        <f>(_xlfn.XLOOKUP('Summary Data'!$A174,'Round 1 Data'!$A$10:$A$143,'Round 1 Data'!O$10:O$144,0)+_xlfn.XLOOKUP('Summary Data'!$A174,'Round 2 Data'!$A$10:$A$146,'Round 2 Data'!O$10:O$146,0)+_xlfn.XLOOKUP('Summary Data'!$A174,'Round 3 Data'!$A$10:$A$145,'Round 3 Data'!O$10:O$145,0)+_xlfn.XLOOKUP('Summary Data'!$A174,'Round 4 Data'!$A$10:$A$147,'Round 4 Data'!O$10:O$147,0))/$D174</f>
        <v>#VALUE!</v>
      </c>
      <c r="P174" s="57" t="e">
        <f>(_xlfn.XLOOKUP('Summary Data'!$A174,'Round 1 Data'!$A$10:$A$143,'Round 1 Data'!P$10:P$144,0)+_xlfn.XLOOKUP('Summary Data'!$A174,'Round 2 Data'!$A$10:$A$146,'Round 2 Data'!P$10:P$146,0)+_xlfn.XLOOKUP('Summary Data'!$A174,'Round 3 Data'!$A$10:$A$145,'Round 3 Data'!P$10:P$145,0)+_xlfn.XLOOKUP('Summary Data'!$A174,'Round 4 Data'!$A$10:$A$147,'Round 4 Data'!P$10:P$147,0))/$D174</f>
        <v>#VALUE!</v>
      </c>
      <c r="Q174" s="57" t="e">
        <f>(_xlfn.XLOOKUP('Summary Data'!$A174,'Round 1 Data'!$A$10:$A$143,'Round 1 Data'!Q$10:Q$144,0)+_xlfn.XLOOKUP('Summary Data'!$A174,'Round 2 Data'!$A$10:$A$146,'Round 2 Data'!Q$10:Q$146,0)+_xlfn.XLOOKUP('Summary Data'!$A174,'Round 3 Data'!$A$10:$A$145,'Round 3 Data'!Q$10:Q$145,0)+_xlfn.XLOOKUP('Summary Data'!$A174,'Round 4 Data'!$A$10:$A$147,'Round 4 Data'!Q$10:Q$147,0))/$D174</f>
        <v>#VALUE!</v>
      </c>
      <c r="R174" s="57" t="e">
        <f>(_xlfn.XLOOKUP('Summary Data'!$A174,'Round 1 Data'!$A$10:$A$143,'Round 1 Data'!R$10:R$144,0)+_xlfn.XLOOKUP('Summary Data'!$A174,'Round 2 Data'!$A$10:$A$146,'Round 2 Data'!R$10:R$146,0)+_xlfn.XLOOKUP('Summary Data'!$A174,'Round 3 Data'!$A$10:$A$145,'Round 3 Data'!R$10:R$145,0)+_xlfn.XLOOKUP('Summary Data'!$A174,'Round 4 Data'!$A$10:$A$147,'Round 4 Data'!R$10:R$147,0))/$D174</f>
        <v>#VALUE!</v>
      </c>
      <c r="S174" s="57" t="e">
        <f>(_xlfn.XLOOKUP('Summary Data'!$A174,'Round 1 Data'!$A$10:$A$143,'Round 1 Data'!S$10:S$144,0)+_xlfn.XLOOKUP('Summary Data'!$A174,'Round 2 Data'!$A$10:$A$146,'Round 2 Data'!S$10:S$146,0)+_xlfn.XLOOKUP('Summary Data'!$A174,'Round 3 Data'!$A$10:$A$145,'Round 3 Data'!S$10:S$145,0)+_xlfn.XLOOKUP('Summary Data'!$A174,'Round 4 Data'!$A$10:$A$147,'Round 4 Data'!S$10:S$147,0))/$D174</f>
        <v>#VALUE!</v>
      </c>
      <c r="T174" s="62" t="e">
        <f>(_xlfn.XLOOKUP('Summary Data'!$A174,'Round 1 Data'!$A$10:$A$143,'Round 1 Data'!U$10:U$144,0)+_xlfn.XLOOKUP('Summary Data'!$A174,'Round 2 Data'!$A$10:$A$146,'Round 2 Data'!U$10:U$146,0)+_xlfn.XLOOKUP('Summary Data'!$A174,'Round 3 Data'!$A$10:$A$145,'Round 3 Data'!U$10:U$145,0)+_xlfn.XLOOKUP('Summary Data'!$A174,'Round 4 Data'!$A$10:$A$147,'Round 4 Data'!U$10:U$147,0))</f>
        <v>#VALUE!</v>
      </c>
    </row>
    <row r="175" spans="1:20" ht="16" thickBot="1" x14ac:dyDescent="0.25">
      <c r="A175" s="64" t="s">
        <v>179</v>
      </c>
      <c r="B175" t="s">
        <v>191</v>
      </c>
      <c r="C175" t="s">
        <v>199</v>
      </c>
      <c r="D175" t="e">
        <f>IF(_xlfn.XLOOKUP('Summary Data'!A175,'Round 1 Data'!$A$10:$A$143,'Round 1 Data'!$E$10:$E$144,0)=0,0,1)+IF(_xlfn.XLOOKUP('Summary Data'!A175,'Round 2 Data'!$A$10:$A$146,'Round 2 Data'!$E$10:$E$146,0)=0,0,1)+IF(_xlfn.XLOOKUP('Summary Data'!A175,'Round 3 Data'!$A$10:$A$145,'Round 3 Data'!$E$10:$E$145,0)=0,0,1)+IF(_xlfn.XLOOKUP('Summary Data'!A175,'Round 4 Data'!$A$10:$A$147,'Round 4 Data'!$E$10:$E$147,0)=0,0,1)</f>
        <v>#VALUE!</v>
      </c>
      <c r="E175" s="57" t="e">
        <f>(_xlfn.XLOOKUP('Summary Data'!$A175,'Round 1 Data'!$A$10:$A$143,'Round 1 Data'!E$10:E$144,0)+_xlfn.XLOOKUP('Summary Data'!$A175,'Round 2 Data'!$A$10:$A$146,'Round 2 Data'!E$10:E$146,0)+_xlfn.XLOOKUP('Summary Data'!$A175,'Round 3 Data'!$A$10:$A$145,'Round 3 Data'!E$10:E$145,0)+_xlfn.XLOOKUP('Summary Data'!$A175,'Round 4 Data'!$A$10:$A$147,'Round 4 Data'!E$10:E$147,0))/$D175</f>
        <v>#VALUE!</v>
      </c>
      <c r="F175" s="57" t="e">
        <f>(_xlfn.XLOOKUP('Summary Data'!$A175,'Round 1 Data'!$A$10:$A$143,'Round 1 Data'!F$10:F$144,0)+_xlfn.XLOOKUP('Summary Data'!$A175,'Round 2 Data'!$A$10:$A$146,'Round 2 Data'!F$10:F$146,0)+_xlfn.XLOOKUP('Summary Data'!$A175,'Round 3 Data'!$A$10:$A$145,'Round 3 Data'!F$10:F$145,0)+_xlfn.XLOOKUP('Summary Data'!$A175,'Round 4 Data'!$A$10:$A$147,'Round 4 Data'!F$10:F$147,0))/$D175</f>
        <v>#VALUE!</v>
      </c>
      <c r="G175" s="57" t="e">
        <f>(_xlfn.XLOOKUP('Summary Data'!$A175,'Round 1 Data'!$A$10:$A$143,'Round 1 Data'!G$10:G$144,0)+_xlfn.XLOOKUP('Summary Data'!$A175,'Round 2 Data'!$A$10:$A$146,'Round 2 Data'!G$10:G$146,0)+_xlfn.XLOOKUP('Summary Data'!$A175,'Round 3 Data'!$A$10:$A$145,'Round 3 Data'!G$10:G$145,0)+_xlfn.XLOOKUP('Summary Data'!$A175,'Round 4 Data'!$A$10:$A$147,'Round 4 Data'!G$10:G$147,0))/$D175</f>
        <v>#VALUE!</v>
      </c>
      <c r="H175" s="57" t="e">
        <f>(_xlfn.XLOOKUP('Summary Data'!$A175,'Round 1 Data'!$A$10:$A$143,'Round 1 Data'!H$10:H$144,0)+_xlfn.XLOOKUP('Summary Data'!$A175,'Round 2 Data'!$A$10:$A$146,'Round 2 Data'!H$10:H$146,0)+_xlfn.XLOOKUP('Summary Data'!$A175,'Round 3 Data'!$A$10:$A$145,'Round 3 Data'!H$10:H$145,0)+_xlfn.XLOOKUP('Summary Data'!$A175,'Round 4 Data'!$A$10:$A$147,'Round 4 Data'!H$10:H$147,0))/$D175</f>
        <v>#VALUE!</v>
      </c>
      <c r="I175" s="57" t="e">
        <f>(_xlfn.XLOOKUP('Summary Data'!$A175,'Round 1 Data'!$A$10:$A$143,'Round 1 Data'!I$10:I$144,0)+_xlfn.XLOOKUP('Summary Data'!$A175,'Round 2 Data'!$A$10:$A$146,'Round 2 Data'!I$10:I$146,0)+_xlfn.XLOOKUP('Summary Data'!$A175,'Round 3 Data'!$A$10:$A$145,'Round 3 Data'!I$10:I$145,0)+_xlfn.XLOOKUP('Summary Data'!$A175,'Round 4 Data'!$A$10:$A$147,'Round 4 Data'!I$10:I$147,0))/$D175</f>
        <v>#VALUE!</v>
      </c>
      <c r="J175" s="57" t="e">
        <f>(_xlfn.XLOOKUP('Summary Data'!$A175,'Round 1 Data'!$A$10:$A$143,'Round 1 Data'!J$10:J$144,0)+_xlfn.XLOOKUP('Summary Data'!$A175,'Round 2 Data'!$A$10:$A$146,'Round 2 Data'!J$10:J$146,0)+_xlfn.XLOOKUP('Summary Data'!$A175,'Round 3 Data'!$A$10:$A$145,'Round 3 Data'!J$10:J$145,0)+_xlfn.XLOOKUP('Summary Data'!$A175,'Round 4 Data'!$A$10:$A$147,'Round 4 Data'!J$10:J$147,0))/$D175</f>
        <v>#VALUE!</v>
      </c>
      <c r="K175" s="57" t="e">
        <f>(_xlfn.XLOOKUP('Summary Data'!$A175,'Round 1 Data'!$A$10:$A$143,'Round 1 Data'!K$10:K$144,0)+_xlfn.XLOOKUP('Summary Data'!$A175,'Round 2 Data'!$A$10:$A$146,'Round 2 Data'!K$10:K$146,0)+_xlfn.XLOOKUP('Summary Data'!$A175,'Round 3 Data'!$A$10:$A$145,'Round 3 Data'!K$10:K$145,0)+_xlfn.XLOOKUP('Summary Data'!$A175,'Round 4 Data'!$A$10:$A$147,'Round 4 Data'!K$10:K$147,0))/$D175</f>
        <v>#VALUE!</v>
      </c>
      <c r="L175" s="57" t="e">
        <f>(_xlfn.XLOOKUP('Summary Data'!$A175,'Round 1 Data'!$A$10:$A$143,'Round 1 Data'!L$10:L$144,0)+_xlfn.XLOOKUP('Summary Data'!$A175,'Round 2 Data'!$A$10:$A$146,'Round 2 Data'!L$10:L$146,0)+_xlfn.XLOOKUP('Summary Data'!$A175,'Round 3 Data'!$A$10:$A$145,'Round 3 Data'!L$10:L$145,0)+_xlfn.XLOOKUP('Summary Data'!$A175,'Round 4 Data'!$A$10:$A$147,'Round 4 Data'!L$10:L$147,0))/$D175</f>
        <v>#VALUE!</v>
      </c>
      <c r="M175" s="57" t="e">
        <f>(_xlfn.XLOOKUP('Summary Data'!$A175,'Round 1 Data'!$A$10:$A$143,'Round 1 Data'!M$10:M$144,0)+_xlfn.XLOOKUP('Summary Data'!$A175,'Round 2 Data'!$A$10:$A$146,'Round 2 Data'!M$10:M$146,0)+_xlfn.XLOOKUP('Summary Data'!$A175,'Round 3 Data'!$A$10:$A$145,'Round 3 Data'!M$10:M$145,0)+_xlfn.XLOOKUP('Summary Data'!$A175,'Round 4 Data'!$A$10:$A$147,'Round 4 Data'!M$10:M$147,0))/$D175</f>
        <v>#VALUE!</v>
      </c>
      <c r="N175" s="57" t="e">
        <f>(_xlfn.XLOOKUP('Summary Data'!$A175,'Round 1 Data'!$A$10:$A$143,'Round 1 Data'!N$10:N$144,0)+_xlfn.XLOOKUP('Summary Data'!$A175,'Round 2 Data'!$A$10:$A$146,'Round 2 Data'!N$10:N$146,0)+_xlfn.XLOOKUP('Summary Data'!$A175,'Round 3 Data'!$A$10:$A$145,'Round 3 Data'!N$10:N$145,0)+_xlfn.XLOOKUP('Summary Data'!$A175,'Round 4 Data'!$A$10:$A$147,'Round 4 Data'!N$10:N$147,0))/$D175</f>
        <v>#VALUE!</v>
      </c>
      <c r="O175" s="57" t="e">
        <f>(_xlfn.XLOOKUP('Summary Data'!$A175,'Round 1 Data'!$A$10:$A$143,'Round 1 Data'!O$10:O$144,0)+_xlfn.XLOOKUP('Summary Data'!$A175,'Round 2 Data'!$A$10:$A$146,'Round 2 Data'!O$10:O$146,0)+_xlfn.XLOOKUP('Summary Data'!$A175,'Round 3 Data'!$A$10:$A$145,'Round 3 Data'!O$10:O$145,0)+_xlfn.XLOOKUP('Summary Data'!$A175,'Round 4 Data'!$A$10:$A$147,'Round 4 Data'!O$10:O$147,0))/$D175</f>
        <v>#VALUE!</v>
      </c>
      <c r="P175" s="57" t="e">
        <f>(_xlfn.XLOOKUP('Summary Data'!$A175,'Round 1 Data'!$A$10:$A$143,'Round 1 Data'!P$10:P$144,0)+_xlfn.XLOOKUP('Summary Data'!$A175,'Round 2 Data'!$A$10:$A$146,'Round 2 Data'!P$10:P$146,0)+_xlfn.XLOOKUP('Summary Data'!$A175,'Round 3 Data'!$A$10:$A$145,'Round 3 Data'!P$10:P$145,0)+_xlfn.XLOOKUP('Summary Data'!$A175,'Round 4 Data'!$A$10:$A$147,'Round 4 Data'!P$10:P$147,0))/$D175</f>
        <v>#VALUE!</v>
      </c>
      <c r="Q175" s="57" t="e">
        <f>(_xlfn.XLOOKUP('Summary Data'!$A175,'Round 1 Data'!$A$10:$A$143,'Round 1 Data'!Q$10:Q$144,0)+_xlfn.XLOOKUP('Summary Data'!$A175,'Round 2 Data'!$A$10:$A$146,'Round 2 Data'!Q$10:Q$146,0)+_xlfn.XLOOKUP('Summary Data'!$A175,'Round 3 Data'!$A$10:$A$145,'Round 3 Data'!Q$10:Q$145,0)+_xlfn.XLOOKUP('Summary Data'!$A175,'Round 4 Data'!$A$10:$A$147,'Round 4 Data'!Q$10:Q$147,0))/$D175</f>
        <v>#VALUE!</v>
      </c>
      <c r="R175" s="57" t="e">
        <f>(_xlfn.XLOOKUP('Summary Data'!$A175,'Round 1 Data'!$A$10:$A$143,'Round 1 Data'!R$10:R$144,0)+_xlfn.XLOOKUP('Summary Data'!$A175,'Round 2 Data'!$A$10:$A$146,'Round 2 Data'!R$10:R$146,0)+_xlfn.XLOOKUP('Summary Data'!$A175,'Round 3 Data'!$A$10:$A$145,'Round 3 Data'!R$10:R$145,0)+_xlfn.XLOOKUP('Summary Data'!$A175,'Round 4 Data'!$A$10:$A$147,'Round 4 Data'!R$10:R$147,0))/$D175</f>
        <v>#VALUE!</v>
      </c>
      <c r="S175" s="57" t="e">
        <f>(_xlfn.XLOOKUP('Summary Data'!$A175,'Round 1 Data'!$A$10:$A$143,'Round 1 Data'!S$10:S$144,0)+_xlfn.XLOOKUP('Summary Data'!$A175,'Round 2 Data'!$A$10:$A$146,'Round 2 Data'!S$10:S$146,0)+_xlfn.XLOOKUP('Summary Data'!$A175,'Round 3 Data'!$A$10:$A$145,'Round 3 Data'!S$10:S$145,0)+_xlfn.XLOOKUP('Summary Data'!$A175,'Round 4 Data'!$A$10:$A$147,'Round 4 Data'!S$10:S$147,0))/$D175</f>
        <v>#VALUE!</v>
      </c>
      <c r="T175" s="62" t="e">
        <f>(_xlfn.XLOOKUP('Summary Data'!$A175,'Round 1 Data'!$A$10:$A$143,'Round 1 Data'!U$10:U$144,0)+_xlfn.XLOOKUP('Summary Data'!$A175,'Round 2 Data'!$A$10:$A$146,'Round 2 Data'!U$10:U$146,0)+_xlfn.XLOOKUP('Summary Data'!$A175,'Round 3 Data'!$A$10:$A$145,'Round 3 Data'!U$10:U$145,0)+_xlfn.XLOOKUP('Summary Data'!$A175,'Round 4 Data'!$A$10:$A$147,'Round 4 Data'!U$10:U$147,0))</f>
        <v>#VALUE!</v>
      </c>
    </row>
    <row r="176" spans="1:20" ht="16" thickBot="1" x14ac:dyDescent="0.25">
      <c r="A176" s="61" t="s">
        <v>181</v>
      </c>
      <c r="B176" t="s">
        <v>189</v>
      </c>
      <c r="C176" t="s">
        <v>195</v>
      </c>
      <c r="D176" t="e">
        <f>IF(_xlfn.XLOOKUP('Summary Data'!A176,'Round 1 Data'!$A$10:$A$143,'Round 1 Data'!$E$10:$E$144,0)=0,0,1)+IF(_xlfn.XLOOKUP('Summary Data'!A176,'Round 2 Data'!$A$10:$A$146,'Round 2 Data'!$E$10:$E$146,0)=0,0,1)+IF(_xlfn.XLOOKUP('Summary Data'!A176,'Round 3 Data'!$A$10:$A$145,'Round 3 Data'!$E$10:$E$145,0)=0,0,1)+IF(_xlfn.XLOOKUP('Summary Data'!A176,'Round 4 Data'!$A$10:$A$147,'Round 4 Data'!$E$10:$E$147,0)=0,0,1)</f>
        <v>#VALUE!</v>
      </c>
      <c r="E176" s="57" t="e">
        <f>(_xlfn.XLOOKUP('Summary Data'!$A176,'Round 1 Data'!$A$10:$A$143,'Round 1 Data'!E$10:E$144,0)+_xlfn.XLOOKUP('Summary Data'!$A176,'Round 2 Data'!$A$10:$A$146,'Round 2 Data'!E$10:E$146,0)+_xlfn.XLOOKUP('Summary Data'!$A176,'Round 3 Data'!$A$10:$A$145,'Round 3 Data'!E$10:E$145,0)+_xlfn.XLOOKUP('Summary Data'!$A176,'Round 4 Data'!$A$10:$A$147,'Round 4 Data'!E$10:E$147,0))/$D176</f>
        <v>#VALUE!</v>
      </c>
      <c r="F176" s="57" t="e">
        <f>(_xlfn.XLOOKUP('Summary Data'!$A176,'Round 1 Data'!$A$10:$A$143,'Round 1 Data'!F$10:F$144,0)+_xlfn.XLOOKUP('Summary Data'!$A176,'Round 2 Data'!$A$10:$A$146,'Round 2 Data'!F$10:F$146,0)+_xlfn.XLOOKUP('Summary Data'!$A176,'Round 3 Data'!$A$10:$A$145,'Round 3 Data'!F$10:F$145,0)+_xlfn.XLOOKUP('Summary Data'!$A176,'Round 4 Data'!$A$10:$A$147,'Round 4 Data'!F$10:F$147,0))/$D176</f>
        <v>#VALUE!</v>
      </c>
      <c r="G176" s="57" t="e">
        <f>(_xlfn.XLOOKUP('Summary Data'!$A176,'Round 1 Data'!$A$10:$A$143,'Round 1 Data'!G$10:G$144,0)+_xlfn.XLOOKUP('Summary Data'!$A176,'Round 2 Data'!$A$10:$A$146,'Round 2 Data'!G$10:G$146,0)+_xlfn.XLOOKUP('Summary Data'!$A176,'Round 3 Data'!$A$10:$A$145,'Round 3 Data'!G$10:G$145,0)+_xlfn.XLOOKUP('Summary Data'!$A176,'Round 4 Data'!$A$10:$A$147,'Round 4 Data'!G$10:G$147,0))/$D176</f>
        <v>#VALUE!</v>
      </c>
      <c r="H176" s="57" t="e">
        <f>(_xlfn.XLOOKUP('Summary Data'!$A176,'Round 1 Data'!$A$10:$A$143,'Round 1 Data'!H$10:H$144,0)+_xlfn.XLOOKUP('Summary Data'!$A176,'Round 2 Data'!$A$10:$A$146,'Round 2 Data'!H$10:H$146,0)+_xlfn.XLOOKUP('Summary Data'!$A176,'Round 3 Data'!$A$10:$A$145,'Round 3 Data'!H$10:H$145,0)+_xlfn.XLOOKUP('Summary Data'!$A176,'Round 4 Data'!$A$10:$A$147,'Round 4 Data'!H$10:H$147,0))/$D176</f>
        <v>#VALUE!</v>
      </c>
      <c r="I176" s="57" t="e">
        <f>(_xlfn.XLOOKUP('Summary Data'!$A176,'Round 1 Data'!$A$10:$A$143,'Round 1 Data'!I$10:I$144,0)+_xlfn.XLOOKUP('Summary Data'!$A176,'Round 2 Data'!$A$10:$A$146,'Round 2 Data'!I$10:I$146,0)+_xlfn.XLOOKUP('Summary Data'!$A176,'Round 3 Data'!$A$10:$A$145,'Round 3 Data'!I$10:I$145,0)+_xlfn.XLOOKUP('Summary Data'!$A176,'Round 4 Data'!$A$10:$A$147,'Round 4 Data'!I$10:I$147,0))/$D176</f>
        <v>#VALUE!</v>
      </c>
      <c r="J176" s="57" t="e">
        <f>(_xlfn.XLOOKUP('Summary Data'!$A176,'Round 1 Data'!$A$10:$A$143,'Round 1 Data'!J$10:J$144,0)+_xlfn.XLOOKUP('Summary Data'!$A176,'Round 2 Data'!$A$10:$A$146,'Round 2 Data'!J$10:J$146,0)+_xlfn.XLOOKUP('Summary Data'!$A176,'Round 3 Data'!$A$10:$A$145,'Round 3 Data'!J$10:J$145,0)+_xlfn.XLOOKUP('Summary Data'!$A176,'Round 4 Data'!$A$10:$A$147,'Round 4 Data'!J$10:J$147,0))/$D176</f>
        <v>#VALUE!</v>
      </c>
      <c r="K176" s="57" t="e">
        <f>(_xlfn.XLOOKUP('Summary Data'!$A176,'Round 1 Data'!$A$10:$A$143,'Round 1 Data'!K$10:K$144,0)+_xlfn.XLOOKUP('Summary Data'!$A176,'Round 2 Data'!$A$10:$A$146,'Round 2 Data'!K$10:K$146,0)+_xlfn.XLOOKUP('Summary Data'!$A176,'Round 3 Data'!$A$10:$A$145,'Round 3 Data'!K$10:K$145,0)+_xlfn.XLOOKUP('Summary Data'!$A176,'Round 4 Data'!$A$10:$A$147,'Round 4 Data'!K$10:K$147,0))/$D176</f>
        <v>#VALUE!</v>
      </c>
      <c r="L176" s="57" t="e">
        <f>(_xlfn.XLOOKUP('Summary Data'!$A176,'Round 1 Data'!$A$10:$A$143,'Round 1 Data'!L$10:L$144,0)+_xlfn.XLOOKUP('Summary Data'!$A176,'Round 2 Data'!$A$10:$A$146,'Round 2 Data'!L$10:L$146,0)+_xlfn.XLOOKUP('Summary Data'!$A176,'Round 3 Data'!$A$10:$A$145,'Round 3 Data'!L$10:L$145,0)+_xlfn.XLOOKUP('Summary Data'!$A176,'Round 4 Data'!$A$10:$A$147,'Round 4 Data'!L$10:L$147,0))/$D176</f>
        <v>#VALUE!</v>
      </c>
      <c r="M176" s="57" t="e">
        <f>(_xlfn.XLOOKUP('Summary Data'!$A176,'Round 1 Data'!$A$10:$A$143,'Round 1 Data'!M$10:M$144,0)+_xlfn.XLOOKUP('Summary Data'!$A176,'Round 2 Data'!$A$10:$A$146,'Round 2 Data'!M$10:M$146,0)+_xlfn.XLOOKUP('Summary Data'!$A176,'Round 3 Data'!$A$10:$A$145,'Round 3 Data'!M$10:M$145,0)+_xlfn.XLOOKUP('Summary Data'!$A176,'Round 4 Data'!$A$10:$A$147,'Round 4 Data'!M$10:M$147,0))/$D176</f>
        <v>#VALUE!</v>
      </c>
      <c r="N176" s="57" t="e">
        <f>(_xlfn.XLOOKUP('Summary Data'!$A176,'Round 1 Data'!$A$10:$A$143,'Round 1 Data'!N$10:N$144,0)+_xlfn.XLOOKUP('Summary Data'!$A176,'Round 2 Data'!$A$10:$A$146,'Round 2 Data'!N$10:N$146,0)+_xlfn.XLOOKUP('Summary Data'!$A176,'Round 3 Data'!$A$10:$A$145,'Round 3 Data'!N$10:N$145,0)+_xlfn.XLOOKUP('Summary Data'!$A176,'Round 4 Data'!$A$10:$A$147,'Round 4 Data'!N$10:N$147,0))/$D176</f>
        <v>#VALUE!</v>
      </c>
      <c r="O176" s="57" t="e">
        <f>(_xlfn.XLOOKUP('Summary Data'!$A176,'Round 1 Data'!$A$10:$A$143,'Round 1 Data'!O$10:O$144,0)+_xlfn.XLOOKUP('Summary Data'!$A176,'Round 2 Data'!$A$10:$A$146,'Round 2 Data'!O$10:O$146,0)+_xlfn.XLOOKUP('Summary Data'!$A176,'Round 3 Data'!$A$10:$A$145,'Round 3 Data'!O$10:O$145,0)+_xlfn.XLOOKUP('Summary Data'!$A176,'Round 4 Data'!$A$10:$A$147,'Round 4 Data'!O$10:O$147,0))/$D176</f>
        <v>#VALUE!</v>
      </c>
      <c r="P176" s="57" t="e">
        <f>(_xlfn.XLOOKUP('Summary Data'!$A176,'Round 1 Data'!$A$10:$A$143,'Round 1 Data'!P$10:P$144,0)+_xlfn.XLOOKUP('Summary Data'!$A176,'Round 2 Data'!$A$10:$A$146,'Round 2 Data'!P$10:P$146,0)+_xlfn.XLOOKUP('Summary Data'!$A176,'Round 3 Data'!$A$10:$A$145,'Round 3 Data'!P$10:P$145,0)+_xlfn.XLOOKUP('Summary Data'!$A176,'Round 4 Data'!$A$10:$A$147,'Round 4 Data'!P$10:P$147,0))/$D176</f>
        <v>#VALUE!</v>
      </c>
      <c r="Q176" s="57" t="e">
        <f>(_xlfn.XLOOKUP('Summary Data'!$A176,'Round 1 Data'!$A$10:$A$143,'Round 1 Data'!Q$10:Q$144,0)+_xlfn.XLOOKUP('Summary Data'!$A176,'Round 2 Data'!$A$10:$A$146,'Round 2 Data'!Q$10:Q$146,0)+_xlfn.XLOOKUP('Summary Data'!$A176,'Round 3 Data'!$A$10:$A$145,'Round 3 Data'!Q$10:Q$145,0)+_xlfn.XLOOKUP('Summary Data'!$A176,'Round 4 Data'!$A$10:$A$147,'Round 4 Data'!Q$10:Q$147,0))/$D176</f>
        <v>#VALUE!</v>
      </c>
      <c r="R176" s="57" t="e">
        <f>(_xlfn.XLOOKUP('Summary Data'!$A176,'Round 1 Data'!$A$10:$A$143,'Round 1 Data'!R$10:R$144,0)+_xlfn.XLOOKUP('Summary Data'!$A176,'Round 2 Data'!$A$10:$A$146,'Round 2 Data'!R$10:R$146,0)+_xlfn.XLOOKUP('Summary Data'!$A176,'Round 3 Data'!$A$10:$A$145,'Round 3 Data'!R$10:R$145,0)+_xlfn.XLOOKUP('Summary Data'!$A176,'Round 4 Data'!$A$10:$A$147,'Round 4 Data'!R$10:R$147,0))/$D176</f>
        <v>#VALUE!</v>
      </c>
      <c r="S176" s="57" t="e">
        <f>(_xlfn.XLOOKUP('Summary Data'!$A176,'Round 1 Data'!$A$10:$A$143,'Round 1 Data'!S$10:S$144,0)+_xlfn.XLOOKUP('Summary Data'!$A176,'Round 2 Data'!$A$10:$A$146,'Round 2 Data'!S$10:S$146,0)+_xlfn.XLOOKUP('Summary Data'!$A176,'Round 3 Data'!$A$10:$A$145,'Round 3 Data'!S$10:S$145,0)+_xlfn.XLOOKUP('Summary Data'!$A176,'Round 4 Data'!$A$10:$A$147,'Round 4 Data'!S$10:S$147,0))/$D176</f>
        <v>#VALUE!</v>
      </c>
      <c r="T176" s="62" t="e">
        <f>(_xlfn.XLOOKUP('Summary Data'!$A176,'Round 1 Data'!$A$10:$A$143,'Round 1 Data'!U$10:U$144,0)+_xlfn.XLOOKUP('Summary Data'!$A176,'Round 2 Data'!$A$10:$A$146,'Round 2 Data'!U$10:U$146,0)+_xlfn.XLOOKUP('Summary Data'!$A176,'Round 3 Data'!$A$10:$A$145,'Round 3 Data'!U$10:U$145,0)+_xlfn.XLOOKUP('Summary Data'!$A176,'Round 4 Data'!$A$10:$A$147,'Round 4 Data'!U$10:U$147,0))</f>
        <v>#VALUE!</v>
      </c>
    </row>
    <row r="177" spans="1:20" ht="16" thickBot="1" x14ac:dyDescent="0.25">
      <c r="A177" s="64" t="s">
        <v>182</v>
      </c>
      <c r="B177" t="s">
        <v>189</v>
      </c>
      <c r="C177" t="s">
        <v>197</v>
      </c>
      <c r="D177" t="e">
        <f>IF(_xlfn.XLOOKUP('Summary Data'!A177,'Round 1 Data'!$A$10:$A$143,'Round 1 Data'!$E$10:$E$144,0)=0,0,1)+IF(_xlfn.XLOOKUP('Summary Data'!A177,'Round 2 Data'!$A$10:$A$146,'Round 2 Data'!$E$10:$E$146,0)=0,0,1)+IF(_xlfn.XLOOKUP('Summary Data'!A177,'Round 3 Data'!$A$10:$A$145,'Round 3 Data'!$E$10:$E$145,0)=0,0,1)+IF(_xlfn.XLOOKUP('Summary Data'!A177,'Round 4 Data'!$A$10:$A$147,'Round 4 Data'!$E$10:$E$147,0)=0,0,1)</f>
        <v>#VALUE!</v>
      </c>
      <c r="E177" s="57" t="e">
        <f>(_xlfn.XLOOKUP('Summary Data'!$A177,'Round 1 Data'!$A$10:$A$143,'Round 1 Data'!E$10:E$144,0)+_xlfn.XLOOKUP('Summary Data'!$A177,'Round 2 Data'!$A$10:$A$146,'Round 2 Data'!E$10:E$146,0)+_xlfn.XLOOKUP('Summary Data'!$A177,'Round 3 Data'!$A$10:$A$145,'Round 3 Data'!E$10:E$145,0)+_xlfn.XLOOKUP('Summary Data'!$A177,'Round 4 Data'!$A$10:$A$147,'Round 4 Data'!E$10:E$147,0))/$D177</f>
        <v>#VALUE!</v>
      </c>
      <c r="F177" s="57" t="e">
        <f>(_xlfn.XLOOKUP('Summary Data'!$A177,'Round 1 Data'!$A$10:$A$143,'Round 1 Data'!F$10:F$144,0)+_xlfn.XLOOKUP('Summary Data'!$A177,'Round 2 Data'!$A$10:$A$146,'Round 2 Data'!F$10:F$146,0)+_xlfn.XLOOKUP('Summary Data'!$A177,'Round 3 Data'!$A$10:$A$145,'Round 3 Data'!F$10:F$145,0)+_xlfn.XLOOKUP('Summary Data'!$A177,'Round 4 Data'!$A$10:$A$147,'Round 4 Data'!F$10:F$147,0))/$D177</f>
        <v>#VALUE!</v>
      </c>
      <c r="G177" s="57" t="e">
        <f>(_xlfn.XLOOKUP('Summary Data'!$A177,'Round 1 Data'!$A$10:$A$143,'Round 1 Data'!G$10:G$144,0)+_xlfn.XLOOKUP('Summary Data'!$A177,'Round 2 Data'!$A$10:$A$146,'Round 2 Data'!G$10:G$146,0)+_xlfn.XLOOKUP('Summary Data'!$A177,'Round 3 Data'!$A$10:$A$145,'Round 3 Data'!G$10:G$145,0)+_xlfn.XLOOKUP('Summary Data'!$A177,'Round 4 Data'!$A$10:$A$147,'Round 4 Data'!G$10:G$147,0))/$D177</f>
        <v>#VALUE!</v>
      </c>
      <c r="H177" s="57" t="e">
        <f>(_xlfn.XLOOKUP('Summary Data'!$A177,'Round 1 Data'!$A$10:$A$143,'Round 1 Data'!H$10:H$144,0)+_xlfn.XLOOKUP('Summary Data'!$A177,'Round 2 Data'!$A$10:$A$146,'Round 2 Data'!H$10:H$146,0)+_xlfn.XLOOKUP('Summary Data'!$A177,'Round 3 Data'!$A$10:$A$145,'Round 3 Data'!H$10:H$145,0)+_xlfn.XLOOKUP('Summary Data'!$A177,'Round 4 Data'!$A$10:$A$147,'Round 4 Data'!H$10:H$147,0))/$D177</f>
        <v>#VALUE!</v>
      </c>
      <c r="I177" s="57" t="e">
        <f>(_xlfn.XLOOKUP('Summary Data'!$A177,'Round 1 Data'!$A$10:$A$143,'Round 1 Data'!I$10:I$144,0)+_xlfn.XLOOKUP('Summary Data'!$A177,'Round 2 Data'!$A$10:$A$146,'Round 2 Data'!I$10:I$146,0)+_xlfn.XLOOKUP('Summary Data'!$A177,'Round 3 Data'!$A$10:$A$145,'Round 3 Data'!I$10:I$145,0)+_xlfn.XLOOKUP('Summary Data'!$A177,'Round 4 Data'!$A$10:$A$147,'Round 4 Data'!I$10:I$147,0))/$D177</f>
        <v>#VALUE!</v>
      </c>
      <c r="J177" s="57" t="e">
        <f>(_xlfn.XLOOKUP('Summary Data'!$A177,'Round 1 Data'!$A$10:$A$143,'Round 1 Data'!J$10:J$144,0)+_xlfn.XLOOKUP('Summary Data'!$A177,'Round 2 Data'!$A$10:$A$146,'Round 2 Data'!J$10:J$146,0)+_xlfn.XLOOKUP('Summary Data'!$A177,'Round 3 Data'!$A$10:$A$145,'Round 3 Data'!J$10:J$145,0)+_xlfn.XLOOKUP('Summary Data'!$A177,'Round 4 Data'!$A$10:$A$147,'Round 4 Data'!J$10:J$147,0))/$D177</f>
        <v>#VALUE!</v>
      </c>
      <c r="K177" s="57" t="e">
        <f>(_xlfn.XLOOKUP('Summary Data'!$A177,'Round 1 Data'!$A$10:$A$143,'Round 1 Data'!K$10:K$144,0)+_xlfn.XLOOKUP('Summary Data'!$A177,'Round 2 Data'!$A$10:$A$146,'Round 2 Data'!K$10:K$146,0)+_xlfn.XLOOKUP('Summary Data'!$A177,'Round 3 Data'!$A$10:$A$145,'Round 3 Data'!K$10:K$145,0)+_xlfn.XLOOKUP('Summary Data'!$A177,'Round 4 Data'!$A$10:$A$147,'Round 4 Data'!K$10:K$147,0))/$D177</f>
        <v>#VALUE!</v>
      </c>
      <c r="L177" s="57" t="e">
        <f>(_xlfn.XLOOKUP('Summary Data'!$A177,'Round 1 Data'!$A$10:$A$143,'Round 1 Data'!L$10:L$144,0)+_xlfn.XLOOKUP('Summary Data'!$A177,'Round 2 Data'!$A$10:$A$146,'Round 2 Data'!L$10:L$146,0)+_xlfn.XLOOKUP('Summary Data'!$A177,'Round 3 Data'!$A$10:$A$145,'Round 3 Data'!L$10:L$145,0)+_xlfn.XLOOKUP('Summary Data'!$A177,'Round 4 Data'!$A$10:$A$147,'Round 4 Data'!L$10:L$147,0))/$D177</f>
        <v>#VALUE!</v>
      </c>
      <c r="M177" s="57" t="e">
        <f>(_xlfn.XLOOKUP('Summary Data'!$A177,'Round 1 Data'!$A$10:$A$143,'Round 1 Data'!M$10:M$144,0)+_xlfn.XLOOKUP('Summary Data'!$A177,'Round 2 Data'!$A$10:$A$146,'Round 2 Data'!M$10:M$146,0)+_xlfn.XLOOKUP('Summary Data'!$A177,'Round 3 Data'!$A$10:$A$145,'Round 3 Data'!M$10:M$145,0)+_xlfn.XLOOKUP('Summary Data'!$A177,'Round 4 Data'!$A$10:$A$147,'Round 4 Data'!M$10:M$147,0))/$D177</f>
        <v>#VALUE!</v>
      </c>
      <c r="N177" s="57" t="e">
        <f>(_xlfn.XLOOKUP('Summary Data'!$A177,'Round 1 Data'!$A$10:$A$143,'Round 1 Data'!N$10:N$144,0)+_xlfn.XLOOKUP('Summary Data'!$A177,'Round 2 Data'!$A$10:$A$146,'Round 2 Data'!N$10:N$146,0)+_xlfn.XLOOKUP('Summary Data'!$A177,'Round 3 Data'!$A$10:$A$145,'Round 3 Data'!N$10:N$145,0)+_xlfn.XLOOKUP('Summary Data'!$A177,'Round 4 Data'!$A$10:$A$147,'Round 4 Data'!N$10:N$147,0))/$D177</f>
        <v>#VALUE!</v>
      </c>
      <c r="O177" s="57" t="e">
        <f>(_xlfn.XLOOKUP('Summary Data'!$A177,'Round 1 Data'!$A$10:$A$143,'Round 1 Data'!O$10:O$144,0)+_xlfn.XLOOKUP('Summary Data'!$A177,'Round 2 Data'!$A$10:$A$146,'Round 2 Data'!O$10:O$146,0)+_xlfn.XLOOKUP('Summary Data'!$A177,'Round 3 Data'!$A$10:$A$145,'Round 3 Data'!O$10:O$145,0)+_xlfn.XLOOKUP('Summary Data'!$A177,'Round 4 Data'!$A$10:$A$147,'Round 4 Data'!O$10:O$147,0))/$D177</f>
        <v>#VALUE!</v>
      </c>
      <c r="P177" s="57" t="e">
        <f>(_xlfn.XLOOKUP('Summary Data'!$A177,'Round 1 Data'!$A$10:$A$143,'Round 1 Data'!P$10:P$144,0)+_xlfn.XLOOKUP('Summary Data'!$A177,'Round 2 Data'!$A$10:$A$146,'Round 2 Data'!P$10:P$146,0)+_xlfn.XLOOKUP('Summary Data'!$A177,'Round 3 Data'!$A$10:$A$145,'Round 3 Data'!P$10:P$145,0)+_xlfn.XLOOKUP('Summary Data'!$A177,'Round 4 Data'!$A$10:$A$147,'Round 4 Data'!P$10:P$147,0))/$D177</f>
        <v>#VALUE!</v>
      </c>
      <c r="Q177" s="57" t="e">
        <f>(_xlfn.XLOOKUP('Summary Data'!$A177,'Round 1 Data'!$A$10:$A$143,'Round 1 Data'!Q$10:Q$144,0)+_xlfn.XLOOKUP('Summary Data'!$A177,'Round 2 Data'!$A$10:$A$146,'Round 2 Data'!Q$10:Q$146,0)+_xlfn.XLOOKUP('Summary Data'!$A177,'Round 3 Data'!$A$10:$A$145,'Round 3 Data'!Q$10:Q$145,0)+_xlfn.XLOOKUP('Summary Data'!$A177,'Round 4 Data'!$A$10:$A$147,'Round 4 Data'!Q$10:Q$147,0))/$D177</f>
        <v>#VALUE!</v>
      </c>
      <c r="R177" s="57" t="e">
        <f>(_xlfn.XLOOKUP('Summary Data'!$A177,'Round 1 Data'!$A$10:$A$143,'Round 1 Data'!R$10:R$144,0)+_xlfn.XLOOKUP('Summary Data'!$A177,'Round 2 Data'!$A$10:$A$146,'Round 2 Data'!R$10:R$146,0)+_xlfn.XLOOKUP('Summary Data'!$A177,'Round 3 Data'!$A$10:$A$145,'Round 3 Data'!R$10:R$145,0)+_xlfn.XLOOKUP('Summary Data'!$A177,'Round 4 Data'!$A$10:$A$147,'Round 4 Data'!R$10:R$147,0))/$D177</f>
        <v>#VALUE!</v>
      </c>
      <c r="S177" s="57" t="e">
        <f>(_xlfn.XLOOKUP('Summary Data'!$A177,'Round 1 Data'!$A$10:$A$143,'Round 1 Data'!S$10:S$144,0)+_xlfn.XLOOKUP('Summary Data'!$A177,'Round 2 Data'!$A$10:$A$146,'Round 2 Data'!S$10:S$146,0)+_xlfn.XLOOKUP('Summary Data'!$A177,'Round 3 Data'!$A$10:$A$145,'Round 3 Data'!S$10:S$145,0)+_xlfn.XLOOKUP('Summary Data'!$A177,'Round 4 Data'!$A$10:$A$147,'Round 4 Data'!S$10:S$147,0))/$D177</f>
        <v>#VALUE!</v>
      </c>
      <c r="T177" s="62" t="e">
        <f>(_xlfn.XLOOKUP('Summary Data'!$A177,'Round 1 Data'!$A$10:$A$143,'Round 1 Data'!U$10:U$144,0)+_xlfn.XLOOKUP('Summary Data'!$A177,'Round 2 Data'!$A$10:$A$146,'Round 2 Data'!U$10:U$146,0)+_xlfn.XLOOKUP('Summary Data'!$A177,'Round 3 Data'!$A$10:$A$145,'Round 3 Data'!U$10:U$145,0)+_xlfn.XLOOKUP('Summary Data'!$A177,'Round 4 Data'!$A$10:$A$147,'Round 4 Data'!U$10:U$147,0))</f>
        <v>#VALUE!</v>
      </c>
    </row>
    <row r="178" spans="1:20" ht="16" thickBot="1" x14ac:dyDescent="0.25">
      <c r="A178" s="65" t="s">
        <v>183</v>
      </c>
      <c r="B178" t="s">
        <v>189</v>
      </c>
      <c r="C178" t="s">
        <v>200</v>
      </c>
      <c r="D178" t="e">
        <f>IF(_xlfn.XLOOKUP('Summary Data'!A178,'Round 1 Data'!$A$10:$A$143,'Round 1 Data'!$E$10:$E$144,0)=0,0,1)+IF(_xlfn.XLOOKUP('Summary Data'!A178,'Round 2 Data'!$A$10:$A$146,'Round 2 Data'!$E$10:$E$146,0)=0,0,1)+IF(_xlfn.XLOOKUP('Summary Data'!A178,'Round 3 Data'!$A$10:$A$145,'Round 3 Data'!$E$10:$E$145,0)=0,0,1)+IF(_xlfn.XLOOKUP('Summary Data'!A178,'Round 4 Data'!$A$10:$A$147,'Round 4 Data'!$E$10:$E$147,0)=0,0,1)</f>
        <v>#VALUE!</v>
      </c>
      <c r="E178" s="57" t="e">
        <f>(_xlfn.XLOOKUP('Summary Data'!$A178,'Round 1 Data'!$A$10:$A$143,'Round 1 Data'!E$10:E$144,0)+_xlfn.XLOOKUP('Summary Data'!$A178,'Round 2 Data'!$A$10:$A$146,'Round 2 Data'!E$10:E$146,0)+_xlfn.XLOOKUP('Summary Data'!$A178,'Round 3 Data'!$A$10:$A$145,'Round 3 Data'!E$10:E$145,0)+_xlfn.XLOOKUP('Summary Data'!$A178,'Round 4 Data'!$A$10:$A$147,'Round 4 Data'!E$10:E$147,0))/$D178</f>
        <v>#VALUE!</v>
      </c>
      <c r="F178" s="57" t="e">
        <f>(_xlfn.XLOOKUP('Summary Data'!$A178,'Round 1 Data'!$A$10:$A$143,'Round 1 Data'!F$10:F$144,0)+_xlfn.XLOOKUP('Summary Data'!$A178,'Round 2 Data'!$A$10:$A$146,'Round 2 Data'!F$10:F$146,0)+_xlfn.XLOOKUP('Summary Data'!$A178,'Round 3 Data'!$A$10:$A$145,'Round 3 Data'!F$10:F$145,0)+_xlfn.XLOOKUP('Summary Data'!$A178,'Round 4 Data'!$A$10:$A$147,'Round 4 Data'!F$10:F$147,0))/$D178</f>
        <v>#VALUE!</v>
      </c>
      <c r="G178" s="57" t="e">
        <f>(_xlfn.XLOOKUP('Summary Data'!$A178,'Round 1 Data'!$A$10:$A$143,'Round 1 Data'!G$10:G$144,0)+_xlfn.XLOOKUP('Summary Data'!$A178,'Round 2 Data'!$A$10:$A$146,'Round 2 Data'!G$10:G$146,0)+_xlfn.XLOOKUP('Summary Data'!$A178,'Round 3 Data'!$A$10:$A$145,'Round 3 Data'!G$10:G$145,0)+_xlfn.XLOOKUP('Summary Data'!$A178,'Round 4 Data'!$A$10:$A$147,'Round 4 Data'!G$10:G$147,0))/$D178</f>
        <v>#VALUE!</v>
      </c>
      <c r="H178" s="57" t="e">
        <f>(_xlfn.XLOOKUP('Summary Data'!$A178,'Round 1 Data'!$A$10:$A$143,'Round 1 Data'!H$10:H$144,0)+_xlfn.XLOOKUP('Summary Data'!$A178,'Round 2 Data'!$A$10:$A$146,'Round 2 Data'!H$10:H$146,0)+_xlfn.XLOOKUP('Summary Data'!$A178,'Round 3 Data'!$A$10:$A$145,'Round 3 Data'!H$10:H$145,0)+_xlfn.XLOOKUP('Summary Data'!$A178,'Round 4 Data'!$A$10:$A$147,'Round 4 Data'!H$10:H$147,0))/$D178</f>
        <v>#VALUE!</v>
      </c>
      <c r="I178" s="57" t="e">
        <f>(_xlfn.XLOOKUP('Summary Data'!$A178,'Round 1 Data'!$A$10:$A$143,'Round 1 Data'!I$10:I$144,0)+_xlfn.XLOOKUP('Summary Data'!$A178,'Round 2 Data'!$A$10:$A$146,'Round 2 Data'!I$10:I$146,0)+_xlfn.XLOOKUP('Summary Data'!$A178,'Round 3 Data'!$A$10:$A$145,'Round 3 Data'!I$10:I$145,0)+_xlfn.XLOOKUP('Summary Data'!$A178,'Round 4 Data'!$A$10:$A$147,'Round 4 Data'!I$10:I$147,0))/$D178</f>
        <v>#VALUE!</v>
      </c>
      <c r="J178" s="57" t="e">
        <f>(_xlfn.XLOOKUP('Summary Data'!$A178,'Round 1 Data'!$A$10:$A$143,'Round 1 Data'!J$10:J$144,0)+_xlfn.XLOOKUP('Summary Data'!$A178,'Round 2 Data'!$A$10:$A$146,'Round 2 Data'!J$10:J$146,0)+_xlfn.XLOOKUP('Summary Data'!$A178,'Round 3 Data'!$A$10:$A$145,'Round 3 Data'!J$10:J$145,0)+_xlfn.XLOOKUP('Summary Data'!$A178,'Round 4 Data'!$A$10:$A$147,'Round 4 Data'!J$10:J$147,0))/$D178</f>
        <v>#VALUE!</v>
      </c>
      <c r="K178" s="57" t="e">
        <f>(_xlfn.XLOOKUP('Summary Data'!$A178,'Round 1 Data'!$A$10:$A$143,'Round 1 Data'!K$10:K$144,0)+_xlfn.XLOOKUP('Summary Data'!$A178,'Round 2 Data'!$A$10:$A$146,'Round 2 Data'!K$10:K$146,0)+_xlfn.XLOOKUP('Summary Data'!$A178,'Round 3 Data'!$A$10:$A$145,'Round 3 Data'!K$10:K$145,0)+_xlfn.XLOOKUP('Summary Data'!$A178,'Round 4 Data'!$A$10:$A$147,'Round 4 Data'!K$10:K$147,0))/$D178</f>
        <v>#VALUE!</v>
      </c>
      <c r="L178" s="57" t="e">
        <f>(_xlfn.XLOOKUP('Summary Data'!$A178,'Round 1 Data'!$A$10:$A$143,'Round 1 Data'!L$10:L$144,0)+_xlfn.XLOOKUP('Summary Data'!$A178,'Round 2 Data'!$A$10:$A$146,'Round 2 Data'!L$10:L$146,0)+_xlfn.XLOOKUP('Summary Data'!$A178,'Round 3 Data'!$A$10:$A$145,'Round 3 Data'!L$10:L$145,0)+_xlfn.XLOOKUP('Summary Data'!$A178,'Round 4 Data'!$A$10:$A$147,'Round 4 Data'!L$10:L$147,0))/$D178</f>
        <v>#VALUE!</v>
      </c>
      <c r="M178" s="57" t="e">
        <f>(_xlfn.XLOOKUP('Summary Data'!$A178,'Round 1 Data'!$A$10:$A$143,'Round 1 Data'!M$10:M$144,0)+_xlfn.XLOOKUP('Summary Data'!$A178,'Round 2 Data'!$A$10:$A$146,'Round 2 Data'!M$10:M$146,0)+_xlfn.XLOOKUP('Summary Data'!$A178,'Round 3 Data'!$A$10:$A$145,'Round 3 Data'!M$10:M$145,0)+_xlfn.XLOOKUP('Summary Data'!$A178,'Round 4 Data'!$A$10:$A$147,'Round 4 Data'!M$10:M$147,0))/$D178</f>
        <v>#VALUE!</v>
      </c>
      <c r="N178" s="57" t="e">
        <f>(_xlfn.XLOOKUP('Summary Data'!$A178,'Round 1 Data'!$A$10:$A$143,'Round 1 Data'!N$10:N$144,0)+_xlfn.XLOOKUP('Summary Data'!$A178,'Round 2 Data'!$A$10:$A$146,'Round 2 Data'!N$10:N$146,0)+_xlfn.XLOOKUP('Summary Data'!$A178,'Round 3 Data'!$A$10:$A$145,'Round 3 Data'!N$10:N$145,0)+_xlfn.XLOOKUP('Summary Data'!$A178,'Round 4 Data'!$A$10:$A$147,'Round 4 Data'!N$10:N$147,0))/$D178</f>
        <v>#VALUE!</v>
      </c>
      <c r="O178" s="57" t="e">
        <f>(_xlfn.XLOOKUP('Summary Data'!$A178,'Round 1 Data'!$A$10:$A$143,'Round 1 Data'!O$10:O$144,0)+_xlfn.XLOOKUP('Summary Data'!$A178,'Round 2 Data'!$A$10:$A$146,'Round 2 Data'!O$10:O$146,0)+_xlfn.XLOOKUP('Summary Data'!$A178,'Round 3 Data'!$A$10:$A$145,'Round 3 Data'!O$10:O$145,0)+_xlfn.XLOOKUP('Summary Data'!$A178,'Round 4 Data'!$A$10:$A$147,'Round 4 Data'!O$10:O$147,0))/$D178</f>
        <v>#VALUE!</v>
      </c>
      <c r="P178" s="57" t="e">
        <f>(_xlfn.XLOOKUP('Summary Data'!$A178,'Round 1 Data'!$A$10:$A$143,'Round 1 Data'!P$10:P$144,0)+_xlfn.XLOOKUP('Summary Data'!$A178,'Round 2 Data'!$A$10:$A$146,'Round 2 Data'!P$10:P$146,0)+_xlfn.XLOOKUP('Summary Data'!$A178,'Round 3 Data'!$A$10:$A$145,'Round 3 Data'!P$10:P$145,0)+_xlfn.XLOOKUP('Summary Data'!$A178,'Round 4 Data'!$A$10:$A$147,'Round 4 Data'!P$10:P$147,0))/$D178</f>
        <v>#VALUE!</v>
      </c>
      <c r="Q178" s="57" t="e">
        <f>(_xlfn.XLOOKUP('Summary Data'!$A178,'Round 1 Data'!$A$10:$A$143,'Round 1 Data'!Q$10:Q$144,0)+_xlfn.XLOOKUP('Summary Data'!$A178,'Round 2 Data'!$A$10:$A$146,'Round 2 Data'!Q$10:Q$146,0)+_xlfn.XLOOKUP('Summary Data'!$A178,'Round 3 Data'!$A$10:$A$145,'Round 3 Data'!Q$10:Q$145,0)+_xlfn.XLOOKUP('Summary Data'!$A178,'Round 4 Data'!$A$10:$A$147,'Round 4 Data'!Q$10:Q$147,0))/$D178</f>
        <v>#VALUE!</v>
      </c>
      <c r="R178" s="57" t="e">
        <f>(_xlfn.XLOOKUP('Summary Data'!$A178,'Round 1 Data'!$A$10:$A$143,'Round 1 Data'!R$10:R$144,0)+_xlfn.XLOOKUP('Summary Data'!$A178,'Round 2 Data'!$A$10:$A$146,'Round 2 Data'!R$10:R$146,0)+_xlfn.XLOOKUP('Summary Data'!$A178,'Round 3 Data'!$A$10:$A$145,'Round 3 Data'!R$10:R$145,0)+_xlfn.XLOOKUP('Summary Data'!$A178,'Round 4 Data'!$A$10:$A$147,'Round 4 Data'!R$10:R$147,0))/$D178</f>
        <v>#VALUE!</v>
      </c>
      <c r="S178" s="57" t="e">
        <f>(_xlfn.XLOOKUP('Summary Data'!$A178,'Round 1 Data'!$A$10:$A$143,'Round 1 Data'!S$10:S$144,0)+_xlfn.XLOOKUP('Summary Data'!$A178,'Round 2 Data'!$A$10:$A$146,'Round 2 Data'!S$10:S$146,0)+_xlfn.XLOOKUP('Summary Data'!$A178,'Round 3 Data'!$A$10:$A$145,'Round 3 Data'!S$10:S$145,0)+_xlfn.XLOOKUP('Summary Data'!$A178,'Round 4 Data'!$A$10:$A$147,'Round 4 Data'!S$10:S$147,0))/$D178</f>
        <v>#VALUE!</v>
      </c>
      <c r="T178" s="62" t="e">
        <f>(_xlfn.XLOOKUP('Summary Data'!$A178,'Round 1 Data'!$A$10:$A$143,'Round 1 Data'!U$10:U$144,0)+_xlfn.XLOOKUP('Summary Data'!$A178,'Round 2 Data'!$A$10:$A$146,'Round 2 Data'!U$10:U$146,0)+_xlfn.XLOOKUP('Summary Data'!$A178,'Round 3 Data'!$A$10:$A$145,'Round 3 Data'!U$10:U$145,0)+_xlfn.XLOOKUP('Summary Data'!$A178,'Round 4 Data'!$A$10:$A$147,'Round 4 Data'!U$10:U$147,0))</f>
        <v>#VALUE!</v>
      </c>
    </row>
    <row r="179" spans="1:20" ht="16" thickBot="1" x14ac:dyDescent="0.25">
      <c r="A179" s="66" t="s">
        <v>184</v>
      </c>
      <c r="B179" s="48" t="s">
        <v>189</v>
      </c>
      <c r="C179" s="48" t="s">
        <v>200</v>
      </c>
      <c r="D179" s="48" t="e">
        <f>IF(_xlfn.XLOOKUP('Summary Data'!A179,'Round 1 Data'!$A$10:$A$143,'Round 1 Data'!$E$10:$E$144,0)=0,0,1)+IF(_xlfn.XLOOKUP('Summary Data'!A179,'Round 2 Data'!$A$10:$A$146,'Round 2 Data'!$E$10:$E$146,0)=0,0,1)+IF(_xlfn.XLOOKUP('Summary Data'!A179,'Round 3 Data'!$A$10:$A$145,'Round 3 Data'!$E$10:$E$145,0)=0,0,1)+IF(_xlfn.XLOOKUP('Summary Data'!A179,'Round 4 Data'!$A$10:$A$147,'Round 4 Data'!$E$10:$E$147,0)=0,0,1)</f>
        <v>#VALUE!</v>
      </c>
      <c r="E179" s="67" t="e">
        <f>(_xlfn.XLOOKUP('Summary Data'!$A179,'Round 1 Data'!$A$10:$A$143,'Round 1 Data'!E$10:E$144,0)+_xlfn.XLOOKUP('Summary Data'!$A179,'Round 2 Data'!$A$10:$A$146,'Round 2 Data'!E$10:E$146,0)+_xlfn.XLOOKUP('Summary Data'!$A179,'Round 3 Data'!$A$10:$A$145,'Round 3 Data'!E$10:E$145,0)+_xlfn.XLOOKUP('Summary Data'!$A179,'Round 4 Data'!$A$10:$A$147,'Round 4 Data'!E$10:E$147,0))/$D179</f>
        <v>#VALUE!</v>
      </c>
      <c r="F179" s="67" t="e">
        <f>(_xlfn.XLOOKUP('Summary Data'!$A179,'Round 1 Data'!$A$10:$A$143,'Round 1 Data'!F$10:F$144,0)+_xlfn.XLOOKUP('Summary Data'!$A179,'Round 2 Data'!$A$10:$A$146,'Round 2 Data'!F$10:F$146,0)+_xlfn.XLOOKUP('Summary Data'!$A179,'Round 3 Data'!$A$10:$A$145,'Round 3 Data'!F$10:F$145,0)+_xlfn.XLOOKUP('Summary Data'!$A179,'Round 4 Data'!$A$10:$A$147,'Round 4 Data'!F$10:F$147,0))/$D179</f>
        <v>#VALUE!</v>
      </c>
      <c r="G179" s="67" t="e">
        <f>(_xlfn.XLOOKUP('Summary Data'!$A179,'Round 1 Data'!$A$10:$A$143,'Round 1 Data'!G$10:G$144,0)+_xlfn.XLOOKUP('Summary Data'!$A179,'Round 2 Data'!$A$10:$A$146,'Round 2 Data'!G$10:G$146,0)+_xlfn.XLOOKUP('Summary Data'!$A179,'Round 3 Data'!$A$10:$A$145,'Round 3 Data'!G$10:G$145,0)+_xlfn.XLOOKUP('Summary Data'!$A179,'Round 4 Data'!$A$10:$A$147,'Round 4 Data'!G$10:G$147,0))/$D179</f>
        <v>#VALUE!</v>
      </c>
      <c r="H179" s="67" t="e">
        <f>(_xlfn.XLOOKUP('Summary Data'!$A179,'Round 1 Data'!$A$10:$A$143,'Round 1 Data'!H$10:H$144,0)+_xlfn.XLOOKUP('Summary Data'!$A179,'Round 2 Data'!$A$10:$A$146,'Round 2 Data'!H$10:H$146,0)+_xlfn.XLOOKUP('Summary Data'!$A179,'Round 3 Data'!$A$10:$A$145,'Round 3 Data'!H$10:H$145,0)+_xlfn.XLOOKUP('Summary Data'!$A179,'Round 4 Data'!$A$10:$A$147,'Round 4 Data'!H$10:H$147,0))/$D179</f>
        <v>#VALUE!</v>
      </c>
      <c r="I179" s="67" t="e">
        <f>(_xlfn.XLOOKUP('Summary Data'!$A179,'Round 1 Data'!$A$10:$A$143,'Round 1 Data'!I$10:I$144,0)+_xlfn.XLOOKUP('Summary Data'!$A179,'Round 2 Data'!$A$10:$A$146,'Round 2 Data'!I$10:I$146,0)+_xlfn.XLOOKUP('Summary Data'!$A179,'Round 3 Data'!$A$10:$A$145,'Round 3 Data'!I$10:I$145,0)+_xlfn.XLOOKUP('Summary Data'!$A179,'Round 4 Data'!$A$10:$A$147,'Round 4 Data'!I$10:I$147,0))/$D179</f>
        <v>#VALUE!</v>
      </c>
      <c r="J179" s="67" t="e">
        <f>(_xlfn.XLOOKUP('Summary Data'!$A179,'Round 1 Data'!$A$10:$A$143,'Round 1 Data'!J$10:J$144,0)+_xlfn.XLOOKUP('Summary Data'!$A179,'Round 2 Data'!$A$10:$A$146,'Round 2 Data'!J$10:J$146,0)+_xlfn.XLOOKUP('Summary Data'!$A179,'Round 3 Data'!$A$10:$A$145,'Round 3 Data'!J$10:J$145,0)+_xlfn.XLOOKUP('Summary Data'!$A179,'Round 4 Data'!$A$10:$A$147,'Round 4 Data'!J$10:J$147,0))/$D179</f>
        <v>#VALUE!</v>
      </c>
      <c r="K179" s="67" t="e">
        <f>(_xlfn.XLOOKUP('Summary Data'!$A179,'Round 1 Data'!$A$10:$A$143,'Round 1 Data'!K$10:K$144,0)+_xlfn.XLOOKUP('Summary Data'!$A179,'Round 2 Data'!$A$10:$A$146,'Round 2 Data'!K$10:K$146,0)+_xlfn.XLOOKUP('Summary Data'!$A179,'Round 3 Data'!$A$10:$A$145,'Round 3 Data'!K$10:K$145,0)+_xlfn.XLOOKUP('Summary Data'!$A179,'Round 4 Data'!$A$10:$A$147,'Round 4 Data'!K$10:K$147,0))/$D179</f>
        <v>#VALUE!</v>
      </c>
      <c r="L179" s="67" t="e">
        <f>(_xlfn.XLOOKUP('Summary Data'!$A179,'Round 1 Data'!$A$10:$A$143,'Round 1 Data'!L$10:L$144,0)+_xlfn.XLOOKUP('Summary Data'!$A179,'Round 2 Data'!$A$10:$A$146,'Round 2 Data'!L$10:L$146,0)+_xlfn.XLOOKUP('Summary Data'!$A179,'Round 3 Data'!$A$10:$A$145,'Round 3 Data'!L$10:L$145,0)+_xlfn.XLOOKUP('Summary Data'!$A179,'Round 4 Data'!$A$10:$A$147,'Round 4 Data'!L$10:L$147,0))/$D179</f>
        <v>#VALUE!</v>
      </c>
      <c r="M179" s="67" t="e">
        <f>(_xlfn.XLOOKUP('Summary Data'!$A179,'Round 1 Data'!$A$10:$A$143,'Round 1 Data'!M$10:M$144,0)+_xlfn.XLOOKUP('Summary Data'!$A179,'Round 2 Data'!$A$10:$A$146,'Round 2 Data'!M$10:M$146,0)+_xlfn.XLOOKUP('Summary Data'!$A179,'Round 3 Data'!$A$10:$A$145,'Round 3 Data'!M$10:M$145,0)+_xlfn.XLOOKUP('Summary Data'!$A179,'Round 4 Data'!$A$10:$A$147,'Round 4 Data'!M$10:M$147,0))/$D179</f>
        <v>#VALUE!</v>
      </c>
      <c r="N179" s="67" t="e">
        <f>(_xlfn.XLOOKUP('Summary Data'!$A179,'Round 1 Data'!$A$10:$A$143,'Round 1 Data'!N$10:N$144,0)+_xlfn.XLOOKUP('Summary Data'!$A179,'Round 2 Data'!$A$10:$A$146,'Round 2 Data'!N$10:N$146,0)+_xlfn.XLOOKUP('Summary Data'!$A179,'Round 3 Data'!$A$10:$A$145,'Round 3 Data'!N$10:N$145,0)+_xlfn.XLOOKUP('Summary Data'!$A179,'Round 4 Data'!$A$10:$A$147,'Round 4 Data'!N$10:N$147,0))/$D179</f>
        <v>#VALUE!</v>
      </c>
      <c r="O179" s="67" t="e">
        <f>(_xlfn.XLOOKUP('Summary Data'!$A179,'Round 1 Data'!$A$10:$A$143,'Round 1 Data'!O$10:O$144,0)+_xlfn.XLOOKUP('Summary Data'!$A179,'Round 2 Data'!$A$10:$A$146,'Round 2 Data'!O$10:O$146,0)+_xlfn.XLOOKUP('Summary Data'!$A179,'Round 3 Data'!$A$10:$A$145,'Round 3 Data'!O$10:O$145,0)+_xlfn.XLOOKUP('Summary Data'!$A179,'Round 4 Data'!$A$10:$A$147,'Round 4 Data'!O$10:O$147,0))/$D179</f>
        <v>#VALUE!</v>
      </c>
      <c r="P179" s="67" t="e">
        <f>(_xlfn.XLOOKUP('Summary Data'!$A179,'Round 1 Data'!$A$10:$A$143,'Round 1 Data'!P$10:P$144,0)+_xlfn.XLOOKUP('Summary Data'!$A179,'Round 2 Data'!$A$10:$A$146,'Round 2 Data'!P$10:P$146,0)+_xlfn.XLOOKUP('Summary Data'!$A179,'Round 3 Data'!$A$10:$A$145,'Round 3 Data'!P$10:P$145,0)+_xlfn.XLOOKUP('Summary Data'!$A179,'Round 4 Data'!$A$10:$A$147,'Round 4 Data'!P$10:P$147,0))/$D179</f>
        <v>#VALUE!</v>
      </c>
      <c r="Q179" s="67" t="e">
        <f>(_xlfn.XLOOKUP('Summary Data'!$A179,'Round 1 Data'!$A$10:$A$143,'Round 1 Data'!Q$10:Q$144,0)+_xlfn.XLOOKUP('Summary Data'!$A179,'Round 2 Data'!$A$10:$A$146,'Round 2 Data'!Q$10:Q$146,0)+_xlfn.XLOOKUP('Summary Data'!$A179,'Round 3 Data'!$A$10:$A$145,'Round 3 Data'!Q$10:Q$145,0)+_xlfn.XLOOKUP('Summary Data'!$A179,'Round 4 Data'!$A$10:$A$147,'Round 4 Data'!Q$10:Q$147,0))/$D179</f>
        <v>#VALUE!</v>
      </c>
      <c r="R179" s="67" t="e">
        <f>(_xlfn.XLOOKUP('Summary Data'!$A179,'Round 1 Data'!$A$10:$A$143,'Round 1 Data'!R$10:R$144,0)+_xlfn.XLOOKUP('Summary Data'!$A179,'Round 2 Data'!$A$10:$A$146,'Round 2 Data'!R$10:R$146,0)+_xlfn.XLOOKUP('Summary Data'!$A179,'Round 3 Data'!$A$10:$A$145,'Round 3 Data'!R$10:R$145,0)+_xlfn.XLOOKUP('Summary Data'!$A179,'Round 4 Data'!$A$10:$A$147,'Round 4 Data'!R$10:R$147,0))/$D179</f>
        <v>#VALUE!</v>
      </c>
      <c r="S179" s="67" t="e">
        <f>(_xlfn.XLOOKUP('Summary Data'!$A179,'Round 1 Data'!$A$10:$A$143,'Round 1 Data'!S$10:S$144,0)+_xlfn.XLOOKUP('Summary Data'!$A179,'Round 2 Data'!$A$10:$A$146,'Round 2 Data'!S$10:S$146,0)+_xlfn.XLOOKUP('Summary Data'!$A179,'Round 3 Data'!$A$10:$A$145,'Round 3 Data'!S$10:S$145,0)+_xlfn.XLOOKUP('Summary Data'!$A179,'Round 4 Data'!$A$10:$A$147,'Round 4 Data'!S$10:S$147,0))/$D179</f>
        <v>#VALUE!</v>
      </c>
      <c r="T179" s="68" t="e">
        <f>(_xlfn.XLOOKUP('Summary Data'!$A179,'Round 1 Data'!$A$10:$A$143,'Round 1 Data'!U$10:U$144,0)+_xlfn.XLOOKUP('Summary Data'!$A179,'Round 2 Data'!$A$10:$A$146,'Round 2 Data'!U$10:U$146,0)+_xlfn.XLOOKUP('Summary Data'!$A179,'Round 3 Data'!$A$10:$A$145,'Round 3 Data'!U$10:U$145,0)+_xlfn.XLOOKUP('Summary Data'!$A179,'Round 4 Data'!$A$10:$A$147,'Round 4 Data'!U$10:U$147,0))</f>
        <v>#VALUE!</v>
      </c>
    </row>
  </sheetData>
  <mergeCells count="1">
    <mergeCell ref="E2:S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7725-BA00-405A-A75F-D99ADE668821}">
  <sheetPr>
    <tabColor rgb="FF92D050"/>
  </sheetPr>
  <dimension ref="A1"/>
  <sheetViews>
    <sheetView workbookViewId="0">
      <selection activeCell="N27" sqref="N27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F851-7C9B-402C-B527-7450FE757A97}">
  <dimension ref="A1:C177"/>
  <sheetViews>
    <sheetView topLeftCell="A157" zoomScale="120" zoomScaleNormal="120" workbookViewId="0">
      <selection activeCell="D171" sqref="D171"/>
    </sheetView>
  </sheetViews>
  <sheetFormatPr baseColWidth="10" defaultColWidth="8.83203125" defaultRowHeight="15" x14ac:dyDescent="0.2"/>
  <cols>
    <col min="1" max="1" width="12.83203125" customWidth="1"/>
    <col min="3" max="3" width="11.1640625" customWidth="1"/>
  </cols>
  <sheetData>
    <row r="1" spans="1:3" ht="16" thickBot="1" x14ac:dyDescent="0.25"/>
    <row r="2" spans="1:3" ht="16" thickBot="1" x14ac:dyDescent="0.25">
      <c r="A2" s="1" t="s">
        <v>57</v>
      </c>
      <c r="B2" t="s">
        <v>188</v>
      </c>
      <c r="C2" t="s">
        <v>194</v>
      </c>
    </row>
    <row r="3" spans="1:3" ht="16" thickBot="1" x14ac:dyDescent="0.25">
      <c r="A3" s="4" t="s">
        <v>58</v>
      </c>
      <c r="B3" t="s">
        <v>188</v>
      </c>
      <c r="C3" t="s">
        <v>194</v>
      </c>
    </row>
    <row r="4" spans="1:3" ht="16" thickBot="1" x14ac:dyDescent="0.25">
      <c r="A4" s="1" t="s">
        <v>59</v>
      </c>
      <c r="B4" t="s">
        <v>188</v>
      </c>
      <c r="C4" t="s">
        <v>194</v>
      </c>
    </row>
    <row r="5" spans="1:3" ht="16" thickBot="1" x14ac:dyDescent="0.25">
      <c r="A5" s="4" t="s">
        <v>60</v>
      </c>
      <c r="B5" t="s">
        <v>188</v>
      </c>
      <c r="C5" t="s">
        <v>194</v>
      </c>
    </row>
    <row r="6" spans="1:3" ht="16" thickBot="1" x14ac:dyDescent="0.25">
      <c r="A6" s="7" t="s">
        <v>61</v>
      </c>
      <c r="B6" t="s">
        <v>188</v>
      </c>
      <c r="C6" t="s">
        <v>195</v>
      </c>
    </row>
    <row r="7" spans="1:3" ht="16" thickBot="1" x14ac:dyDescent="0.25">
      <c r="A7" s="8" t="s">
        <v>62</v>
      </c>
      <c r="B7" t="s">
        <v>188</v>
      </c>
      <c r="C7" t="s">
        <v>195</v>
      </c>
    </row>
    <row r="8" spans="1:3" ht="16" thickBot="1" x14ac:dyDescent="0.25">
      <c r="A8" s="9" t="s">
        <v>63</v>
      </c>
      <c r="B8" t="s">
        <v>188</v>
      </c>
      <c r="C8" t="s">
        <v>196</v>
      </c>
    </row>
    <row r="9" spans="1:3" ht="16" thickBot="1" x14ac:dyDescent="0.25">
      <c r="A9" s="10" t="s">
        <v>159</v>
      </c>
      <c r="B9" t="s">
        <v>188</v>
      </c>
      <c r="C9" t="s">
        <v>196</v>
      </c>
    </row>
    <row r="10" spans="1:3" ht="16" thickBot="1" x14ac:dyDescent="0.25">
      <c r="A10" s="11" t="s">
        <v>65</v>
      </c>
      <c r="B10" t="s">
        <v>188</v>
      </c>
      <c r="C10" t="s">
        <v>197</v>
      </c>
    </row>
    <row r="11" spans="1:3" ht="16" thickBot="1" x14ac:dyDescent="0.25">
      <c r="A11" s="12" t="s">
        <v>66</v>
      </c>
      <c r="B11" t="s">
        <v>188</v>
      </c>
      <c r="C11" t="s">
        <v>197</v>
      </c>
    </row>
    <row r="12" spans="1:3" ht="16" thickBot="1" x14ac:dyDescent="0.25">
      <c r="A12" s="13" t="s">
        <v>67</v>
      </c>
      <c r="B12" t="s">
        <v>188</v>
      </c>
      <c r="C12" t="s">
        <v>198</v>
      </c>
    </row>
    <row r="13" spans="1:3" ht="16" thickBot="1" x14ac:dyDescent="0.25">
      <c r="A13" s="14" t="s">
        <v>68</v>
      </c>
      <c r="B13" t="s">
        <v>188</v>
      </c>
      <c r="C13" t="s">
        <v>198</v>
      </c>
    </row>
    <row r="14" spans="1:3" ht="16" thickBot="1" x14ac:dyDescent="0.25">
      <c r="A14" s="13" t="s">
        <v>69</v>
      </c>
      <c r="B14" t="s">
        <v>188</v>
      </c>
      <c r="C14" t="s">
        <v>198</v>
      </c>
    </row>
    <row r="15" spans="1:3" ht="16" thickBot="1" x14ac:dyDescent="0.25">
      <c r="A15" s="14" t="s">
        <v>161</v>
      </c>
      <c r="B15" t="s">
        <v>188</v>
      </c>
      <c r="C15" t="s">
        <v>198</v>
      </c>
    </row>
    <row r="16" spans="1:3" ht="16" thickBot="1" x14ac:dyDescent="0.25">
      <c r="A16" s="15" t="s">
        <v>70</v>
      </c>
      <c r="B16" t="s">
        <v>188</v>
      </c>
      <c r="C16" t="s">
        <v>199</v>
      </c>
    </row>
    <row r="17" spans="1:3" ht="16" thickBot="1" x14ac:dyDescent="0.25">
      <c r="A17" s="16" t="s">
        <v>72</v>
      </c>
      <c r="B17" t="s">
        <v>188</v>
      </c>
      <c r="C17" t="s">
        <v>199</v>
      </c>
    </row>
    <row r="18" spans="1:3" ht="16" thickBot="1" x14ac:dyDescent="0.25">
      <c r="A18" s="15" t="s">
        <v>162</v>
      </c>
      <c r="B18" t="s">
        <v>188</v>
      </c>
      <c r="C18" t="s">
        <v>199</v>
      </c>
    </row>
    <row r="19" spans="1:3" ht="16" thickBot="1" x14ac:dyDescent="0.25">
      <c r="A19" s="17" t="s">
        <v>75</v>
      </c>
      <c r="B19" t="s">
        <v>188</v>
      </c>
      <c r="C19" t="s">
        <v>200</v>
      </c>
    </row>
    <row r="20" spans="1:3" ht="16" thickBot="1" x14ac:dyDescent="0.25">
      <c r="A20" s="18" t="s">
        <v>163</v>
      </c>
      <c r="B20" t="s">
        <v>188</v>
      </c>
      <c r="C20" t="s">
        <v>200</v>
      </c>
    </row>
    <row r="21" spans="1:3" ht="16" thickBot="1" x14ac:dyDescent="0.25">
      <c r="A21" s="17" t="s">
        <v>77</v>
      </c>
      <c r="B21" t="s">
        <v>188</v>
      </c>
      <c r="C21" t="s">
        <v>200</v>
      </c>
    </row>
    <row r="22" spans="1:3" ht="16" thickBot="1" x14ac:dyDescent="0.25">
      <c r="A22" s="18" t="s">
        <v>164</v>
      </c>
      <c r="B22" t="s">
        <v>188</v>
      </c>
      <c r="C22" t="s">
        <v>200</v>
      </c>
    </row>
    <row r="23" spans="1:3" ht="16" thickBot="1" x14ac:dyDescent="0.25">
      <c r="A23" s="19" t="s">
        <v>78</v>
      </c>
      <c r="B23" t="s">
        <v>188</v>
      </c>
      <c r="C23" t="s">
        <v>201</v>
      </c>
    </row>
    <row r="24" spans="1:3" ht="16" thickBot="1" x14ac:dyDescent="0.25">
      <c r="A24" s="20" t="s">
        <v>79</v>
      </c>
      <c r="B24" t="s">
        <v>188</v>
      </c>
      <c r="C24" t="s">
        <v>201</v>
      </c>
    </row>
    <row r="25" spans="1:3" ht="16" thickBot="1" x14ac:dyDescent="0.25">
      <c r="A25" s="1" t="s">
        <v>126</v>
      </c>
      <c r="B25" t="s">
        <v>189</v>
      </c>
      <c r="C25" t="s">
        <v>194</v>
      </c>
    </row>
    <row r="26" spans="1:3" ht="16" thickBot="1" x14ac:dyDescent="0.25">
      <c r="A26" s="4" t="s">
        <v>127</v>
      </c>
      <c r="B26" t="s">
        <v>189</v>
      </c>
      <c r="C26" t="s">
        <v>194</v>
      </c>
    </row>
    <row r="27" spans="1:3" ht="16" thickBot="1" x14ac:dyDescent="0.25">
      <c r="A27" s="1" t="s">
        <v>128</v>
      </c>
      <c r="B27" t="s">
        <v>189</v>
      </c>
      <c r="C27" t="s">
        <v>194</v>
      </c>
    </row>
    <row r="28" spans="1:3" ht="16" thickBot="1" x14ac:dyDescent="0.25">
      <c r="A28" s="8" t="s">
        <v>129</v>
      </c>
      <c r="B28" t="s">
        <v>189</v>
      </c>
      <c r="C28" t="s">
        <v>195</v>
      </c>
    </row>
    <row r="29" spans="1:3" ht="16" thickBot="1" x14ac:dyDescent="0.25">
      <c r="A29" s="7" t="s">
        <v>130</v>
      </c>
      <c r="B29" t="s">
        <v>189</v>
      </c>
      <c r="C29" t="s">
        <v>195</v>
      </c>
    </row>
    <row r="30" spans="1:3" ht="16" thickBot="1" x14ac:dyDescent="0.25">
      <c r="A30" s="8" t="s">
        <v>131</v>
      </c>
      <c r="B30" t="s">
        <v>189</v>
      </c>
      <c r="C30" t="s">
        <v>195</v>
      </c>
    </row>
    <row r="31" spans="1:3" ht="16" thickBot="1" x14ac:dyDescent="0.25">
      <c r="A31" s="9" t="s">
        <v>132</v>
      </c>
      <c r="B31" t="s">
        <v>189</v>
      </c>
      <c r="C31" t="s">
        <v>196</v>
      </c>
    </row>
    <row r="32" spans="1:3" ht="16" thickBot="1" x14ac:dyDescent="0.25">
      <c r="A32" s="10" t="s">
        <v>133</v>
      </c>
      <c r="B32" t="s">
        <v>189</v>
      </c>
      <c r="C32" t="s">
        <v>196</v>
      </c>
    </row>
    <row r="33" spans="1:3" ht="16" thickBot="1" x14ac:dyDescent="0.25">
      <c r="A33" s="11" t="s">
        <v>134</v>
      </c>
      <c r="B33" t="s">
        <v>189</v>
      </c>
      <c r="C33" t="s">
        <v>197</v>
      </c>
    </row>
    <row r="34" spans="1:3" ht="16" thickBot="1" x14ac:dyDescent="0.25">
      <c r="A34" s="12" t="s">
        <v>135</v>
      </c>
      <c r="B34" t="s">
        <v>189</v>
      </c>
      <c r="C34" t="s">
        <v>197</v>
      </c>
    </row>
    <row r="35" spans="1:3" ht="16" thickBot="1" x14ac:dyDescent="0.25">
      <c r="A35" s="13" t="s">
        <v>136</v>
      </c>
      <c r="B35" t="s">
        <v>189</v>
      </c>
      <c r="C35" t="s">
        <v>198</v>
      </c>
    </row>
    <row r="36" spans="1:3" ht="16" thickBot="1" x14ac:dyDescent="0.25">
      <c r="A36" s="14" t="s">
        <v>137</v>
      </c>
      <c r="B36" t="s">
        <v>189</v>
      </c>
      <c r="C36" t="s">
        <v>198</v>
      </c>
    </row>
    <row r="37" spans="1:3" ht="16" thickBot="1" x14ac:dyDescent="0.25">
      <c r="A37" s="13" t="s">
        <v>138</v>
      </c>
      <c r="B37" t="s">
        <v>189</v>
      </c>
      <c r="C37" t="s">
        <v>198</v>
      </c>
    </row>
    <row r="38" spans="1:3" ht="16" thickBot="1" x14ac:dyDescent="0.25">
      <c r="A38" s="14" t="s">
        <v>139</v>
      </c>
      <c r="B38" t="s">
        <v>189</v>
      </c>
      <c r="C38" t="s">
        <v>198</v>
      </c>
    </row>
    <row r="39" spans="1:3" ht="16" thickBot="1" x14ac:dyDescent="0.25">
      <c r="A39" s="15" t="s">
        <v>140</v>
      </c>
      <c r="B39" t="s">
        <v>189</v>
      </c>
      <c r="C39" t="s">
        <v>199</v>
      </c>
    </row>
    <row r="40" spans="1:3" ht="16" thickBot="1" x14ac:dyDescent="0.25">
      <c r="A40" s="16" t="s">
        <v>141</v>
      </c>
      <c r="B40" t="s">
        <v>189</v>
      </c>
      <c r="C40" t="s">
        <v>199</v>
      </c>
    </row>
    <row r="41" spans="1:3" ht="16" thickBot="1" x14ac:dyDescent="0.25">
      <c r="A41" s="15" t="s">
        <v>142</v>
      </c>
      <c r="B41" t="s">
        <v>189</v>
      </c>
      <c r="C41" t="s">
        <v>199</v>
      </c>
    </row>
    <row r="42" spans="1:3" ht="16" thickBot="1" x14ac:dyDescent="0.25">
      <c r="A42" s="17" t="s">
        <v>143</v>
      </c>
      <c r="B42" t="s">
        <v>189</v>
      </c>
      <c r="C42" t="s">
        <v>200</v>
      </c>
    </row>
    <row r="43" spans="1:3" ht="16" thickBot="1" x14ac:dyDescent="0.25">
      <c r="A43" s="18" t="s">
        <v>144</v>
      </c>
      <c r="B43" t="s">
        <v>189</v>
      </c>
      <c r="C43" t="s">
        <v>200</v>
      </c>
    </row>
    <row r="44" spans="1:3" ht="16" thickBot="1" x14ac:dyDescent="0.25">
      <c r="A44" s="17" t="s">
        <v>145</v>
      </c>
      <c r="B44" t="s">
        <v>189</v>
      </c>
      <c r="C44" t="s">
        <v>200</v>
      </c>
    </row>
    <row r="45" spans="1:3" ht="16" thickBot="1" x14ac:dyDescent="0.25">
      <c r="A45" s="18" t="s">
        <v>146</v>
      </c>
      <c r="B45" t="s">
        <v>189</v>
      </c>
      <c r="C45" t="s">
        <v>200</v>
      </c>
    </row>
    <row r="46" spans="1:3" ht="16" thickBot="1" x14ac:dyDescent="0.25">
      <c r="A46" s="19" t="s">
        <v>147</v>
      </c>
      <c r="B46" t="s">
        <v>189</v>
      </c>
      <c r="C46" t="s">
        <v>201</v>
      </c>
    </row>
    <row r="47" spans="1:3" ht="16" thickBot="1" x14ac:dyDescent="0.25">
      <c r="A47" s="20" t="s">
        <v>152</v>
      </c>
      <c r="B47" t="s">
        <v>189</v>
      </c>
      <c r="C47" t="s">
        <v>201</v>
      </c>
    </row>
    <row r="48" spans="1:3" ht="16" thickBot="1" x14ac:dyDescent="0.25">
      <c r="A48" s="1" t="s">
        <v>81</v>
      </c>
      <c r="B48" t="s">
        <v>190</v>
      </c>
      <c r="C48" t="s">
        <v>194</v>
      </c>
    </row>
    <row r="49" spans="1:3" ht="16" thickBot="1" x14ac:dyDescent="0.25">
      <c r="A49" s="4" t="s">
        <v>82</v>
      </c>
      <c r="B49" t="s">
        <v>190</v>
      </c>
      <c r="C49" t="s">
        <v>194</v>
      </c>
    </row>
    <row r="50" spans="1:3" ht="16" thickBot="1" x14ac:dyDescent="0.25">
      <c r="A50" s="1" t="s">
        <v>83</v>
      </c>
      <c r="B50" t="s">
        <v>190</v>
      </c>
      <c r="C50" t="s">
        <v>194</v>
      </c>
    </row>
    <row r="51" spans="1:3" ht="16" thickBot="1" x14ac:dyDescent="0.25">
      <c r="A51" s="4" t="s">
        <v>166</v>
      </c>
      <c r="B51" t="s">
        <v>190</v>
      </c>
      <c r="C51" t="s">
        <v>194</v>
      </c>
    </row>
    <row r="52" spans="1:3" ht="16" thickBot="1" x14ac:dyDescent="0.25">
      <c r="A52" s="7" t="s">
        <v>84</v>
      </c>
      <c r="B52" t="s">
        <v>190</v>
      </c>
      <c r="C52" t="s">
        <v>195</v>
      </c>
    </row>
    <row r="53" spans="1:3" ht="16" thickBot="1" x14ac:dyDescent="0.25">
      <c r="A53" s="8" t="s">
        <v>85</v>
      </c>
      <c r="B53" t="s">
        <v>190</v>
      </c>
      <c r="C53" t="s">
        <v>195</v>
      </c>
    </row>
    <row r="54" spans="1:3" ht="16" thickBot="1" x14ac:dyDescent="0.25">
      <c r="A54" s="7" t="s">
        <v>185</v>
      </c>
      <c r="B54" t="s">
        <v>190</v>
      </c>
      <c r="C54" t="s">
        <v>195</v>
      </c>
    </row>
    <row r="55" spans="1:3" ht="16" thickBot="1" x14ac:dyDescent="0.25">
      <c r="A55" s="10" t="s">
        <v>87</v>
      </c>
      <c r="B55" t="s">
        <v>190</v>
      </c>
      <c r="C55" t="s">
        <v>196</v>
      </c>
    </row>
    <row r="56" spans="1:3" ht="16" thickBot="1" x14ac:dyDescent="0.25">
      <c r="A56" s="11" t="s">
        <v>89</v>
      </c>
      <c r="B56" t="s">
        <v>190</v>
      </c>
      <c r="C56" t="s">
        <v>197</v>
      </c>
    </row>
    <row r="57" spans="1:3" ht="16" thickBot="1" x14ac:dyDescent="0.25">
      <c r="A57" s="12" t="s">
        <v>186</v>
      </c>
      <c r="B57" t="s">
        <v>190</v>
      </c>
      <c r="C57" t="s">
        <v>197</v>
      </c>
    </row>
    <row r="58" spans="1:3" ht="16" thickBot="1" x14ac:dyDescent="0.25">
      <c r="A58" s="13" t="s">
        <v>167</v>
      </c>
      <c r="B58" t="s">
        <v>190</v>
      </c>
      <c r="C58" t="s">
        <v>198</v>
      </c>
    </row>
    <row r="59" spans="1:3" ht="16" thickBot="1" x14ac:dyDescent="0.25">
      <c r="A59" s="14" t="s">
        <v>90</v>
      </c>
      <c r="B59" t="s">
        <v>190</v>
      </c>
      <c r="C59" t="s">
        <v>198</v>
      </c>
    </row>
    <row r="60" spans="1:3" ht="16" thickBot="1" x14ac:dyDescent="0.25">
      <c r="A60" s="13" t="s">
        <v>91</v>
      </c>
      <c r="B60" t="s">
        <v>190</v>
      </c>
      <c r="C60" t="s">
        <v>198</v>
      </c>
    </row>
    <row r="61" spans="1:3" ht="16" thickBot="1" x14ac:dyDescent="0.25">
      <c r="A61" s="14" t="s">
        <v>92</v>
      </c>
      <c r="B61" t="s">
        <v>190</v>
      </c>
      <c r="C61" t="s">
        <v>198</v>
      </c>
    </row>
    <row r="62" spans="1:3" ht="16" thickBot="1" x14ac:dyDescent="0.25">
      <c r="A62" s="15" t="s">
        <v>94</v>
      </c>
      <c r="B62" t="s">
        <v>190</v>
      </c>
      <c r="C62" t="s">
        <v>199</v>
      </c>
    </row>
    <row r="63" spans="1:3" ht="16" thickBot="1" x14ac:dyDescent="0.25">
      <c r="A63" s="16" t="s">
        <v>95</v>
      </c>
      <c r="B63" t="s">
        <v>190</v>
      </c>
      <c r="C63" t="s">
        <v>199</v>
      </c>
    </row>
    <row r="64" spans="1:3" ht="16" thickBot="1" x14ac:dyDescent="0.25">
      <c r="A64" s="15" t="s">
        <v>96</v>
      </c>
      <c r="B64" t="s">
        <v>190</v>
      </c>
      <c r="C64" t="s">
        <v>199</v>
      </c>
    </row>
    <row r="65" spans="1:3" ht="16" thickBot="1" x14ac:dyDescent="0.25">
      <c r="A65" s="17" t="s">
        <v>97</v>
      </c>
      <c r="B65" t="s">
        <v>190</v>
      </c>
      <c r="C65" t="s">
        <v>200</v>
      </c>
    </row>
    <row r="66" spans="1:3" ht="16" thickBot="1" x14ac:dyDescent="0.25">
      <c r="A66" s="18" t="s">
        <v>98</v>
      </c>
      <c r="B66" t="s">
        <v>190</v>
      </c>
      <c r="C66" t="s">
        <v>200</v>
      </c>
    </row>
    <row r="67" spans="1:3" ht="16" thickBot="1" x14ac:dyDescent="0.25">
      <c r="A67" s="17" t="s">
        <v>99</v>
      </c>
      <c r="B67" t="s">
        <v>190</v>
      </c>
      <c r="C67" t="s">
        <v>200</v>
      </c>
    </row>
    <row r="68" spans="1:3" ht="16" thickBot="1" x14ac:dyDescent="0.25">
      <c r="A68" s="18" t="s">
        <v>100</v>
      </c>
      <c r="B68" t="s">
        <v>190</v>
      </c>
      <c r="C68" t="s">
        <v>200</v>
      </c>
    </row>
    <row r="69" spans="1:3" ht="16" thickBot="1" x14ac:dyDescent="0.25">
      <c r="A69" s="19" t="s">
        <v>101</v>
      </c>
      <c r="B69" t="s">
        <v>190</v>
      </c>
      <c r="C69" t="s">
        <v>201</v>
      </c>
    </row>
    <row r="70" spans="1:3" ht="16" thickBot="1" x14ac:dyDescent="0.25">
      <c r="A70" s="1" t="s">
        <v>34</v>
      </c>
      <c r="B70" t="s">
        <v>191</v>
      </c>
      <c r="C70" t="s">
        <v>194</v>
      </c>
    </row>
    <row r="71" spans="1:3" ht="16" thickBot="1" x14ac:dyDescent="0.25">
      <c r="A71" s="4" t="s">
        <v>35</v>
      </c>
      <c r="B71" t="s">
        <v>191</v>
      </c>
      <c r="C71" t="s">
        <v>194</v>
      </c>
    </row>
    <row r="72" spans="1:3" ht="16" thickBot="1" x14ac:dyDescent="0.25">
      <c r="A72" s="1" t="s">
        <v>36</v>
      </c>
      <c r="B72" t="s">
        <v>191</v>
      </c>
      <c r="C72" t="s">
        <v>194</v>
      </c>
    </row>
    <row r="73" spans="1:3" ht="16" thickBot="1" x14ac:dyDescent="0.25">
      <c r="A73" s="4" t="s">
        <v>37</v>
      </c>
      <c r="B73" t="s">
        <v>191</v>
      </c>
      <c r="C73" t="s">
        <v>194</v>
      </c>
    </row>
    <row r="74" spans="1:3" ht="16" thickBot="1" x14ac:dyDescent="0.25">
      <c r="A74" s="7" t="s">
        <v>38</v>
      </c>
      <c r="B74" t="s">
        <v>191</v>
      </c>
      <c r="C74" t="s">
        <v>195</v>
      </c>
    </row>
    <row r="75" spans="1:3" ht="16" thickBot="1" x14ac:dyDescent="0.25">
      <c r="A75" s="8" t="s">
        <v>39</v>
      </c>
      <c r="B75" t="s">
        <v>191</v>
      </c>
      <c r="C75" t="s">
        <v>195</v>
      </c>
    </row>
    <row r="76" spans="1:3" ht="16" thickBot="1" x14ac:dyDescent="0.25">
      <c r="A76" s="7" t="s">
        <v>40</v>
      </c>
      <c r="B76" t="s">
        <v>191</v>
      </c>
      <c r="C76" t="s">
        <v>195</v>
      </c>
    </row>
    <row r="77" spans="1:3" ht="16" thickBot="1" x14ac:dyDescent="0.25">
      <c r="A77" s="10" t="s">
        <v>41</v>
      </c>
      <c r="B77" t="s">
        <v>191</v>
      </c>
      <c r="C77" t="s">
        <v>196</v>
      </c>
    </row>
    <row r="78" spans="1:3" ht="16" thickBot="1" x14ac:dyDescent="0.25">
      <c r="A78" s="11" t="s">
        <v>42</v>
      </c>
      <c r="B78" t="s">
        <v>191</v>
      </c>
      <c r="C78" t="s">
        <v>197</v>
      </c>
    </row>
    <row r="79" spans="1:3" ht="16" thickBot="1" x14ac:dyDescent="0.25">
      <c r="A79" s="12" t="s">
        <v>43</v>
      </c>
      <c r="B79" t="s">
        <v>191</v>
      </c>
      <c r="C79" t="s">
        <v>197</v>
      </c>
    </row>
    <row r="80" spans="1:3" ht="16" thickBot="1" x14ac:dyDescent="0.25">
      <c r="A80" s="13" t="s">
        <v>44</v>
      </c>
      <c r="B80" t="s">
        <v>191</v>
      </c>
      <c r="C80" t="s">
        <v>198</v>
      </c>
    </row>
    <row r="81" spans="1:3" ht="16" thickBot="1" x14ac:dyDescent="0.25">
      <c r="A81" s="14" t="s">
        <v>45</v>
      </c>
      <c r="B81" t="s">
        <v>191</v>
      </c>
      <c r="C81" t="s">
        <v>198</v>
      </c>
    </row>
    <row r="82" spans="1:3" ht="16" thickBot="1" x14ac:dyDescent="0.25">
      <c r="A82" s="13" t="s">
        <v>46</v>
      </c>
      <c r="B82" t="s">
        <v>191</v>
      </c>
      <c r="C82" t="s">
        <v>198</v>
      </c>
    </row>
    <row r="83" spans="1:3" ht="16" thickBot="1" x14ac:dyDescent="0.25">
      <c r="A83" s="14" t="s">
        <v>47</v>
      </c>
      <c r="B83" t="s">
        <v>191</v>
      </c>
      <c r="C83" t="s">
        <v>198</v>
      </c>
    </row>
    <row r="84" spans="1:3" ht="16" thickBot="1" x14ac:dyDescent="0.25">
      <c r="A84" s="15" t="s">
        <v>48</v>
      </c>
      <c r="B84" t="s">
        <v>191</v>
      </c>
      <c r="C84" t="s">
        <v>199</v>
      </c>
    </row>
    <row r="85" spans="1:3" ht="16" thickBot="1" x14ac:dyDescent="0.25">
      <c r="A85" s="16" t="s">
        <v>49</v>
      </c>
      <c r="B85" t="s">
        <v>191</v>
      </c>
      <c r="C85" t="s">
        <v>199</v>
      </c>
    </row>
    <row r="86" spans="1:3" ht="16" thickBot="1" x14ac:dyDescent="0.25">
      <c r="A86" s="15" t="s">
        <v>50</v>
      </c>
      <c r="B86" t="s">
        <v>191</v>
      </c>
      <c r="C86" t="s">
        <v>199</v>
      </c>
    </row>
    <row r="87" spans="1:3" ht="16" thickBot="1" x14ac:dyDescent="0.25">
      <c r="A87" s="17" t="s">
        <v>180</v>
      </c>
      <c r="B87" t="s">
        <v>191</v>
      </c>
      <c r="C87" t="s">
        <v>200</v>
      </c>
    </row>
    <row r="88" spans="1:3" ht="16" thickBot="1" x14ac:dyDescent="0.25">
      <c r="A88" s="18" t="s">
        <v>51</v>
      </c>
      <c r="B88" t="s">
        <v>191</v>
      </c>
      <c r="C88" t="s">
        <v>200</v>
      </c>
    </row>
    <row r="89" spans="1:3" ht="16" thickBot="1" x14ac:dyDescent="0.25">
      <c r="A89" s="17" t="s">
        <v>53</v>
      </c>
      <c r="B89" t="s">
        <v>191</v>
      </c>
      <c r="C89" t="s">
        <v>200</v>
      </c>
    </row>
    <row r="90" spans="1:3" ht="16" thickBot="1" x14ac:dyDescent="0.25">
      <c r="A90" s="18" t="s">
        <v>54</v>
      </c>
      <c r="B90" t="s">
        <v>191</v>
      </c>
      <c r="C90" t="s">
        <v>200</v>
      </c>
    </row>
    <row r="91" spans="1:3" ht="16" thickBot="1" x14ac:dyDescent="0.25">
      <c r="A91" s="19" t="s">
        <v>55</v>
      </c>
      <c r="B91" t="s">
        <v>191</v>
      </c>
      <c r="C91" t="s">
        <v>201</v>
      </c>
    </row>
    <row r="92" spans="1:3" ht="16" thickBot="1" x14ac:dyDescent="0.25">
      <c r="A92" s="20" t="s">
        <v>56</v>
      </c>
      <c r="B92" t="s">
        <v>191</v>
      </c>
      <c r="C92" t="s">
        <v>201</v>
      </c>
    </row>
    <row r="93" spans="1:3" ht="16" thickBot="1" x14ac:dyDescent="0.25">
      <c r="A93" s="1" t="s">
        <v>103</v>
      </c>
      <c r="B93" t="s">
        <v>192</v>
      </c>
      <c r="C93" t="s">
        <v>194</v>
      </c>
    </row>
    <row r="94" spans="1:3" ht="16" thickBot="1" x14ac:dyDescent="0.25">
      <c r="A94" s="4" t="s">
        <v>104</v>
      </c>
      <c r="B94" t="s">
        <v>192</v>
      </c>
      <c r="C94" t="s">
        <v>194</v>
      </c>
    </row>
    <row r="95" spans="1:3" ht="16" thickBot="1" x14ac:dyDescent="0.25">
      <c r="A95" s="1" t="s">
        <v>105</v>
      </c>
      <c r="B95" t="s">
        <v>192</v>
      </c>
      <c r="C95" t="s">
        <v>194</v>
      </c>
    </row>
    <row r="96" spans="1:3" ht="16" thickBot="1" x14ac:dyDescent="0.25">
      <c r="A96" s="4" t="s">
        <v>106</v>
      </c>
      <c r="B96" t="s">
        <v>192</v>
      </c>
      <c r="C96" t="s">
        <v>194</v>
      </c>
    </row>
    <row r="97" spans="1:3" ht="16" thickBot="1" x14ac:dyDescent="0.25">
      <c r="A97" s="1" t="s">
        <v>107</v>
      </c>
      <c r="B97" t="s">
        <v>192</v>
      </c>
      <c r="C97" t="s">
        <v>194</v>
      </c>
    </row>
    <row r="98" spans="1:3" ht="16" thickBot="1" x14ac:dyDescent="0.25">
      <c r="A98" s="8" t="s">
        <v>108</v>
      </c>
      <c r="B98" t="s">
        <v>192</v>
      </c>
      <c r="C98" t="s">
        <v>195</v>
      </c>
    </row>
    <row r="99" spans="1:3" ht="16" thickBot="1" x14ac:dyDescent="0.25">
      <c r="A99" s="7" t="s">
        <v>109</v>
      </c>
      <c r="B99" t="s">
        <v>192</v>
      </c>
      <c r="C99" t="s">
        <v>195</v>
      </c>
    </row>
    <row r="100" spans="1:3" ht="16" thickBot="1" x14ac:dyDescent="0.25">
      <c r="A100" s="10" t="s">
        <v>110</v>
      </c>
      <c r="B100" t="s">
        <v>192</v>
      </c>
      <c r="C100" t="s">
        <v>196</v>
      </c>
    </row>
    <row r="101" spans="1:3" ht="16" thickBot="1" x14ac:dyDescent="0.25">
      <c r="A101" s="11" t="s">
        <v>111</v>
      </c>
      <c r="B101" t="s">
        <v>192</v>
      </c>
      <c r="C101" t="s">
        <v>197</v>
      </c>
    </row>
    <row r="102" spans="1:3" ht="16" thickBot="1" x14ac:dyDescent="0.25">
      <c r="A102" s="14" t="s">
        <v>112</v>
      </c>
      <c r="B102" t="s">
        <v>192</v>
      </c>
      <c r="C102" t="s">
        <v>198</v>
      </c>
    </row>
    <row r="103" spans="1:3" ht="16" thickBot="1" x14ac:dyDescent="0.25">
      <c r="A103" s="13" t="s">
        <v>113</v>
      </c>
      <c r="B103" t="s">
        <v>192</v>
      </c>
      <c r="C103" t="s">
        <v>198</v>
      </c>
    </row>
    <row r="104" spans="1:3" ht="16" thickBot="1" x14ac:dyDescent="0.25">
      <c r="A104" s="14" t="s">
        <v>114</v>
      </c>
      <c r="B104" t="s">
        <v>192</v>
      </c>
      <c r="C104" t="s">
        <v>198</v>
      </c>
    </row>
    <row r="105" spans="1:3" ht="16" thickBot="1" x14ac:dyDescent="0.25">
      <c r="A105" s="13" t="s">
        <v>154</v>
      </c>
      <c r="B105" t="s">
        <v>192</v>
      </c>
      <c r="C105" t="s">
        <v>198</v>
      </c>
    </row>
    <row r="106" spans="1:3" ht="16" thickBot="1" x14ac:dyDescent="0.25">
      <c r="A106" s="16" t="s">
        <v>117</v>
      </c>
      <c r="B106" t="s">
        <v>192</v>
      </c>
      <c r="C106" t="s">
        <v>199</v>
      </c>
    </row>
    <row r="107" spans="1:3" ht="16" thickBot="1" x14ac:dyDescent="0.25">
      <c r="A107" s="15" t="s">
        <v>116</v>
      </c>
      <c r="B107" t="s">
        <v>192</v>
      </c>
      <c r="C107" t="s">
        <v>199</v>
      </c>
    </row>
    <row r="108" spans="1:3" ht="16" thickBot="1" x14ac:dyDescent="0.25">
      <c r="A108" s="16" t="s">
        <v>118</v>
      </c>
      <c r="B108" t="s">
        <v>192</v>
      </c>
      <c r="C108" t="s">
        <v>199</v>
      </c>
    </row>
    <row r="109" spans="1:3" ht="16" thickBot="1" x14ac:dyDescent="0.25">
      <c r="A109" s="15" t="s">
        <v>119</v>
      </c>
      <c r="B109" t="s">
        <v>192</v>
      </c>
      <c r="C109" t="s">
        <v>199</v>
      </c>
    </row>
    <row r="110" spans="1:3" ht="16" thickBot="1" x14ac:dyDescent="0.25">
      <c r="A110" s="17" t="s">
        <v>187</v>
      </c>
      <c r="B110" t="s">
        <v>192</v>
      </c>
      <c r="C110" t="s">
        <v>200</v>
      </c>
    </row>
    <row r="111" spans="1:3" ht="16" thickBot="1" x14ac:dyDescent="0.25">
      <c r="A111" s="18" t="s">
        <v>120</v>
      </c>
      <c r="B111" t="s">
        <v>192</v>
      </c>
      <c r="C111" t="s">
        <v>200</v>
      </c>
    </row>
    <row r="112" spans="1:3" ht="16" thickBot="1" x14ac:dyDescent="0.25">
      <c r="A112" s="17" t="s">
        <v>121</v>
      </c>
      <c r="B112" t="s">
        <v>192</v>
      </c>
      <c r="C112" t="s">
        <v>200</v>
      </c>
    </row>
    <row r="113" spans="1:3" ht="16" thickBot="1" x14ac:dyDescent="0.25">
      <c r="A113" s="18" t="s">
        <v>123</v>
      </c>
      <c r="B113" t="s">
        <v>192</v>
      </c>
      <c r="C113" t="s">
        <v>200</v>
      </c>
    </row>
    <row r="114" spans="1:3" ht="16" thickBot="1" x14ac:dyDescent="0.25">
      <c r="A114" s="19" t="s">
        <v>124</v>
      </c>
      <c r="B114" t="s">
        <v>192</v>
      </c>
      <c r="C114" t="s">
        <v>201</v>
      </c>
    </row>
    <row r="115" spans="1:3" ht="16" thickBot="1" x14ac:dyDescent="0.25">
      <c r="A115" s="20" t="s">
        <v>125</v>
      </c>
      <c r="B115" t="s">
        <v>192</v>
      </c>
      <c r="C115" t="s">
        <v>201</v>
      </c>
    </row>
    <row r="116" spans="1:3" ht="16" thickBot="1" x14ac:dyDescent="0.25">
      <c r="A116" s="1" t="s">
        <v>12</v>
      </c>
      <c r="B116" t="s">
        <v>193</v>
      </c>
      <c r="C116" t="s">
        <v>194</v>
      </c>
    </row>
    <row r="117" spans="1:3" ht="16" thickBot="1" x14ac:dyDescent="0.25">
      <c r="A117" s="4" t="s">
        <v>13</v>
      </c>
      <c r="B117" t="s">
        <v>193</v>
      </c>
      <c r="C117" t="s">
        <v>194</v>
      </c>
    </row>
    <row r="118" spans="1:3" ht="16" thickBot="1" x14ac:dyDescent="0.25">
      <c r="A118" s="7" t="s">
        <v>14</v>
      </c>
      <c r="B118" t="s">
        <v>193</v>
      </c>
      <c r="C118" t="s">
        <v>195</v>
      </c>
    </row>
    <row r="119" spans="1:3" ht="16" thickBot="1" x14ac:dyDescent="0.25">
      <c r="A119" s="8" t="s">
        <v>15</v>
      </c>
      <c r="B119" t="s">
        <v>193</v>
      </c>
      <c r="C119" t="s">
        <v>195</v>
      </c>
    </row>
    <row r="120" spans="1:3" ht="16" thickBot="1" x14ac:dyDescent="0.25">
      <c r="A120" s="7" t="s">
        <v>16</v>
      </c>
      <c r="B120" t="s">
        <v>193</v>
      </c>
      <c r="C120" t="s">
        <v>195</v>
      </c>
    </row>
    <row r="121" spans="1:3" ht="16" thickBot="1" x14ac:dyDescent="0.25">
      <c r="A121" s="10" t="s">
        <v>17</v>
      </c>
      <c r="B121" t="s">
        <v>193</v>
      </c>
      <c r="C121" t="s">
        <v>196</v>
      </c>
    </row>
    <row r="122" spans="1:3" ht="16" thickBot="1" x14ac:dyDescent="0.25">
      <c r="A122" s="9" t="s">
        <v>18</v>
      </c>
      <c r="B122" t="s">
        <v>193</v>
      </c>
      <c r="C122" t="s">
        <v>196</v>
      </c>
    </row>
    <row r="123" spans="1:3" ht="16" thickBot="1" x14ac:dyDescent="0.25">
      <c r="A123" s="12" t="s">
        <v>19</v>
      </c>
      <c r="B123" t="s">
        <v>193</v>
      </c>
      <c r="C123" t="s">
        <v>197</v>
      </c>
    </row>
    <row r="124" spans="1:3" ht="16" thickBot="1" x14ac:dyDescent="0.25">
      <c r="A124" s="13" t="s">
        <v>20</v>
      </c>
      <c r="B124" t="s">
        <v>193</v>
      </c>
      <c r="C124" t="s">
        <v>198</v>
      </c>
    </row>
    <row r="125" spans="1:3" ht="16" thickBot="1" x14ac:dyDescent="0.25">
      <c r="A125" s="14" t="s">
        <v>22</v>
      </c>
      <c r="B125" t="s">
        <v>193</v>
      </c>
      <c r="C125" t="s">
        <v>198</v>
      </c>
    </row>
    <row r="126" spans="1:3" ht="16" thickBot="1" x14ac:dyDescent="0.25">
      <c r="A126" s="13" t="s">
        <v>23</v>
      </c>
      <c r="B126" t="s">
        <v>193</v>
      </c>
      <c r="C126" t="s">
        <v>198</v>
      </c>
    </row>
    <row r="127" spans="1:3" ht="16" thickBot="1" x14ac:dyDescent="0.25">
      <c r="A127" s="14" t="s">
        <v>24</v>
      </c>
      <c r="B127" t="s">
        <v>193</v>
      </c>
      <c r="C127" t="s">
        <v>198</v>
      </c>
    </row>
    <row r="128" spans="1:3" ht="16" thickBot="1" x14ac:dyDescent="0.25">
      <c r="A128" s="15" t="s">
        <v>25</v>
      </c>
      <c r="B128" t="s">
        <v>193</v>
      </c>
      <c r="C128" t="s">
        <v>199</v>
      </c>
    </row>
    <row r="129" spans="1:3" ht="16" thickBot="1" x14ac:dyDescent="0.25">
      <c r="A129" s="16" t="s">
        <v>26</v>
      </c>
      <c r="B129" t="s">
        <v>193</v>
      </c>
      <c r="C129" t="s">
        <v>199</v>
      </c>
    </row>
    <row r="130" spans="1:3" ht="16" thickBot="1" x14ac:dyDescent="0.25">
      <c r="A130" s="15" t="s">
        <v>27</v>
      </c>
      <c r="B130" t="s">
        <v>193</v>
      </c>
      <c r="C130" t="s">
        <v>199</v>
      </c>
    </row>
    <row r="131" spans="1:3" ht="16" thickBot="1" x14ac:dyDescent="0.25">
      <c r="A131" s="17" t="s">
        <v>28</v>
      </c>
      <c r="B131" t="s">
        <v>193</v>
      </c>
      <c r="C131" t="s">
        <v>200</v>
      </c>
    </row>
    <row r="132" spans="1:3" ht="16" thickBot="1" x14ac:dyDescent="0.25">
      <c r="A132" s="18" t="s">
        <v>29</v>
      </c>
      <c r="B132" t="s">
        <v>193</v>
      </c>
      <c r="C132" t="s">
        <v>200</v>
      </c>
    </row>
    <row r="133" spans="1:3" ht="16" thickBot="1" x14ac:dyDescent="0.25">
      <c r="A133" s="17" t="s">
        <v>30</v>
      </c>
      <c r="B133" t="s">
        <v>193</v>
      </c>
      <c r="C133" t="s">
        <v>200</v>
      </c>
    </row>
    <row r="134" spans="1:3" ht="16" thickBot="1" x14ac:dyDescent="0.25">
      <c r="A134" s="18" t="s">
        <v>31</v>
      </c>
      <c r="B134" t="s">
        <v>193</v>
      </c>
      <c r="C134" t="s">
        <v>200</v>
      </c>
    </row>
    <row r="135" spans="1:3" ht="16" thickBot="1" x14ac:dyDescent="0.25">
      <c r="A135" s="19" t="s">
        <v>32</v>
      </c>
      <c r="B135" t="s">
        <v>193</v>
      </c>
      <c r="C135" t="s">
        <v>201</v>
      </c>
    </row>
    <row r="136" spans="1:3" ht="16" thickBot="1" x14ac:dyDescent="0.25">
      <c r="A136" s="20" t="s">
        <v>33</v>
      </c>
      <c r="B136" t="s">
        <v>193</v>
      </c>
      <c r="C136" t="s">
        <v>201</v>
      </c>
    </row>
    <row r="137" spans="1:3" ht="16" thickBot="1" x14ac:dyDescent="0.25">
      <c r="A137" s="1" t="s">
        <v>148</v>
      </c>
      <c r="B137" t="s">
        <v>189</v>
      </c>
      <c r="C137" t="s">
        <v>201</v>
      </c>
    </row>
    <row r="138" spans="1:3" ht="16" thickBot="1" x14ac:dyDescent="0.25">
      <c r="A138" s="4" t="s">
        <v>21</v>
      </c>
      <c r="B138" t="s">
        <v>193</v>
      </c>
      <c r="C138" t="s">
        <v>198</v>
      </c>
    </row>
    <row r="139" spans="1:3" ht="16" thickBot="1" x14ac:dyDescent="0.25">
      <c r="A139" s="1" t="s">
        <v>52</v>
      </c>
      <c r="B139" t="s">
        <v>191</v>
      </c>
      <c r="C139" t="s">
        <v>200</v>
      </c>
    </row>
    <row r="140" spans="1:3" ht="16" thickBot="1" x14ac:dyDescent="0.25">
      <c r="A140" s="8" t="s">
        <v>64</v>
      </c>
      <c r="B140" t="s">
        <v>188</v>
      </c>
      <c r="C140" t="s">
        <v>196</v>
      </c>
    </row>
    <row r="141" spans="1:3" ht="16" thickBot="1" x14ac:dyDescent="0.25">
      <c r="A141" s="7" t="s">
        <v>71</v>
      </c>
      <c r="B141" t="s">
        <v>188</v>
      </c>
      <c r="C141" t="s">
        <v>199</v>
      </c>
    </row>
    <row r="142" spans="1:3" ht="16" thickBot="1" x14ac:dyDescent="0.25">
      <c r="A142" s="22" t="s">
        <v>73</v>
      </c>
      <c r="B142" t="s">
        <v>188</v>
      </c>
      <c r="C142" t="s">
        <v>199</v>
      </c>
    </row>
    <row r="143" spans="1:3" ht="16" thickBot="1" x14ac:dyDescent="0.25">
      <c r="A143" s="28" t="s">
        <v>74</v>
      </c>
      <c r="B143" t="s">
        <v>188</v>
      </c>
      <c r="C143" t="s">
        <v>200</v>
      </c>
    </row>
    <row r="144" spans="1:3" ht="16" thickBot="1" x14ac:dyDescent="0.25">
      <c r="A144" s="10" t="s">
        <v>76</v>
      </c>
      <c r="B144" t="s">
        <v>188</v>
      </c>
      <c r="C144" t="s">
        <v>200</v>
      </c>
    </row>
    <row r="145" spans="1:3" ht="16" thickBot="1" x14ac:dyDescent="0.25">
      <c r="A145" s="11" t="s">
        <v>80</v>
      </c>
      <c r="B145" t="s">
        <v>190</v>
      </c>
      <c r="C145" t="s">
        <v>194</v>
      </c>
    </row>
    <row r="146" spans="1:3" ht="16" thickBot="1" x14ac:dyDescent="0.25">
      <c r="A146" s="25" t="s">
        <v>86</v>
      </c>
      <c r="B146" t="s">
        <v>190</v>
      </c>
      <c r="C146" t="s">
        <v>195</v>
      </c>
    </row>
    <row r="147" spans="1:3" ht="16" thickBot="1" x14ac:dyDescent="0.25">
      <c r="A147" s="13" t="s">
        <v>88</v>
      </c>
      <c r="B147" t="s">
        <v>190</v>
      </c>
      <c r="C147" t="s">
        <v>197</v>
      </c>
    </row>
    <row r="148" spans="1:3" ht="16" thickBot="1" x14ac:dyDescent="0.25">
      <c r="A148" s="14" t="s">
        <v>93</v>
      </c>
      <c r="B148" t="s">
        <v>190</v>
      </c>
      <c r="C148" t="s">
        <v>198</v>
      </c>
    </row>
    <row r="149" spans="1:3" ht="16" thickBot="1" x14ac:dyDescent="0.25">
      <c r="A149" s="13" t="s">
        <v>102</v>
      </c>
      <c r="B149" t="s">
        <v>190</v>
      </c>
      <c r="C149" t="s">
        <v>201</v>
      </c>
    </row>
    <row r="150" spans="1:3" ht="16" thickBot="1" x14ac:dyDescent="0.25">
      <c r="A150" s="26" t="s">
        <v>115</v>
      </c>
      <c r="B150" t="s">
        <v>192</v>
      </c>
      <c r="C150" t="s">
        <v>198</v>
      </c>
    </row>
    <row r="151" spans="1:3" ht="16" thickBot="1" x14ac:dyDescent="0.25">
      <c r="A151" s="29" t="s">
        <v>122</v>
      </c>
      <c r="B151" t="s">
        <v>192</v>
      </c>
      <c r="C151" t="s">
        <v>200</v>
      </c>
    </row>
    <row r="152" spans="1:3" ht="16" thickBot="1" x14ac:dyDescent="0.25">
      <c r="A152" s="16" t="s">
        <v>149</v>
      </c>
      <c r="B152" t="s">
        <v>189</v>
      </c>
      <c r="C152" t="s">
        <v>194</v>
      </c>
    </row>
    <row r="153" spans="1:3" ht="16" thickBot="1" x14ac:dyDescent="0.25">
      <c r="A153" s="29" t="s">
        <v>150</v>
      </c>
      <c r="B153" t="s">
        <v>189</v>
      </c>
      <c r="C153" t="s">
        <v>196</v>
      </c>
    </row>
    <row r="154" spans="1:3" ht="16" thickBot="1" x14ac:dyDescent="0.25">
      <c r="A154" s="23" t="s">
        <v>151</v>
      </c>
      <c r="B154" t="s">
        <v>189</v>
      </c>
      <c r="C154" t="s">
        <v>199</v>
      </c>
    </row>
    <row r="155" spans="1:3" ht="16" thickBot="1" x14ac:dyDescent="0.25">
      <c r="A155" s="18" t="s">
        <v>153</v>
      </c>
      <c r="B155" t="s">
        <v>192</v>
      </c>
      <c r="C155" t="s">
        <v>196</v>
      </c>
    </row>
    <row r="156" spans="1:3" ht="16" thickBot="1" x14ac:dyDescent="0.25">
      <c r="A156" s="17" t="s">
        <v>155</v>
      </c>
      <c r="B156" t="s">
        <v>188</v>
      </c>
      <c r="C156" t="s">
        <v>194</v>
      </c>
    </row>
    <row r="157" spans="1:3" ht="16" thickBot="1" x14ac:dyDescent="0.25">
      <c r="A157" s="18" t="s">
        <v>156</v>
      </c>
      <c r="B157" t="s">
        <v>188</v>
      </c>
      <c r="C157" t="s">
        <v>194</v>
      </c>
    </row>
    <row r="158" spans="1:3" ht="16" thickBot="1" x14ac:dyDescent="0.25">
      <c r="A158" s="19" t="s">
        <v>157</v>
      </c>
      <c r="B158" t="s">
        <v>188</v>
      </c>
      <c r="C158" t="s">
        <v>195</v>
      </c>
    </row>
    <row r="159" spans="1:3" ht="16" thickBot="1" x14ac:dyDescent="0.25">
      <c r="A159" s="21" t="s">
        <v>158</v>
      </c>
      <c r="B159" t="s">
        <v>188</v>
      </c>
      <c r="C159" t="s">
        <v>195</v>
      </c>
    </row>
    <row r="160" spans="1:3" ht="16" thickBot="1" x14ac:dyDescent="0.25">
      <c r="A160" s="1" t="s">
        <v>160</v>
      </c>
      <c r="B160" t="s">
        <v>188</v>
      </c>
      <c r="C160" t="s">
        <v>197</v>
      </c>
    </row>
    <row r="161" spans="1:3" ht="16" thickBot="1" x14ac:dyDescent="0.25">
      <c r="A161" s="30" t="s">
        <v>165</v>
      </c>
      <c r="B161" t="s">
        <v>188</v>
      </c>
      <c r="C161" t="s">
        <v>201</v>
      </c>
    </row>
    <row r="162" spans="1:3" ht="16" thickBot="1" x14ac:dyDescent="0.25">
      <c r="A162" s="7" t="s">
        <v>168</v>
      </c>
      <c r="B162" t="s">
        <v>190</v>
      </c>
      <c r="C162" t="s">
        <v>199</v>
      </c>
    </row>
    <row r="163" spans="1:3" ht="16" thickBot="1" x14ac:dyDescent="0.25">
      <c r="A163" s="8" t="s">
        <v>169</v>
      </c>
      <c r="B163" t="s">
        <v>193</v>
      </c>
      <c r="C163" t="s">
        <v>200</v>
      </c>
    </row>
    <row r="164" spans="1:3" ht="16" thickBot="1" x14ac:dyDescent="0.25">
      <c r="A164" s="33" t="s">
        <v>170</v>
      </c>
      <c r="B164" t="s">
        <v>191</v>
      </c>
      <c r="C164" t="s">
        <v>197</v>
      </c>
    </row>
    <row r="165" spans="1:3" ht="16" thickBot="1" x14ac:dyDescent="0.25">
      <c r="A165" s="31" t="s">
        <v>171</v>
      </c>
      <c r="B165" t="s">
        <v>191</v>
      </c>
      <c r="C165" t="s">
        <v>198</v>
      </c>
    </row>
    <row r="166" spans="1:3" ht="16" thickBot="1" x14ac:dyDescent="0.25">
      <c r="A166" s="28" t="s">
        <v>172</v>
      </c>
      <c r="B166" t="s">
        <v>191</v>
      </c>
      <c r="C166" t="s">
        <v>198</v>
      </c>
    </row>
    <row r="167" spans="1:3" ht="16" thickBot="1" x14ac:dyDescent="0.25">
      <c r="A167" s="25" t="s">
        <v>173</v>
      </c>
      <c r="B167" t="s">
        <v>190</v>
      </c>
      <c r="C167" t="s">
        <v>199</v>
      </c>
    </row>
    <row r="168" spans="1:3" ht="16" thickBot="1" x14ac:dyDescent="0.25">
      <c r="A168" s="13" t="s">
        <v>174</v>
      </c>
      <c r="B168" t="s">
        <v>193</v>
      </c>
      <c r="C168" t="s">
        <v>194</v>
      </c>
    </row>
    <row r="169" spans="1:3" ht="16" thickBot="1" x14ac:dyDescent="0.25">
      <c r="A169" s="14" t="s">
        <v>175</v>
      </c>
      <c r="B169" t="s">
        <v>193</v>
      </c>
      <c r="C169" t="s">
        <v>195</v>
      </c>
    </row>
    <row r="170" spans="1:3" ht="16" thickBot="1" x14ac:dyDescent="0.25">
      <c r="A170" s="24" t="s">
        <v>176</v>
      </c>
      <c r="B170" t="s">
        <v>193</v>
      </c>
      <c r="C170" t="s">
        <v>197</v>
      </c>
    </row>
    <row r="171" spans="1:3" ht="16" thickBot="1" x14ac:dyDescent="0.25">
      <c r="A171" s="14" t="s">
        <v>177</v>
      </c>
      <c r="B171" t="s">
        <v>193</v>
      </c>
      <c r="C171" t="s">
        <v>200</v>
      </c>
    </row>
    <row r="172" spans="1:3" ht="16" thickBot="1" x14ac:dyDescent="0.25">
      <c r="A172" s="13" t="s">
        <v>178</v>
      </c>
      <c r="B172" t="s">
        <v>193</v>
      </c>
      <c r="C172" t="s">
        <v>201</v>
      </c>
    </row>
    <row r="173" spans="1:3" ht="16" thickBot="1" x14ac:dyDescent="0.25">
      <c r="A173" s="27" t="s">
        <v>179</v>
      </c>
      <c r="B173" t="s">
        <v>191</v>
      </c>
      <c r="C173" t="s">
        <v>199</v>
      </c>
    </row>
    <row r="174" spans="1:3" ht="16" thickBot="1" x14ac:dyDescent="0.25">
      <c r="A174" s="15" t="s">
        <v>181</v>
      </c>
      <c r="B174" t="s">
        <v>189</v>
      </c>
      <c r="C174" t="s">
        <v>195</v>
      </c>
    </row>
    <row r="175" spans="1:3" ht="16" thickBot="1" x14ac:dyDescent="0.25">
      <c r="A175" s="27" t="s">
        <v>182</v>
      </c>
      <c r="B175" t="s">
        <v>189</v>
      </c>
      <c r="C175" t="s">
        <v>197</v>
      </c>
    </row>
    <row r="176" spans="1:3" ht="16" thickBot="1" x14ac:dyDescent="0.25">
      <c r="A176" s="32" t="s">
        <v>183</v>
      </c>
      <c r="B176" t="s">
        <v>189</v>
      </c>
      <c r="C176" t="s">
        <v>200</v>
      </c>
    </row>
    <row r="177" spans="1:3" ht="16" thickBot="1" x14ac:dyDescent="0.25">
      <c r="A177" s="23" t="s">
        <v>184</v>
      </c>
      <c r="B177" t="s">
        <v>189</v>
      </c>
      <c r="C177" t="s">
        <v>200</v>
      </c>
    </row>
  </sheetData>
  <autoFilter ref="A1:B1" xr:uid="{BD73F851-7C9B-402C-B527-7450FE757A97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9692-EE20-4063-B9DD-E0A4CA589552}">
  <sheetPr>
    <tabColor theme="9" tint="0.79998168889431442"/>
  </sheetPr>
  <dimension ref="A1:Z144"/>
  <sheetViews>
    <sheetView tabSelected="1" topLeftCell="B1" workbookViewId="0">
      <selection activeCell="K2" sqref="K2"/>
    </sheetView>
  </sheetViews>
  <sheetFormatPr baseColWidth="10" defaultColWidth="8.83203125" defaultRowHeight="15" x14ac:dyDescent="0.2"/>
  <cols>
    <col min="5" max="5" width="11.1640625" customWidth="1"/>
    <col min="12" max="12" width="11" customWidth="1"/>
    <col min="15" max="15" width="10.5" customWidth="1"/>
  </cols>
  <sheetData>
    <row r="1" spans="1:26" ht="30" x14ac:dyDescent="0.2">
      <c r="K1" t="s">
        <v>204</v>
      </c>
      <c r="L1" s="35" t="s">
        <v>207</v>
      </c>
      <c r="M1" s="35" t="s">
        <v>1</v>
      </c>
      <c r="N1" s="35" t="s">
        <v>2</v>
      </c>
      <c r="O1" s="35" t="s">
        <v>208</v>
      </c>
      <c r="P1" s="35" t="s">
        <v>3</v>
      </c>
      <c r="Q1" s="35" t="s">
        <v>4</v>
      </c>
      <c r="R1" s="35" t="s">
        <v>5</v>
      </c>
      <c r="S1" s="35" t="s">
        <v>6</v>
      </c>
      <c r="T1" s="35" t="s">
        <v>209</v>
      </c>
      <c r="U1" s="35" t="s">
        <v>7</v>
      </c>
      <c r="V1" s="35" t="s">
        <v>8</v>
      </c>
      <c r="W1" s="35" t="s">
        <v>9</v>
      </c>
      <c r="X1" s="35" t="s">
        <v>10</v>
      </c>
      <c r="Y1" s="35" t="s">
        <v>11</v>
      </c>
      <c r="Z1" s="35" t="s">
        <v>215</v>
      </c>
    </row>
    <row r="2" spans="1:26" x14ac:dyDescent="0.2">
      <c r="B2" t="s">
        <v>191</v>
      </c>
      <c r="C2" t="s">
        <v>204</v>
      </c>
      <c r="E2" t="s">
        <v>188</v>
      </c>
      <c r="F2">
        <v>10</v>
      </c>
      <c r="G2">
        <v>34</v>
      </c>
      <c r="H2" t="s">
        <v>189</v>
      </c>
      <c r="J2" t="s">
        <v>214</v>
      </c>
      <c r="K2">
        <v>8</v>
      </c>
      <c r="L2">
        <v>1</v>
      </c>
      <c r="M2">
        <v>7</v>
      </c>
      <c r="N2">
        <v>7</v>
      </c>
      <c r="O2">
        <v>0.2</v>
      </c>
      <c r="P2">
        <v>10</v>
      </c>
      <c r="Q2">
        <v>7</v>
      </c>
      <c r="R2">
        <v>7</v>
      </c>
      <c r="S2">
        <v>15</v>
      </c>
      <c r="T2">
        <v>7</v>
      </c>
      <c r="U2">
        <v>2</v>
      </c>
      <c r="V2">
        <v>5</v>
      </c>
      <c r="W2">
        <v>7</v>
      </c>
      <c r="X2">
        <v>-5</v>
      </c>
      <c r="Y2">
        <v>-10</v>
      </c>
      <c r="Z2">
        <v>15</v>
      </c>
    </row>
    <row r="3" spans="1:26" x14ac:dyDescent="0.2">
      <c r="B3" t="s">
        <v>188</v>
      </c>
      <c r="C3" t="s">
        <v>212</v>
      </c>
      <c r="E3" t="s">
        <v>190</v>
      </c>
      <c r="F3">
        <v>23</v>
      </c>
      <c r="G3">
        <v>29</v>
      </c>
      <c r="H3" t="s">
        <v>191</v>
      </c>
    </row>
    <row r="4" spans="1:26" x14ac:dyDescent="0.2">
      <c r="B4" t="s">
        <v>189</v>
      </c>
      <c r="C4" t="s">
        <v>204</v>
      </c>
      <c r="E4" t="s">
        <v>192</v>
      </c>
      <c r="F4">
        <v>24</v>
      </c>
      <c r="G4">
        <v>29</v>
      </c>
      <c r="H4" t="s">
        <v>193</v>
      </c>
    </row>
    <row r="5" spans="1:26" x14ac:dyDescent="0.2">
      <c r="B5" t="s">
        <v>190</v>
      </c>
      <c r="C5" t="s">
        <v>212</v>
      </c>
    </row>
    <row r="6" spans="1:26" x14ac:dyDescent="0.2">
      <c r="B6" t="s">
        <v>193</v>
      </c>
      <c r="C6" t="s">
        <v>204</v>
      </c>
    </row>
    <row r="7" spans="1:26" x14ac:dyDescent="0.2">
      <c r="B7" t="s">
        <v>192</v>
      </c>
      <c r="C7" t="s">
        <v>212</v>
      </c>
    </row>
    <row r="8" spans="1:26" ht="16" thickBot="1" x14ac:dyDescent="0.25"/>
    <row r="9" spans="1:26" ht="31" thickBot="1" x14ac:dyDescent="0.25">
      <c r="A9" s="39" t="s">
        <v>0</v>
      </c>
      <c r="B9" s="40" t="s">
        <v>203</v>
      </c>
      <c r="C9" s="40" t="s">
        <v>202</v>
      </c>
      <c r="D9" s="40" t="s">
        <v>205</v>
      </c>
      <c r="E9" s="40"/>
      <c r="F9" s="41" t="s">
        <v>207</v>
      </c>
      <c r="G9" s="41" t="s">
        <v>1</v>
      </c>
      <c r="H9" s="41" t="s">
        <v>2</v>
      </c>
      <c r="I9" s="41" t="s">
        <v>208</v>
      </c>
      <c r="J9" s="41" t="s">
        <v>3</v>
      </c>
      <c r="K9" s="41" t="s">
        <v>4</v>
      </c>
      <c r="L9" s="41" t="s">
        <v>5</v>
      </c>
      <c r="M9" s="41" t="s">
        <v>6</v>
      </c>
      <c r="N9" s="41" t="s">
        <v>209</v>
      </c>
      <c r="O9" s="41" t="s">
        <v>7</v>
      </c>
      <c r="P9" s="41" t="s">
        <v>8</v>
      </c>
      <c r="Q9" s="41" t="s">
        <v>9</v>
      </c>
      <c r="R9" s="41" t="s">
        <v>10</v>
      </c>
      <c r="S9" s="41" t="s">
        <v>11</v>
      </c>
      <c r="T9" s="41" t="s">
        <v>211</v>
      </c>
      <c r="U9" s="41" t="s">
        <v>206</v>
      </c>
      <c r="V9" s="41" t="s">
        <v>216</v>
      </c>
      <c r="W9" s="42" t="s">
        <v>210</v>
      </c>
    </row>
    <row r="10" spans="1:26" x14ac:dyDescent="0.2">
      <c r="A10" s="36" t="s">
        <v>57</v>
      </c>
      <c r="B10" s="36" t="str" cm="1">
        <f t="array" ref="B10:C10">_xlfn.XLOOKUP(A10,'Player List'!$A$2:$A$177,'Player List'!$B$2:$C$177)</f>
        <v>Wales</v>
      </c>
      <c r="C10" s="36" t="str">
        <v>Back Three</v>
      </c>
      <c r="D10" s="37">
        <v>80</v>
      </c>
      <c r="F10" s="37">
        <f>'Round 1 Data'!F10*'Round 1 Points'!$L$3</f>
        <v>0</v>
      </c>
      <c r="G10" s="37">
        <f>'Round 1 Data'!G10*'Round 1 Points'!M$2</f>
        <v>21</v>
      </c>
      <c r="H10" s="37">
        <f>'Round 1 Data'!H10*'Round 1 Points'!N$2</f>
        <v>0</v>
      </c>
      <c r="I10" s="37">
        <f>'Round 1 Data'!I10*'Round 1 Points'!O$2</f>
        <v>7.2</v>
      </c>
      <c r="J10" s="37">
        <f>'Round 1 Data'!J10*'Round 1 Points'!P$2</f>
        <v>0</v>
      </c>
      <c r="K10" s="37">
        <f>'Round 1 Data'!K10*'Round 1 Points'!Q$2</f>
        <v>0</v>
      </c>
      <c r="L10" s="37">
        <f>'Round 1 Data'!L10*'Round 1 Points'!R$2</f>
        <v>0</v>
      </c>
      <c r="M10" s="37">
        <f>'Round 1 Data'!M10*'Round 1 Points'!S$2</f>
        <v>0</v>
      </c>
      <c r="N10" s="37">
        <f>'Round 1 Data'!N10*'Round 1 Points'!T$2</f>
        <v>0</v>
      </c>
      <c r="O10" s="37">
        <f>'Round 1 Data'!O10*'Round 1 Points'!U$2</f>
        <v>0</v>
      </c>
      <c r="P10" s="37">
        <f>'Round 1 Data'!P10*'Round 1 Points'!V$2</f>
        <v>0</v>
      </c>
      <c r="Q10" s="37">
        <f>'Round 1 Data'!Q10*'Round 1 Points'!W$2</f>
        <v>0</v>
      </c>
      <c r="R10" s="37">
        <f>'Round 1 Data'!R10*'Round 1 Points'!X$2</f>
        <v>0</v>
      </c>
      <c r="S10" s="37">
        <f>'Round 1 Data'!S10*'Round 1 Points'!Y$2</f>
        <v>0</v>
      </c>
      <c r="T10" s="38">
        <f>SUM(F10:S10)</f>
        <v>28.2</v>
      </c>
      <c r="U10" s="37">
        <f>'Round 1 Data'!U10*'Round 1 Points'!$Z$2</f>
        <v>0</v>
      </c>
      <c r="V10" s="36">
        <f>IF('Round 1 Data'!D10='Round 1 Points'!$K$1,'Round 1 Points'!$K$2*D10/80,0)</f>
        <v>0</v>
      </c>
      <c r="W10">
        <f>SUM(T10:V10)</f>
        <v>28.2</v>
      </c>
    </row>
    <row r="11" spans="1:26" x14ac:dyDescent="0.2">
      <c r="A11" s="36" t="s">
        <v>58</v>
      </c>
      <c r="B11" s="36" t="str" cm="1">
        <f t="array" ref="B11:C11">_xlfn.XLOOKUP(A11,'Player List'!$A$2:$A$177,'Player List'!$B$2:$C$177)</f>
        <v>Wales</v>
      </c>
      <c r="C11" s="36" t="str">
        <v>Back Three</v>
      </c>
      <c r="D11" s="37">
        <v>12</v>
      </c>
      <c r="F11" s="37">
        <f>'Round 1 Data'!F11*'Round 1 Points'!$L$3</f>
        <v>0</v>
      </c>
      <c r="G11" s="37">
        <f>'Round 1 Data'!G11*'Round 1 Points'!M$2</f>
        <v>0</v>
      </c>
      <c r="H11" s="37">
        <f>'Round 1 Data'!H11*'Round 1 Points'!N$2</f>
        <v>0</v>
      </c>
      <c r="I11" s="37">
        <f>'Round 1 Data'!I11*'Round 1 Points'!O$2</f>
        <v>5.6000000000000005</v>
      </c>
      <c r="J11" s="37">
        <f>'Round 1 Data'!J11*'Round 1 Points'!P$2</f>
        <v>0</v>
      </c>
      <c r="K11" s="37">
        <f>'Round 1 Data'!K11*'Round 1 Points'!Q$2</f>
        <v>0</v>
      </c>
      <c r="L11" s="37">
        <f>'Round 1 Data'!L11*'Round 1 Points'!R$2</f>
        <v>0</v>
      </c>
      <c r="M11" s="37">
        <f>'Round 1 Data'!M11*'Round 1 Points'!S$2</f>
        <v>0</v>
      </c>
      <c r="N11" s="37">
        <f>'Round 1 Data'!N11*'Round 1 Points'!T$2</f>
        <v>0</v>
      </c>
      <c r="O11" s="37">
        <f>'Round 1 Data'!O11*'Round 1 Points'!U$2</f>
        <v>0</v>
      </c>
      <c r="P11" s="37">
        <f>'Round 1 Data'!P11*'Round 1 Points'!V$2</f>
        <v>0</v>
      </c>
      <c r="Q11" s="37">
        <f>'Round 1 Data'!Q11*'Round 1 Points'!W$2</f>
        <v>0</v>
      </c>
      <c r="R11" s="37">
        <f>'Round 1 Data'!R11*'Round 1 Points'!X$2</f>
        <v>0</v>
      </c>
      <c r="S11" s="37">
        <f>'Round 1 Data'!S11*'Round 1 Points'!Y$2</f>
        <v>0</v>
      </c>
      <c r="T11" s="38">
        <f t="shared" ref="T11:T74" si="0">SUM(F11:S11)</f>
        <v>5.6000000000000005</v>
      </c>
      <c r="U11" s="37">
        <f>'Round 1 Data'!U11*'Round 1 Points'!$Z$2</f>
        <v>0</v>
      </c>
      <c r="V11" s="36">
        <f>IF('Round 1 Data'!D11='Round 1 Points'!$K$1,'Round 1 Points'!$K$2*D11/80,0)</f>
        <v>0</v>
      </c>
      <c r="W11">
        <f t="shared" ref="W11:W74" si="1">SUM(T11:V11)</f>
        <v>5.6000000000000005</v>
      </c>
    </row>
    <row r="12" spans="1:26" x14ac:dyDescent="0.2">
      <c r="A12" s="36" t="s">
        <v>59</v>
      </c>
      <c r="B12" s="36" t="str" cm="1">
        <f t="array" ref="B12:C12">_xlfn.XLOOKUP(A12,'Player List'!$A$2:$A$177,'Player List'!$B$2:$C$177)</f>
        <v>Wales</v>
      </c>
      <c r="C12" s="36" t="str">
        <v>Back Three</v>
      </c>
      <c r="D12" s="37">
        <v>68</v>
      </c>
      <c r="F12" s="37">
        <f>'Round 1 Data'!F12*'Round 1 Points'!$L$3</f>
        <v>0</v>
      </c>
      <c r="G12" s="37">
        <f>'Round 1 Data'!G12*'Round 1 Points'!M$2</f>
        <v>0</v>
      </c>
      <c r="H12" s="37">
        <f>'Round 1 Data'!H12*'Round 1 Points'!N$2</f>
        <v>14</v>
      </c>
      <c r="I12" s="37">
        <f>'Round 1 Data'!I12*'Round 1 Points'!O$2</f>
        <v>21.400000000000002</v>
      </c>
      <c r="J12" s="37">
        <f>'Round 1 Data'!J12*'Round 1 Points'!P$2</f>
        <v>0</v>
      </c>
      <c r="K12" s="37">
        <f>'Round 1 Data'!K12*'Round 1 Points'!Q$2</f>
        <v>0</v>
      </c>
      <c r="L12" s="37">
        <f>'Round 1 Data'!L12*'Round 1 Points'!R$2</f>
        <v>0</v>
      </c>
      <c r="M12" s="37">
        <f>'Round 1 Data'!M12*'Round 1 Points'!S$2</f>
        <v>0</v>
      </c>
      <c r="N12" s="37">
        <f>'Round 1 Data'!N12*'Round 1 Points'!T$2</f>
        <v>0</v>
      </c>
      <c r="O12" s="37">
        <f>'Round 1 Data'!O12*'Round 1 Points'!U$2</f>
        <v>0</v>
      </c>
      <c r="P12" s="37">
        <f>'Round 1 Data'!P12*'Round 1 Points'!V$2</f>
        <v>0</v>
      </c>
      <c r="Q12" s="37">
        <f>'Round 1 Data'!Q12*'Round 1 Points'!W$2</f>
        <v>0</v>
      </c>
      <c r="R12" s="37">
        <f>'Round 1 Data'!R12*'Round 1 Points'!X$2</f>
        <v>0</v>
      </c>
      <c r="S12" s="37">
        <f>'Round 1 Data'!S12*'Round 1 Points'!Y$2</f>
        <v>0</v>
      </c>
      <c r="T12" s="38">
        <f t="shared" si="0"/>
        <v>35.400000000000006</v>
      </c>
      <c r="U12" s="37">
        <f>'Round 1 Data'!U12*'Round 1 Points'!$Z$2</f>
        <v>0</v>
      </c>
      <c r="V12" s="36">
        <f>IF('Round 1 Data'!D12='Round 1 Points'!$K$1,'Round 1 Points'!$K$2*D12/80,0)</f>
        <v>0</v>
      </c>
      <c r="W12">
        <f t="shared" si="1"/>
        <v>35.400000000000006</v>
      </c>
    </row>
    <row r="13" spans="1:26" x14ac:dyDescent="0.2">
      <c r="A13" s="36" t="s">
        <v>60</v>
      </c>
      <c r="B13" s="36" t="str" cm="1">
        <f t="array" ref="B13:C13">_xlfn.XLOOKUP(A13,'Player List'!$A$2:$A$177,'Player List'!$B$2:$C$177)</f>
        <v>Wales</v>
      </c>
      <c r="C13" s="36" t="str">
        <v>Back Three</v>
      </c>
      <c r="D13" s="37">
        <v>70</v>
      </c>
      <c r="F13" s="37">
        <f>'Round 1 Data'!F13*'Round 1 Points'!$L$3</f>
        <v>0</v>
      </c>
      <c r="G13" s="37">
        <f>'Round 1 Data'!G13*'Round 1 Points'!M$2</f>
        <v>0</v>
      </c>
      <c r="H13" s="37">
        <f>'Round 1 Data'!H13*'Round 1 Points'!N$2</f>
        <v>14</v>
      </c>
      <c r="I13" s="37">
        <f>'Round 1 Data'!I13*'Round 1 Points'!O$2</f>
        <v>21.6</v>
      </c>
      <c r="J13" s="37">
        <f>'Round 1 Data'!J13*'Round 1 Points'!P$2</f>
        <v>0</v>
      </c>
      <c r="K13" s="37">
        <f>'Round 1 Data'!K13*'Round 1 Points'!Q$2</f>
        <v>0</v>
      </c>
      <c r="L13" s="37">
        <f>'Round 1 Data'!L13*'Round 1 Points'!R$2</f>
        <v>7</v>
      </c>
      <c r="M13" s="37">
        <f>'Round 1 Data'!M13*'Round 1 Points'!S$2</f>
        <v>15</v>
      </c>
      <c r="N13" s="37">
        <f>'Round 1 Data'!N13*'Round 1 Points'!T$2</f>
        <v>0</v>
      </c>
      <c r="O13" s="37">
        <f>'Round 1 Data'!O13*'Round 1 Points'!U$2</f>
        <v>0</v>
      </c>
      <c r="P13" s="37">
        <f>'Round 1 Data'!P13*'Round 1 Points'!V$2</f>
        <v>0</v>
      </c>
      <c r="Q13" s="37">
        <f>'Round 1 Data'!Q13*'Round 1 Points'!W$2</f>
        <v>0</v>
      </c>
      <c r="R13" s="37">
        <f>'Round 1 Data'!R13*'Round 1 Points'!X$2</f>
        <v>-5</v>
      </c>
      <c r="S13" s="37">
        <f>'Round 1 Data'!S13*'Round 1 Points'!Y$2</f>
        <v>0</v>
      </c>
      <c r="T13" s="38">
        <f t="shared" si="0"/>
        <v>52.6</v>
      </c>
      <c r="U13" s="37">
        <f>'Round 1 Data'!U13*'Round 1 Points'!$Z$2</f>
        <v>0</v>
      </c>
      <c r="V13" s="36">
        <f>IF('Round 1 Data'!D13='Round 1 Points'!$K$1,'Round 1 Points'!$K$2*D13/80,0)</f>
        <v>0</v>
      </c>
      <c r="W13">
        <f t="shared" si="1"/>
        <v>52.6</v>
      </c>
    </row>
    <row r="14" spans="1:26" x14ac:dyDescent="0.2">
      <c r="A14" s="36" t="s">
        <v>61</v>
      </c>
      <c r="B14" s="36" t="str" cm="1">
        <f t="array" ref="B14:C14">_xlfn.XLOOKUP(A14,'Player List'!$A$2:$A$177,'Player List'!$B$2:$C$177)</f>
        <v>Wales</v>
      </c>
      <c r="C14" s="36" t="str">
        <v>Centre</v>
      </c>
      <c r="D14" s="37">
        <v>80</v>
      </c>
      <c r="F14" s="37">
        <f>'Round 1 Data'!F14*'Round 1 Points'!$L$3</f>
        <v>0</v>
      </c>
      <c r="G14" s="37">
        <f>'Round 1 Data'!G14*'Round 1 Points'!M$2</f>
        <v>7</v>
      </c>
      <c r="H14" s="37">
        <f>'Round 1 Data'!H14*'Round 1 Points'!N$2</f>
        <v>7</v>
      </c>
      <c r="I14" s="37">
        <f>'Round 1 Data'!I14*'Round 1 Points'!O$2</f>
        <v>15</v>
      </c>
      <c r="J14" s="37">
        <f>'Round 1 Data'!J14*'Round 1 Points'!P$2</f>
        <v>0</v>
      </c>
      <c r="K14" s="37">
        <f>'Round 1 Data'!K14*'Round 1 Points'!Q$2</f>
        <v>0</v>
      </c>
      <c r="L14" s="37">
        <f>'Round 1 Data'!L14*'Round 1 Points'!R$2</f>
        <v>0</v>
      </c>
      <c r="M14" s="37">
        <f>'Round 1 Data'!M14*'Round 1 Points'!S$2</f>
        <v>0</v>
      </c>
      <c r="N14" s="37">
        <f>'Round 1 Data'!N14*'Round 1 Points'!T$2</f>
        <v>0</v>
      </c>
      <c r="O14" s="37">
        <f>'Round 1 Data'!O14*'Round 1 Points'!U$2</f>
        <v>0</v>
      </c>
      <c r="P14" s="37">
        <f>'Round 1 Data'!P14*'Round 1 Points'!V$2</f>
        <v>0</v>
      </c>
      <c r="Q14" s="37">
        <f>'Round 1 Data'!Q14*'Round 1 Points'!W$2</f>
        <v>0</v>
      </c>
      <c r="R14" s="37">
        <f>'Round 1 Data'!R14*'Round 1 Points'!X$2</f>
        <v>0</v>
      </c>
      <c r="S14" s="37">
        <f>'Round 1 Data'!S14*'Round 1 Points'!Y$2</f>
        <v>0</v>
      </c>
      <c r="T14" s="38">
        <f t="shared" si="0"/>
        <v>29</v>
      </c>
      <c r="U14" s="37">
        <f>'Round 1 Data'!U14*'Round 1 Points'!$Z$2</f>
        <v>0</v>
      </c>
      <c r="V14" s="36">
        <f>IF('Round 1 Data'!D14='Round 1 Points'!$K$1,'Round 1 Points'!$K$2*D14/80,0)</f>
        <v>0</v>
      </c>
      <c r="W14">
        <f t="shared" si="1"/>
        <v>29</v>
      </c>
    </row>
    <row r="15" spans="1:26" x14ac:dyDescent="0.2">
      <c r="A15" s="36" t="s">
        <v>62</v>
      </c>
      <c r="B15" s="36" t="str" cm="1">
        <f t="array" ref="B15:C15">_xlfn.XLOOKUP(A15,'Player List'!$A$2:$A$177,'Player List'!$B$2:$C$177)</f>
        <v>Wales</v>
      </c>
      <c r="C15" s="36" t="str">
        <v>Centre</v>
      </c>
      <c r="D15" s="37">
        <v>80</v>
      </c>
      <c r="F15" s="37">
        <f>'Round 1 Data'!F15*'Round 1 Points'!$L$3</f>
        <v>0</v>
      </c>
      <c r="G15" s="37">
        <f>'Round 1 Data'!G15*'Round 1 Points'!M$2</f>
        <v>0</v>
      </c>
      <c r="H15" s="37">
        <f>'Round 1 Data'!H15*'Round 1 Points'!N$2</f>
        <v>0</v>
      </c>
      <c r="I15" s="37">
        <f>'Round 1 Data'!I15*'Round 1 Points'!O$2</f>
        <v>11.600000000000001</v>
      </c>
      <c r="J15" s="37">
        <f>'Round 1 Data'!J15*'Round 1 Points'!P$2</f>
        <v>0</v>
      </c>
      <c r="K15" s="37">
        <f>'Round 1 Data'!K15*'Round 1 Points'!Q$2</f>
        <v>0</v>
      </c>
      <c r="L15" s="37">
        <f>'Round 1 Data'!L15*'Round 1 Points'!R$2</f>
        <v>0</v>
      </c>
      <c r="M15" s="37">
        <f>'Round 1 Data'!M15*'Round 1 Points'!S$2</f>
        <v>0</v>
      </c>
      <c r="N15" s="37">
        <f>'Round 1 Data'!N15*'Round 1 Points'!T$2</f>
        <v>0</v>
      </c>
      <c r="O15" s="37">
        <f>'Round 1 Data'!O15*'Round 1 Points'!U$2</f>
        <v>0</v>
      </c>
      <c r="P15" s="37">
        <f>'Round 1 Data'!P15*'Round 1 Points'!V$2</f>
        <v>0</v>
      </c>
      <c r="Q15" s="37">
        <f>'Round 1 Data'!Q15*'Round 1 Points'!W$2</f>
        <v>0</v>
      </c>
      <c r="R15" s="37">
        <f>'Round 1 Data'!R15*'Round 1 Points'!X$2</f>
        <v>0</v>
      </c>
      <c r="S15" s="37">
        <f>'Round 1 Data'!S15*'Round 1 Points'!Y$2</f>
        <v>0</v>
      </c>
      <c r="T15" s="38">
        <f t="shared" si="0"/>
        <v>11.600000000000001</v>
      </c>
      <c r="U15" s="37">
        <f>'Round 1 Data'!U15*'Round 1 Points'!$Z$2</f>
        <v>0</v>
      </c>
      <c r="V15" s="36">
        <f>IF('Round 1 Data'!D15='Round 1 Points'!$K$1,'Round 1 Points'!$K$2*D15/80,0)</f>
        <v>0</v>
      </c>
      <c r="W15">
        <f t="shared" si="1"/>
        <v>11.600000000000001</v>
      </c>
    </row>
    <row r="16" spans="1:26" x14ac:dyDescent="0.2">
      <c r="A16" s="36" t="s">
        <v>63</v>
      </c>
      <c r="B16" s="36" t="str" cm="1">
        <f t="array" ref="B16:C16">_xlfn.XLOOKUP(A16,'Player List'!$A$2:$A$177,'Player List'!$B$2:$C$177)</f>
        <v>Wales</v>
      </c>
      <c r="C16" s="36" t="str">
        <v>Fly Half</v>
      </c>
      <c r="D16" s="37">
        <v>67</v>
      </c>
      <c r="F16" s="37">
        <f>'Round 1 Data'!F16*'Round 1 Points'!$L$3</f>
        <v>0</v>
      </c>
      <c r="G16" s="37">
        <f>'Round 1 Data'!G16*'Round 1 Points'!M$2</f>
        <v>0</v>
      </c>
      <c r="H16" s="37">
        <f>'Round 1 Data'!H16*'Round 1 Points'!N$2</f>
        <v>7</v>
      </c>
      <c r="I16" s="37">
        <f>'Round 1 Data'!I16*'Round 1 Points'!O$2</f>
        <v>7</v>
      </c>
      <c r="J16" s="37">
        <f>'Round 1 Data'!J16*'Round 1 Points'!P$2</f>
        <v>0</v>
      </c>
      <c r="K16" s="37">
        <f>'Round 1 Data'!K16*'Round 1 Points'!Q$2</f>
        <v>0</v>
      </c>
      <c r="L16" s="37">
        <f>'Round 1 Data'!L16*'Round 1 Points'!R$2</f>
        <v>0</v>
      </c>
      <c r="M16" s="37">
        <f>'Round 1 Data'!M16*'Round 1 Points'!S$2</f>
        <v>0</v>
      </c>
      <c r="N16" s="37">
        <f>'Round 1 Data'!N16*'Round 1 Points'!T$2</f>
        <v>7</v>
      </c>
      <c r="O16" s="37">
        <f>'Round 1 Data'!O16*'Round 1 Points'!U$2</f>
        <v>2</v>
      </c>
      <c r="P16" s="37">
        <f>'Round 1 Data'!P16*'Round 1 Points'!V$2</f>
        <v>5</v>
      </c>
      <c r="Q16" s="37">
        <f>'Round 1 Data'!Q16*'Round 1 Points'!W$2</f>
        <v>0</v>
      </c>
      <c r="R16" s="37">
        <f>'Round 1 Data'!R16*'Round 1 Points'!X$2</f>
        <v>0</v>
      </c>
      <c r="S16" s="37">
        <f>'Round 1 Data'!S16*'Round 1 Points'!Y$2</f>
        <v>0</v>
      </c>
      <c r="T16" s="38">
        <f t="shared" si="0"/>
        <v>28</v>
      </c>
      <c r="U16" s="37">
        <f>'Round 1 Data'!U16*'Round 1 Points'!$Z$2</f>
        <v>0</v>
      </c>
      <c r="V16" s="36">
        <f>IF('Round 1 Data'!D16='Round 1 Points'!$K$1,'Round 1 Points'!$K$2*D16/80,0)</f>
        <v>0</v>
      </c>
      <c r="W16">
        <f t="shared" si="1"/>
        <v>28</v>
      </c>
    </row>
    <row r="17" spans="1:23" x14ac:dyDescent="0.2">
      <c r="A17" s="36" t="s">
        <v>159</v>
      </c>
      <c r="B17" s="36" t="str" cm="1">
        <f t="array" ref="B17:C17">_xlfn.XLOOKUP(A17,'Player List'!$A$2:$A$177,'Player List'!$B$2:$C$177)</f>
        <v>Wales</v>
      </c>
      <c r="C17" s="36" t="str">
        <v>Fly Half</v>
      </c>
      <c r="D17" s="37">
        <v>13</v>
      </c>
      <c r="F17" s="37">
        <f>'Round 1 Data'!F17*'Round 1 Points'!$L$3</f>
        <v>0</v>
      </c>
      <c r="G17" s="37">
        <f>'Round 1 Data'!G17*'Round 1 Points'!M$2</f>
        <v>0</v>
      </c>
      <c r="H17" s="37">
        <f>'Round 1 Data'!H17*'Round 1 Points'!N$2</f>
        <v>0</v>
      </c>
      <c r="I17" s="37">
        <f>'Round 1 Data'!I17*'Round 1 Points'!O$2</f>
        <v>0.8</v>
      </c>
      <c r="J17" s="37">
        <f>'Round 1 Data'!J17*'Round 1 Points'!P$2</f>
        <v>0</v>
      </c>
      <c r="K17" s="37">
        <f>'Round 1 Data'!K17*'Round 1 Points'!Q$2</f>
        <v>0</v>
      </c>
      <c r="L17" s="37">
        <f>'Round 1 Data'!L17*'Round 1 Points'!R$2</f>
        <v>0</v>
      </c>
      <c r="M17" s="37">
        <f>'Round 1 Data'!M17*'Round 1 Points'!S$2</f>
        <v>0</v>
      </c>
      <c r="N17" s="37">
        <f>'Round 1 Data'!N17*'Round 1 Points'!T$2</f>
        <v>0</v>
      </c>
      <c r="O17" s="37">
        <f>'Round 1 Data'!O17*'Round 1 Points'!U$2</f>
        <v>0</v>
      </c>
      <c r="P17" s="37">
        <f>'Round 1 Data'!P17*'Round 1 Points'!V$2</f>
        <v>0</v>
      </c>
      <c r="Q17" s="37">
        <f>'Round 1 Data'!Q17*'Round 1 Points'!W$2</f>
        <v>0</v>
      </c>
      <c r="R17" s="37">
        <f>'Round 1 Data'!R17*'Round 1 Points'!X$2</f>
        <v>0</v>
      </c>
      <c r="S17" s="37">
        <f>'Round 1 Data'!S17*'Round 1 Points'!Y$2</f>
        <v>0</v>
      </c>
      <c r="T17" s="38">
        <f t="shared" si="0"/>
        <v>0.8</v>
      </c>
      <c r="U17" s="37">
        <f>'Round 1 Data'!U17*'Round 1 Points'!$Z$2</f>
        <v>0</v>
      </c>
      <c r="V17" s="36">
        <f>IF('Round 1 Data'!D17='Round 1 Points'!$K$1,'Round 1 Points'!$K$2*D17/80,0)</f>
        <v>0</v>
      </c>
      <c r="W17">
        <f t="shared" si="1"/>
        <v>0.8</v>
      </c>
    </row>
    <row r="18" spans="1:23" x14ac:dyDescent="0.2">
      <c r="A18" s="36" t="s">
        <v>65</v>
      </c>
      <c r="B18" s="36" t="str" cm="1">
        <f t="array" ref="B18:C18">_xlfn.XLOOKUP(A18,'Player List'!$A$2:$A$177,'Player List'!$B$2:$C$177)</f>
        <v>Wales</v>
      </c>
      <c r="C18" s="36" t="str">
        <v>Scrum Half</v>
      </c>
      <c r="D18" s="37">
        <v>17</v>
      </c>
      <c r="F18" s="37">
        <f>'Round 1 Data'!F18*'Round 1 Points'!$L$3</f>
        <v>0</v>
      </c>
      <c r="G18" s="37">
        <f>'Round 1 Data'!G18*'Round 1 Points'!M$2</f>
        <v>7</v>
      </c>
      <c r="H18" s="37">
        <f>'Round 1 Data'!H18*'Round 1 Points'!N$2</f>
        <v>0</v>
      </c>
      <c r="I18" s="37">
        <f>'Round 1 Data'!I18*'Round 1 Points'!O$2</f>
        <v>0.2</v>
      </c>
      <c r="J18" s="37">
        <f>'Round 1 Data'!J18*'Round 1 Points'!P$2</f>
        <v>0</v>
      </c>
      <c r="K18" s="37">
        <f>'Round 1 Data'!K18*'Round 1 Points'!Q$2</f>
        <v>0</v>
      </c>
      <c r="L18" s="37">
        <f>'Round 1 Data'!L18*'Round 1 Points'!R$2</f>
        <v>0</v>
      </c>
      <c r="M18" s="37">
        <f>'Round 1 Data'!M18*'Round 1 Points'!S$2</f>
        <v>0</v>
      </c>
      <c r="N18" s="37">
        <f>'Round 1 Data'!N18*'Round 1 Points'!T$2</f>
        <v>0</v>
      </c>
      <c r="O18" s="37">
        <f>'Round 1 Data'!O18*'Round 1 Points'!U$2</f>
        <v>0</v>
      </c>
      <c r="P18" s="37">
        <f>'Round 1 Data'!P18*'Round 1 Points'!V$2</f>
        <v>0</v>
      </c>
      <c r="Q18" s="37">
        <f>'Round 1 Data'!Q18*'Round 1 Points'!W$2</f>
        <v>0</v>
      </c>
      <c r="R18" s="37">
        <f>'Round 1 Data'!R18*'Round 1 Points'!X$2</f>
        <v>0</v>
      </c>
      <c r="S18" s="37">
        <f>'Round 1 Data'!S18*'Round 1 Points'!Y$2</f>
        <v>0</v>
      </c>
      <c r="T18" s="38">
        <f t="shared" si="0"/>
        <v>7.2</v>
      </c>
      <c r="U18" s="37">
        <f>'Round 1 Data'!U18*'Round 1 Points'!$Z$2</f>
        <v>0</v>
      </c>
      <c r="V18" s="36">
        <f>IF('Round 1 Data'!D18='Round 1 Points'!$K$1,'Round 1 Points'!$K$2*D18/80,0)</f>
        <v>0</v>
      </c>
      <c r="W18">
        <f t="shared" si="1"/>
        <v>7.2</v>
      </c>
    </row>
    <row r="19" spans="1:23" x14ac:dyDescent="0.2">
      <c r="A19" s="36" t="s">
        <v>66</v>
      </c>
      <c r="B19" s="36" t="str" cm="1">
        <f t="array" ref="B19:C19">_xlfn.XLOOKUP(A19,'Player List'!$A$2:$A$177,'Player List'!$B$2:$C$177)</f>
        <v>Wales</v>
      </c>
      <c r="C19" s="36" t="str">
        <v>Scrum Half</v>
      </c>
      <c r="D19" s="37">
        <v>63</v>
      </c>
      <c r="F19" s="37">
        <f>'Round 1 Data'!F19*'Round 1 Points'!$L$3</f>
        <v>0</v>
      </c>
      <c r="G19" s="37">
        <f>'Round 1 Data'!G19*'Round 1 Points'!M$2</f>
        <v>0</v>
      </c>
      <c r="H19" s="37">
        <f>'Round 1 Data'!H19*'Round 1 Points'!N$2</f>
        <v>0</v>
      </c>
      <c r="I19" s="37">
        <f>'Round 1 Data'!I19*'Round 1 Points'!O$2</f>
        <v>3.8000000000000003</v>
      </c>
      <c r="J19" s="37">
        <f>'Round 1 Data'!J19*'Round 1 Points'!P$2</f>
        <v>0</v>
      </c>
      <c r="K19" s="37">
        <f>'Round 1 Data'!K19*'Round 1 Points'!Q$2</f>
        <v>0</v>
      </c>
      <c r="L19" s="37">
        <f>'Round 1 Data'!L19*'Round 1 Points'!R$2</f>
        <v>0</v>
      </c>
      <c r="M19" s="37">
        <f>'Round 1 Data'!M19*'Round 1 Points'!S$2</f>
        <v>0</v>
      </c>
      <c r="N19" s="37">
        <f>'Round 1 Data'!N19*'Round 1 Points'!T$2</f>
        <v>0</v>
      </c>
      <c r="O19" s="37">
        <f>'Round 1 Data'!O19*'Round 1 Points'!U$2</f>
        <v>0</v>
      </c>
      <c r="P19" s="37">
        <f>'Round 1 Data'!P19*'Round 1 Points'!V$2</f>
        <v>0</v>
      </c>
      <c r="Q19" s="37">
        <f>'Round 1 Data'!Q19*'Round 1 Points'!W$2</f>
        <v>0</v>
      </c>
      <c r="R19" s="37">
        <f>'Round 1 Data'!R19*'Round 1 Points'!X$2</f>
        <v>0</v>
      </c>
      <c r="S19" s="37">
        <f>'Round 1 Data'!S19*'Round 1 Points'!Y$2</f>
        <v>0</v>
      </c>
      <c r="T19" s="38">
        <f t="shared" si="0"/>
        <v>3.8000000000000003</v>
      </c>
      <c r="U19" s="37">
        <f>'Round 1 Data'!U19*'Round 1 Points'!$Z$2</f>
        <v>0</v>
      </c>
      <c r="V19" s="36">
        <f>IF('Round 1 Data'!D19='Round 1 Points'!$K$1,'Round 1 Points'!$K$2*D19/80,0)</f>
        <v>0</v>
      </c>
      <c r="W19">
        <f t="shared" si="1"/>
        <v>3.8000000000000003</v>
      </c>
    </row>
    <row r="20" spans="1:23" x14ac:dyDescent="0.2">
      <c r="A20" s="36" t="s">
        <v>67</v>
      </c>
      <c r="B20" s="36" t="str" cm="1">
        <f t="array" ref="B20:C20">_xlfn.XLOOKUP(A20,'Player List'!$A$2:$A$177,'Player List'!$B$2:$C$177)</f>
        <v>Wales</v>
      </c>
      <c r="C20" s="36" t="str">
        <v>Back Row</v>
      </c>
      <c r="D20" s="37">
        <v>80</v>
      </c>
      <c r="F20" s="37">
        <f>'Round 1 Data'!F20*'Round 1 Points'!$L$3</f>
        <v>0</v>
      </c>
      <c r="G20" s="37">
        <f>'Round 1 Data'!G20*'Round 1 Points'!M$2</f>
        <v>7</v>
      </c>
      <c r="H20" s="37">
        <f>'Round 1 Data'!H20*'Round 1 Points'!N$2</f>
        <v>0</v>
      </c>
      <c r="I20" s="37">
        <f>'Round 1 Data'!I20*'Round 1 Points'!O$2</f>
        <v>9.8000000000000007</v>
      </c>
      <c r="J20" s="37">
        <f>'Round 1 Data'!J20*'Round 1 Points'!P$2</f>
        <v>0</v>
      </c>
      <c r="K20" s="37">
        <f>'Round 1 Data'!K20*'Round 1 Points'!Q$2</f>
        <v>0</v>
      </c>
      <c r="L20" s="37">
        <f>'Round 1 Data'!L20*'Round 1 Points'!R$2</f>
        <v>0</v>
      </c>
      <c r="M20" s="37">
        <f>'Round 1 Data'!M20*'Round 1 Points'!S$2</f>
        <v>0</v>
      </c>
      <c r="N20" s="37">
        <f>'Round 1 Data'!N20*'Round 1 Points'!T$2</f>
        <v>0</v>
      </c>
      <c r="O20" s="37">
        <f>'Round 1 Data'!O20*'Round 1 Points'!U$2</f>
        <v>0</v>
      </c>
      <c r="P20" s="37">
        <f>'Round 1 Data'!P20*'Round 1 Points'!V$2</f>
        <v>0</v>
      </c>
      <c r="Q20" s="37">
        <f>'Round 1 Data'!Q20*'Round 1 Points'!W$2</f>
        <v>0</v>
      </c>
      <c r="R20" s="37">
        <f>'Round 1 Data'!R20*'Round 1 Points'!X$2</f>
        <v>0</v>
      </c>
      <c r="S20" s="37">
        <f>'Round 1 Data'!S20*'Round 1 Points'!Y$2</f>
        <v>0</v>
      </c>
      <c r="T20" s="38">
        <f t="shared" si="0"/>
        <v>16.8</v>
      </c>
      <c r="U20" s="37">
        <f>'Round 1 Data'!U20*'Round 1 Points'!$Z$2</f>
        <v>0</v>
      </c>
      <c r="V20" s="36">
        <f>IF('Round 1 Data'!D20='Round 1 Points'!$K$1,'Round 1 Points'!$K$2*D20/80,0)</f>
        <v>0</v>
      </c>
      <c r="W20">
        <f t="shared" si="1"/>
        <v>16.8</v>
      </c>
    </row>
    <row r="21" spans="1:23" x14ac:dyDescent="0.2">
      <c r="A21" s="36" t="s">
        <v>68</v>
      </c>
      <c r="B21" s="36" t="str" cm="1">
        <f t="array" ref="B21:C21">_xlfn.XLOOKUP(A21,'Player List'!$A$2:$A$177,'Player List'!$B$2:$C$177)</f>
        <v>Wales</v>
      </c>
      <c r="C21" s="36" t="str">
        <v>Back Row</v>
      </c>
      <c r="D21" s="37">
        <v>80</v>
      </c>
      <c r="F21" s="37">
        <f>'Round 1 Data'!F21*'Round 1 Points'!$L$3</f>
        <v>0</v>
      </c>
      <c r="G21" s="37">
        <f>'Round 1 Data'!G21*'Round 1 Points'!M$2</f>
        <v>21</v>
      </c>
      <c r="H21" s="37">
        <f>'Round 1 Data'!H21*'Round 1 Points'!N$2</f>
        <v>0</v>
      </c>
      <c r="I21" s="37">
        <f>'Round 1 Data'!I21*'Round 1 Points'!O$2</f>
        <v>8.6</v>
      </c>
      <c r="J21" s="37">
        <f>'Round 1 Data'!J21*'Round 1 Points'!P$2</f>
        <v>0</v>
      </c>
      <c r="K21" s="37">
        <f>'Round 1 Data'!K21*'Round 1 Points'!Q$2</f>
        <v>0</v>
      </c>
      <c r="L21" s="37">
        <f>'Round 1 Data'!L21*'Round 1 Points'!R$2</f>
        <v>7</v>
      </c>
      <c r="M21" s="37">
        <f>'Round 1 Data'!M21*'Round 1 Points'!S$2</f>
        <v>0</v>
      </c>
      <c r="N21" s="37">
        <f>'Round 1 Data'!N21*'Round 1 Points'!T$2</f>
        <v>0</v>
      </c>
      <c r="O21" s="37">
        <f>'Round 1 Data'!O21*'Round 1 Points'!U$2</f>
        <v>0</v>
      </c>
      <c r="P21" s="37">
        <f>'Round 1 Data'!P21*'Round 1 Points'!V$2</f>
        <v>0</v>
      </c>
      <c r="Q21" s="37">
        <f>'Round 1 Data'!Q21*'Round 1 Points'!W$2</f>
        <v>0</v>
      </c>
      <c r="R21" s="37">
        <f>'Round 1 Data'!R21*'Round 1 Points'!X$2</f>
        <v>0</v>
      </c>
      <c r="S21" s="37">
        <f>'Round 1 Data'!S21*'Round 1 Points'!Y$2</f>
        <v>0</v>
      </c>
      <c r="T21" s="38">
        <f t="shared" si="0"/>
        <v>36.6</v>
      </c>
      <c r="U21" s="37">
        <f>'Round 1 Data'!U21*'Round 1 Points'!$Z$2</f>
        <v>0</v>
      </c>
      <c r="V21" s="36">
        <f>IF('Round 1 Data'!D21='Round 1 Points'!$K$1,'Round 1 Points'!$K$2*D21/80,0)</f>
        <v>0</v>
      </c>
      <c r="W21">
        <f t="shared" si="1"/>
        <v>36.6</v>
      </c>
    </row>
    <row r="22" spans="1:23" x14ac:dyDescent="0.2">
      <c r="A22" s="36" t="s">
        <v>69</v>
      </c>
      <c r="B22" s="36" t="str" cm="1">
        <f t="array" ref="B22:C22">_xlfn.XLOOKUP(A22,'Player List'!$A$2:$A$177,'Player List'!$B$2:$C$177)</f>
        <v>Wales</v>
      </c>
      <c r="C22" s="36" t="str">
        <v>Back Row</v>
      </c>
      <c r="D22" s="37">
        <v>26</v>
      </c>
      <c r="F22" s="37">
        <f>'Round 1 Data'!F22*'Round 1 Points'!$L$3</f>
        <v>0</v>
      </c>
      <c r="G22" s="37">
        <f>'Round 1 Data'!G22*'Round 1 Points'!M$2</f>
        <v>0</v>
      </c>
      <c r="H22" s="37">
        <f>'Round 1 Data'!H22*'Round 1 Points'!N$2</f>
        <v>0</v>
      </c>
      <c r="I22" s="37">
        <f>'Round 1 Data'!I22*'Round 1 Points'!O$2</f>
        <v>0</v>
      </c>
      <c r="J22" s="37">
        <f>'Round 1 Data'!J22*'Round 1 Points'!P$2</f>
        <v>0</v>
      </c>
      <c r="K22" s="37">
        <f>'Round 1 Data'!K22*'Round 1 Points'!Q$2</f>
        <v>0</v>
      </c>
      <c r="L22" s="37">
        <f>'Round 1 Data'!L22*'Round 1 Points'!R$2</f>
        <v>0</v>
      </c>
      <c r="M22" s="37">
        <f>'Round 1 Data'!M22*'Round 1 Points'!S$2</f>
        <v>0</v>
      </c>
      <c r="N22" s="37">
        <f>'Round 1 Data'!N22*'Round 1 Points'!T$2</f>
        <v>0</v>
      </c>
      <c r="O22" s="37">
        <f>'Round 1 Data'!O22*'Round 1 Points'!U$2</f>
        <v>0</v>
      </c>
      <c r="P22" s="37">
        <f>'Round 1 Data'!P22*'Round 1 Points'!V$2</f>
        <v>0</v>
      </c>
      <c r="Q22" s="37">
        <f>'Round 1 Data'!Q22*'Round 1 Points'!W$2</f>
        <v>0</v>
      </c>
      <c r="R22" s="37">
        <f>'Round 1 Data'!R22*'Round 1 Points'!X$2</f>
        <v>0</v>
      </c>
      <c r="S22" s="37">
        <f>'Round 1 Data'!S22*'Round 1 Points'!Y$2</f>
        <v>0</v>
      </c>
      <c r="T22" s="38">
        <f t="shared" si="0"/>
        <v>0</v>
      </c>
      <c r="U22" s="37">
        <f>'Round 1 Data'!U22*'Round 1 Points'!$Z$2</f>
        <v>0</v>
      </c>
      <c r="V22" s="36">
        <f>IF('Round 1 Data'!D22='Round 1 Points'!$K$1,'Round 1 Points'!$K$2*D22/80,0)</f>
        <v>0</v>
      </c>
      <c r="W22">
        <f t="shared" si="1"/>
        <v>0</v>
      </c>
    </row>
    <row r="23" spans="1:23" x14ac:dyDescent="0.2">
      <c r="A23" s="36" t="s">
        <v>161</v>
      </c>
      <c r="B23" s="36" t="str" cm="1">
        <f t="array" ref="B23:C23">_xlfn.XLOOKUP(A23,'Player List'!$A$2:$A$177,'Player List'!$B$2:$C$177)</f>
        <v>Wales</v>
      </c>
      <c r="C23" s="36" t="str">
        <v>Back Row</v>
      </c>
      <c r="D23" s="37">
        <v>54</v>
      </c>
      <c r="F23" s="37">
        <f>'Round 1 Data'!F23*'Round 1 Points'!$L$3</f>
        <v>0</v>
      </c>
      <c r="G23" s="37">
        <f>'Round 1 Data'!G23*'Round 1 Points'!M$2</f>
        <v>21</v>
      </c>
      <c r="H23" s="37">
        <f>'Round 1 Data'!H23*'Round 1 Points'!N$2</f>
        <v>0</v>
      </c>
      <c r="I23" s="37">
        <f>'Round 1 Data'!I23*'Round 1 Points'!O$2</f>
        <v>3.6</v>
      </c>
      <c r="J23" s="37">
        <f>'Round 1 Data'!J23*'Round 1 Points'!P$2</f>
        <v>0</v>
      </c>
      <c r="K23" s="37">
        <f>'Round 1 Data'!K23*'Round 1 Points'!Q$2</f>
        <v>0</v>
      </c>
      <c r="L23" s="37">
        <f>'Round 1 Data'!L23*'Round 1 Points'!R$2</f>
        <v>0</v>
      </c>
      <c r="M23" s="37">
        <f>'Round 1 Data'!M23*'Round 1 Points'!S$2</f>
        <v>0</v>
      </c>
      <c r="N23" s="37">
        <f>'Round 1 Data'!N23*'Round 1 Points'!T$2</f>
        <v>0</v>
      </c>
      <c r="O23" s="37">
        <f>'Round 1 Data'!O23*'Round 1 Points'!U$2</f>
        <v>0</v>
      </c>
      <c r="P23" s="37">
        <f>'Round 1 Data'!P23*'Round 1 Points'!V$2</f>
        <v>0</v>
      </c>
      <c r="Q23" s="37">
        <f>'Round 1 Data'!Q23*'Round 1 Points'!W$2</f>
        <v>0</v>
      </c>
      <c r="R23" s="37">
        <f>'Round 1 Data'!R23*'Round 1 Points'!X$2</f>
        <v>0</v>
      </c>
      <c r="S23" s="37">
        <f>'Round 1 Data'!S23*'Round 1 Points'!Y$2</f>
        <v>0</v>
      </c>
      <c r="T23" s="38">
        <f t="shared" si="0"/>
        <v>24.6</v>
      </c>
      <c r="U23" s="37">
        <f>'Round 1 Data'!U23*'Round 1 Points'!$Z$2</f>
        <v>0</v>
      </c>
      <c r="V23" s="36">
        <f>IF('Round 1 Data'!D23='Round 1 Points'!$K$1,'Round 1 Points'!$K$2*D23/80,0)</f>
        <v>0</v>
      </c>
      <c r="W23">
        <f t="shared" si="1"/>
        <v>24.6</v>
      </c>
    </row>
    <row r="24" spans="1:23" x14ac:dyDescent="0.2">
      <c r="A24" s="36" t="s">
        <v>70</v>
      </c>
      <c r="B24" s="36" t="str" cm="1">
        <f t="array" ref="B24:C24">_xlfn.XLOOKUP(A24,'Player List'!$A$2:$A$177,'Player List'!$B$2:$C$177)</f>
        <v>Wales</v>
      </c>
      <c r="C24" s="36" t="str">
        <v>Second Row</v>
      </c>
      <c r="D24" s="37">
        <v>80</v>
      </c>
      <c r="F24" s="37">
        <f>'Round 1 Data'!F24*'Round 1 Points'!$L$3</f>
        <v>0</v>
      </c>
      <c r="G24" s="37">
        <f>'Round 1 Data'!G24*'Round 1 Points'!M$2</f>
        <v>14</v>
      </c>
      <c r="H24" s="37">
        <f>'Round 1 Data'!H24*'Round 1 Points'!N$2</f>
        <v>0</v>
      </c>
      <c r="I24" s="37">
        <f>'Round 1 Data'!I24*'Round 1 Points'!O$2</f>
        <v>1.4000000000000001</v>
      </c>
      <c r="J24" s="37">
        <f>'Round 1 Data'!J24*'Round 1 Points'!P$2</f>
        <v>0</v>
      </c>
      <c r="K24" s="37">
        <f>'Round 1 Data'!K24*'Round 1 Points'!Q$2</f>
        <v>0</v>
      </c>
      <c r="L24" s="37">
        <f>'Round 1 Data'!L24*'Round 1 Points'!R$2</f>
        <v>0</v>
      </c>
      <c r="M24" s="37">
        <f>'Round 1 Data'!M24*'Round 1 Points'!S$2</f>
        <v>0</v>
      </c>
      <c r="N24" s="37">
        <f>'Round 1 Data'!N24*'Round 1 Points'!T$2</f>
        <v>0</v>
      </c>
      <c r="O24" s="37">
        <f>'Round 1 Data'!O24*'Round 1 Points'!U$2</f>
        <v>0</v>
      </c>
      <c r="P24" s="37">
        <f>'Round 1 Data'!P24*'Round 1 Points'!V$2</f>
        <v>0</v>
      </c>
      <c r="Q24" s="37">
        <f>'Round 1 Data'!Q24*'Round 1 Points'!W$2</f>
        <v>0</v>
      </c>
      <c r="R24" s="37">
        <f>'Round 1 Data'!R24*'Round 1 Points'!X$2</f>
        <v>0</v>
      </c>
      <c r="S24" s="37">
        <f>'Round 1 Data'!S24*'Round 1 Points'!Y$2</f>
        <v>0</v>
      </c>
      <c r="T24" s="38">
        <f t="shared" si="0"/>
        <v>15.4</v>
      </c>
      <c r="U24" s="37">
        <f>'Round 1 Data'!U24*'Round 1 Points'!$Z$2</f>
        <v>0</v>
      </c>
      <c r="V24" s="36">
        <f>IF('Round 1 Data'!D24='Round 1 Points'!$K$1,'Round 1 Points'!$K$2*D24/80,0)</f>
        <v>0</v>
      </c>
      <c r="W24">
        <f t="shared" si="1"/>
        <v>15.4</v>
      </c>
    </row>
    <row r="25" spans="1:23" x14ac:dyDescent="0.2">
      <c r="A25" s="36" t="s">
        <v>72</v>
      </c>
      <c r="B25" s="36" t="str" cm="1">
        <f t="array" ref="B25:C25">_xlfn.XLOOKUP(A25,'Player List'!$A$2:$A$177,'Player List'!$B$2:$C$177)</f>
        <v>Wales</v>
      </c>
      <c r="C25" s="36" t="str">
        <v>Second Row</v>
      </c>
      <c r="D25" s="37">
        <v>19</v>
      </c>
      <c r="F25" s="37">
        <f>'Round 1 Data'!F25*'Round 1 Points'!$L$3</f>
        <v>0</v>
      </c>
      <c r="G25" s="37">
        <f>'Round 1 Data'!G25*'Round 1 Points'!M$2</f>
        <v>0</v>
      </c>
      <c r="H25" s="37">
        <f>'Round 1 Data'!H25*'Round 1 Points'!N$2</f>
        <v>0</v>
      </c>
      <c r="I25" s="37">
        <f>'Round 1 Data'!I25*'Round 1 Points'!O$2</f>
        <v>7</v>
      </c>
      <c r="J25" s="37">
        <f>'Round 1 Data'!J25*'Round 1 Points'!P$2</f>
        <v>0</v>
      </c>
      <c r="K25" s="37">
        <f>'Round 1 Data'!K25*'Round 1 Points'!Q$2</f>
        <v>0</v>
      </c>
      <c r="L25" s="37">
        <f>'Round 1 Data'!L25*'Round 1 Points'!R$2</f>
        <v>0</v>
      </c>
      <c r="M25" s="37">
        <f>'Round 1 Data'!M25*'Round 1 Points'!S$2</f>
        <v>0</v>
      </c>
      <c r="N25" s="37">
        <f>'Round 1 Data'!N25*'Round 1 Points'!T$2</f>
        <v>0</v>
      </c>
      <c r="O25" s="37">
        <f>'Round 1 Data'!O25*'Round 1 Points'!U$2</f>
        <v>0</v>
      </c>
      <c r="P25" s="37">
        <f>'Round 1 Data'!P25*'Round 1 Points'!V$2</f>
        <v>0</v>
      </c>
      <c r="Q25" s="37">
        <f>'Round 1 Data'!Q25*'Round 1 Points'!W$2</f>
        <v>0</v>
      </c>
      <c r="R25" s="37">
        <f>'Round 1 Data'!R25*'Round 1 Points'!X$2</f>
        <v>0</v>
      </c>
      <c r="S25" s="37">
        <f>'Round 1 Data'!S25*'Round 1 Points'!Y$2</f>
        <v>0</v>
      </c>
      <c r="T25" s="38">
        <f t="shared" si="0"/>
        <v>7</v>
      </c>
      <c r="U25" s="37">
        <f>'Round 1 Data'!U25*'Round 1 Points'!$Z$2</f>
        <v>0</v>
      </c>
      <c r="V25" s="36">
        <f>IF('Round 1 Data'!D25='Round 1 Points'!$K$1,'Round 1 Points'!$K$2*D25/80,0)</f>
        <v>0</v>
      </c>
      <c r="W25">
        <f t="shared" si="1"/>
        <v>7</v>
      </c>
    </row>
    <row r="26" spans="1:23" x14ac:dyDescent="0.2">
      <c r="A26" s="36" t="s">
        <v>162</v>
      </c>
      <c r="B26" s="36" t="str" cm="1">
        <f t="array" ref="B26:C26">_xlfn.XLOOKUP(A26,'Player List'!$A$2:$A$177,'Player List'!$B$2:$C$177)</f>
        <v>Wales</v>
      </c>
      <c r="C26" s="36" t="str">
        <v>Second Row</v>
      </c>
      <c r="D26" s="37">
        <v>61</v>
      </c>
      <c r="F26" s="37">
        <f>'Round 1 Data'!F26*'Round 1 Points'!$L$3</f>
        <v>0</v>
      </c>
      <c r="G26" s="37">
        <f>'Round 1 Data'!G26*'Round 1 Points'!M$2</f>
        <v>7</v>
      </c>
      <c r="H26" s="37">
        <f>'Round 1 Data'!H26*'Round 1 Points'!N$2</f>
        <v>0</v>
      </c>
      <c r="I26" s="37">
        <f>'Round 1 Data'!I26*'Round 1 Points'!O$2</f>
        <v>5.8000000000000007</v>
      </c>
      <c r="J26" s="37">
        <f>'Round 1 Data'!J26*'Round 1 Points'!P$2</f>
        <v>0</v>
      </c>
      <c r="K26" s="37">
        <f>'Round 1 Data'!K26*'Round 1 Points'!Q$2</f>
        <v>0</v>
      </c>
      <c r="L26" s="37">
        <f>'Round 1 Data'!L26*'Round 1 Points'!R$2</f>
        <v>0</v>
      </c>
      <c r="M26" s="37">
        <f>'Round 1 Data'!M26*'Round 1 Points'!S$2</f>
        <v>0</v>
      </c>
      <c r="N26" s="37">
        <f>'Round 1 Data'!N26*'Round 1 Points'!T$2</f>
        <v>0</v>
      </c>
      <c r="O26" s="37">
        <f>'Round 1 Data'!O26*'Round 1 Points'!U$2</f>
        <v>0</v>
      </c>
      <c r="P26" s="37">
        <f>'Round 1 Data'!P26*'Round 1 Points'!V$2</f>
        <v>0</v>
      </c>
      <c r="Q26" s="37">
        <f>'Round 1 Data'!Q26*'Round 1 Points'!W$2</f>
        <v>0</v>
      </c>
      <c r="R26" s="37">
        <f>'Round 1 Data'!R26*'Round 1 Points'!X$2</f>
        <v>0</v>
      </c>
      <c r="S26" s="37">
        <f>'Round 1 Data'!S26*'Round 1 Points'!Y$2</f>
        <v>0</v>
      </c>
      <c r="T26" s="38">
        <f t="shared" si="0"/>
        <v>12.8</v>
      </c>
      <c r="U26" s="37">
        <f>'Round 1 Data'!U26*'Round 1 Points'!$Z$2</f>
        <v>0</v>
      </c>
      <c r="V26" s="36">
        <f>IF('Round 1 Data'!D26='Round 1 Points'!$K$1,'Round 1 Points'!$K$2*D26/80,0)</f>
        <v>0</v>
      </c>
      <c r="W26">
        <f t="shared" si="1"/>
        <v>12.8</v>
      </c>
    </row>
    <row r="27" spans="1:23" x14ac:dyDescent="0.2">
      <c r="A27" s="36" t="s">
        <v>75</v>
      </c>
      <c r="B27" s="36" t="str" cm="1">
        <f t="array" ref="B27:C27">_xlfn.XLOOKUP(A27,'Player List'!$A$2:$A$177,'Player List'!$B$2:$C$177)</f>
        <v>Wales</v>
      </c>
      <c r="C27" s="36" t="str">
        <v>Prop</v>
      </c>
      <c r="D27" s="37">
        <v>26</v>
      </c>
      <c r="F27" s="37">
        <f>'Round 1 Data'!F27*'Round 1 Points'!$L$3</f>
        <v>0</v>
      </c>
      <c r="G27" s="37">
        <f>'Round 1 Data'!G27*'Round 1 Points'!M$2</f>
        <v>0</v>
      </c>
      <c r="H27" s="37">
        <f>'Round 1 Data'!H27*'Round 1 Points'!N$2</f>
        <v>0</v>
      </c>
      <c r="I27" s="37">
        <f>'Round 1 Data'!I27*'Round 1 Points'!O$2</f>
        <v>0</v>
      </c>
      <c r="J27" s="37">
        <f>'Round 1 Data'!J27*'Round 1 Points'!P$2</f>
        <v>0</v>
      </c>
      <c r="K27" s="37">
        <f>'Round 1 Data'!K27*'Round 1 Points'!Q$2</f>
        <v>0</v>
      </c>
      <c r="L27" s="37">
        <f>'Round 1 Data'!L27*'Round 1 Points'!R$2</f>
        <v>7</v>
      </c>
      <c r="M27" s="37">
        <f>'Round 1 Data'!M27*'Round 1 Points'!S$2</f>
        <v>0</v>
      </c>
      <c r="N27" s="37">
        <f>'Round 1 Data'!N27*'Round 1 Points'!T$2</f>
        <v>0</v>
      </c>
      <c r="O27" s="37">
        <f>'Round 1 Data'!O27*'Round 1 Points'!U$2</f>
        <v>0</v>
      </c>
      <c r="P27" s="37">
        <f>'Round 1 Data'!P27*'Round 1 Points'!V$2</f>
        <v>0</v>
      </c>
      <c r="Q27" s="37">
        <f>'Round 1 Data'!Q27*'Round 1 Points'!W$2</f>
        <v>0</v>
      </c>
      <c r="R27" s="37">
        <f>'Round 1 Data'!R27*'Round 1 Points'!X$2</f>
        <v>0</v>
      </c>
      <c r="S27" s="37">
        <f>'Round 1 Data'!S27*'Round 1 Points'!Y$2</f>
        <v>0</v>
      </c>
      <c r="T27" s="38">
        <f t="shared" si="0"/>
        <v>7</v>
      </c>
      <c r="U27" s="37">
        <f>'Round 1 Data'!U27*'Round 1 Points'!$Z$2</f>
        <v>0</v>
      </c>
      <c r="V27" s="36">
        <f>IF('Round 1 Data'!D27='Round 1 Points'!$K$1,'Round 1 Points'!$K$2*D27/80,0)</f>
        <v>0</v>
      </c>
      <c r="W27">
        <f t="shared" si="1"/>
        <v>7</v>
      </c>
    </row>
    <row r="28" spans="1:23" x14ac:dyDescent="0.2">
      <c r="A28" s="36" t="s">
        <v>163</v>
      </c>
      <c r="B28" s="36" t="str" cm="1">
        <f t="array" ref="B28:C28">_xlfn.XLOOKUP(A28,'Player List'!$A$2:$A$177,'Player List'!$B$2:$C$177)</f>
        <v>Wales</v>
      </c>
      <c r="C28" s="36" t="str">
        <v>Prop</v>
      </c>
      <c r="D28" s="37">
        <v>40</v>
      </c>
      <c r="F28" s="37">
        <f>'Round 1 Data'!F28*'Round 1 Points'!$L$3</f>
        <v>0</v>
      </c>
      <c r="G28" s="37">
        <f>'Round 1 Data'!G28*'Round 1 Points'!M$2</f>
        <v>21</v>
      </c>
      <c r="H28" s="37">
        <f>'Round 1 Data'!H28*'Round 1 Points'!N$2</f>
        <v>0</v>
      </c>
      <c r="I28" s="37">
        <f>'Round 1 Data'!I28*'Round 1 Points'!O$2</f>
        <v>0</v>
      </c>
      <c r="J28" s="37">
        <f>'Round 1 Data'!J28*'Round 1 Points'!P$2</f>
        <v>0</v>
      </c>
      <c r="K28" s="37">
        <f>'Round 1 Data'!K28*'Round 1 Points'!Q$2</f>
        <v>0</v>
      </c>
      <c r="L28" s="37">
        <f>'Round 1 Data'!L28*'Round 1 Points'!R$2</f>
        <v>0</v>
      </c>
      <c r="M28" s="37">
        <f>'Round 1 Data'!M28*'Round 1 Points'!S$2</f>
        <v>0</v>
      </c>
      <c r="N28" s="37">
        <f>'Round 1 Data'!N28*'Round 1 Points'!T$2</f>
        <v>0</v>
      </c>
      <c r="O28" s="37">
        <f>'Round 1 Data'!O28*'Round 1 Points'!U$2</f>
        <v>0</v>
      </c>
      <c r="P28" s="37">
        <f>'Round 1 Data'!P28*'Round 1 Points'!V$2</f>
        <v>0</v>
      </c>
      <c r="Q28" s="37">
        <f>'Round 1 Data'!Q28*'Round 1 Points'!W$2</f>
        <v>0</v>
      </c>
      <c r="R28" s="37">
        <f>'Round 1 Data'!R28*'Round 1 Points'!X$2</f>
        <v>0</v>
      </c>
      <c r="S28" s="37">
        <f>'Round 1 Data'!S28*'Round 1 Points'!Y$2</f>
        <v>0</v>
      </c>
      <c r="T28" s="38">
        <f t="shared" si="0"/>
        <v>21</v>
      </c>
      <c r="U28" s="37">
        <f>'Round 1 Data'!U28*'Round 1 Points'!$Z$2</f>
        <v>0</v>
      </c>
      <c r="V28" s="36">
        <f>IF('Round 1 Data'!D28='Round 1 Points'!$K$1,'Round 1 Points'!$K$2*D28/80,0)</f>
        <v>0</v>
      </c>
      <c r="W28">
        <f t="shared" si="1"/>
        <v>21</v>
      </c>
    </row>
    <row r="29" spans="1:23" x14ac:dyDescent="0.2">
      <c r="A29" s="36" t="s">
        <v>77</v>
      </c>
      <c r="B29" s="36" t="str" cm="1">
        <f t="array" ref="B29:C29">_xlfn.XLOOKUP(A29,'Player List'!$A$2:$A$177,'Player List'!$B$2:$C$177)</f>
        <v>Wales</v>
      </c>
      <c r="C29" s="36" t="str">
        <v>Prop</v>
      </c>
      <c r="D29" s="37">
        <v>40</v>
      </c>
      <c r="F29" s="37">
        <f>'Round 1 Data'!F29*'Round 1 Points'!$L$3</f>
        <v>0</v>
      </c>
      <c r="G29" s="37">
        <f>'Round 1 Data'!G29*'Round 1 Points'!M$2</f>
        <v>0</v>
      </c>
      <c r="H29" s="37">
        <f>'Round 1 Data'!H29*'Round 1 Points'!N$2</f>
        <v>0</v>
      </c>
      <c r="I29" s="37">
        <f>'Round 1 Data'!I29*'Round 1 Points'!O$2</f>
        <v>1.4000000000000001</v>
      </c>
      <c r="J29" s="37">
        <f>'Round 1 Data'!J29*'Round 1 Points'!P$2</f>
        <v>0</v>
      </c>
      <c r="K29" s="37">
        <f>'Round 1 Data'!K29*'Round 1 Points'!Q$2</f>
        <v>0</v>
      </c>
      <c r="L29" s="37">
        <f>'Round 1 Data'!L29*'Round 1 Points'!R$2</f>
        <v>0</v>
      </c>
      <c r="M29" s="37">
        <f>'Round 1 Data'!M29*'Round 1 Points'!S$2</f>
        <v>0</v>
      </c>
      <c r="N29" s="37">
        <f>'Round 1 Data'!N29*'Round 1 Points'!T$2</f>
        <v>0</v>
      </c>
      <c r="O29" s="37">
        <f>'Round 1 Data'!O29*'Round 1 Points'!U$2</f>
        <v>0</v>
      </c>
      <c r="P29" s="37">
        <f>'Round 1 Data'!P29*'Round 1 Points'!V$2</f>
        <v>0</v>
      </c>
      <c r="Q29" s="37">
        <f>'Round 1 Data'!Q29*'Round 1 Points'!W$2</f>
        <v>0</v>
      </c>
      <c r="R29" s="37">
        <f>'Round 1 Data'!R29*'Round 1 Points'!X$2</f>
        <v>0</v>
      </c>
      <c r="S29" s="37">
        <f>'Round 1 Data'!S29*'Round 1 Points'!Y$2</f>
        <v>0</v>
      </c>
      <c r="T29" s="38">
        <f t="shared" si="0"/>
        <v>1.4000000000000001</v>
      </c>
      <c r="U29" s="37">
        <f>'Round 1 Data'!U29*'Round 1 Points'!$Z$2</f>
        <v>0</v>
      </c>
      <c r="V29" s="36">
        <f>IF('Round 1 Data'!D29='Round 1 Points'!$K$1,'Round 1 Points'!$K$2*D29/80,0)</f>
        <v>0</v>
      </c>
      <c r="W29">
        <f t="shared" si="1"/>
        <v>1.4000000000000001</v>
      </c>
    </row>
    <row r="30" spans="1:23" x14ac:dyDescent="0.2">
      <c r="A30" s="36" t="s">
        <v>164</v>
      </c>
      <c r="B30" s="36" t="str" cm="1">
        <f t="array" ref="B30:C30">_xlfn.XLOOKUP(A30,'Player List'!$A$2:$A$177,'Player List'!$B$2:$C$177)</f>
        <v>Wales</v>
      </c>
      <c r="C30" s="36" t="str">
        <v>Prop</v>
      </c>
      <c r="D30" s="37">
        <v>54</v>
      </c>
      <c r="F30" s="37">
        <f>'Round 1 Data'!F30*'Round 1 Points'!$L$3</f>
        <v>0</v>
      </c>
      <c r="G30" s="37">
        <f>'Round 1 Data'!G30*'Round 1 Points'!M$2</f>
        <v>14</v>
      </c>
      <c r="H30" s="37">
        <f>'Round 1 Data'!H30*'Round 1 Points'!N$2</f>
        <v>0</v>
      </c>
      <c r="I30" s="37">
        <f>'Round 1 Data'!I30*'Round 1 Points'!O$2</f>
        <v>4.2</v>
      </c>
      <c r="J30" s="37">
        <f>'Round 1 Data'!J30*'Round 1 Points'!P$2</f>
        <v>0</v>
      </c>
      <c r="K30" s="37">
        <f>'Round 1 Data'!K30*'Round 1 Points'!Q$2</f>
        <v>0</v>
      </c>
      <c r="L30" s="37">
        <f>'Round 1 Data'!L30*'Round 1 Points'!R$2</f>
        <v>0</v>
      </c>
      <c r="M30" s="37">
        <f>'Round 1 Data'!M30*'Round 1 Points'!S$2</f>
        <v>0</v>
      </c>
      <c r="N30" s="37">
        <f>'Round 1 Data'!N30*'Round 1 Points'!T$2</f>
        <v>0</v>
      </c>
      <c r="O30" s="37">
        <f>'Round 1 Data'!O30*'Round 1 Points'!U$2</f>
        <v>0</v>
      </c>
      <c r="P30" s="37">
        <f>'Round 1 Data'!P30*'Round 1 Points'!V$2</f>
        <v>0</v>
      </c>
      <c r="Q30" s="37">
        <f>'Round 1 Data'!Q30*'Round 1 Points'!W$2</f>
        <v>0</v>
      </c>
      <c r="R30" s="37">
        <f>'Round 1 Data'!R30*'Round 1 Points'!X$2</f>
        <v>0</v>
      </c>
      <c r="S30" s="37">
        <f>'Round 1 Data'!S30*'Round 1 Points'!Y$2</f>
        <v>0</v>
      </c>
      <c r="T30" s="38">
        <f t="shared" si="0"/>
        <v>18.2</v>
      </c>
      <c r="U30" s="37">
        <f>'Round 1 Data'!U30*'Round 1 Points'!$Z$2</f>
        <v>0</v>
      </c>
      <c r="V30" s="36">
        <f>IF('Round 1 Data'!D30='Round 1 Points'!$K$1,'Round 1 Points'!$K$2*D30/80,0)</f>
        <v>0</v>
      </c>
      <c r="W30">
        <f t="shared" si="1"/>
        <v>18.2</v>
      </c>
    </row>
    <row r="31" spans="1:23" x14ac:dyDescent="0.2">
      <c r="A31" s="36" t="s">
        <v>78</v>
      </c>
      <c r="B31" s="36" t="str" cm="1">
        <f t="array" ref="B31:C31">_xlfn.XLOOKUP(A31,'Player List'!$A$2:$A$177,'Player List'!$B$2:$C$177)</f>
        <v>Wales</v>
      </c>
      <c r="C31" s="36" t="str">
        <v>Hooker</v>
      </c>
      <c r="D31" s="37">
        <v>19</v>
      </c>
      <c r="F31" s="37">
        <f>'Round 1 Data'!F31*'Round 1 Points'!$L$3</f>
        <v>0</v>
      </c>
      <c r="G31" s="37">
        <f>'Round 1 Data'!G31*'Round 1 Points'!M$2</f>
        <v>0</v>
      </c>
      <c r="H31" s="37">
        <f>'Round 1 Data'!H31*'Round 1 Points'!N$2</f>
        <v>0</v>
      </c>
      <c r="I31" s="37">
        <f>'Round 1 Data'!I31*'Round 1 Points'!O$2</f>
        <v>3.8000000000000003</v>
      </c>
      <c r="J31" s="37">
        <f>'Round 1 Data'!J31*'Round 1 Points'!P$2</f>
        <v>0</v>
      </c>
      <c r="K31" s="37">
        <f>'Round 1 Data'!K31*'Round 1 Points'!Q$2</f>
        <v>0</v>
      </c>
      <c r="L31" s="37">
        <f>'Round 1 Data'!L31*'Round 1 Points'!R$2</f>
        <v>0</v>
      </c>
      <c r="M31" s="37">
        <f>'Round 1 Data'!M31*'Round 1 Points'!S$2</f>
        <v>0</v>
      </c>
      <c r="N31" s="37">
        <f>'Round 1 Data'!N31*'Round 1 Points'!T$2</f>
        <v>0</v>
      </c>
      <c r="O31" s="37">
        <f>'Round 1 Data'!O31*'Round 1 Points'!U$2</f>
        <v>0</v>
      </c>
      <c r="P31" s="37">
        <f>'Round 1 Data'!P31*'Round 1 Points'!V$2</f>
        <v>0</v>
      </c>
      <c r="Q31" s="37">
        <f>'Round 1 Data'!Q31*'Round 1 Points'!W$2</f>
        <v>0</v>
      </c>
      <c r="R31" s="37">
        <f>'Round 1 Data'!R31*'Round 1 Points'!X$2</f>
        <v>0</v>
      </c>
      <c r="S31" s="37">
        <f>'Round 1 Data'!S31*'Round 1 Points'!Y$2</f>
        <v>0</v>
      </c>
      <c r="T31" s="38">
        <f t="shared" si="0"/>
        <v>3.8000000000000003</v>
      </c>
      <c r="U31" s="37">
        <f>'Round 1 Data'!U31*'Round 1 Points'!$Z$2</f>
        <v>0</v>
      </c>
      <c r="V31" s="36">
        <f>IF('Round 1 Data'!D31='Round 1 Points'!$K$1,'Round 1 Points'!$K$2*D31/80,0)</f>
        <v>0</v>
      </c>
      <c r="W31">
        <f t="shared" si="1"/>
        <v>3.8000000000000003</v>
      </c>
    </row>
    <row r="32" spans="1:23" x14ac:dyDescent="0.2">
      <c r="A32" s="36" t="s">
        <v>79</v>
      </c>
      <c r="B32" s="36" t="str" cm="1">
        <f t="array" ref="B32:C32">_xlfn.XLOOKUP(A32,'Player List'!$A$2:$A$177,'Player List'!$B$2:$C$177)</f>
        <v>Wales</v>
      </c>
      <c r="C32" s="36" t="str">
        <v>Hooker</v>
      </c>
      <c r="D32" s="37">
        <v>61</v>
      </c>
      <c r="F32" s="37">
        <f>'Round 1 Data'!F32*'Round 1 Points'!$L$3</f>
        <v>0</v>
      </c>
      <c r="G32" s="37">
        <f>'Round 1 Data'!G32*'Round 1 Points'!M$2</f>
        <v>21</v>
      </c>
      <c r="H32" s="37">
        <f>'Round 1 Data'!H32*'Round 1 Points'!N$2</f>
        <v>0</v>
      </c>
      <c r="I32" s="37">
        <f>'Round 1 Data'!I32*'Round 1 Points'!O$2</f>
        <v>7.6000000000000005</v>
      </c>
      <c r="J32" s="37">
        <f>'Round 1 Data'!J32*'Round 1 Points'!P$2</f>
        <v>0</v>
      </c>
      <c r="K32" s="37">
        <f>'Round 1 Data'!K32*'Round 1 Points'!Q$2</f>
        <v>0</v>
      </c>
      <c r="L32" s="37">
        <f>'Round 1 Data'!L32*'Round 1 Points'!R$2</f>
        <v>0</v>
      </c>
      <c r="M32" s="37">
        <f>'Round 1 Data'!M32*'Round 1 Points'!S$2</f>
        <v>0</v>
      </c>
      <c r="N32" s="37">
        <f>'Round 1 Data'!N32*'Round 1 Points'!T$2</f>
        <v>0</v>
      </c>
      <c r="O32" s="37">
        <f>'Round 1 Data'!O32*'Round 1 Points'!U$2</f>
        <v>0</v>
      </c>
      <c r="P32" s="37">
        <f>'Round 1 Data'!P32*'Round 1 Points'!V$2</f>
        <v>0</v>
      </c>
      <c r="Q32" s="37">
        <f>'Round 1 Data'!Q32*'Round 1 Points'!W$2</f>
        <v>0</v>
      </c>
      <c r="R32" s="37">
        <f>'Round 1 Data'!R32*'Round 1 Points'!X$2</f>
        <v>0</v>
      </c>
      <c r="S32" s="37">
        <f>'Round 1 Data'!S32*'Round 1 Points'!Y$2</f>
        <v>0</v>
      </c>
      <c r="T32" s="38">
        <f t="shared" si="0"/>
        <v>28.6</v>
      </c>
      <c r="U32" s="37">
        <f>'Round 1 Data'!U32*'Round 1 Points'!$Z$2</f>
        <v>0</v>
      </c>
      <c r="V32" s="36">
        <f>IF('Round 1 Data'!D32='Round 1 Points'!$K$1,'Round 1 Points'!$K$2*D32/80,0)</f>
        <v>0</v>
      </c>
      <c r="W32">
        <f t="shared" si="1"/>
        <v>28.6</v>
      </c>
    </row>
    <row r="33" spans="1:23" x14ac:dyDescent="0.2">
      <c r="A33" s="36" t="s">
        <v>126</v>
      </c>
      <c r="B33" s="36" t="str" cm="1">
        <f t="array" ref="B33:C33">_xlfn.XLOOKUP(A33,'Player List'!$A$2:$A$177,'Player List'!$B$2:$C$177)</f>
        <v>Ireland</v>
      </c>
      <c r="C33" s="36" t="str">
        <v>Back Three</v>
      </c>
      <c r="D33" s="37">
        <v>80</v>
      </c>
      <c r="F33" s="37">
        <f>'Round 1 Data'!F33*'Round 1 Points'!$L$3</f>
        <v>0</v>
      </c>
      <c r="G33" s="37">
        <f>'Round 1 Data'!G33*'Round 1 Points'!M$2</f>
        <v>14</v>
      </c>
      <c r="H33" s="37">
        <f>'Round 1 Data'!H33*'Round 1 Points'!N$2</f>
        <v>7</v>
      </c>
      <c r="I33" s="37">
        <f>'Round 1 Data'!I33*'Round 1 Points'!O$2</f>
        <v>6.8000000000000007</v>
      </c>
      <c r="J33" s="37">
        <f>'Round 1 Data'!J33*'Round 1 Points'!P$2</f>
        <v>0</v>
      </c>
      <c r="K33" s="37">
        <f>'Round 1 Data'!K33*'Round 1 Points'!Q$2</f>
        <v>0</v>
      </c>
      <c r="L33" s="37">
        <f>'Round 1 Data'!L33*'Round 1 Points'!R$2</f>
        <v>0</v>
      </c>
      <c r="M33" s="37">
        <f>'Round 1 Data'!M33*'Round 1 Points'!S$2</f>
        <v>0</v>
      </c>
      <c r="N33" s="37">
        <f>'Round 1 Data'!N33*'Round 1 Points'!T$2</f>
        <v>0</v>
      </c>
      <c r="O33" s="37">
        <f>'Round 1 Data'!O33*'Round 1 Points'!U$2</f>
        <v>0</v>
      </c>
      <c r="P33" s="37">
        <f>'Round 1 Data'!P33*'Round 1 Points'!V$2</f>
        <v>0</v>
      </c>
      <c r="Q33" s="37">
        <f>'Round 1 Data'!Q33*'Round 1 Points'!W$2</f>
        <v>0</v>
      </c>
      <c r="R33" s="37">
        <f>'Round 1 Data'!R33*'Round 1 Points'!X$2</f>
        <v>0</v>
      </c>
      <c r="S33" s="37">
        <f>'Round 1 Data'!S33*'Round 1 Points'!Y$2</f>
        <v>0</v>
      </c>
      <c r="T33" s="38">
        <f t="shared" si="0"/>
        <v>27.8</v>
      </c>
      <c r="U33" s="37">
        <f>'Round 1 Data'!U33*'Round 1 Points'!$Z$2</f>
        <v>0</v>
      </c>
      <c r="V33" s="36">
        <f>IF('Round 1 Data'!D33='Round 1 Points'!$K$1,'Round 1 Points'!$K$2*D33/80,0)</f>
        <v>8</v>
      </c>
      <c r="W33">
        <f t="shared" si="1"/>
        <v>35.799999999999997</v>
      </c>
    </row>
    <row r="34" spans="1:23" x14ac:dyDescent="0.2">
      <c r="A34" s="36" t="s">
        <v>127</v>
      </c>
      <c r="B34" s="36" t="str" cm="1">
        <f t="array" ref="B34:C34">_xlfn.XLOOKUP(A34,'Player List'!$A$2:$A$177,'Player List'!$B$2:$C$177)</f>
        <v>Ireland</v>
      </c>
      <c r="C34" s="36" t="str">
        <v>Back Three</v>
      </c>
      <c r="D34" s="37">
        <v>80</v>
      </c>
      <c r="F34" s="37">
        <v>0</v>
      </c>
      <c r="G34" s="37">
        <f>'Round 1 Data'!G34*'Round 1 Points'!M$2</f>
        <v>0</v>
      </c>
      <c r="H34" s="37">
        <f>'Round 1 Data'!H34*'Round 1 Points'!N$2</f>
        <v>0</v>
      </c>
      <c r="I34" s="37">
        <f>'Round 1 Data'!I34*'Round 1 Points'!O$2</f>
        <v>17.2</v>
      </c>
      <c r="J34" s="37">
        <f>'Round 1 Data'!J34*'Round 1 Points'!P$2</f>
        <v>0</v>
      </c>
      <c r="K34" s="37">
        <f>'Round 1 Data'!K34*'Round 1 Points'!Q$2</f>
        <v>0</v>
      </c>
      <c r="L34" s="37">
        <f>'Round 1 Data'!L34*'Round 1 Points'!R$2</f>
        <v>0</v>
      </c>
      <c r="M34" s="37">
        <f>'Round 1 Data'!M34*'Round 1 Points'!S$2</f>
        <v>0</v>
      </c>
      <c r="N34" s="37">
        <f>'Round 1 Data'!N34*'Round 1 Points'!T$2</f>
        <v>0</v>
      </c>
      <c r="O34" s="37">
        <f>'Round 1 Data'!O34*'Round 1 Points'!U$2</f>
        <v>0</v>
      </c>
      <c r="P34" s="37">
        <f>'Round 1 Data'!P34*'Round 1 Points'!V$2</f>
        <v>0</v>
      </c>
      <c r="Q34" s="37">
        <f>'Round 1 Data'!Q34*'Round 1 Points'!W$2</f>
        <v>0</v>
      </c>
      <c r="R34" s="37">
        <f>'Round 1 Data'!R34*'Round 1 Points'!X$2</f>
        <v>0</v>
      </c>
      <c r="S34" s="37">
        <f>'Round 1 Data'!S34*'Round 1 Points'!Y$2</f>
        <v>0</v>
      </c>
      <c r="T34" s="38">
        <f t="shared" si="0"/>
        <v>17.2</v>
      </c>
      <c r="U34" s="37">
        <f>'Round 1 Data'!U34*'Round 1 Points'!$Z$2</f>
        <v>15</v>
      </c>
      <c r="V34" s="36">
        <f>IF('Round 1 Data'!D34='Round 1 Points'!$K$1,'Round 1 Points'!$K$2*D34/80,0)</f>
        <v>8</v>
      </c>
      <c r="W34">
        <f t="shared" si="1"/>
        <v>40.200000000000003</v>
      </c>
    </row>
    <row r="35" spans="1:23" x14ac:dyDescent="0.2">
      <c r="A35" s="36" t="s">
        <v>128</v>
      </c>
      <c r="B35" s="36" t="str" cm="1">
        <f t="array" ref="B35:C35">_xlfn.XLOOKUP(A35,'Player List'!$A$2:$A$177,'Player List'!$B$2:$C$177)</f>
        <v>Ireland</v>
      </c>
      <c r="C35" s="36" t="str">
        <v>Back Three</v>
      </c>
      <c r="D35" s="37">
        <v>80</v>
      </c>
      <c r="F35" s="37">
        <v>4</v>
      </c>
      <c r="G35" s="37">
        <f>'Round 1 Data'!G35*'Round 1 Points'!M$2</f>
        <v>0</v>
      </c>
      <c r="H35" s="37">
        <f>'Round 1 Data'!H35*'Round 1 Points'!N$2</f>
        <v>7</v>
      </c>
      <c r="I35" s="37">
        <f>'Round 1 Data'!I35*'Round 1 Points'!O$2</f>
        <v>22.400000000000002</v>
      </c>
      <c r="J35" s="37">
        <f>'Round 1 Data'!J35*'Round 1 Points'!P$2</f>
        <v>0</v>
      </c>
      <c r="K35" s="37">
        <f>'Round 1 Data'!K35*'Round 1 Points'!Q$2</f>
        <v>0</v>
      </c>
      <c r="L35" s="37">
        <f>'Round 1 Data'!L35*'Round 1 Points'!R$2</f>
        <v>7</v>
      </c>
      <c r="M35" s="37">
        <f>'Round 1 Data'!M35*'Round 1 Points'!S$2</f>
        <v>15</v>
      </c>
      <c r="N35" s="37">
        <f>'Round 1 Data'!N35*'Round 1 Points'!T$2</f>
        <v>0</v>
      </c>
      <c r="O35" s="37">
        <f>'Round 1 Data'!O35*'Round 1 Points'!U$2</f>
        <v>0</v>
      </c>
      <c r="P35" s="37">
        <f>'Round 1 Data'!P35*'Round 1 Points'!V$2</f>
        <v>0</v>
      </c>
      <c r="Q35" s="37">
        <f>'Round 1 Data'!Q35*'Round 1 Points'!W$2</f>
        <v>0</v>
      </c>
      <c r="R35" s="37">
        <f>'Round 1 Data'!R35*'Round 1 Points'!X$2</f>
        <v>0</v>
      </c>
      <c r="S35" s="37">
        <f>'Round 1 Data'!S35*'Round 1 Points'!Y$2</f>
        <v>0</v>
      </c>
      <c r="T35" s="38">
        <f t="shared" si="0"/>
        <v>55.400000000000006</v>
      </c>
      <c r="U35" s="37">
        <f>'Round 1 Data'!U35*'Round 1 Points'!$Z$2</f>
        <v>0</v>
      </c>
      <c r="V35" s="36">
        <f>IF('Round 1 Data'!D35='Round 1 Points'!$K$1,'Round 1 Points'!$K$2*D35/80,0)</f>
        <v>8</v>
      </c>
      <c r="W35">
        <f t="shared" si="1"/>
        <v>63.400000000000006</v>
      </c>
    </row>
    <row r="36" spans="1:23" x14ac:dyDescent="0.2">
      <c r="A36" s="36" t="s">
        <v>129</v>
      </c>
      <c r="B36" s="36" t="str" cm="1">
        <f t="array" ref="B36:C36">_xlfn.XLOOKUP(A36,'Player List'!$A$2:$A$177,'Player List'!$B$2:$C$177)</f>
        <v>Ireland</v>
      </c>
      <c r="C36" s="36" t="str">
        <v>Centre</v>
      </c>
      <c r="D36" s="37">
        <v>20</v>
      </c>
      <c r="F36" s="37">
        <v>2</v>
      </c>
      <c r="G36" s="37">
        <f>'Round 1 Data'!G36*'Round 1 Points'!M$2</f>
        <v>0</v>
      </c>
      <c r="H36" s="37">
        <f>'Round 1 Data'!H36*'Round 1 Points'!N$2</f>
        <v>0</v>
      </c>
      <c r="I36" s="37">
        <f>'Round 1 Data'!I36*'Round 1 Points'!O$2</f>
        <v>2.6</v>
      </c>
      <c r="J36" s="37">
        <f>'Round 1 Data'!J36*'Round 1 Points'!P$2</f>
        <v>0</v>
      </c>
      <c r="K36" s="37">
        <f>'Round 1 Data'!K36*'Round 1 Points'!Q$2</f>
        <v>0</v>
      </c>
      <c r="L36" s="37">
        <f>'Round 1 Data'!L36*'Round 1 Points'!R$2</f>
        <v>7</v>
      </c>
      <c r="M36" s="37">
        <f>'Round 1 Data'!M36*'Round 1 Points'!S$2</f>
        <v>0</v>
      </c>
      <c r="N36" s="37">
        <f>'Round 1 Data'!N36*'Round 1 Points'!T$2</f>
        <v>0</v>
      </c>
      <c r="O36" s="37">
        <f>'Round 1 Data'!O36*'Round 1 Points'!U$2</f>
        <v>0</v>
      </c>
      <c r="P36" s="37">
        <f>'Round 1 Data'!P36*'Round 1 Points'!V$2</f>
        <v>0</v>
      </c>
      <c r="Q36" s="37">
        <f>'Round 1 Data'!Q36*'Round 1 Points'!W$2</f>
        <v>0</v>
      </c>
      <c r="R36" s="37">
        <f>'Round 1 Data'!R36*'Round 1 Points'!X$2</f>
        <v>0</v>
      </c>
      <c r="S36" s="37">
        <f>'Round 1 Data'!S36*'Round 1 Points'!Y$2</f>
        <v>0</v>
      </c>
      <c r="T36" s="38">
        <f t="shared" si="0"/>
        <v>11.6</v>
      </c>
      <c r="U36" s="37">
        <f>'Round 1 Data'!U36*'Round 1 Points'!$Z$2</f>
        <v>0</v>
      </c>
      <c r="V36" s="36">
        <f>IF('Round 1 Data'!D36='Round 1 Points'!$K$1,'Round 1 Points'!$K$2*D36/80,0)</f>
        <v>2</v>
      </c>
      <c r="W36">
        <f t="shared" si="1"/>
        <v>13.6</v>
      </c>
    </row>
    <row r="37" spans="1:23" x14ac:dyDescent="0.2">
      <c r="A37" s="36" t="s">
        <v>130</v>
      </c>
      <c r="B37" s="36" t="str" cm="1">
        <f t="array" ref="B37:C37">_xlfn.XLOOKUP(A37,'Player List'!$A$2:$A$177,'Player List'!$B$2:$C$177)</f>
        <v>Ireland</v>
      </c>
      <c r="C37" s="36" t="str">
        <v>Centre</v>
      </c>
      <c r="D37" s="37">
        <v>60</v>
      </c>
      <c r="F37" s="37">
        <v>7</v>
      </c>
      <c r="G37" s="37">
        <f>'Round 1 Data'!G37*'Round 1 Points'!M$2</f>
        <v>0</v>
      </c>
      <c r="H37" s="37">
        <f>'Round 1 Data'!H37*'Round 1 Points'!N$2</f>
        <v>0</v>
      </c>
      <c r="I37" s="37">
        <f>'Round 1 Data'!I37*'Round 1 Points'!O$2</f>
        <v>13.200000000000001</v>
      </c>
      <c r="J37" s="37">
        <f>'Round 1 Data'!J37*'Round 1 Points'!P$2</f>
        <v>0</v>
      </c>
      <c r="K37" s="37">
        <f>'Round 1 Data'!K37*'Round 1 Points'!Q$2</f>
        <v>0</v>
      </c>
      <c r="L37" s="37">
        <f>'Round 1 Data'!L37*'Round 1 Points'!R$2</f>
        <v>0</v>
      </c>
      <c r="M37" s="37">
        <f>'Round 1 Data'!M37*'Round 1 Points'!S$2</f>
        <v>0</v>
      </c>
      <c r="N37" s="37">
        <f>'Round 1 Data'!N37*'Round 1 Points'!T$2</f>
        <v>0</v>
      </c>
      <c r="O37" s="37">
        <f>'Round 1 Data'!O37*'Round 1 Points'!U$2</f>
        <v>0</v>
      </c>
      <c r="P37" s="37">
        <f>'Round 1 Data'!P37*'Round 1 Points'!V$2</f>
        <v>0</v>
      </c>
      <c r="Q37" s="37">
        <f>'Round 1 Data'!Q37*'Round 1 Points'!W$2</f>
        <v>0</v>
      </c>
      <c r="R37" s="37">
        <f>'Round 1 Data'!R37*'Round 1 Points'!X$2</f>
        <v>0</v>
      </c>
      <c r="S37" s="37">
        <f>'Round 1 Data'!S37*'Round 1 Points'!Y$2</f>
        <v>0</v>
      </c>
      <c r="T37" s="38">
        <f t="shared" si="0"/>
        <v>20.200000000000003</v>
      </c>
      <c r="U37" s="37">
        <f>'Round 1 Data'!U37*'Round 1 Points'!$Z$2</f>
        <v>0</v>
      </c>
      <c r="V37" s="36">
        <f>IF('Round 1 Data'!D37='Round 1 Points'!$K$1,'Round 1 Points'!$K$2*D37/80,0)</f>
        <v>6</v>
      </c>
      <c r="W37">
        <f t="shared" si="1"/>
        <v>26.200000000000003</v>
      </c>
    </row>
    <row r="38" spans="1:23" x14ac:dyDescent="0.2">
      <c r="A38" s="36" t="s">
        <v>131</v>
      </c>
      <c r="B38" s="36" t="str" cm="1">
        <f t="array" ref="B38:C38">_xlfn.XLOOKUP(A38,'Player List'!$A$2:$A$177,'Player List'!$B$2:$C$177)</f>
        <v>Ireland</v>
      </c>
      <c r="C38" s="36" t="str">
        <v>Centre</v>
      </c>
      <c r="D38" s="37">
        <v>80</v>
      </c>
      <c r="F38" s="37">
        <v>10</v>
      </c>
      <c r="G38" s="37">
        <f>'Round 1 Data'!G38*'Round 1 Points'!M$2</f>
        <v>0</v>
      </c>
      <c r="H38" s="37">
        <f>'Round 1 Data'!H38*'Round 1 Points'!N$2</f>
        <v>0</v>
      </c>
      <c r="I38" s="37">
        <f>'Round 1 Data'!I38*'Round 1 Points'!O$2</f>
        <v>9.8000000000000007</v>
      </c>
      <c r="J38" s="37">
        <f>'Round 1 Data'!J38*'Round 1 Points'!P$2</f>
        <v>0</v>
      </c>
      <c r="K38" s="37">
        <f>'Round 1 Data'!K38*'Round 1 Points'!Q$2</f>
        <v>0</v>
      </c>
      <c r="L38" s="37">
        <f>'Round 1 Data'!L38*'Round 1 Points'!R$2</f>
        <v>0</v>
      </c>
      <c r="M38" s="37">
        <f>'Round 1 Data'!M38*'Round 1 Points'!S$2</f>
        <v>0</v>
      </c>
      <c r="N38" s="37">
        <f>'Round 1 Data'!N38*'Round 1 Points'!T$2</f>
        <v>0</v>
      </c>
      <c r="O38" s="37">
        <f>'Round 1 Data'!O38*'Round 1 Points'!U$2</f>
        <v>0</v>
      </c>
      <c r="P38" s="37">
        <f>'Round 1 Data'!P38*'Round 1 Points'!V$2</f>
        <v>0</v>
      </c>
      <c r="Q38" s="37">
        <f>'Round 1 Data'!Q38*'Round 1 Points'!W$2</f>
        <v>0</v>
      </c>
      <c r="R38" s="37">
        <f>'Round 1 Data'!R38*'Round 1 Points'!X$2</f>
        <v>0</v>
      </c>
      <c r="S38" s="37">
        <f>'Round 1 Data'!S38*'Round 1 Points'!Y$2</f>
        <v>0</v>
      </c>
      <c r="T38" s="38">
        <f t="shared" si="0"/>
        <v>19.8</v>
      </c>
      <c r="U38" s="37">
        <f>'Round 1 Data'!U38*'Round 1 Points'!$Z$2</f>
        <v>0</v>
      </c>
      <c r="V38" s="36">
        <f>IF('Round 1 Data'!D38='Round 1 Points'!$K$1,'Round 1 Points'!$K$2*D38/80,0)</f>
        <v>8</v>
      </c>
      <c r="W38">
        <f t="shared" si="1"/>
        <v>27.8</v>
      </c>
    </row>
    <row r="39" spans="1:23" x14ac:dyDescent="0.2">
      <c r="A39" s="36" t="s">
        <v>132</v>
      </c>
      <c r="B39" s="36" t="str" cm="1">
        <f t="array" ref="B39:C39">_xlfn.XLOOKUP(A39,'Player List'!$A$2:$A$177,'Player List'!$B$2:$C$177)</f>
        <v>Ireland</v>
      </c>
      <c r="C39" s="36" t="str">
        <v>Fly Half</v>
      </c>
      <c r="D39" s="37">
        <v>12</v>
      </c>
      <c r="F39" s="37"/>
      <c r="G39" s="37">
        <f>'Round 1 Data'!G39*'Round 1 Points'!M$2</f>
        <v>0</v>
      </c>
      <c r="H39" s="37">
        <f>'Round 1 Data'!H39*'Round 1 Points'!N$2</f>
        <v>0</v>
      </c>
      <c r="I39" s="37">
        <f>'Round 1 Data'!I39*'Round 1 Points'!O$2</f>
        <v>2.2000000000000002</v>
      </c>
      <c r="J39" s="37">
        <f>'Round 1 Data'!J39*'Round 1 Points'!P$2</f>
        <v>0</v>
      </c>
      <c r="K39" s="37">
        <f>'Round 1 Data'!K39*'Round 1 Points'!Q$2</f>
        <v>0</v>
      </c>
      <c r="L39" s="37">
        <f>'Round 1 Data'!L39*'Round 1 Points'!R$2</f>
        <v>0</v>
      </c>
      <c r="M39" s="37">
        <f>'Round 1 Data'!M39*'Round 1 Points'!S$2</f>
        <v>0</v>
      </c>
      <c r="N39" s="37">
        <f>'Round 1 Data'!N39*'Round 1 Points'!T$2</f>
        <v>0</v>
      </c>
      <c r="O39" s="37">
        <f>'Round 1 Data'!O39*'Round 1 Points'!U$2</f>
        <v>2</v>
      </c>
      <c r="P39" s="37">
        <f>'Round 1 Data'!P39*'Round 1 Points'!V$2</f>
        <v>0</v>
      </c>
      <c r="Q39" s="37">
        <f>'Round 1 Data'!Q39*'Round 1 Points'!W$2</f>
        <v>0</v>
      </c>
      <c r="R39" s="37">
        <f>'Round 1 Data'!R39*'Round 1 Points'!X$2</f>
        <v>0</v>
      </c>
      <c r="S39" s="37">
        <f>'Round 1 Data'!S39*'Round 1 Points'!Y$2</f>
        <v>0</v>
      </c>
      <c r="T39" s="38">
        <f t="shared" si="0"/>
        <v>4.2</v>
      </c>
      <c r="U39" s="37">
        <f>'Round 1 Data'!U39*'Round 1 Points'!$Z$2</f>
        <v>0</v>
      </c>
      <c r="V39" s="36">
        <f>IF('Round 1 Data'!D39='Round 1 Points'!$K$1,'Round 1 Points'!$K$2*D39/80,0)</f>
        <v>1.2</v>
      </c>
      <c r="W39">
        <f t="shared" si="1"/>
        <v>5.4</v>
      </c>
    </row>
    <row r="40" spans="1:23" x14ac:dyDescent="0.2">
      <c r="A40" s="36" t="s">
        <v>133</v>
      </c>
      <c r="B40" s="36" t="str" cm="1">
        <f t="array" ref="B40:C40">_xlfn.XLOOKUP(A40,'Player List'!$A$2:$A$177,'Player List'!$B$2:$C$177)</f>
        <v>Ireland</v>
      </c>
      <c r="C40" s="36" t="str">
        <v>Fly Half</v>
      </c>
      <c r="D40" s="37">
        <v>68</v>
      </c>
      <c r="F40" s="37">
        <v>7</v>
      </c>
      <c r="G40" s="37">
        <f>'Round 1 Data'!G40*'Round 1 Points'!M$2</f>
        <v>0</v>
      </c>
      <c r="H40" s="37">
        <f>'Round 1 Data'!H40*'Round 1 Points'!N$2</f>
        <v>0</v>
      </c>
      <c r="I40" s="37">
        <f>'Round 1 Data'!I40*'Round 1 Points'!O$2</f>
        <v>6</v>
      </c>
      <c r="J40" s="37">
        <f>'Round 1 Data'!J40*'Round 1 Points'!P$2</f>
        <v>0</v>
      </c>
      <c r="K40" s="37">
        <f>'Round 1 Data'!K40*'Round 1 Points'!Q$2</f>
        <v>0</v>
      </c>
      <c r="L40" s="37">
        <f>'Round 1 Data'!L40*'Round 1 Points'!R$2</f>
        <v>7</v>
      </c>
      <c r="M40" s="37">
        <f>'Round 1 Data'!M40*'Round 1 Points'!S$2</f>
        <v>0</v>
      </c>
      <c r="N40" s="37">
        <f>'Round 1 Data'!N40*'Round 1 Points'!T$2</f>
        <v>0</v>
      </c>
      <c r="O40" s="37">
        <f>'Round 1 Data'!O40*'Round 1 Points'!U$2</f>
        <v>6</v>
      </c>
      <c r="P40" s="37">
        <f>'Round 1 Data'!P40*'Round 1 Points'!V$2</f>
        <v>10</v>
      </c>
      <c r="Q40" s="37">
        <f>'Round 1 Data'!Q40*'Round 1 Points'!W$2</f>
        <v>0</v>
      </c>
      <c r="R40" s="37">
        <f>'Round 1 Data'!R40*'Round 1 Points'!X$2</f>
        <v>0</v>
      </c>
      <c r="S40" s="37">
        <f>'Round 1 Data'!S40*'Round 1 Points'!Y$2</f>
        <v>0</v>
      </c>
      <c r="T40" s="38">
        <f t="shared" si="0"/>
        <v>36</v>
      </c>
      <c r="U40" s="37">
        <f>'Round 1 Data'!U40*'Round 1 Points'!$Z$2</f>
        <v>0</v>
      </c>
      <c r="V40" s="36">
        <f>IF('Round 1 Data'!D40='Round 1 Points'!$K$1,'Round 1 Points'!$K$2*D40/80,0)</f>
        <v>6.8</v>
      </c>
      <c r="W40">
        <f t="shared" si="1"/>
        <v>42.8</v>
      </c>
    </row>
    <row r="41" spans="1:23" x14ac:dyDescent="0.2">
      <c r="A41" s="36" t="s">
        <v>134</v>
      </c>
      <c r="B41" s="36" t="str" cm="1">
        <f t="array" ref="B41:C41">_xlfn.XLOOKUP(A41,'Player List'!$A$2:$A$177,'Player List'!$B$2:$C$177)</f>
        <v>Ireland</v>
      </c>
      <c r="C41" s="36" t="str">
        <v>Scrum Half</v>
      </c>
      <c r="D41" s="37">
        <v>16</v>
      </c>
      <c r="F41" s="37">
        <v>1</v>
      </c>
      <c r="G41" s="37">
        <f>'Round 1 Data'!G41*'Round 1 Points'!M$2</f>
        <v>0</v>
      </c>
      <c r="H41" s="37">
        <f>'Round 1 Data'!H41*'Round 1 Points'!N$2</f>
        <v>0</v>
      </c>
      <c r="I41" s="37">
        <f>'Round 1 Data'!I41*'Round 1 Points'!O$2</f>
        <v>0.2</v>
      </c>
      <c r="J41" s="37">
        <f>'Round 1 Data'!J41*'Round 1 Points'!P$2</f>
        <v>0</v>
      </c>
      <c r="K41" s="37">
        <f>'Round 1 Data'!K41*'Round 1 Points'!Q$2</f>
        <v>0</v>
      </c>
      <c r="L41" s="37">
        <f>'Round 1 Data'!L41*'Round 1 Points'!R$2</f>
        <v>0</v>
      </c>
      <c r="M41" s="37">
        <f>'Round 1 Data'!M41*'Round 1 Points'!S$2</f>
        <v>0</v>
      </c>
      <c r="N41" s="37">
        <f>'Round 1 Data'!N41*'Round 1 Points'!T$2</f>
        <v>7</v>
      </c>
      <c r="O41" s="37">
        <f>'Round 1 Data'!O41*'Round 1 Points'!U$2</f>
        <v>0</v>
      </c>
      <c r="P41" s="37">
        <f>'Round 1 Data'!P41*'Round 1 Points'!V$2</f>
        <v>0</v>
      </c>
      <c r="Q41" s="37">
        <f>'Round 1 Data'!Q41*'Round 1 Points'!W$2</f>
        <v>0</v>
      </c>
      <c r="R41" s="37">
        <f>'Round 1 Data'!R41*'Round 1 Points'!X$2</f>
        <v>0</v>
      </c>
      <c r="S41" s="37">
        <f>'Round 1 Data'!S41*'Round 1 Points'!Y$2</f>
        <v>0</v>
      </c>
      <c r="T41" s="38">
        <f t="shared" si="0"/>
        <v>8.1999999999999993</v>
      </c>
      <c r="U41" s="37">
        <f>'Round 1 Data'!U41*'Round 1 Points'!$Z$2</f>
        <v>0</v>
      </c>
      <c r="V41" s="36">
        <f>IF('Round 1 Data'!D41='Round 1 Points'!$K$1,'Round 1 Points'!$K$2*D41/80,0)</f>
        <v>1.6</v>
      </c>
      <c r="W41">
        <f t="shared" si="1"/>
        <v>9.7999999999999989</v>
      </c>
    </row>
    <row r="42" spans="1:23" x14ac:dyDescent="0.2">
      <c r="A42" s="36" t="s">
        <v>135</v>
      </c>
      <c r="B42" s="36" t="str" cm="1">
        <f t="array" ref="B42:C42">_xlfn.XLOOKUP(A42,'Player List'!$A$2:$A$177,'Player List'!$B$2:$C$177)</f>
        <v>Ireland</v>
      </c>
      <c r="C42" s="36" t="str">
        <v>Scrum Half</v>
      </c>
      <c r="D42" s="37">
        <v>64</v>
      </c>
      <c r="F42" s="37">
        <v>1</v>
      </c>
      <c r="G42" s="37">
        <f>'Round 1 Data'!G42*'Round 1 Points'!M$2</f>
        <v>7</v>
      </c>
      <c r="H42" s="37">
        <f>'Round 1 Data'!H42*'Round 1 Points'!N$2</f>
        <v>7</v>
      </c>
      <c r="I42" s="37">
        <f>'Round 1 Data'!I42*'Round 1 Points'!O$2</f>
        <v>2.4000000000000004</v>
      </c>
      <c r="J42" s="37">
        <f>'Round 1 Data'!J42*'Round 1 Points'!P$2</f>
        <v>0</v>
      </c>
      <c r="K42" s="37">
        <f>'Round 1 Data'!K42*'Round 1 Points'!Q$2</f>
        <v>0</v>
      </c>
      <c r="L42" s="37">
        <f>'Round 1 Data'!L42*'Round 1 Points'!R$2</f>
        <v>0</v>
      </c>
      <c r="M42" s="37">
        <f>'Round 1 Data'!M42*'Round 1 Points'!S$2</f>
        <v>0</v>
      </c>
      <c r="N42" s="37">
        <f>'Round 1 Data'!N42*'Round 1 Points'!T$2</f>
        <v>7</v>
      </c>
      <c r="O42" s="37">
        <f>'Round 1 Data'!O42*'Round 1 Points'!U$2</f>
        <v>0</v>
      </c>
      <c r="P42" s="37">
        <f>'Round 1 Data'!P42*'Round 1 Points'!V$2</f>
        <v>0</v>
      </c>
      <c r="Q42" s="37">
        <f>'Round 1 Data'!Q42*'Round 1 Points'!W$2</f>
        <v>0</v>
      </c>
      <c r="R42" s="37">
        <f>'Round 1 Data'!R42*'Round 1 Points'!X$2</f>
        <v>0</v>
      </c>
      <c r="S42" s="37">
        <f>'Round 1 Data'!S42*'Round 1 Points'!Y$2</f>
        <v>0</v>
      </c>
      <c r="T42" s="38">
        <f t="shared" si="0"/>
        <v>24.4</v>
      </c>
      <c r="U42" s="37">
        <f>'Round 1 Data'!U42*'Round 1 Points'!$Z$2</f>
        <v>0</v>
      </c>
      <c r="V42" s="36">
        <f>IF('Round 1 Data'!D42='Round 1 Points'!$K$1,'Round 1 Points'!$K$2*D42/80,0)</f>
        <v>6.4</v>
      </c>
      <c r="W42">
        <f t="shared" si="1"/>
        <v>30.799999999999997</v>
      </c>
    </row>
    <row r="43" spans="1:23" x14ac:dyDescent="0.2">
      <c r="A43" s="36" t="s">
        <v>136</v>
      </c>
      <c r="B43" s="36" t="str" cm="1">
        <f t="array" ref="B43:C43">_xlfn.XLOOKUP(A43,'Player List'!$A$2:$A$177,'Player List'!$B$2:$C$177)</f>
        <v>Ireland</v>
      </c>
      <c r="C43" s="36" t="str">
        <v>Back Row</v>
      </c>
      <c r="D43" s="37">
        <v>20</v>
      </c>
      <c r="F43" s="37">
        <v>4</v>
      </c>
      <c r="G43" s="37">
        <f>'Round 1 Data'!G43*'Round 1 Points'!M$2</f>
        <v>0</v>
      </c>
      <c r="H43" s="37">
        <f>'Round 1 Data'!H43*'Round 1 Points'!N$2</f>
        <v>0</v>
      </c>
      <c r="I43" s="37">
        <f>'Round 1 Data'!I43*'Round 1 Points'!O$2</f>
        <v>1.4000000000000001</v>
      </c>
      <c r="J43" s="37">
        <f>'Round 1 Data'!J43*'Round 1 Points'!P$2</f>
        <v>0</v>
      </c>
      <c r="K43" s="37">
        <f>'Round 1 Data'!K43*'Round 1 Points'!Q$2</f>
        <v>0</v>
      </c>
      <c r="L43" s="37">
        <f>'Round 1 Data'!L43*'Round 1 Points'!R$2</f>
        <v>7</v>
      </c>
      <c r="M43" s="37">
        <f>'Round 1 Data'!M43*'Round 1 Points'!S$2</f>
        <v>0</v>
      </c>
      <c r="N43" s="37">
        <f>'Round 1 Data'!N43*'Round 1 Points'!T$2</f>
        <v>0</v>
      </c>
      <c r="O43" s="37">
        <f>'Round 1 Data'!O43*'Round 1 Points'!U$2</f>
        <v>0</v>
      </c>
      <c r="P43" s="37">
        <f>'Round 1 Data'!P43*'Round 1 Points'!V$2</f>
        <v>0</v>
      </c>
      <c r="Q43" s="37">
        <f>'Round 1 Data'!Q43*'Round 1 Points'!W$2</f>
        <v>0</v>
      </c>
      <c r="R43" s="37">
        <f>'Round 1 Data'!R43*'Round 1 Points'!X$2</f>
        <v>0</v>
      </c>
      <c r="S43" s="37">
        <f>'Round 1 Data'!S43*'Round 1 Points'!Y$2</f>
        <v>0</v>
      </c>
      <c r="T43" s="38">
        <f t="shared" si="0"/>
        <v>12.4</v>
      </c>
      <c r="U43" s="37">
        <f>'Round 1 Data'!U43*'Round 1 Points'!$Z$2</f>
        <v>0</v>
      </c>
      <c r="V43" s="36">
        <f>IF('Round 1 Data'!D43='Round 1 Points'!$K$1,'Round 1 Points'!$K$2*D43/80,0)</f>
        <v>2</v>
      </c>
      <c r="W43">
        <f t="shared" si="1"/>
        <v>14.4</v>
      </c>
    </row>
    <row r="44" spans="1:23" x14ac:dyDescent="0.2">
      <c r="A44" s="36" t="s">
        <v>137</v>
      </c>
      <c r="B44" s="36" t="str" cm="1">
        <f t="array" ref="B44:C44">_xlfn.XLOOKUP(A44,'Player List'!$A$2:$A$177,'Player List'!$B$2:$C$177)</f>
        <v>Ireland</v>
      </c>
      <c r="C44" s="36" t="str">
        <v>Back Row</v>
      </c>
      <c r="D44" s="37">
        <v>80</v>
      </c>
      <c r="F44" s="37">
        <v>17</v>
      </c>
      <c r="G44" s="37">
        <f>'Round 1 Data'!G44*'Round 1 Points'!M$2</f>
        <v>7</v>
      </c>
      <c r="H44" s="37">
        <f>'Round 1 Data'!H44*'Round 1 Points'!N$2</f>
        <v>0</v>
      </c>
      <c r="I44" s="37">
        <f>'Round 1 Data'!I44*'Round 1 Points'!O$2</f>
        <v>9</v>
      </c>
      <c r="J44" s="37">
        <f>'Round 1 Data'!J44*'Round 1 Points'!P$2</f>
        <v>0</v>
      </c>
      <c r="K44" s="37">
        <f>'Round 1 Data'!K44*'Round 1 Points'!Q$2</f>
        <v>0</v>
      </c>
      <c r="L44" s="37">
        <f>'Round 1 Data'!L44*'Round 1 Points'!R$2</f>
        <v>7</v>
      </c>
      <c r="M44" s="37">
        <f>'Round 1 Data'!M44*'Round 1 Points'!S$2</f>
        <v>15</v>
      </c>
      <c r="N44" s="37">
        <f>'Round 1 Data'!N44*'Round 1 Points'!T$2</f>
        <v>0</v>
      </c>
      <c r="O44" s="37">
        <f>'Round 1 Data'!O44*'Round 1 Points'!U$2</f>
        <v>0</v>
      </c>
      <c r="P44" s="37">
        <f>'Round 1 Data'!P44*'Round 1 Points'!V$2</f>
        <v>0</v>
      </c>
      <c r="Q44" s="37">
        <f>'Round 1 Data'!Q44*'Round 1 Points'!W$2</f>
        <v>0</v>
      </c>
      <c r="R44" s="37">
        <f>'Round 1 Data'!R44*'Round 1 Points'!X$2</f>
        <v>0</v>
      </c>
      <c r="S44" s="37">
        <f>'Round 1 Data'!S44*'Round 1 Points'!Y$2</f>
        <v>0</v>
      </c>
      <c r="T44" s="38">
        <f t="shared" si="0"/>
        <v>55</v>
      </c>
      <c r="U44" s="37">
        <f>'Round 1 Data'!U44*'Round 1 Points'!$Z$2</f>
        <v>0</v>
      </c>
      <c r="V44" s="36">
        <f>IF('Round 1 Data'!D44='Round 1 Points'!$K$1,'Round 1 Points'!$K$2*D44/80,0)</f>
        <v>8</v>
      </c>
      <c r="W44">
        <f t="shared" si="1"/>
        <v>63</v>
      </c>
    </row>
    <row r="45" spans="1:23" x14ac:dyDescent="0.2">
      <c r="A45" s="36" t="s">
        <v>138</v>
      </c>
      <c r="B45" s="36" t="str" cm="1">
        <f t="array" ref="B45:C45">_xlfn.XLOOKUP(A45,'Player List'!$A$2:$A$177,'Player List'!$B$2:$C$177)</f>
        <v>Ireland</v>
      </c>
      <c r="C45" s="36" t="str">
        <v>Back Row</v>
      </c>
      <c r="D45" s="37">
        <v>60</v>
      </c>
      <c r="F45" s="37">
        <v>4</v>
      </c>
      <c r="G45" s="37">
        <f>'Round 1 Data'!G45*'Round 1 Points'!M$2</f>
        <v>7</v>
      </c>
      <c r="H45" s="37">
        <f>'Round 1 Data'!H45*'Round 1 Points'!N$2</f>
        <v>0</v>
      </c>
      <c r="I45" s="37">
        <f>'Round 1 Data'!I45*'Round 1 Points'!O$2</f>
        <v>5</v>
      </c>
      <c r="J45" s="37">
        <f>'Round 1 Data'!J45*'Round 1 Points'!P$2</f>
        <v>0</v>
      </c>
      <c r="K45" s="37">
        <f>'Round 1 Data'!K45*'Round 1 Points'!Q$2</f>
        <v>0</v>
      </c>
      <c r="L45" s="37">
        <f>'Round 1 Data'!L45*'Round 1 Points'!R$2</f>
        <v>0</v>
      </c>
      <c r="M45" s="37">
        <f>'Round 1 Data'!M45*'Round 1 Points'!S$2</f>
        <v>0</v>
      </c>
      <c r="N45" s="37">
        <f>'Round 1 Data'!N45*'Round 1 Points'!T$2</f>
        <v>0</v>
      </c>
      <c r="O45" s="37">
        <f>'Round 1 Data'!O45*'Round 1 Points'!U$2</f>
        <v>0</v>
      </c>
      <c r="P45" s="37">
        <f>'Round 1 Data'!P45*'Round 1 Points'!V$2</f>
        <v>0</v>
      </c>
      <c r="Q45" s="37">
        <f>'Round 1 Data'!Q45*'Round 1 Points'!W$2</f>
        <v>0</v>
      </c>
      <c r="R45" s="37">
        <f>'Round 1 Data'!R45*'Round 1 Points'!X$2</f>
        <v>0</v>
      </c>
      <c r="S45" s="37">
        <f>'Round 1 Data'!S45*'Round 1 Points'!Y$2</f>
        <v>0</v>
      </c>
      <c r="T45" s="38">
        <f t="shared" si="0"/>
        <v>16</v>
      </c>
      <c r="U45" s="37">
        <f>'Round 1 Data'!U45*'Round 1 Points'!$Z$2</f>
        <v>0</v>
      </c>
      <c r="V45" s="36">
        <f>IF('Round 1 Data'!D45='Round 1 Points'!$K$1,'Round 1 Points'!$K$2*D45/80,0)</f>
        <v>6</v>
      </c>
      <c r="W45">
        <f t="shared" si="1"/>
        <v>22</v>
      </c>
    </row>
    <row r="46" spans="1:23" x14ac:dyDescent="0.2">
      <c r="A46" s="36" t="s">
        <v>139</v>
      </c>
      <c r="B46" s="36" t="str" cm="1">
        <f t="array" ref="B46:C46">_xlfn.XLOOKUP(A46,'Player List'!$A$2:$A$177,'Player List'!$B$2:$C$177)</f>
        <v>Ireland</v>
      </c>
      <c r="C46" s="36" t="str">
        <v>Back Row</v>
      </c>
      <c r="D46" s="37">
        <v>80</v>
      </c>
      <c r="F46" s="37">
        <v>12</v>
      </c>
      <c r="G46" s="37">
        <f>'Round 1 Data'!G46*'Round 1 Points'!M$2</f>
        <v>7</v>
      </c>
      <c r="H46" s="37">
        <f>'Round 1 Data'!H46*'Round 1 Points'!N$2</f>
        <v>7</v>
      </c>
      <c r="I46" s="37">
        <f>'Round 1 Data'!I46*'Round 1 Points'!O$2</f>
        <v>6.2</v>
      </c>
      <c r="J46" s="37">
        <f>'Round 1 Data'!J46*'Round 1 Points'!P$2</f>
        <v>0</v>
      </c>
      <c r="K46" s="37">
        <f>'Round 1 Data'!K46*'Round 1 Points'!Q$2</f>
        <v>0</v>
      </c>
      <c r="L46" s="37">
        <f>'Round 1 Data'!L46*'Round 1 Points'!R$2</f>
        <v>0</v>
      </c>
      <c r="M46" s="37">
        <f>'Round 1 Data'!M46*'Round 1 Points'!S$2</f>
        <v>15</v>
      </c>
      <c r="N46" s="37">
        <f>'Round 1 Data'!N46*'Round 1 Points'!T$2</f>
        <v>0</v>
      </c>
      <c r="O46" s="37">
        <f>'Round 1 Data'!O46*'Round 1 Points'!U$2</f>
        <v>0</v>
      </c>
      <c r="P46" s="37">
        <f>'Round 1 Data'!P46*'Round 1 Points'!V$2</f>
        <v>0</v>
      </c>
      <c r="Q46" s="37">
        <f>'Round 1 Data'!Q46*'Round 1 Points'!W$2</f>
        <v>0</v>
      </c>
      <c r="R46" s="37">
        <f>'Round 1 Data'!R46*'Round 1 Points'!X$2</f>
        <v>0</v>
      </c>
      <c r="S46" s="37">
        <f>'Round 1 Data'!S46*'Round 1 Points'!Y$2</f>
        <v>0</v>
      </c>
      <c r="T46" s="38">
        <f t="shared" si="0"/>
        <v>47.2</v>
      </c>
      <c r="U46" s="37">
        <f>'Round 1 Data'!U46*'Round 1 Points'!$Z$2</f>
        <v>0</v>
      </c>
      <c r="V46" s="36">
        <f>IF('Round 1 Data'!D46='Round 1 Points'!$K$1,'Round 1 Points'!$K$2*D46/80,0)</f>
        <v>8</v>
      </c>
      <c r="W46">
        <f t="shared" si="1"/>
        <v>55.2</v>
      </c>
    </row>
    <row r="47" spans="1:23" x14ac:dyDescent="0.2">
      <c r="A47" s="36" t="s">
        <v>140</v>
      </c>
      <c r="B47" s="36" t="str" cm="1">
        <f t="array" ref="B47:C47">_xlfn.XLOOKUP(A47,'Player List'!$A$2:$A$177,'Player List'!$B$2:$C$177)</f>
        <v>Ireland</v>
      </c>
      <c r="C47" s="36" t="str">
        <v>Second Row</v>
      </c>
      <c r="D47" s="37">
        <v>54</v>
      </c>
      <c r="F47" s="37">
        <v>8</v>
      </c>
      <c r="G47" s="37">
        <f>'Round 1 Data'!G47*'Round 1 Points'!M$2</f>
        <v>7</v>
      </c>
      <c r="H47" s="37">
        <f>'Round 1 Data'!H47*'Round 1 Points'!N$2</f>
        <v>0</v>
      </c>
      <c r="I47" s="37">
        <f>'Round 1 Data'!I47*'Round 1 Points'!O$2</f>
        <v>5.4</v>
      </c>
      <c r="J47" s="37">
        <f>'Round 1 Data'!J47*'Round 1 Points'!P$2</f>
        <v>0</v>
      </c>
      <c r="K47" s="37">
        <f>'Round 1 Data'!K47*'Round 1 Points'!Q$2</f>
        <v>0</v>
      </c>
      <c r="L47" s="37">
        <f>'Round 1 Data'!L47*'Round 1 Points'!R$2</f>
        <v>0</v>
      </c>
      <c r="M47" s="37">
        <f>'Round 1 Data'!M47*'Round 1 Points'!S$2</f>
        <v>0</v>
      </c>
      <c r="N47" s="37">
        <f>'Round 1 Data'!N47*'Round 1 Points'!T$2</f>
        <v>0</v>
      </c>
      <c r="O47" s="37">
        <f>'Round 1 Data'!O47*'Round 1 Points'!U$2</f>
        <v>0</v>
      </c>
      <c r="P47" s="37">
        <f>'Round 1 Data'!P47*'Round 1 Points'!V$2</f>
        <v>0</v>
      </c>
      <c r="Q47" s="37">
        <f>'Round 1 Data'!Q47*'Round 1 Points'!W$2</f>
        <v>0</v>
      </c>
      <c r="R47" s="37">
        <f>'Round 1 Data'!R47*'Round 1 Points'!X$2</f>
        <v>0</v>
      </c>
      <c r="S47" s="37">
        <f>'Round 1 Data'!S47*'Round 1 Points'!Y$2</f>
        <v>0</v>
      </c>
      <c r="T47" s="38">
        <f t="shared" si="0"/>
        <v>20.399999999999999</v>
      </c>
      <c r="U47" s="37">
        <f>'Round 1 Data'!U47*'Round 1 Points'!$Z$2</f>
        <v>0</v>
      </c>
      <c r="V47" s="36">
        <f>IF('Round 1 Data'!D47='Round 1 Points'!$K$1,'Round 1 Points'!$K$2*D47/80,0)</f>
        <v>5.4</v>
      </c>
      <c r="W47">
        <f t="shared" si="1"/>
        <v>25.799999999999997</v>
      </c>
    </row>
    <row r="48" spans="1:23" x14ac:dyDescent="0.2">
      <c r="A48" s="36" t="s">
        <v>141</v>
      </c>
      <c r="B48" s="36" t="str" cm="1">
        <f t="array" ref="B48:C48">_xlfn.XLOOKUP(A48,'Player List'!$A$2:$A$177,'Player List'!$B$2:$C$177)</f>
        <v>Ireland</v>
      </c>
      <c r="C48" s="36" t="str">
        <v>Second Row</v>
      </c>
      <c r="D48" s="37">
        <v>26</v>
      </c>
      <c r="F48" s="37">
        <v>3</v>
      </c>
      <c r="G48" s="37">
        <f>'Round 1 Data'!G48*'Round 1 Points'!M$2</f>
        <v>0</v>
      </c>
      <c r="H48" s="37">
        <f>'Round 1 Data'!H48*'Round 1 Points'!N$2</f>
        <v>0</v>
      </c>
      <c r="I48" s="37">
        <f>'Round 1 Data'!I48*'Round 1 Points'!O$2</f>
        <v>2</v>
      </c>
      <c r="J48" s="37">
        <f>'Round 1 Data'!J48*'Round 1 Points'!P$2</f>
        <v>0</v>
      </c>
      <c r="K48" s="37">
        <f>'Round 1 Data'!K48*'Round 1 Points'!Q$2</f>
        <v>0</v>
      </c>
      <c r="L48" s="37">
        <f>'Round 1 Data'!L48*'Round 1 Points'!R$2</f>
        <v>0</v>
      </c>
      <c r="M48" s="37">
        <f>'Round 1 Data'!M48*'Round 1 Points'!S$2</f>
        <v>0</v>
      </c>
      <c r="N48" s="37">
        <f>'Round 1 Data'!N48*'Round 1 Points'!T$2</f>
        <v>0</v>
      </c>
      <c r="O48" s="37">
        <f>'Round 1 Data'!O48*'Round 1 Points'!U$2</f>
        <v>0</v>
      </c>
      <c r="P48" s="37">
        <f>'Round 1 Data'!P48*'Round 1 Points'!V$2</f>
        <v>0</v>
      </c>
      <c r="Q48" s="37">
        <f>'Round 1 Data'!Q48*'Round 1 Points'!W$2</f>
        <v>0</v>
      </c>
      <c r="R48" s="37">
        <f>'Round 1 Data'!R48*'Round 1 Points'!X$2</f>
        <v>0</v>
      </c>
      <c r="S48" s="37">
        <f>'Round 1 Data'!S48*'Round 1 Points'!Y$2</f>
        <v>0</v>
      </c>
      <c r="T48" s="38">
        <f t="shared" si="0"/>
        <v>5</v>
      </c>
      <c r="U48" s="37">
        <f>'Round 1 Data'!U48*'Round 1 Points'!$Z$2</f>
        <v>0</v>
      </c>
      <c r="V48" s="36">
        <f>IF('Round 1 Data'!D48='Round 1 Points'!$K$1,'Round 1 Points'!$K$2*D48/80,0)</f>
        <v>2.6</v>
      </c>
      <c r="W48">
        <f t="shared" si="1"/>
        <v>7.6</v>
      </c>
    </row>
    <row r="49" spans="1:23" x14ac:dyDescent="0.2">
      <c r="A49" s="36" t="s">
        <v>142</v>
      </c>
      <c r="B49" s="36" t="str" cm="1">
        <f t="array" ref="B49:C49">_xlfn.XLOOKUP(A49,'Player List'!$A$2:$A$177,'Player List'!$B$2:$C$177)</f>
        <v>Ireland</v>
      </c>
      <c r="C49" s="36" t="str">
        <v>Second Row</v>
      </c>
      <c r="D49" s="37">
        <v>80</v>
      </c>
      <c r="F49" s="37">
        <v>14</v>
      </c>
      <c r="G49" s="37">
        <f>'Round 1 Data'!G49*'Round 1 Points'!M$2</f>
        <v>0</v>
      </c>
      <c r="H49" s="37">
        <f>'Round 1 Data'!H49*'Round 1 Points'!N$2</f>
        <v>0</v>
      </c>
      <c r="I49" s="37">
        <f>'Round 1 Data'!I49*'Round 1 Points'!O$2</f>
        <v>3.8000000000000003</v>
      </c>
      <c r="J49" s="37">
        <f>'Round 1 Data'!J49*'Round 1 Points'!P$2</f>
        <v>0</v>
      </c>
      <c r="K49" s="37">
        <f>'Round 1 Data'!K49*'Round 1 Points'!Q$2</f>
        <v>7</v>
      </c>
      <c r="L49" s="37">
        <f>'Round 1 Data'!L49*'Round 1 Points'!R$2</f>
        <v>0</v>
      </c>
      <c r="M49" s="37">
        <f>'Round 1 Data'!M49*'Round 1 Points'!S$2</f>
        <v>15</v>
      </c>
      <c r="N49" s="37">
        <f>'Round 1 Data'!N49*'Round 1 Points'!T$2</f>
        <v>0</v>
      </c>
      <c r="O49" s="37">
        <f>'Round 1 Data'!O49*'Round 1 Points'!U$2</f>
        <v>0</v>
      </c>
      <c r="P49" s="37">
        <f>'Round 1 Data'!P49*'Round 1 Points'!V$2</f>
        <v>0</v>
      </c>
      <c r="Q49" s="37">
        <f>'Round 1 Data'!Q49*'Round 1 Points'!W$2</f>
        <v>0</v>
      </c>
      <c r="R49" s="37">
        <f>'Round 1 Data'!R49*'Round 1 Points'!X$2</f>
        <v>0</v>
      </c>
      <c r="S49" s="37">
        <f>'Round 1 Data'!S49*'Round 1 Points'!Y$2</f>
        <v>0</v>
      </c>
      <c r="T49" s="38">
        <f t="shared" si="0"/>
        <v>39.799999999999997</v>
      </c>
      <c r="U49" s="37">
        <f>'Round 1 Data'!U49*'Round 1 Points'!$Z$2</f>
        <v>0</v>
      </c>
      <c r="V49" s="36">
        <f>IF('Round 1 Data'!D49='Round 1 Points'!$K$1,'Round 1 Points'!$K$2*D49/80,0)</f>
        <v>8</v>
      </c>
      <c r="W49">
        <f t="shared" si="1"/>
        <v>47.8</v>
      </c>
    </row>
    <row r="50" spans="1:23" x14ac:dyDescent="0.2">
      <c r="A50" s="36" t="s">
        <v>143</v>
      </c>
      <c r="B50" s="36" t="str" cm="1">
        <f t="array" ref="B50:C50">_xlfn.XLOOKUP(A50,'Player List'!$A$2:$A$177,'Player List'!$B$2:$C$177)</f>
        <v>Ireland</v>
      </c>
      <c r="C50" s="36" t="str">
        <v>Prop</v>
      </c>
      <c r="D50" s="37">
        <v>60</v>
      </c>
      <c r="F50" s="37">
        <v>12</v>
      </c>
      <c r="G50" s="37">
        <f>'Round 1 Data'!G50*'Round 1 Points'!M$2</f>
        <v>7</v>
      </c>
      <c r="H50" s="37">
        <f>'Round 1 Data'!H50*'Round 1 Points'!N$2</f>
        <v>0</v>
      </c>
      <c r="I50" s="37">
        <f>'Round 1 Data'!I50*'Round 1 Points'!O$2</f>
        <v>3</v>
      </c>
      <c r="J50" s="37">
        <f>'Round 1 Data'!J50*'Round 1 Points'!P$2</f>
        <v>0</v>
      </c>
      <c r="K50" s="37">
        <f>'Round 1 Data'!K50*'Round 1 Points'!Q$2</f>
        <v>0</v>
      </c>
      <c r="L50" s="37">
        <f>'Round 1 Data'!L50*'Round 1 Points'!R$2</f>
        <v>0</v>
      </c>
      <c r="M50" s="37">
        <f>'Round 1 Data'!M50*'Round 1 Points'!S$2</f>
        <v>0</v>
      </c>
      <c r="N50" s="37">
        <f>'Round 1 Data'!N50*'Round 1 Points'!T$2</f>
        <v>7</v>
      </c>
      <c r="O50" s="37">
        <f>'Round 1 Data'!O50*'Round 1 Points'!U$2</f>
        <v>0</v>
      </c>
      <c r="P50" s="37">
        <f>'Round 1 Data'!P50*'Round 1 Points'!V$2</f>
        <v>0</v>
      </c>
      <c r="Q50" s="37">
        <f>'Round 1 Data'!Q50*'Round 1 Points'!W$2</f>
        <v>0</v>
      </c>
      <c r="R50" s="37">
        <f>'Round 1 Data'!R50*'Round 1 Points'!X$2</f>
        <v>0</v>
      </c>
      <c r="S50" s="37">
        <f>'Round 1 Data'!S50*'Round 1 Points'!Y$2</f>
        <v>0</v>
      </c>
      <c r="T50" s="38">
        <f t="shared" si="0"/>
        <v>29</v>
      </c>
      <c r="U50" s="37">
        <f>'Round 1 Data'!U50*'Round 1 Points'!$Z$2</f>
        <v>0</v>
      </c>
      <c r="V50" s="36">
        <f>IF('Round 1 Data'!D50='Round 1 Points'!$K$1,'Round 1 Points'!$K$2*D50/80,0)</f>
        <v>6</v>
      </c>
      <c r="W50">
        <f t="shared" si="1"/>
        <v>35</v>
      </c>
    </row>
    <row r="51" spans="1:23" x14ac:dyDescent="0.2">
      <c r="A51" s="36" t="s">
        <v>144</v>
      </c>
      <c r="B51" s="36" t="str" cm="1">
        <f t="array" ref="B51:C51">_xlfn.XLOOKUP(A51,'Player List'!$A$2:$A$177,'Player List'!$B$2:$C$177)</f>
        <v>Ireland</v>
      </c>
      <c r="C51" s="36" t="str">
        <v>Prop</v>
      </c>
      <c r="D51" s="37">
        <v>7</v>
      </c>
      <c r="F51" s="37">
        <v>5</v>
      </c>
      <c r="G51" s="37">
        <f>'Round 1 Data'!G51*'Round 1 Points'!M$2</f>
        <v>0</v>
      </c>
      <c r="H51" s="37">
        <f>'Round 1 Data'!H51*'Round 1 Points'!N$2</f>
        <v>0</v>
      </c>
      <c r="I51" s="37">
        <f>'Round 1 Data'!I51*'Round 1 Points'!O$2</f>
        <v>0.4</v>
      </c>
      <c r="J51" s="37">
        <f>'Round 1 Data'!J51*'Round 1 Points'!P$2</f>
        <v>0</v>
      </c>
      <c r="K51" s="37">
        <f>'Round 1 Data'!K51*'Round 1 Points'!Q$2</f>
        <v>0</v>
      </c>
      <c r="L51" s="37">
        <f>'Round 1 Data'!L51*'Round 1 Points'!R$2</f>
        <v>0</v>
      </c>
      <c r="M51" s="37">
        <f>'Round 1 Data'!M51*'Round 1 Points'!S$2</f>
        <v>0</v>
      </c>
      <c r="N51" s="37">
        <f>'Round 1 Data'!N51*'Round 1 Points'!T$2</f>
        <v>0</v>
      </c>
      <c r="O51" s="37">
        <f>'Round 1 Data'!O51*'Round 1 Points'!U$2</f>
        <v>0</v>
      </c>
      <c r="P51" s="37">
        <f>'Round 1 Data'!P51*'Round 1 Points'!V$2</f>
        <v>0</v>
      </c>
      <c r="Q51" s="37">
        <f>'Round 1 Data'!Q51*'Round 1 Points'!W$2</f>
        <v>0</v>
      </c>
      <c r="R51" s="37">
        <f>'Round 1 Data'!R51*'Round 1 Points'!X$2</f>
        <v>0</v>
      </c>
      <c r="S51" s="37">
        <f>'Round 1 Data'!S51*'Round 1 Points'!Y$2</f>
        <v>0</v>
      </c>
      <c r="T51" s="38">
        <f t="shared" si="0"/>
        <v>5.4</v>
      </c>
      <c r="U51" s="37">
        <f>'Round 1 Data'!U51*'Round 1 Points'!$Z$2</f>
        <v>0</v>
      </c>
      <c r="V51" s="36">
        <f>IF('Round 1 Data'!D51='Round 1 Points'!$K$1,'Round 1 Points'!$K$2*D51/80,0)</f>
        <v>0.7</v>
      </c>
      <c r="W51">
        <f t="shared" si="1"/>
        <v>6.1000000000000005</v>
      </c>
    </row>
    <row r="52" spans="1:23" x14ac:dyDescent="0.2">
      <c r="A52" s="36" t="s">
        <v>145</v>
      </c>
      <c r="B52" s="36" t="str" cm="1">
        <f t="array" ref="B52:C52">_xlfn.XLOOKUP(A52,'Player List'!$A$2:$A$177,'Player List'!$B$2:$C$177)</f>
        <v>Ireland</v>
      </c>
      <c r="C52" s="36" t="str">
        <v>Prop</v>
      </c>
      <c r="D52" s="37">
        <v>20</v>
      </c>
      <c r="F52" s="37">
        <v>5</v>
      </c>
      <c r="G52" s="37">
        <f>'Round 1 Data'!G52*'Round 1 Points'!M$2</f>
        <v>0</v>
      </c>
      <c r="H52" s="37">
        <f>'Round 1 Data'!H52*'Round 1 Points'!N$2</f>
        <v>0</v>
      </c>
      <c r="I52" s="37">
        <f>'Round 1 Data'!I52*'Round 1 Points'!O$2</f>
        <v>0</v>
      </c>
      <c r="J52" s="37">
        <f>'Round 1 Data'!J52*'Round 1 Points'!P$2</f>
        <v>0</v>
      </c>
      <c r="K52" s="37">
        <f>'Round 1 Data'!K52*'Round 1 Points'!Q$2</f>
        <v>0</v>
      </c>
      <c r="L52" s="37">
        <f>'Round 1 Data'!L52*'Round 1 Points'!R$2</f>
        <v>0</v>
      </c>
      <c r="M52" s="37">
        <f>'Round 1 Data'!M52*'Round 1 Points'!S$2</f>
        <v>0</v>
      </c>
      <c r="N52" s="37">
        <f>'Round 1 Data'!N52*'Round 1 Points'!T$2</f>
        <v>0</v>
      </c>
      <c r="O52" s="37">
        <f>'Round 1 Data'!O52*'Round 1 Points'!U$2</f>
        <v>0</v>
      </c>
      <c r="P52" s="37">
        <f>'Round 1 Data'!P52*'Round 1 Points'!V$2</f>
        <v>0</v>
      </c>
      <c r="Q52" s="37">
        <f>'Round 1 Data'!Q52*'Round 1 Points'!W$2</f>
        <v>0</v>
      </c>
      <c r="R52" s="37">
        <f>'Round 1 Data'!R52*'Round 1 Points'!X$2</f>
        <v>0</v>
      </c>
      <c r="S52" s="37">
        <f>'Round 1 Data'!S52*'Round 1 Points'!Y$2</f>
        <v>0</v>
      </c>
      <c r="T52" s="38">
        <f t="shared" si="0"/>
        <v>5</v>
      </c>
      <c r="U52" s="37">
        <f>'Round 1 Data'!U52*'Round 1 Points'!$Z$2</f>
        <v>0</v>
      </c>
      <c r="V52" s="36">
        <f>IF('Round 1 Data'!D52='Round 1 Points'!$K$1,'Round 1 Points'!$K$2*D52/80,0)</f>
        <v>2</v>
      </c>
      <c r="W52">
        <f t="shared" si="1"/>
        <v>7</v>
      </c>
    </row>
    <row r="53" spans="1:23" x14ac:dyDescent="0.2">
      <c r="A53" s="36" t="s">
        <v>146</v>
      </c>
      <c r="B53" s="36" t="str" cm="1">
        <f t="array" ref="B53:C53">_xlfn.XLOOKUP(A53,'Player List'!$A$2:$A$177,'Player List'!$B$2:$C$177)</f>
        <v>Ireland</v>
      </c>
      <c r="C53" s="36" t="str">
        <v>Prop</v>
      </c>
      <c r="D53" s="37">
        <v>73</v>
      </c>
      <c r="F53" s="37">
        <v>11</v>
      </c>
      <c r="G53" s="37">
        <f>'Round 1 Data'!G53*'Round 1 Points'!M$2</f>
        <v>0</v>
      </c>
      <c r="H53" s="37">
        <f>'Round 1 Data'!H53*'Round 1 Points'!N$2</f>
        <v>0</v>
      </c>
      <c r="I53" s="37">
        <f>'Round 1 Data'!I53*'Round 1 Points'!O$2</f>
        <v>5</v>
      </c>
      <c r="J53" s="37">
        <f>'Round 1 Data'!J53*'Round 1 Points'!P$2</f>
        <v>0</v>
      </c>
      <c r="K53" s="37">
        <f>'Round 1 Data'!K53*'Round 1 Points'!Q$2</f>
        <v>0</v>
      </c>
      <c r="L53" s="37">
        <f>'Round 1 Data'!L53*'Round 1 Points'!R$2</f>
        <v>0</v>
      </c>
      <c r="M53" s="37">
        <f>'Round 1 Data'!M53*'Round 1 Points'!S$2</f>
        <v>0</v>
      </c>
      <c r="N53" s="37">
        <f>'Round 1 Data'!N53*'Round 1 Points'!T$2</f>
        <v>0</v>
      </c>
      <c r="O53" s="37">
        <f>'Round 1 Data'!O53*'Round 1 Points'!U$2</f>
        <v>0</v>
      </c>
      <c r="P53" s="37">
        <f>'Round 1 Data'!P53*'Round 1 Points'!V$2</f>
        <v>0</v>
      </c>
      <c r="Q53" s="37">
        <f>'Round 1 Data'!Q53*'Round 1 Points'!W$2</f>
        <v>0</v>
      </c>
      <c r="R53" s="37">
        <f>'Round 1 Data'!R53*'Round 1 Points'!X$2</f>
        <v>0</v>
      </c>
      <c r="S53" s="37">
        <f>'Round 1 Data'!S53*'Round 1 Points'!Y$2</f>
        <v>0</v>
      </c>
      <c r="T53" s="38">
        <f t="shared" si="0"/>
        <v>16</v>
      </c>
      <c r="U53" s="37">
        <f>'Round 1 Data'!U53*'Round 1 Points'!$Z$2</f>
        <v>0</v>
      </c>
      <c r="V53" s="36">
        <f>IF('Round 1 Data'!D53='Round 1 Points'!$K$1,'Round 1 Points'!$K$2*D53/80,0)</f>
        <v>7.3</v>
      </c>
      <c r="W53">
        <f t="shared" si="1"/>
        <v>23.3</v>
      </c>
    </row>
    <row r="54" spans="1:23" x14ac:dyDescent="0.2">
      <c r="A54" s="36" t="s">
        <v>147</v>
      </c>
      <c r="B54" s="36" t="str" cm="1">
        <f t="array" ref="B54:C54">_xlfn.XLOOKUP(A54,'Player List'!$A$2:$A$177,'Player List'!$B$2:$C$177)</f>
        <v>Ireland</v>
      </c>
      <c r="C54" s="36" t="str">
        <v>Hooker</v>
      </c>
      <c r="D54" s="37">
        <v>7</v>
      </c>
      <c r="F54" s="37">
        <v>4</v>
      </c>
      <c r="G54" s="37">
        <f>'Round 1 Data'!G54*'Round 1 Points'!M$2</f>
        <v>0</v>
      </c>
      <c r="H54" s="37">
        <f>'Round 1 Data'!H54*'Round 1 Points'!N$2</f>
        <v>0</v>
      </c>
      <c r="I54" s="37">
        <f>'Round 1 Data'!I54*'Round 1 Points'!O$2</f>
        <v>0.8</v>
      </c>
      <c r="J54" s="37">
        <f>'Round 1 Data'!J54*'Round 1 Points'!P$2</f>
        <v>0</v>
      </c>
      <c r="K54" s="37">
        <f>'Round 1 Data'!K54*'Round 1 Points'!Q$2</f>
        <v>0</v>
      </c>
      <c r="L54" s="37">
        <f>'Round 1 Data'!L54*'Round 1 Points'!R$2</f>
        <v>0</v>
      </c>
      <c r="M54" s="37">
        <f>'Round 1 Data'!M54*'Round 1 Points'!S$2</f>
        <v>0</v>
      </c>
      <c r="N54" s="37">
        <f>'Round 1 Data'!N54*'Round 1 Points'!T$2</f>
        <v>0</v>
      </c>
      <c r="O54" s="37">
        <f>'Round 1 Data'!O54*'Round 1 Points'!U$2</f>
        <v>0</v>
      </c>
      <c r="P54" s="37">
        <f>'Round 1 Data'!P54*'Round 1 Points'!V$2</f>
        <v>0</v>
      </c>
      <c r="Q54" s="37">
        <f>'Round 1 Data'!Q54*'Round 1 Points'!W$2</f>
        <v>0</v>
      </c>
      <c r="R54" s="37">
        <f>'Round 1 Data'!R54*'Round 1 Points'!X$2</f>
        <v>0</v>
      </c>
      <c r="S54" s="37">
        <f>'Round 1 Data'!S54*'Round 1 Points'!Y$2</f>
        <v>0</v>
      </c>
      <c r="T54" s="38">
        <f t="shared" si="0"/>
        <v>4.8</v>
      </c>
      <c r="U54" s="37">
        <f>'Round 1 Data'!U54*'Round 1 Points'!$Z$2</f>
        <v>0</v>
      </c>
      <c r="V54" s="36">
        <f>IF('Round 1 Data'!D54='Round 1 Points'!$K$1,'Round 1 Points'!$K$2*D54/80,0)</f>
        <v>0.7</v>
      </c>
      <c r="W54">
        <f t="shared" si="1"/>
        <v>5.5</v>
      </c>
    </row>
    <row r="55" spans="1:23" x14ac:dyDescent="0.2">
      <c r="A55" s="36" t="s">
        <v>152</v>
      </c>
      <c r="B55" s="36" t="str" cm="1">
        <f t="array" ref="B55:C55">_xlfn.XLOOKUP(A55,'Player List'!$A$2:$A$177,'Player List'!$B$2:$C$177)</f>
        <v>Ireland</v>
      </c>
      <c r="C55" s="36" t="str">
        <v>Hooker</v>
      </c>
      <c r="D55" s="37">
        <v>73</v>
      </c>
      <c r="F55" s="37">
        <v>5</v>
      </c>
      <c r="G55" s="37">
        <f>'Round 1 Data'!G55*'Round 1 Points'!M$2</f>
        <v>14</v>
      </c>
      <c r="H55" s="37">
        <f>'Round 1 Data'!H55*'Round 1 Points'!N$2</f>
        <v>14</v>
      </c>
      <c r="I55" s="37">
        <f>'Round 1 Data'!I55*'Round 1 Points'!O$2</f>
        <v>10.8</v>
      </c>
      <c r="J55" s="37">
        <f>'Round 1 Data'!J55*'Round 1 Points'!P$2</f>
        <v>0</v>
      </c>
      <c r="K55" s="37">
        <f>'Round 1 Data'!K55*'Round 1 Points'!Q$2</f>
        <v>7</v>
      </c>
      <c r="L55" s="37">
        <f>'Round 1 Data'!L55*'Round 1 Points'!R$2</f>
        <v>0</v>
      </c>
      <c r="M55" s="37">
        <f>'Round 1 Data'!M55*'Round 1 Points'!S$2</f>
        <v>0</v>
      </c>
      <c r="N55" s="37">
        <f>'Round 1 Data'!N55*'Round 1 Points'!T$2</f>
        <v>0</v>
      </c>
      <c r="O55" s="37">
        <f>'Round 1 Data'!O55*'Round 1 Points'!U$2</f>
        <v>0</v>
      </c>
      <c r="P55" s="37">
        <f>'Round 1 Data'!P55*'Round 1 Points'!V$2</f>
        <v>0</v>
      </c>
      <c r="Q55" s="37">
        <f>'Round 1 Data'!Q55*'Round 1 Points'!W$2</f>
        <v>0</v>
      </c>
      <c r="R55" s="37">
        <f>'Round 1 Data'!R55*'Round 1 Points'!X$2</f>
        <v>0</v>
      </c>
      <c r="S55" s="37">
        <f>'Round 1 Data'!S55*'Round 1 Points'!Y$2</f>
        <v>0</v>
      </c>
      <c r="T55" s="38">
        <f t="shared" si="0"/>
        <v>50.8</v>
      </c>
      <c r="U55" s="37">
        <f>'Round 1 Data'!U55*'Round 1 Points'!$Z$2</f>
        <v>0</v>
      </c>
      <c r="V55" s="36">
        <f>IF('Round 1 Data'!D55='Round 1 Points'!$K$1,'Round 1 Points'!$K$2*D55/80,0)</f>
        <v>7.3</v>
      </c>
      <c r="W55">
        <f t="shared" si="1"/>
        <v>58.099999999999994</v>
      </c>
    </row>
    <row r="56" spans="1:23" x14ac:dyDescent="0.2">
      <c r="A56" s="36" t="s">
        <v>81</v>
      </c>
      <c r="B56" s="36" t="str" cm="1">
        <f t="array" ref="B56:C56">_xlfn.XLOOKUP(A56,'Player List'!$A$2:$A$177,'Player List'!$B$2:$C$177)</f>
        <v>England</v>
      </c>
      <c r="C56" s="36" t="str">
        <v>Back Three</v>
      </c>
      <c r="D56" s="37">
        <v>64</v>
      </c>
      <c r="F56" s="37">
        <v>2</v>
      </c>
      <c r="G56" s="37">
        <f>'Round 1 Data'!G56*'Round 1 Points'!M$2</f>
        <v>0</v>
      </c>
      <c r="H56" s="37">
        <f>'Round 1 Data'!H56*'Round 1 Points'!N$2</f>
        <v>0</v>
      </c>
      <c r="I56" s="37">
        <f>'Round 1 Data'!I56*'Round 1 Points'!O$2</f>
        <v>18.2</v>
      </c>
      <c r="J56" s="37">
        <f>'Round 1 Data'!J56*'Round 1 Points'!P$2</f>
        <v>0</v>
      </c>
      <c r="K56" s="37">
        <f>'Round 1 Data'!K56*'Round 1 Points'!Q$2</f>
        <v>0</v>
      </c>
      <c r="L56" s="37">
        <f>'Round 1 Data'!L56*'Round 1 Points'!R$2</f>
        <v>0</v>
      </c>
      <c r="M56" s="37">
        <f>'Round 1 Data'!M56*'Round 1 Points'!S$2</f>
        <v>0</v>
      </c>
      <c r="N56" s="37">
        <f>'Round 1 Data'!N56*'Round 1 Points'!T$2</f>
        <v>0</v>
      </c>
      <c r="O56" s="37">
        <f>'Round 1 Data'!O56*'Round 1 Points'!U$2</f>
        <v>0</v>
      </c>
      <c r="P56" s="37">
        <f>'Round 1 Data'!P56*'Round 1 Points'!V$2</f>
        <v>0</v>
      </c>
      <c r="Q56" s="37">
        <f>'Round 1 Data'!Q56*'Round 1 Points'!W$2</f>
        <v>0</v>
      </c>
      <c r="R56" s="37">
        <f>'Round 1 Data'!R56*'Round 1 Points'!X$2</f>
        <v>0</v>
      </c>
      <c r="S56" s="37">
        <f>'Round 1 Data'!S56*'Round 1 Points'!Y$2</f>
        <v>0</v>
      </c>
      <c r="T56" s="38">
        <f t="shared" si="0"/>
        <v>20.2</v>
      </c>
      <c r="U56" s="37">
        <f>'Round 1 Data'!U56*'Round 1 Points'!$Z$2</f>
        <v>0</v>
      </c>
      <c r="V56" s="36">
        <f>IF('Round 1 Data'!D56='Round 1 Points'!$K$1,'Round 1 Points'!$K$2*D56/80,0)</f>
        <v>0</v>
      </c>
      <c r="W56">
        <f t="shared" si="1"/>
        <v>20.2</v>
      </c>
    </row>
    <row r="57" spans="1:23" x14ac:dyDescent="0.2">
      <c r="A57" s="36" t="s">
        <v>82</v>
      </c>
      <c r="B57" s="36" t="str" cm="1">
        <f t="array" ref="B57:C57">_xlfn.XLOOKUP(A57,'Player List'!$A$2:$A$177,'Player List'!$B$2:$C$177)</f>
        <v>England</v>
      </c>
      <c r="C57" s="36" t="str">
        <v>Back Three</v>
      </c>
      <c r="D57" s="37">
        <v>80</v>
      </c>
      <c r="F57" s="37">
        <v>5</v>
      </c>
      <c r="G57" s="37">
        <f>'Round 1 Data'!G57*'Round 1 Points'!M$2</f>
        <v>7</v>
      </c>
      <c r="H57" s="37">
        <f>'Round 1 Data'!H57*'Round 1 Points'!N$2</f>
        <v>0</v>
      </c>
      <c r="I57" s="37">
        <f>'Round 1 Data'!I57*'Round 1 Points'!O$2</f>
        <v>13.4</v>
      </c>
      <c r="J57" s="37">
        <f>'Round 1 Data'!J57*'Round 1 Points'!P$2</f>
        <v>0</v>
      </c>
      <c r="K57" s="37">
        <f>'Round 1 Data'!K57*'Round 1 Points'!Q$2</f>
        <v>0</v>
      </c>
      <c r="L57" s="37">
        <f>'Round 1 Data'!L57*'Round 1 Points'!R$2</f>
        <v>0</v>
      </c>
      <c r="M57" s="37">
        <f>'Round 1 Data'!M57*'Round 1 Points'!S$2</f>
        <v>30</v>
      </c>
      <c r="N57" s="37">
        <f>'Round 1 Data'!N57*'Round 1 Points'!T$2</f>
        <v>0</v>
      </c>
      <c r="O57" s="37">
        <f>'Round 1 Data'!O57*'Round 1 Points'!U$2</f>
        <v>0</v>
      </c>
      <c r="P57" s="37">
        <f>'Round 1 Data'!P57*'Round 1 Points'!V$2</f>
        <v>0</v>
      </c>
      <c r="Q57" s="37">
        <f>'Round 1 Data'!Q57*'Round 1 Points'!W$2</f>
        <v>0</v>
      </c>
      <c r="R57" s="37">
        <f>'Round 1 Data'!R57*'Round 1 Points'!X$2</f>
        <v>0</v>
      </c>
      <c r="S57" s="37">
        <f>'Round 1 Data'!S57*'Round 1 Points'!Y$2</f>
        <v>0</v>
      </c>
      <c r="T57" s="38">
        <f t="shared" si="0"/>
        <v>55.4</v>
      </c>
      <c r="U57" s="37">
        <f>'Round 1 Data'!U57*'Round 1 Points'!$Z$2</f>
        <v>0</v>
      </c>
      <c r="V57" s="36">
        <f>IF('Round 1 Data'!D57='Round 1 Points'!$K$1,'Round 1 Points'!$K$2*D57/80,0)</f>
        <v>0</v>
      </c>
      <c r="W57">
        <f t="shared" si="1"/>
        <v>55.4</v>
      </c>
    </row>
    <row r="58" spans="1:23" x14ac:dyDescent="0.2">
      <c r="A58" s="36" t="s">
        <v>83</v>
      </c>
      <c r="B58" s="36" t="str" cm="1">
        <f t="array" ref="B58:C58">_xlfn.XLOOKUP(A58,'Player List'!$A$2:$A$177,'Player List'!$B$2:$C$177)</f>
        <v>England</v>
      </c>
      <c r="C58" s="36" t="str">
        <v>Back Three</v>
      </c>
      <c r="D58" s="37">
        <v>80</v>
      </c>
      <c r="F58" s="37">
        <v>2</v>
      </c>
      <c r="G58" s="37">
        <f>'Round 1 Data'!G58*'Round 1 Points'!M$2</f>
        <v>0</v>
      </c>
      <c r="H58" s="37">
        <f>'Round 1 Data'!H58*'Round 1 Points'!N$2</f>
        <v>0</v>
      </c>
      <c r="I58" s="37">
        <f>'Round 1 Data'!I58*'Round 1 Points'!O$2</f>
        <v>20.200000000000003</v>
      </c>
      <c r="J58" s="37">
        <f>'Round 1 Data'!J58*'Round 1 Points'!P$2</f>
        <v>0</v>
      </c>
      <c r="K58" s="37">
        <f>'Round 1 Data'!K58*'Round 1 Points'!Q$2</f>
        <v>0</v>
      </c>
      <c r="L58" s="37">
        <f>'Round 1 Data'!L58*'Round 1 Points'!R$2</f>
        <v>0</v>
      </c>
      <c r="M58" s="37">
        <f>'Round 1 Data'!M58*'Round 1 Points'!S$2</f>
        <v>0</v>
      </c>
      <c r="N58" s="37">
        <f>'Round 1 Data'!N58*'Round 1 Points'!T$2</f>
        <v>0</v>
      </c>
      <c r="O58" s="37">
        <f>'Round 1 Data'!O58*'Round 1 Points'!U$2</f>
        <v>0</v>
      </c>
      <c r="P58" s="37">
        <f>'Round 1 Data'!P58*'Round 1 Points'!V$2</f>
        <v>0</v>
      </c>
      <c r="Q58" s="37">
        <f>'Round 1 Data'!Q58*'Round 1 Points'!W$2</f>
        <v>0</v>
      </c>
      <c r="R58" s="37">
        <f>'Round 1 Data'!R58*'Round 1 Points'!X$2</f>
        <v>0</v>
      </c>
      <c r="S58" s="37">
        <f>'Round 1 Data'!S58*'Round 1 Points'!Y$2</f>
        <v>0</v>
      </c>
      <c r="T58" s="38">
        <f t="shared" si="0"/>
        <v>22.200000000000003</v>
      </c>
      <c r="U58" s="37">
        <f>'Round 1 Data'!U58*'Round 1 Points'!$Z$2</f>
        <v>0</v>
      </c>
      <c r="V58" s="36">
        <f>IF('Round 1 Data'!D58='Round 1 Points'!$K$1,'Round 1 Points'!$K$2*D58/80,0)</f>
        <v>0</v>
      </c>
      <c r="W58">
        <f t="shared" si="1"/>
        <v>22.200000000000003</v>
      </c>
    </row>
    <row r="59" spans="1:23" x14ac:dyDescent="0.2">
      <c r="A59" s="36" t="s">
        <v>166</v>
      </c>
      <c r="B59" s="36" t="str" cm="1">
        <f t="array" ref="B59:C59">_xlfn.XLOOKUP(A59,'Player List'!$A$2:$A$177,'Player List'!$B$2:$C$177)</f>
        <v>England</v>
      </c>
      <c r="C59" s="36" t="str">
        <v>Back Three</v>
      </c>
      <c r="D59" s="37">
        <v>16</v>
      </c>
      <c r="F59" s="37">
        <v>2</v>
      </c>
      <c r="G59" s="37">
        <f>'Round 1 Data'!G59*'Round 1 Points'!M$2</f>
        <v>0</v>
      </c>
      <c r="H59" s="37">
        <f>'Round 1 Data'!H59*'Round 1 Points'!N$2</f>
        <v>0</v>
      </c>
      <c r="I59" s="37">
        <f>'Round 1 Data'!I59*'Round 1 Points'!O$2</f>
        <v>3.6</v>
      </c>
      <c r="J59" s="37">
        <f>'Round 1 Data'!J59*'Round 1 Points'!P$2</f>
        <v>0</v>
      </c>
      <c r="K59" s="37">
        <f>'Round 1 Data'!K59*'Round 1 Points'!Q$2</f>
        <v>0</v>
      </c>
      <c r="L59" s="37">
        <f>'Round 1 Data'!L59*'Round 1 Points'!R$2</f>
        <v>0</v>
      </c>
      <c r="M59" s="37">
        <f>'Round 1 Data'!M59*'Round 1 Points'!S$2</f>
        <v>0</v>
      </c>
      <c r="N59" s="37">
        <f>'Round 1 Data'!N59*'Round 1 Points'!T$2</f>
        <v>0</v>
      </c>
      <c r="O59" s="37">
        <f>'Round 1 Data'!O59*'Round 1 Points'!U$2</f>
        <v>0</v>
      </c>
      <c r="P59" s="37">
        <f>'Round 1 Data'!P59*'Round 1 Points'!V$2</f>
        <v>0</v>
      </c>
      <c r="Q59" s="37">
        <f>'Round 1 Data'!Q59*'Round 1 Points'!W$2</f>
        <v>0</v>
      </c>
      <c r="R59" s="37">
        <f>'Round 1 Data'!R59*'Round 1 Points'!X$2</f>
        <v>0</v>
      </c>
      <c r="S59" s="37">
        <f>'Round 1 Data'!S59*'Round 1 Points'!Y$2</f>
        <v>0</v>
      </c>
      <c r="T59" s="38">
        <f t="shared" si="0"/>
        <v>5.6</v>
      </c>
      <c r="U59" s="37">
        <f>'Round 1 Data'!U59*'Round 1 Points'!$Z$2</f>
        <v>0</v>
      </c>
      <c r="V59" s="36">
        <f>IF('Round 1 Data'!D59='Round 1 Points'!$K$1,'Round 1 Points'!$K$2*D59/80,0)</f>
        <v>0</v>
      </c>
      <c r="W59">
        <f t="shared" si="1"/>
        <v>5.6</v>
      </c>
    </row>
    <row r="60" spans="1:23" x14ac:dyDescent="0.2">
      <c r="A60" s="36" t="s">
        <v>84</v>
      </c>
      <c r="B60" s="36" t="str" cm="1">
        <f t="array" ref="B60:C60">_xlfn.XLOOKUP(A60,'Player List'!$A$2:$A$177,'Player List'!$B$2:$C$177)</f>
        <v>England</v>
      </c>
      <c r="C60" s="36" t="str">
        <v>Centre</v>
      </c>
      <c r="D60" s="37">
        <v>80</v>
      </c>
      <c r="F60" s="37">
        <v>3</v>
      </c>
      <c r="G60" s="37">
        <f>'Round 1 Data'!G60*'Round 1 Points'!M$2</f>
        <v>0</v>
      </c>
      <c r="H60" s="37">
        <f>'Round 1 Data'!H60*'Round 1 Points'!N$2</f>
        <v>0</v>
      </c>
      <c r="I60" s="37">
        <f>'Round 1 Data'!I60*'Round 1 Points'!O$2</f>
        <v>11.200000000000001</v>
      </c>
      <c r="J60" s="37">
        <f>'Round 1 Data'!J60*'Round 1 Points'!P$2</f>
        <v>0</v>
      </c>
      <c r="K60" s="37">
        <f>'Round 1 Data'!K60*'Round 1 Points'!Q$2</f>
        <v>0</v>
      </c>
      <c r="L60" s="37">
        <f>'Round 1 Data'!L60*'Round 1 Points'!R$2</f>
        <v>0</v>
      </c>
      <c r="M60" s="37">
        <f>'Round 1 Data'!M60*'Round 1 Points'!S$2</f>
        <v>0</v>
      </c>
      <c r="N60" s="37">
        <f>'Round 1 Data'!N60*'Round 1 Points'!T$2</f>
        <v>0</v>
      </c>
      <c r="O60" s="37">
        <f>'Round 1 Data'!O60*'Round 1 Points'!U$2</f>
        <v>2</v>
      </c>
      <c r="P60" s="37">
        <f>'Round 1 Data'!P60*'Round 1 Points'!V$2</f>
        <v>10</v>
      </c>
      <c r="Q60" s="37">
        <f>'Round 1 Data'!Q60*'Round 1 Points'!W$2</f>
        <v>0</v>
      </c>
      <c r="R60" s="37">
        <f>'Round 1 Data'!R60*'Round 1 Points'!X$2</f>
        <v>0</v>
      </c>
      <c r="S60" s="37">
        <f>'Round 1 Data'!S60*'Round 1 Points'!Y$2</f>
        <v>0</v>
      </c>
      <c r="T60" s="38">
        <f t="shared" si="0"/>
        <v>26.200000000000003</v>
      </c>
      <c r="U60" s="37">
        <f>'Round 1 Data'!U60*'Round 1 Points'!$Z$2</f>
        <v>0</v>
      </c>
      <c r="V60" s="36">
        <f>IF('Round 1 Data'!D60='Round 1 Points'!$K$1,'Round 1 Points'!$K$2*D60/80,0)</f>
        <v>0</v>
      </c>
      <c r="W60">
        <f t="shared" si="1"/>
        <v>26.200000000000003</v>
      </c>
    </row>
    <row r="61" spans="1:23" x14ac:dyDescent="0.2">
      <c r="A61" s="36" t="s">
        <v>85</v>
      </c>
      <c r="B61" s="36" t="str" cm="1">
        <f t="array" ref="B61:C61">_xlfn.XLOOKUP(A61,'Player List'!$A$2:$A$177,'Player List'!$B$2:$C$177)</f>
        <v>England</v>
      </c>
      <c r="C61" s="36" t="str">
        <v>Centre</v>
      </c>
      <c r="D61" s="37">
        <v>4</v>
      </c>
      <c r="F61" s="37"/>
      <c r="G61" s="37">
        <f>'Round 1 Data'!G61*'Round 1 Points'!M$2</f>
        <v>0</v>
      </c>
      <c r="H61" s="37">
        <f>'Round 1 Data'!H61*'Round 1 Points'!N$2</f>
        <v>0</v>
      </c>
      <c r="I61" s="37">
        <f>'Round 1 Data'!I61*'Round 1 Points'!O$2</f>
        <v>2</v>
      </c>
      <c r="J61" s="37">
        <f>'Round 1 Data'!J61*'Round 1 Points'!P$2</f>
        <v>0</v>
      </c>
      <c r="K61" s="37">
        <f>'Round 1 Data'!K61*'Round 1 Points'!Q$2</f>
        <v>0</v>
      </c>
      <c r="L61" s="37">
        <f>'Round 1 Data'!L61*'Round 1 Points'!R$2</f>
        <v>0</v>
      </c>
      <c r="M61" s="37">
        <f>'Round 1 Data'!M61*'Round 1 Points'!S$2</f>
        <v>0</v>
      </c>
      <c r="N61" s="37">
        <f>'Round 1 Data'!N61*'Round 1 Points'!T$2</f>
        <v>0</v>
      </c>
      <c r="O61" s="37">
        <f>'Round 1 Data'!O61*'Round 1 Points'!U$2</f>
        <v>0</v>
      </c>
      <c r="P61" s="37">
        <f>'Round 1 Data'!P61*'Round 1 Points'!V$2</f>
        <v>0</v>
      </c>
      <c r="Q61" s="37">
        <f>'Round 1 Data'!Q61*'Round 1 Points'!W$2</f>
        <v>0</v>
      </c>
      <c r="R61" s="37">
        <f>'Round 1 Data'!R61*'Round 1 Points'!X$2</f>
        <v>0</v>
      </c>
      <c r="S61" s="37">
        <f>'Round 1 Data'!S61*'Round 1 Points'!Y$2</f>
        <v>0</v>
      </c>
      <c r="T61" s="38">
        <f t="shared" si="0"/>
        <v>2</v>
      </c>
      <c r="U61" s="37">
        <f>'Round 1 Data'!U61*'Round 1 Points'!$Z$2</f>
        <v>0</v>
      </c>
      <c r="V61" s="36">
        <f>IF('Round 1 Data'!D61='Round 1 Points'!$K$1,'Round 1 Points'!$K$2*D61/80,0)</f>
        <v>0</v>
      </c>
      <c r="W61">
        <f t="shared" si="1"/>
        <v>2</v>
      </c>
    </row>
    <row r="62" spans="1:23" x14ac:dyDescent="0.2">
      <c r="A62" s="36" t="s">
        <v>185</v>
      </c>
      <c r="B62" s="36" t="str" cm="1">
        <f t="array" ref="B62:C62">_xlfn.XLOOKUP(A62,'Player List'!$A$2:$A$177,'Player List'!$B$2:$C$177)</f>
        <v>England</v>
      </c>
      <c r="C62" s="36" t="str">
        <v>Centre</v>
      </c>
      <c r="D62" s="37">
        <v>76</v>
      </c>
      <c r="F62" s="37">
        <v>6</v>
      </c>
      <c r="G62" s="37">
        <f>'Round 1 Data'!G62*'Round 1 Points'!M$2</f>
        <v>0</v>
      </c>
      <c r="H62" s="37">
        <f>'Round 1 Data'!H62*'Round 1 Points'!N$2</f>
        <v>0</v>
      </c>
      <c r="I62" s="37">
        <f>'Round 1 Data'!I62*'Round 1 Points'!O$2</f>
        <v>11.600000000000001</v>
      </c>
      <c r="J62" s="37">
        <f>'Round 1 Data'!J62*'Round 1 Points'!P$2</f>
        <v>0</v>
      </c>
      <c r="K62" s="37">
        <f>'Round 1 Data'!K62*'Round 1 Points'!Q$2</f>
        <v>0</v>
      </c>
      <c r="L62" s="37">
        <f>'Round 1 Data'!L62*'Round 1 Points'!R$2</f>
        <v>0</v>
      </c>
      <c r="M62" s="37">
        <f>'Round 1 Data'!M62*'Round 1 Points'!S$2</f>
        <v>0</v>
      </c>
      <c r="N62" s="37">
        <f>'Round 1 Data'!N62*'Round 1 Points'!T$2</f>
        <v>0</v>
      </c>
      <c r="O62" s="37">
        <f>'Round 1 Data'!O62*'Round 1 Points'!U$2</f>
        <v>0</v>
      </c>
      <c r="P62" s="37">
        <f>'Round 1 Data'!P62*'Round 1 Points'!V$2</f>
        <v>0</v>
      </c>
      <c r="Q62" s="37">
        <f>'Round 1 Data'!Q62*'Round 1 Points'!W$2</f>
        <v>0</v>
      </c>
      <c r="R62" s="37">
        <f>'Round 1 Data'!R62*'Round 1 Points'!X$2</f>
        <v>0</v>
      </c>
      <c r="S62" s="37">
        <f>'Round 1 Data'!S62*'Round 1 Points'!Y$2</f>
        <v>0</v>
      </c>
      <c r="T62" s="38">
        <f t="shared" si="0"/>
        <v>17.600000000000001</v>
      </c>
      <c r="U62" s="37">
        <f>'Round 1 Data'!U62*'Round 1 Points'!$Z$2</f>
        <v>0</v>
      </c>
      <c r="V62" s="36">
        <f>IF('Round 1 Data'!D62='Round 1 Points'!$K$1,'Round 1 Points'!$K$2*D62/80,0)</f>
        <v>0</v>
      </c>
      <c r="W62">
        <f t="shared" si="1"/>
        <v>17.600000000000001</v>
      </c>
    </row>
    <row r="63" spans="1:23" x14ac:dyDescent="0.2">
      <c r="A63" s="36" t="s">
        <v>87</v>
      </c>
      <c r="B63" s="36" t="str" cm="1">
        <f t="array" ref="B63:C63">_xlfn.XLOOKUP(A63,'Player List'!$A$2:$A$177,'Player List'!$B$2:$C$177)</f>
        <v>England</v>
      </c>
      <c r="C63" s="36" t="str">
        <v>Fly Half</v>
      </c>
      <c r="D63" s="37">
        <v>80</v>
      </c>
      <c r="F63" s="37">
        <v>6</v>
      </c>
      <c r="G63" s="37">
        <f>'Round 1 Data'!G63*'Round 1 Points'!M$2</f>
        <v>0</v>
      </c>
      <c r="H63" s="37">
        <f>'Round 1 Data'!H63*'Round 1 Points'!N$2</f>
        <v>0</v>
      </c>
      <c r="I63" s="37">
        <f>'Round 1 Data'!I63*'Round 1 Points'!O$2</f>
        <v>22.400000000000002</v>
      </c>
      <c r="J63" s="37">
        <f>'Round 1 Data'!J63*'Round 1 Points'!P$2</f>
        <v>0</v>
      </c>
      <c r="K63" s="37">
        <f>'Round 1 Data'!K63*'Round 1 Points'!Q$2</f>
        <v>0</v>
      </c>
      <c r="L63" s="37">
        <f>'Round 1 Data'!L63*'Round 1 Points'!R$2</f>
        <v>0</v>
      </c>
      <c r="M63" s="37">
        <f>'Round 1 Data'!M63*'Round 1 Points'!S$2</f>
        <v>0</v>
      </c>
      <c r="N63" s="37">
        <f>'Round 1 Data'!N63*'Round 1 Points'!T$2</f>
        <v>7</v>
      </c>
      <c r="O63" s="37">
        <f>'Round 1 Data'!O63*'Round 1 Points'!U$2</f>
        <v>0</v>
      </c>
      <c r="P63" s="37">
        <f>'Round 1 Data'!P63*'Round 1 Points'!V$2</f>
        <v>0</v>
      </c>
      <c r="Q63" s="37">
        <f>'Round 1 Data'!Q63*'Round 1 Points'!W$2</f>
        <v>0</v>
      </c>
      <c r="R63" s="37">
        <f>'Round 1 Data'!R63*'Round 1 Points'!X$2</f>
        <v>0</v>
      </c>
      <c r="S63" s="37">
        <f>'Round 1 Data'!S63*'Round 1 Points'!Y$2</f>
        <v>0</v>
      </c>
      <c r="T63" s="38">
        <f t="shared" si="0"/>
        <v>35.400000000000006</v>
      </c>
      <c r="U63" s="37">
        <f>'Round 1 Data'!U63*'Round 1 Points'!$Z$2</f>
        <v>0</v>
      </c>
      <c r="V63" s="36">
        <f>IF('Round 1 Data'!D63='Round 1 Points'!$K$1,'Round 1 Points'!$K$2*D63/80,0)</f>
        <v>0</v>
      </c>
      <c r="W63">
        <f t="shared" si="1"/>
        <v>35.400000000000006</v>
      </c>
    </row>
    <row r="64" spans="1:23" x14ac:dyDescent="0.2">
      <c r="A64" s="36" t="s">
        <v>89</v>
      </c>
      <c r="B64" s="36" t="str" cm="1">
        <f t="array" ref="B64:C64">_xlfn.XLOOKUP(A64,'Player List'!$A$2:$A$177,'Player List'!$B$2:$C$177)</f>
        <v>England</v>
      </c>
      <c r="C64" s="36" t="str">
        <v>Scrum Half</v>
      </c>
      <c r="D64" s="37">
        <v>58</v>
      </c>
      <c r="F64" s="37">
        <v>3</v>
      </c>
      <c r="G64" s="37">
        <f>'Round 1 Data'!G64*'Round 1 Points'!M$2</f>
        <v>0</v>
      </c>
      <c r="H64" s="37">
        <f>'Round 1 Data'!H64*'Round 1 Points'!N$2</f>
        <v>7</v>
      </c>
      <c r="I64" s="37">
        <f>'Round 1 Data'!I64*'Round 1 Points'!O$2</f>
        <v>4</v>
      </c>
      <c r="J64" s="37">
        <f>'Round 1 Data'!J64*'Round 1 Points'!P$2</f>
        <v>0</v>
      </c>
      <c r="K64" s="37">
        <f>'Round 1 Data'!K64*'Round 1 Points'!Q$2</f>
        <v>0</v>
      </c>
      <c r="L64" s="37">
        <f>'Round 1 Data'!L64*'Round 1 Points'!R$2</f>
        <v>0</v>
      </c>
      <c r="M64" s="37">
        <f>'Round 1 Data'!M64*'Round 1 Points'!S$2</f>
        <v>0</v>
      </c>
      <c r="N64" s="37">
        <f>'Round 1 Data'!N64*'Round 1 Points'!T$2</f>
        <v>7</v>
      </c>
      <c r="O64" s="37">
        <f>'Round 1 Data'!O64*'Round 1 Points'!U$2</f>
        <v>0</v>
      </c>
      <c r="P64" s="37">
        <f>'Round 1 Data'!P64*'Round 1 Points'!V$2</f>
        <v>0</v>
      </c>
      <c r="Q64" s="37">
        <f>'Round 1 Data'!Q64*'Round 1 Points'!W$2</f>
        <v>0</v>
      </c>
      <c r="R64" s="37">
        <f>'Round 1 Data'!R64*'Round 1 Points'!X$2</f>
        <v>0</v>
      </c>
      <c r="S64" s="37">
        <f>'Round 1 Data'!S64*'Round 1 Points'!Y$2</f>
        <v>0</v>
      </c>
      <c r="T64" s="38">
        <f t="shared" si="0"/>
        <v>21</v>
      </c>
      <c r="U64" s="37">
        <f>'Round 1 Data'!U64*'Round 1 Points'!$Z$2</f>
        <v>0</v>
      </c>
      <c r="V64" s="36">
        <f>IF('Round 1 Data'!D64='Round 1 Points'!$K$1,'Round 1 Points'!$K$2*D64/80,0)</f>
        <v>0</v>
      </c>
      <c r="W64">
        <f t="shared" si="1"/>
        <v>21</v>
      </c>
    </row>
    <row r="65" spans="1:23" x14ac:dyDescent="0.2">
      <c r="A65" s="36" t="s">
        <v>186</v>
      </c>
      <c r="B65" s="36" t="str" cm="1">
        <f t="array" ref="B65:C65">_xlfn.XLOOKUP(A65,'Player List'!$A$2:$A$177,'Player List'!$B$2:$C$177)</f>
        <v>England</v>
      </c>
      <c r="C65" s="36" t="str">
        <v>Scrum Half</v>
      </c>
      <c r="D65" s="37">
        <v>22</v>
      </c>
      <c r="F65" s="37">
        <v>1</v>
      </c>
      <c r="G65" s="37">
        <f>'Round 1 Data'!G65*'Round 1 Points'!M$2</f>
        <v>0</v>
      </c>
      <c r="H65" s="37">
        <f>'Round 1 Data'!H65*'Round 1 Points'!N$2</f>
        <v>0</v>
      </c>
      <c r="I65" s="37">
        <f>'Round 1 Data'!I65*'Round 1 Points'!O$2</f>
        <v>5</v>
      </c>
      <c r="J65" s="37">
        <f>'Round 1 Data'!J65*'Round 1 Points'!P$2</f>
        <v>0</v>
      </c>
      <c r="K65" s="37">
        <f>'Round 1 Data'!K65*'Round 1 Points'!Q$2</f>
        <v>0</v>
      </c>
      <c r="L65" s="37">
        <f>'Round 1 Data'!L65*'Round 1 Points'!R$2</f>
        <v>0</v>
      </c>
      <c r="M65" s="37">
        <f>'Round 1 Data'!M65*'Round 1 Points'!S$2</f>
        <v>0</v>
      </c>
      <c r="N65" s="37">
        <f>'Round 1 Data'!N65*'Round 1 Points'!T$2</f>
        <v>0</v>
      </c>
      <c r="O65" s="37">
        <f>'Round 1 Data'!O65*'Round 1 Points'!U$2</f>
        <v>0</v>
      </c>
      <c r="P65" s="37">
        <f>'Round 1 Data'!P65*'Round 1 Points'!V$2</f>
        <v>0</v>
      </c>
      <c r="Q65" s="37">
        <f>'Round 1 Data'!Q65*'Round 1 Points'!W$2</f>
        <v>0</v>
      </c>
      <c r="R65" s="37">
        <f>'Round 1 Data'!R65*'Round 1 Points'!X$2</f>
        <v>0</v>
      </c>
      <c r="S65" s="37">
        <f>'Round 1 Data'!S65*'Round 1 Points'!Y$2</f>
        <v>0</v>
      </c>
      <c r="T65" s="38">
        <f t="shared" si="0"/>
        <v>6</v>
      </c>
      <c r="U65" s="37">
        <f>'Round 1 Data'!U65*'Round 1 Points'!$Z$2</f>
        <v>0</v>
      </c>
      <c r="V65" s="36">
        <f>IF('Round 1 Data'!D65='Round 1 Points'!$K$1,'Round 1 Points'!$K$2*D65/80,0)</f>
        <v>0</v>
      </c>
      <c r="W65">
        <f t="shared" si="1"/>
        <v>6</v>
      </c>
    </row>
    <row r="66" spans="1:23" x14ac:dyDescent="0.2">
      <c r="A66" s="36" t="s">
        <v>167</v>
      </c>
      <c r="B66" s="36" t="str" cm="1">
        <f t="array" ref="B66:C66">_xlfn.XLOOKUP(A66,'Player List'!$A$2:$A$177,'Player List'!$B$2:$C$177)</f>
        <v>England</v>
      </c>
      <c r="C66" s="36" t="str">
        <v>Back Row</v>
      </c>
      <c r="D66" s="37">
        <v>61</v>
      </c>
      <c r="F66" s="37">
        <v>9</v>
      </c>
      <c r="G66" s="37">
        <f>'Round 1 Data'!G66*'Round 1 Points'!M$2</f>
        <v>28</v>
      </c>
      <c r="H66" s="37">
        <f>'Round 1 Data'!H66*'Round 1 Points'!N$2</f>
        <v>0</v>
      </c>
      <c r="I66" s="37">
        <f>'Round 1 Data'!I66*'Round 1 Points'!O$2</f>
        <v>7.4</v>
      </c>
      <c r="J66" s="37">
        <f>'Round 1 Data'!J66*'Round 1 Points'!P$2</f>
        <v>0</v>
      </c>
      <c r="K66" s="37">
        <f>'Round 1 Data'!K66*'Round 1 Points'!Q$2</f>
        <v>0</v>
      </c>
      <c r="L66" s="37">
        <f>'Round 1 Data'!L66*'Round 1 Points'!R$2</f>
        <v>0</v>
      </c>
      <c r="M66" s="37">
        <f>'Round 1 Data'!M66*'Round 1 Points'!S$2</f>
        <v>0</v>
      </c>
      <c r="N66" s="37">
        <f>'Round 1 Data'!N66*'Round 1 Points'!T$2</f>
        <v>0</v>
      </c>
      <c r="O66" s="37">
        <f>'Round 1 Data'!O66*'Round 1 Points'!U$2</f>
        <v>0</v>
      </c>
      <c r="P66" s="37">
        <f>'Round 1 Data'!P66*'Round 1 Points'!V$2</f>
        <v>0</v>
      </c>
      <c r="Q66" s="37">
        <f>'Round 1 Data'!Q66*'Round 1 Points'!W$2</f>
        <v>0</v>
      </c>
      <c r="R66" s="37">
        <f>'Round 1 Data'!R66*'Round 1 Points'!X$2</f>
        <v>0</v>
      </c>
      <c r="S66" s="37">
        <f>'Round 1 Data'!S66*'Round 1 Points'!Y$2</f>
        <v>0</v>
      </c>
      <c r="T66" s="38">
        <f t="shared" si="0"/>
        <v>44.4</v>
      </c>
      <c r="U66" s="37">
        <f>'Round 1 Data'!U66*'Round 1 Points'!$Z$2</f>
        <v>0</v>
      </c>
      <c r="V66" s="36">
        <f>IF('Round 1 Data'!D66='Round 1 Points'!$K$1,'Round 1 Points'!$K$2*D66/80,0)</f>
        <v>0</v>
      </c>
      <c r="W66">
        <f t="shared" si="1"/>
        <v>44.4</v>
      </c>
    </row>
    <row r="67" spans="1:23" x14ac:dyDescent="0.2">
      <c r="A67" s="36" t="s">
        <v>90</v>
      </c>
      <c r="B67" s="36" t="str" cm="1">
        <f t="array" ref="B67:C67">_xlfn.XLOOKUP(A67,'Player List'!$A$2:$A$177,'Player List'!$B$2:$C$177)</f>
        <v>England</v>
      </c>
      <c r="C67" s="36" t="str">
        <v>Back Row</v>
      </c>
      <c r="D67" s="37">
        <v>56</v>
      </c>
      <c r="F67" s="37">
        <v>4</v>
      </c>
      <c r="G67" s="37">
        <f>'Round 1 Data'!G67*'Round 1 Points'!M$2</f>
        <v>0</v>
      </c>
      <c r="H67" s="37">
        <f>'Round 1 Data'!H67*'Round 1 Points'!N$2</f>
        <v>0</v>
      </c>
      <c r="I67" s="37">
        <f>'Round 1 Data'!I67*'Round 1 Points'!O$2</f>
        <v>12.8</v>
      </c>
      <c r="J67" s="37">
        <f>'Round 1 Data'!J67*'Round 1 Points'!P$2</f>
        <v>0</v>
      </c>
      <c r="K67" s="37">
        <f>'Round 1 Data'!K67*'Round 1 Points'!Q$2</f>
        <v>0</v>
      </c>
      <c r="L67" s="37">
        <f>'Round 1 Data'!L67*'Round 1 Points'!R$2</f>
        <v>7</v>
      </c>
      <c r="M67" s="37">
        <f>'Round 1 Data'!M67*'Round 1 Points'!S$2</f>
        <v>0</v>
      </c>
      <c r="N67" s="37">
        <f>'Round 1 Data'!N67*'Round 1 Points'!T$2</f>
        <v>0</v>
      </c>
      <c r="O67" s="37">
        <f>'Round 1 Data'!O67*'Round 1 Points'!U$2</f>
        <v>0</v>
      </c>
      <c r="P67" s="37">
        <f>'Round 1 Data'!P67*'Round 1 Points'!V$2</f>
        <v>0</v>
      </c>
      <c r="Q67" s="37">
        <f>'Round 1 Data'!Q67*'Round 1 Points'!W$2</f>
        <v>0</v>
      </c>
      <c r="R67" s="37">
        <f>'Round 1 Data'!R67*'Round 1 Points'!X$2</f>
        <v>0</v>
      </c>
      <c r="S67" s="37">
        <f>'Round 1 Data'!S67*'Round 1 Points'!Y$2</f>
        <v>0</v>
      </c>
      <c r="T67" s="38">
        <f t="shared" si="0"/>
        <v>23.8</v>
      </c>
      <c r="U67" s="37">
        <f>'Round 1 Data'!U67*'Round 1 Points'!$Z$2</f>
        <v>0</v>
      </c>
      <c r="V67" s="36">
        <f>IF('Round 1 Data'!D67='Round 1 Points'!$K$1,'Round 1 Points'!$K$2*D67/80,0)</f>
        <v>0</v>
      </c>
      <c r="W67">
        <f t="shared" si="1"/>
        <v>23.8</v>
      </c>
    </row>
    <row r="68" spans="1:23" x14ac:dyDescent="0.2">
      <c r="A68" s="36" t="s">
        <v>91</v>
      </c>
      <c r="B68" s="36" t="str" cm="1">
        <f t="array" ref="B68:C68">_xlfn.XLOOKUP(A68,'Player List'!$A$2:$A$177,'Player List'!$B$2:$C$177)</f>
        <v>England</v>
      </c>
      <c r="C68" s="36" t="str">
        <v>Back Row</v>
      </c>
      <c r="D68" s="37">
        <v>24</v>
      </c>
      <c r="F68" s="37">
        <v>2</v>
      </c>
      <c r="G68" s="37">
        <f>'Round 1 Data'!G68*'Round 1 Points'!M$2</f>
        <v>7</v>
      </c>
      <c r="H68" s="37">
        <f>'Round 1 Data'!H68*'Round 1 Points'!N$2</f>
        <v>0</v>
      </c>
      <c r="I68" s="37">
        <f>'Round 1 Data'!I68*'Round 1 Points'!O$2</f>
        <v>8.4</v>
      </c>
      <c r="J68" s="37">
        <f>'Round 1 Data'!J68*'Round 1 Points'!P$2</f>
        <v>0</v>
      </c>
      <c r="K68" s="37">
        <f>'Round 1 Data'!K68*'Round 1 Points'!Q$2</f>
        <v>0</v>
      </c>
      <c r="L68" s="37">
        <f>'Round 1 Data'!L68*'Round 1 Points'!R$2</f>
        <v>0</v>
      </c>
      <c r="M68" s="37">
        <f>'Round 1 Data'!M68*'Round 1 Points'!S$2</f>
        <v>0</v>
      </c>
      <c r="N68" s="37">
        <f>'Round 1 Data'!N68*'Round 1 Points'!T$2</f>
        <v>0</v>
      </c>
      <c r="O68" s="37">
        <f>'Round 1 Data'!O68*'Round 1 Points'!U$2</f>
        <v>0</v>
      </c>
      <c r="P68" s="37">
        <f>'Round 1 Data'!P68*'Round 1 Points'!V$2</f>
        <v>0</v>
      </c>
      <c r="Q68" s="37">
        <f>'Round 1 Data'!Q68*'Round 1 Points'!W$2</f>
        <v>0</v>
      </c>
      <c r="R68" s="37">
        <f>'Round 1 Data'!R68*'Round 1 Points'!X$2</f>
        <v>0</v>
      </c>
      <c r="S68" s="37">
        <f>'Round 1 Data'!S68*'Round 1 Points'!Y$2</f>
        <v>0</v>
      </c>
      <c r="T68" s="38">
        <f t="shared" si="0"/>
        <v>17.399999999999999</v>
      </c>
      <c r="U68" s="37">
        <f>'Round 1 Data'!U68*'Round 1 Points'!$Z$2</f>
        <v>0</v>
      </c>
      <c r="V68" s="36">
        <f>IF('Round 1 Data'!D68='Round 1 Points'!$K$1,'Round 1 Points'!$K$2*D68/80,0)</f>
        <v>0</v>
      </c>
      <c r="W68">
        <f t="shared" si="1"/>
        <v>17.399999999999999</v>
      </c>
    </row>
    <row r="69" spans="1:23" x14ac:dyDescent="0.2">
      <c r="A69" s="36" t="s">
        <v>92</v>
      </c>
      <c r="B69" s="36" t="str" cm="1">
        <f t="array" ref="B69:C69">_xlfn.XLOOKUP(A69,'Player List'!$A$2:$A$177,'Player List'!$B$2:$C$177)</f>
        <v>England</v>
      </c>
      <c r="C69" s="36" t="str">
        <v>Back Row</v>
      </c>
      <c r="D69" s="37">
        <v>80</v>
      </c>
      <c r="F69" s="37">
        <v>6</v>
      </c>
      <c r="G69" s="37">
        <f>'Round 1 Data'!G69*'Round 1 Points'!M$2</f>
        <v>7</v>
      </c>
      <c r="H69" s="37">
        <f>'Round 1 Data'!H69*'Round 1 Points'!N$2</f>
        <v>7</v>
      </c>
      <c r="I69" s="37">
        <f>'Round 1 Data'!I69*'Round 1 Points'!O$2</f>
        <v>15.4</v>
      </c>
      <c r="J69" s="37">
        <f>'Round 1 Data'!J69*'Round 1 Points'!P$2</f>
        <v>0</v>
      </c>
      <c r="K69" s="37">
        <f>'Round 1 Data'!K69*'Round 1 Points'!Q$2</f>
        <v>0</v>
      </c>
      <c r="L69" s="37">
        <f>'Round 1 Data'!L69*'Round 1 Points'!R$2</f>
        <v>0</v>
      </c>
      <c r="M69" s="37">
        <f>'Round 1 Data'!M69*'Round 1 Points'!S$2</f>
        <v>0</v>
      </c>
      <c r="N69" s="37">
        <f>'Round 1 Data'!N69*'Round 1 Points'!T$2</f>
        <v>7</v>
      </c>
      <c r="O69" s="37">
        <f>'Round 1 Data'!O69*'Round 1 Points'!U$2</f>
        <v>0</v>
      </c>
      <c r="P69" s="37">
        <f>'Round 1 Data'!P69*'Round 1 Points'!V$2</f>
        <v>0</v>
      </c>
      <c r="Q69" s="37">
        <f>'Round 1 Data'!Q69*'Round 1 Points'!W$2</f>
        <v>0</v>
      </c>
      <c r="R69" s="37">
        <f>'Round 1 Data'!R69*'Round 1 Points'!X$2</f>
        <v>0</v>
      </c>
      <c r="S69" s="37">
        <f>'Round 1 Data'!S69*'Round 1 Points'!Y$2</f>
        <v>0</v>
      </c>
      <c r="T69" s="38">
        <f t="shared" si="0"/>
        <v>42.4</v>
      </c>
      <c r="U69" s="37">
        <f>'Round 1 Data'!U69*'Round 1 Points'!$Z$2</f>
        <v>0</v>
      </c>
      <c r="V69" s="36">
        <f>IF('Round 1 Data'!D69='Round 1 Points'!$K$1,'Round 1 Points'!$K$2*D69/80,0)</f>
        <v>0</v>
      </c>
      <c r="W69">
        <f t="shared" si="1"/>
        <v>42.4</v>
      </c>
    </row>
    <row r="70" spans="1:23" x14ac:dyDescent="0.2">
      <c r="A70" s="36" t="s">
        <v>94</v>
      </c>
      <c r="B70" s="36" t="str" cm="1">
        <f t="array" ref="B70:C70">_xlfn.XLOOKUP(A70,'Player List'!$A$2:$A$177,'Player List'!$B$2:$C$177)</f>
        <v>England</v>
      </c>
      <c r="C70" s="36" t="str">
        <v>Second Row</v>
      </c>
      <c r="D70" s="37">
        <v>80</v>
      </c>
      <c r="F70" s="37">
        <v>6</v>
      </c>
      <c r="G70" s="37">
        <f>'Round 1 Data'!G70*'Round 1 Points'!M$2</f>
        <v>0</v>
      </c>
      <c r="H70" s="37">
        <f>'Round 1 Data'!H70*'Round 1 Points'!N$2</f>
        <v>0</v>
      </c>
      <c r="I70" s="37">
        <f>'Round 1 Data'!I70*'Round 1 Points'!O$2</f>
        <v>14.4</v>
      </c>
      <c r="J70" s="37">
        <f>'Round 1 Data'!J70*'Round 1 Points'!P$2</f>
        <v>0</v>
      </c>
      <c r="K70" s="37">
        <f>'Round 1 Data'!K70*'Round 1 Points'!Q$2</f>
        <v>0</v>
      </c>
      <c r="L70" s="37">
        <f>'Round 1 Data'!L70*'Round 1 Points'!R$2</f>
        <v>0</v>
      </c>
      <c r="M70" s="37">
        <f>'Round 1 Data'!M70*'Round 1 Points'!S$2</f>
        <v>0</v>
      </c>
      <c r="N70" s="37">
        <f>'Round 1 Data'!N70*'Round 1 Points'!T$2</f>
        <v>0</v>
      </c>
      <c r="O70" s="37">
        <f>'Round 1 Data'!O70*'Round 1 Points'!U$2</f>
        <v>0</v>
      </c>
      <c r="P70" s="37">
        <f>'Round 1 Data'!P70*'Round 1 Points'!V$2</f>
        <v>0</v>
      </c>
      <c r="Q70" s="37">
        <f>'Round 1 Data'!Q70*'Round 1 Points'!W$2</f>
        <v>0</v>
      </c>
      <c r="R70" s="37">
        <f>'Round 1 Data'!R70*'Round 1 Points'!X$2</f>
        <v>0</v>
      </c>
      <c r="S70" s="37">
        <f>'Round 1 Data'!S70*'Round 1 Points'!Y$2</f>
        <v>0</v>
      </c>
      <c r="T70" s="38">
        <f t="shared" si="0"/>
        <v>20.399999999999999</v>
      </c>
      <c r="U70" s="37">
        <f>'Round 1 Data'!U70*'Round 1 Points'!$Z$2</f>
        <v>0</v>
      </c>
      <c r="V70" s="36">
        <f>IF('Round 1 Data'!D70='Round 1 Points'!$K$1,'Round 1 Points'!$K$2*D70/80,0)</f>
        <v>0</v>
      </c>
      <c r="W70">
        <f t="shared" si="1"/>
        <v>20.399999999999999</v>
      </c>
    </row>
    <row r="71" spans="1:23" x14ac:dyDescent="0.2">
      <c r="A71" s="36" t="s">
        <v>95</v>
      </c>
      <c r="B71" s="36" t="str" cm="1">
        <f t="array" ref="B71:C71">_xlfn.XLOOKUP(A71,'Player List'!$A$2:$A$177,'Player List'!$B$2:$C$177)</f>
        <v>England</v>
      </c>
      <c r="C71" s="36" t="str">
        <v>Second Row</v>
      </c>
      <c r="D71" s="37">
        <v>19</v>
      </c>
      <c r="F71" s="37">
        <v>1</v>
      </c>
      <c r="G71" s="37">
        <f>'Round 1 Data'!G71*'Round 1 Points'!M$2</f>
        <v>7</v>
      </c>
      <c r="H71" s="37">
        <f>'Round 1 Data'!H71*'Round 1 Points'!N$2</f>
        <v>0</v>
      </c>
      <c r="I71" s="37">
        <f>'Round 1 Data'!I71*'Round 1 Points'!O$2</f>
        <v>0.60000000000000009</v>
      </c>
      <c r="J71" s="37">
        <f>'Round 1 Data'!J71*'Round 1 Points'!P$2</f>
        <v>0</v>
      </c>
      <c r="K71" s="37">
        <f>'Round 1 Data'!K71*'Round 1 Points'!Q$2</f>
        <v>0</v>
      </c>
      <c r="L71" s="37">
        <f>'Round 1 Data'!L71*'Round 1 Points'!R$2</f>
        <v>0</v>
      </c>
      <c r="M71" s="37">
        <f>'Round 1 Data'!M71*'Round 1 Points'!S$2</f>
        <v>0</v>
      </c>
      <c r="N71" s="37">
        <f>'Round 1 Data'!N71*'Round 1 Points'!T$2</f>
        <v>0</v>
      </c>
      <c r="O71" s="37">
        <f>'Round 1 Data'!O71*'Round 1 Points'!U$2</f>
        <v>0</v>
      </c>
      <c r="P71" s="37">
        <f>'Round 1 Data'!P71*'Round 1 Points'!V$2</f>
        <v>0</v>
      </c>
      <c r="Q71" s="37">
        <f>'Round 1 Data'!Q71*'Round 1 Points'!W$2</f>
        <v>0</v>
      </c>
      <c r="R71" s="37">
        <f>'Round 1 Data'!R71*'Round 1 Points'!X$2</f>
        <v>0</v>
      </c>
      <c r="S71" s="37">
        <f>'Round 1 Data'!S71*'Round 1 Points'!Y$2</f>
        <v>0</v>
      </c>
      <c r="T71" s="38">
        <f t="shared" si="0"/>
        <v>8.6</v>
      </c>
      <c r="U71" s="37">
        <f>'Round 1 Data'!U71*'Round 1 Points'!$Z$2</f>
        <v>0</v>
      </c>
      <c r="V71" s="36">
        <f>IF('Round 1 Data'!D71='Round 1 Points'!$K$1,'Round 1 Points'!$K$2*D71/80,0)</f>
        <v>0</v>
      </c>
      <c r="W71">
        <f t="shared" si="1"/>
        <v>8.6</v>
      </c>
    </row>
    <row r="72" spans="1:23" x14ac:dyDescent="0.2">
      <c r="A72" s="36" t="s">
        <v>96</v>
      </c>
      <c r="B72" s="36" t="str" cm="1">
        <f t="array" ref="B72:C72">_xlfn.XLOOKUP(A72,'Player List'!$A$2:$A$177,'Player List'!$B$2:$C$177)</f>
        <v>England</v>
      </c>
      <c r="C72" s="36" t="str">
        <v>Second Row</v>
      </c>
      <c r="D72" s="37">
        <v>80</v>
      </c>
      <c r="F72" s="37">
        <v>10</v>
      </c>
      <c r="G72" s="37">
        <f>'Round 1 Data'!G72*'Round 1 Points'!M$2</f>
        <v>14</v>
      </c>
      <c r="H72" s="37">
        <f>'Round 1 Data'!H72*'Round 1 Points'!N$2</f>
        <v>0</v>
      </c>
      <c r="I72" s="37">
        <f>'Round 1 Data'!I72*'Round 1 Points'!O$2</f>
        <v>2.2000000000000002</v>
      </c>
      <c r="J72" s="37">
        <f>'Round 1 Data'!J72*'Round 1 Points'!P$2</f>
        <v>0</v>
      </c>
      <c r="K72" s="37">
        <f>'Round 1 Data'!K72*'Round 1 Points'!Q$2</f>
        <v>0</v>
      </c>
      <c r="L72" s="37">
        <f>'Round 1 Data'!L72*'Round 1 Points'!R$2</f>
        <v>0</v>
      </c>
      <c r="M72" s="37">
        <f>'Round 1 Data'!M72*'Round 1 Points'!S$2</f>
        <v>0</v>
      </c>
      <c r="N72" s="37">
        <f>'Round 1 Data'!N72*'Round 1 Points'!T$2</f>
        <v>0</v>
      </c>
      <c r="O72" s="37">
        <f>'Round 1 Data'!O72*'Round 1 Points'!U$2</f>
        <v>0</v>
      </c>
      <c r="P72" s="37">
        <f>'Round 1 Data'!P72*'Round 1 Points'!V$2</f>
        <v>0</v>
      </c>
      <c r="Q72" s="37">
        <f>'Round 1 Data'!Q72*'Round 1 Points'!W$2</f>
        <v>0</v>
      </c>
      <c r="R72" s="37">
        <f>'Round 1 Data'!R72*'Round 1 Points'!X$2</f>
        <v>0</v>
      </c>
      <c r="S72" s="37">
        <f>'Round 1 Data'!S72*'Round 1 Points'!Y$2</f>
        <v>0</v>
      </c>
      <c r="T72" s="38">
        <f t="shared" si="0"/>
        <v>26.2</v>
      </c>
      <c r="U72" s="37">
        <f>'Round 1 Data'!U72*'Round 1 Points'!$Z$2</f>
        <v>0</v>
      </c>
      <c r="V72" s="36">
        <f>IF('Round 1 Data'!D72='Round 1 Points'!$K$1,'Round 1 Points'!$K$2*D72/80,0)</f>
        <v>0</v>
      </c>
      <c r="W72">
        <f t="shared" si="1"/>
        <v>26.2</v>
      </c>
    </row>
    <row r="73" spans="1:23" x14ac:dyDescent="0.2">
      <c r="A73" s="36" t="s">
        <v>97</v>
      </c>
      <c r="B73" s="36" t="str" cm="1">
        <f t="array" ref="B73:C73">_xlfn.XLOOKUP(A73,'Player List'!$A$2:$A$177,'Player List'!$B$2:$C$177)</f>
        <v>England</v>
      </c>
      <c r="C73" s="36" t="str">
        <v>Prop</v>
      </c>
      <c r="D73" s="37">
        <v>19</v>
      </c>
      <c r="F73" s="37">
        <v>1</v>
      </c>
      <c r="G73" s="37">
        <f>'Round 1 Data'!G73*'Round 1 Points'!M$2</f>
        <v>0</v>
      </c>
      <c r="H73" s="37">
        <f>'Round 1 Data'!H73*'Round 1 Points'!N$2</f>
        <v>0</v>
      </c>
      <c r="I73" s="37">
        <f>'Round 1 Data'!I73*'Round 1 Points'!O$2</f>
        <v>0</v>
      </c>
      <c r="J73" s="37">
        <f>'Round 1 Data'!J73*'Round 1 Points'!P$2</f>
        <v>0</v>
      </c>
      <c r="K73" s="37">
        <f>'Round 1 Data'!K73*'Round 1 Points'!Q$2</f>
        <v>0</v>
      </c>
      <c r="L73" s="37">
        <f>'Round 1 Data'!L73*'Round 1 Points'!R$2</f>
        <v>0</v>
      </c>
      <c r="M73" s="37">
        <f>'Round 1 Data'!M73*'Round 1 Points'!S$2</f>
        <v>0</v>
      </c>
      <c r="N73" s="37">
        <f>'Round 1 Data'!N73*'Round 1 Points'!T$2</f>
        <v>0</v>
      </c>
      <c r="O73" s="37">
        <f>'Round 1 Data'!O73*'Round 1 Points'!U$2</f>
        <v>0</v>
      </c>
      <c r="P73" s="37">
        <f>'Round 1 Data'!P73*'Round 1 Points'!V$2</f>
        <v>0</v>
      </c>
      <c r="Q73" s="37">
        <f>'Round 1 Data'!Q73*'Round 1 Points'!W$2</f>
        <v>0</v>
      </c>
      <c r="R73" s="37">
        <f>'Round 1 Data'!R73*'Round 1 Points'!X$2</f>
        <v>0</v>
      </c>
      <c r="S73" s="37">
        <f>'Round 1 Data'!S73*'Round 1 Points'!Y$2</f>
        <v>0</v>
      </c>
      <c r="T73" s="38">
        <f t="shared" si="0"/>
        <v>1</v>
      </c>
      <c r="U73" s="37">
        <f>'Round 1 Data'!U73*'Round 1 Points'!$Z$2</f>
        <v>0</v>
      </c>
      <c r="V73" s="36">
        <f>IF('Round 1 Data'!D73='Round 1 Points'!$K$1,'Round 1 Points'!$K$2*D73/80,0)</f>
        <v>0</v>
      </c>
      <c r="W73">
        <f t="shared" si="1"/>
        <v>1</v>
      </c>
    </row>
    <row r="74" spans="1:23" x14ac:dyDescent="0.2">
      <c r="A74" s="36" t="s">
        <v>98</v>
      </c>
      <c r="B74" s="36" t="str" cm="1">
        <f t="array" ref="B74:C74">_xlfn.XLOOKUP(A74,'Player List'!$A$2:$A$177,'Player List'!$B$2:$C$177)</f>
        <v>England</v>
      </c>
      <c r="C74" s="36" t="str">
        <v>Prop</v>
      </c>
      <c r="D74" s="37">
        <v>61</v>
      </c>
      <c r="F74" s="37">
        <v>3</v>
      </c>
      <c r="G74" s="37">
        <f>'Round 1 Data'!G74*'Round 1 Points'!M$2</f>
        <v>0</v>
      </c>
      <c r="H74" s="37">
        <f>'Round 1 Data'!H74*'Round 1 Points'!N$2</f>
        <v>0</v>
      </c>
      <c r="I74" s="37">
        <f>'Round 1 Data'!I74*'Round 1 Points'!O$2</f>
        <v>16.600000000000001</v>
      </c>
      <c r="J74" s="37">
        <f>'Round 1 Data'!J74*'Round 1 Points'!P$2</f>
        <v>0</v>
      </c>
      <c r="K74" s="37">
        <f>'Round 1 Data'!K74*'Round 1 Points'!Q$2</f>
        <v>0</v>
      </c>
      <c r="L74" s="37">
        <f>'Round 1 Data'!L74*'Round 1 Points'!R$2</f>
        <v>0</v>
      </c>
      <c r="M74" s="37">
        <f>'Round 1 Data'!M74*'Round 1 Points'!S$2</f>
        <v>15</v>
      </c>
      <c r="N74" s="37">
        <f>'Round 1 Data'!N74*'Round 1 Points'!T$2</f>
        <v>0</v>
      </c>
      <c r="O74" s="37">
        <f>'Round 1 Data'!O74*'Round 1 Points'!U$2</f>
        <v>0</v>
      </c>
      <c r="P74" s="37">
        <f>'Round 1 Data'!P74*'Round 1 Points'!V$2</f>
        <v>0</v>
      </c>
      <c r="Q74" s="37">
        <f>'Round 1 Data'!Q74*'Round 1 Points'!W$2</f>
        <v>0</v>
      </c>
      <c r="R74" s="37">
        <f>'Round 1 Data'!R74*'Round 1 Points'!X$2</f>
        <v>0</v>
      </c>
      <c r="S74" s="37">
        <f>'Round 1 Data'!S74*'Round 1 Points'!Y$2</f>
        <v>0</v>
      </c>
      <c r="T74" s="38">
        <f t="shared" si="0"/>
        <v>34.6</v>
      </c>
      <c r="U74" s="37">
        <f>'Round 1 Data'!U74*'Round 1 Points'!$Z$2</f>
        <v>0</v>
      </c>
      <c r="V74" s="36">
        <f>IF('Round 1 Data'!D74='Round 1 Points'!$K$1,'Round 1 Points'!$K$2*D74/80,0)</f>
        <v>0</v>
      </c>
      <c r="W74">
        <f t="shared" si="1"/>
        <v>34.6</v>
      </c>
    </row>
    <row r="75" spans="1:23" x14ac:dyDescent="0.2">
      <c r="A75" s="36" t="s">
        <v>99</v>
      </c>
      <c r="B75" s="36" t="str" cm="1">
        <f t="array" ref="B75:C75">_xlfn.XLOOKUP(A75,'Player List'!$A$2:$A$177,'Player List'!$B$2:$C$177)</f>
        <v>England</v>
      </c>
      <c r="C75" s="36" t="str">
        <v>Prop</v>
      </c>
      <c r="D75" s="37">
        <v>61</v>
      </c>
      <c r="F75" s="37">
        <v>5</v>
      </c>
      <c r="G75" s="37">
        <f>'Round 1 Data'!G75*'Round 1 Points'!M$2</f>
        <v>7</v>
      </c>
      <c r="H75" s="37">
        <f>'Round 1 Data'!H75*'Round 1 Points'!N$2</f>
        <v>0</v>
      </c>
      <c r="I75" s="37">
        <f>'Round 1 Data'!I75*'Round 1 Points'!O$2</f>
        <v>7</v>
      </c>
      <c r="J75" s="37">
        <f>'Round 1 Data'!J75*'Round 1 Points'!P$2</f>
        <v>0</v>
      </c>
      <c r="K75" s="37">
        <f>'Round 1 Data'!K75*'Round 1 Points'!Q$2</f>
        <v>0</v>
      </c>
      <c r="L75" s="37">
        <f>'Round 1 Data'!L75*'Round 1 Points'!R$2</f>
        <v>0</v>
      </c>
      <c r="M75" s="37">
        <f>'Round 1 Data'!M75*'Round 1 Points'!S$2</f>
        <v>0</v>
      </c>
      <c r="N75" s="37">
        <f>'Round 1 Data'!N75*'Round 1 Points'!T$2</f>
        <v>0</v>
      </c>
      <c r="O75" s="37">
        <f>'Round 1 Data'!O75*'Round 1 Points'!U$2</f>
        <v>0</v>
      </c>
      <c r="P75" s="37">
        <f>'Round 1 Data'!P75*'Round 1 Points'!V$2</f>
        <v>0</v>
      </c>
      <c r="Q75" s="37">
        <f>'Round 1 Data'!Q75*'Round 1 Points'!W$2</f>
        <v>0</v>
      </c>
      <c r="R75" s="37">
        <f>'Round 1 Data'!R75*'Round 1 Points'!X$2</f>
        <v>0</v>
      </c>
      <c r="S75" s="37">
        <f>'Round 1 Data'!S75*'Round 1 Points'!Y$2</f>
        <v>0</v>
      </c>
      <c r="T75" s="38">
        <f t="shared" ref="T75:T138" si="2">SUM(F75:S75)</f>
        <v>19</v>
      </c>
      <c r="U75" s="37">
        <f>'Round 1 Data'!U75*'Round 1 Points'!$Z$2</f>
        <v>0</v>
      </c>
      <c r="V75" s="36">
        <f>IF('Round 1 Data'!D75='Round 1 Points'!$K$1,'Round 1 Points'!$K$2*D75/80,0)</f>
        <v>0</v>
      </c>
      <c r="W75">
        <f t="shared" ref="W75:W138" si="3">SUM(T75:V75)</f>
        <v>19</v>
      </c>
    </row>
    <row r="76" spans="1:23" x14ac:dyDescent="0.2">
      <c r="A76" s="36" t="s">
        <v>100</v>
      </c>
      <c r="B76" s="36" t="str" cm="1">
        <f t="array" ref="B76:C76">_xlfn.XLOOKUP(A76,'Player List'!$A$2:$A$177,'Player List'!$B$2:$C$177)</f>
        <v>England</v>
      </c>
      <c r="C76" s="36" t="str">
        <v>Prop</v>
      </c>
      <c r="D76" s="37">
        <v>19</v>
      </c>
      <c r="F76" s="37">
        <v>2</v>
      </c>
      <c r="G76" s="37">
        <f>'Round 1 Data'!G76*'Round 1 Points'!M$2</f>
        <v>0</v>
      </c>
      <c r="H76" s="37">
        <f>'Round 1 Data'!H76*'Round 1 Points'!N$2</f>
        <v>0</v>
      </c>
      <c r="I76" s="37">
        <f>'Round 1 Data'!I76*'Round 1 Points'!O$2</f>
        <v>5.4</v>
      </c>
      <c r="J76" s="37">
        <f>'Round 1 Data'!J76*'Round 1 Points'!P$2</f>
        <v>0</v>
      </c>
      <c r="K76" s="37">
        <f>'Round 1 Data'!K76*'Round 1 Points'!Q$2</f>
        <v>0</v>
      </c>
      <c r="L76" s="37">
        <f>'Round 1 Data'!L76*'Round 1 Points'!R$2</f>
        <v>0</v>
      </c>
      <c r="M76" s="37">
        <f>'Round 1 Data'!M76*'Round 1 Points'!S$2</f>
        <v>0</v>
      </c>
      <c r="N76" s="37">
        <f>'Round 1 Data'!N76*'Round 1 Points'!T$2</f>
        <v>0</v>
      </c>
      <c r="O76" s="37">
        <f>'Round 1 Data'!O76*'Round 1 Points'!U$2</f>
        <v>0</v>
      </c>
      <c r="P76" s="37">
        <f>'Round 1 Data'!P76*'Round 1 Points'!V$2</f>
        <v>0</v>
      </c>
      <c r="Q76" s="37">
        <f>'Round 1 Data'!Q76*'Round 1 Points'!W$2</f>
        <v>0</v>
      </c>
      <c r="R76" s="37">
        <f>'Round 1 Data'!R76*'Round 1 Points'!X$2</f>
        <v>0</v>
      </c>
      <c r="S76" s="37">
        <f>'Round 1 Data'!S76*'Round 1 Points'!Y$2</f>
        <v>0</v>
      </c>
      <c r="T76" s="38">
        <f t="shared" si="2"/>
        <v>7.4</v>
      </c>
      <c r="U76" s="37">
        <f>'Round 1 Data'!U76*'Round 1 Points'!$Z$2</f>
        <v>0</v>
      </c>
      <c r="V76" s="36">
        <f>IF('Round 1 Data'!D76='Round 1 Points'!$K$1,'Round 1 Points'!$K$2*D76/80,0)</f>
        <v>0</v>
      </c>
      <c r="W76">
        <f t="shared" si="3"/>
        <v>7.4</v>
      </c>
    </row>
    <row r="77" spans="1:23" x14ac:dyDescent="0.2">
      <c r="A77" s="36" t="s">
        <v>101</v>
      </c>
      <c r="B77" s="36" t="str" cm="1">
        <f t="array" ref="B77:C77">_xlfn.XLOOKUP(A77,'Player List'!$A$2:$A$177,'Player List'!$B$2:$C$177)</f>
        <v>England</v>
      </c>
      <c r="C77" s="36" t="str">
        <v>Hooker</v>
      </c>
      <c r="D77" s="37">
        <v>80</v>
      </c>
      <c r="F77" s="37">
        <v>10</v>
      </c>
      <c r="G77" s="37">
        <f>'Round 1 Data'!G77*'Round 1 Points'!M$2</f>
        <v>0</v>
      </c>
      <c r="H77" s="37">
        <f>'Round 1 Data'!H77*'Round 1 Points'!N$2</f>
        <v>0</v>
      </c>
      <c r="I77" s="37">
        <f>'Round 1 Data'!I77*'Round 1 Points'!O$2</f>
        <v>4.2</v>
      </c>
      <c r="J77" s="37">
        <f>'Round 1 Data'!J77*'Round 1 Points'!P$2</f>
        <v>0</v>
      </c>
      <c r="K77" s="37">
        <f>'Round 1 Data'!K77*'Round 1 Points'!Q$2</f>
        <v>0</v>
      </c>
      <c r="L77" s="37">
        <f>'Round 1 Data'!L77*'Round 1 Points'!R$2</f>
        <v>0</v>
      </c>
      <c r="M77" s="37">
        <f>'Round 1 Data'!M77*'Round 1 Points'!S$2</f>
        <v>0</v>
      </c>
      <c r="N77" s="37">
        <f>'Round 1 Data'!N77*'Round 1 Points'!T$2</f>
        <v>0</v>
      </c>
      <c r="O77" s="37">
        <f>'Round 1 Data'!O77*'Round 1 Points'!U$2</f>
        <v>0</v>
      </c>
      <c r="P77" s="37">
        <f>'Round 1 Data'!P77*'Round 1 Points'!V$2</f>
        <v>0</v>
      </c>
      <c r="Q77" s="37">
        <f>'Round 1 Data'!Q77*'Round 1 Points'!W$2</f>
        <v>0</v>
      </c>
      <c r="R77" s="37">
        <f>'Round 1 Data'!R77*'Round 1 Points'!X$2</f>
        <v>0</v>
      </c>
      <c r="S77" s="37">
        <f>'Round 1 Data'!S77*'Round 1 Points'!Y$2</f>
        <v>0</v>
      </c>
      <c r="T77" s="38">
        <f t="shared" si="2"/>
        <v>14.2</v>
      </c>
      <c r="U77" s="37">
        <f>'Round 1 Data'!U77*'Round 1 Points'!$Z$2</f>
        <v>0</v>
      </c>
      <c r="V77" s="36">
        <f>IF('Round 1 Data'!D77='Round 1 Points'!$K$1,'Round 1 Points'!$K$2*D77/80,0)</f>
        <v>0</v>
      </c>
      <c r="W77">
        <f t="shared" si="3"/>
        <v>14.2</v>
      </c>
    </row>
    <row r="78" spans="1:23" x14ac:dyDescent="0.2">
      <c r="A78" s="36" t="s">
        <v>34</v>
      </c>
      <c r="B78" s="36" t="str" cm="1">
        <f t="array" ref="B78:C78">_xlfn.XLOOKUP(A78,'Player List'!$A$2:$A$177,'Player List'!$B$2:$C$177)</f>
        <v>Scotland</v>
      </c>
      <c r="C78" s="36" t="str">
        <v>Back Three</v>
      </c>
      <c r="D78" s="37">
        <v>66</v>
      </c>
      <c r="F78" s="37">
        <v>3</v>
      </c>
      <c r="G78" s="37">
        <f>'Round 1 Data'!G78*'Round 1 Points'!M$2</f>
        <v>7</v>
      </c>
      <c r="H78" s="37">
        <f>'Round 1 Data'!H78*'Round 1 Points'!N$2</f>
        <v>0</v>
      </c>
      <c r="I78" s="37">
        <f>'Round 1 Data'!I78*'Round 1 Points'!O$2</f>
        <v>10.8</v>
      </c>
      <c r="J78" s="37">
        <f>'Round 1 Data'!J78*'Round 1 Points'!P$2</f>
        <v>0</v>
      </c>
      <c r="K78" s="37">
        <f>'Round 1 Data'!K78*'Round 1 Points'!Q$2</f>
        <v>0</v>
      </c>
      <c r="L78" s="37">
        <f>'Round 1 Data'!L78*'Round 1 Points'!R$2</f>
        <v>7</v>
      </c>
      <c r="M78" s="37">
        <f>'Round 1 Data'!M78*'Round 1 Points'!S$2</f>
        <v>0</v>
      </c>
      <c r="N78" s="37">
        <f>'Round 1 Data'!N78*'Round 1 Points'!T$2</f>
        <v>0</v>
      </c>
      <c r="O78" s="37">
        <f>'Round 1 Data'!O78*'Round 1 Points'!U$2</f>
        <v>0</v>
      </c>
      <c r="P78" s="37">
        <f>'Round 1 Data'!P78*'Round 1 Points'!V$2</f>
        <v>0</v>
      </c>
      <c r="Q78" s="37">
        <f>'Round 1 Data'!Q78*'Round 1 Points'!W$2</f>
        <v>0</v>
      </c>
      <c r="R78" s="37">
        <f>'Round 1 Data'!R78*'Round 1 Points'!X$2</f>
        <v>0</v>
      </c>
      <c r="S78" s="37">
        <f>'Round 1 Data'!S78*'Round 1 Points'!Y$2</f>
        <v>0</v>
      </c>
      <c r="T78" s="38">
        <f t="shared" si="2"/>
        <v>27.8</v>
      </c>
      <c r="U78" s="37">
        <f>'Round 1 Data'!U78*'Round 1 Points'!$Z$2</f>
        <v>0</v>
      </c>
      <c r="V78" s="36">
        <f>IF('Round 1 Data'!D78='Round 1 Points'!$K$1,'Round 1 Points'!$K$2*D78/80,0)</f>
        <v>6.6</v>
      </c>
      <c r="W78">
        <f t="shared" si="3"/>
        <v>34.4</v>
      </c>
    </row>
    <row r="79" spans="1:23" x14ac:dyDescent="0.2">
      <c r="A79" s="36" t="s">
        <v>35</v>
      </c>
      <c r="B79" s="36" t="str" cm="1">
        <f t="array" ref="B79:C79">_xlfn.XLOOKUP(A79,'Player List'!$A$2:$A$177,'Player List'!$B$2:$C$177)</f>
        <v>Scotland</v>
      </c>
      <c r="C79" s="36" t="str">
        <v>Back Three</v>
      </c>
      <c r="D79" s="37">
        <v>14</v>
      </c>
      <c r="F79" s="37"/>
      <c r="G79" s="37">
        <f>'Round 1 Data'!G79*'Round 1 Points'!M$2</f>
        <v>0</v>
      </c>
      <c r="H79" s="37">
        <f>'Round 1 Data'!H79*'Round 1 Points'!N$2</f>
        <v>0</v>
      </c>
      <c r="I79" s="37">
        <f>'Round 1 Data'!I79*'Round 1 Points'!O$2</f>
        <v>6.8000000000000007</v>
      </c>
      <c r="J79" s="37">
        <f>'Round 1 Data'!J79*'Round 1 Points'!P$2</f>
        <v>0</v>
      </c>
      <c r="K79" s="37">
        <f>'Round 1 Data'!K79*'Round 1 Points'!Q$2</f>
        <v>0</v>
      </c>
      <c r="L79" s="37">
        <f>'Round 1 Data'!L79*'Round 1 Points'!R$2</f>
        <v>0</v>
      </c>
      <c r="M79" s="37">
        <f>'Round 1 Data'!M79*'Round 1 Points'!S$2</f>
        <v>0</v>
      </c>
      <c r="N79" s="37">
        <f>'Round 1 Data'!N79*'Round 1 Points'!T$2</f>
        <v>0</v>
      </c>
      <c r="O79" s="37">
        <f>'Round 1 Data'!O79*'Round 1 Points'!U$2</f>
        <v>0</v>
      </c>
      <c r="P79" s="37">
        <f>'Round 1 Data'!P79*'Round 1 Points'!V$2</f>
        <v>0</v>
      </c>
      <c r="Q79" s="37">
        <f>'Round 1 Data'!Q79*'Round 1 Points'!W$2</f>
        <v>0</v>
      </c>
      <c r="R79" s="37">
        <f>'Round 1 Data'!R79*'Round 1 Points'!X$2</f>
        <v>0</v>
      </c>
      <c r="S79" s="37">
        <f>'Round 1 Data'!S79*'Round 1 Points'!Y$2</f>
        <v>0</v>
      </c>
      <c r="T79" s="38">
        <f t="shared" si="2"/>
        <v>6.8000000000000007</v>
      </c>
      <c r="U79" s="37">
        <f>'Round 1 Data'!U79*'Round 1 Points'!$Z$2</f>
        <v>0</v>
      </c>
      <c r="V79" s="36">
        <f>IF('Round 1 Data'!D79='Round 1 Points'!$K$1,'Round 1 Points'!$K$2*D79/80,0)</f>
        <v>1.4</v>
      </c>
      <c r="W79">
        <f t="shared" si="3"/>
        <v>8.2000000000000011</v>
      </c>
    </row>
    <row r="80" spans="1:23" x14ac:dyDescent="0.2">
      <c r="A80" s="36" t="s">
        <v>36</v>
      </c>
      <c r="B80" s="36" t="str" cm="1">
        <f t="array" ref="B80:C80">_xlfn.XLOOKUP(A80,'Player List'!$A$2:$A$177,'Player List'!$B$2:$C$177)</f>
        <v>Scotland</v>
      </c>
      <c r="C80" s="36" t="str">
        <v>Back Three</v>
      </c>
      <c r="D80" s="37">
        <v>80</v>
      </c>
      <c r="F80" s="37">
        <v>6</v>
      </c>
      <c r="G80" s="37">
        <f>'Round 1 Data'!G80*'Round 1 Points'!M$2</f>
        <v>7</v>
      </c>
      <c r="H80" s="37">
        <f>'Round 1 Data'!H80*'Round 1 Points'!N$2</f>
        <v>14</v>
      </c>
      <c r="I80" s="37">
        <f>'Round 1 Data'!I80*'Round 1 Points'!O$2</f>
        <v>12.8</v>
      </c>
      <c r="J80" s="37">
        <f>'Round 1 Data'!J80*'Round 1 Points'!P$2</f>
        <v>0</v>
      </c>
      <c r="K80" s="37">
        <f>'Round 1 Data'!K80*'Round 1 Points'!Q$2</f>
        <v>0</v>
      </c>
      <c r="L80" s="37">
        <f>'Round 1 Data'!L80*'Round 1 Points'!R$2</f>
        <v>0</v>
      </c>
      <c r="M80" s="37">
        <f>'Round 1 Data'!M80*'Round 1 Points'!S$2</f>
        <v>0</v>
      </c>
      <c r="N80" s="37">
        <f>'Round 1 Data'!N80*'Round 1 Points'!T$2</f>
        <v>7</v>
      </c>
      <c r="O80" s="37">
        <f>'Round 1 Data'!O80*'Round 1 Points'!U$2</f>
        <v>0</v>
      </c>
      <c r="P80" s="37">
        <f>'Round 1 Data'!P80*'Round 1 Points'!V$2</f>
        <v>0</v>
      </c>
      <c r="Q80" s="37">
        <f>'Round 1 Data'!Q80*'Round 1 Points'!W$2</f>
        <v>0</v>
      </c>
      <c r="R80" s="37">
        <f>'Round 1 Data'!R80*'Round 1 Points'!X$2</f>
        <v>0</v>
      </c>
      <c r="S80" s="37">
        <f>'Round 1 Data'!S80*'Round 1 Points'!Y$2</f>
        <v>0</v>
      </c>
      <c r="T80" s="38">
        <f t="shared" si="2"/>
        <v>46.8</v>
      </c>
      <c r="U80" s="37">
        <f>'Round 1 Data'!U80*'Round 1 Points'!$Z$2</f>
        <v>0</v>
      </c>
      <c r="V80" s="36">
        <f>IF('Round 1 Data'!D80='Round 1 Points'!$K$1,'Round 1 Points'!$K$2*D80/80,0)</f>
        <v>8</v>
      </c>
      <c r="W80">
        <f t="shared" si="3"/>
        <v>54.8</v>
      </c>
    </row>
    <row r="81" spans="1:23" x14ac:dyDescent="0.2">
      <c r="A81" s="36" t="s">
        <v>37</v>
      </c>
      <c r="B81" s="36" t="str" cm="1">
        <f t="array" ref="B81:C81">_xlfn.XLOOKUP(A81,'Player List'!$A$2:$A$177,'Player List'!$B$2:$C$177)</f>
        <v>Scotland</v>
      </c>
      <c r="C81" s="36" t="str">
        <v>Back Three</v>
      </c>
      <c r="D81" s="37">
        <v>80</v>
      </c>
      <c r="F81" s="37">
        <v>2</v>
      </c>
      <c r="G81" s="37">
        <f>'Round 1 Data'!G81*'Round 1 Points'!M$2</f>
        <v>0</v>
      </c>
      <c r="H81" s="37">
        <f>'Round 1 Data'!H81*'Round 1 Points'!N$2</f>
        <v>14</v>
      </c>
      <c r="I81" s="37">
        <f>'Round 1 Data'!I81*'Round 1 Points'!O$2</f>
        <v>20.8</v>
      </c>
      <c r="J81" s="37">
        <f>'Round 1 Data'!J81*'Round 1 Points'!P$2</f>
        <v>0</v>
      </c>
      <c r="K81" s="37">
        <f>'Round 1 Data'!K81*'Round 1 Points'!Q$2</f>
        <v>0</v>
      </c>
      <c r="L81" s="37">
        <f>'Round 1 Data'!L81*'Round 1 Points'!R$2</f>
        <v>0</v>
      </c>
      <c r="M81" s="37">
        <f>'Round 1 Data'!M81*'Round 1 Points'!S$2</f>
        <v>30</v>
      </c>
      <c r="N81" s="37">
        <f>'Round 1 Data'!N81*'Round 1 Points'!T$2</f>
        <v>0</v>
      </c>
      <c r="O81" s="37">
        <f>'Round 1 Data'!O81*'Round 1 Points'!U$2</f>
        <v>0</v>
      </c>
      <c r="P81" s="37">
        <f>'Round 1 Data'!P81*'Round 1 Points'!V$2</f>
        <v>0</v>
      </c>
      <c r="Q81" s="37">
        <f>'Round 1 Data'!Q81*'Round 1 Points'!W$2</f>
        <v>0</v>
      </c>
      <c r="R81" s="37">
        <f>'Round 1 Data'!R81*'Round 1 Points'!X$2</f>
        <v>0</v>
      </c>
      <c r="S81" s="37">
        <f>'Round 1 Data'!S81*'Round 1 Points'!Y$2</f>
        <v>0</v>
      </c>
      <c r="T81" s="38">
        <f t="shared" si="2"/>
        <v>66.8</v>
      </c>
      <c r="U81" s="37">
        <f>'Round 1 Data'!U81*'Round 1 Points'!$Z$2</f>
        <v>15</v>
      </c>
      <c r="V81" s="36">
        <f>IF('Round 1 Data'!D81='Round 1 Points'!$K$1,'Round 1 Points'!$K$2*D81/80,0)</f>
        <v>8</v>
      </c>
      <c r="W81">
        <f t="shared" si="3"/>
        <v>89.8</v>
      </c>
    </row>
    <row r="82" spans="1:23" x14ac:dyDescent="0.2">
      <c r="A82" s="36" t="s">
        <v>38</v>
      </c>
      <c r="B82" s="36" t="str" cm="1">
        <f t="array" ref="B82:C82">_xlfn.XLOOKUP(A82,'Player List'!$A$2:$A$177,'Player List'!$B$2:$C$177)</f>
        <v>Scotland</v>
      </c>
      <c r="C82" s="36" t="str">
        <v>Centre</v>
      </c>
      <c r="D82" s="37">
        <v>4</v>
      </c>
      <c r="F82" s="37">
        <v>1</v>
      </c>
      <c r="G82" s="37">
        <f>'Round 1 Data'!G82*'Round 1 Points'!M$2</f>
        <v>0</v>
      </c>
      <c r="H82" s="37">
        <f>'Round 1 Data'!H82*'Round 1 Points'!N$2</f>
        <v>0</v>
      </c>
      <c r="I82" s="37">
        <f>'Round 1 Data'!I82*'Round 1 Points'!O$2</f>
        <v>0</v>
      </c>
      <c r="J82" s="37">
        <f>'Round 1 Data'!J82*'Round 1 Points'!P$2</f>
        <v>0</v>
      </c>
      <c r="K82" s="37">
        <f>'Round 1 Data'!K82*'Round 1 Points'!Q$2</f>
        <v>0</v>
      </c>
      <c r="L82" s="37">
        <f>'Round 1 Data'!L82*'Round 1 Points'!R$2</f>
        <v>0</v>
      </c>
      <c r="M82" s="37">
        <f>'Round 1 Data'!M82*'Round 1 Points'!S$2</f>
        <v>0</v>
      </c>
      <c r="N82" s="37">
        <f>'Round 1 Data'!N82*'Round 1 Points'!T$2</f>
        <v>0</v>
      </c>
      <c r="O82" s="37">
        <f>'Round 1 Data'!O82*'Round 1 Points'!U$2</f>
        <v>0</v>
      </c>
      <c r="P82" s="37">
        <f>'Round 1 Data'!P82*'Round 1 Points'!V$2</f>
        <v>0</v>
      </c>
      <c r="Q82" s="37">
        <f>'Round 1 Data'!Q82*'Round 1 Points'!W$2</f>
        <v>0</v>
      </c>
      <c r="R82" s="37">
        <f>'Round 1 Data'!R82*'Round 1 Points'!X$2</f>
        <v>0</v>
      </c>
      <c r="S82" s="37">
        <f>'Round 1 Data'!S82*'Round 1 Points'!Y$2</f>
        <v>0</v>
      </c>
      <c r="T82" s="38">
        <f t="shared" si="2"/>
        <v>1</v>
      </c>
      <c r="U82" s="37">
        <f>'Round 1 Data'!U82*'Round 1 Points'!$Z$2</f>
        <v>0</v>
      </c>
      <c r="V82" s="36">
        <f>IF('Round 1 Data'!D82='Round 1 Points'!$K$1,'Round 1 Points'!$K$2*D82/80,0)</f>
        <v>0.4</v>
      </c>
      <c r="W82">
        <f t="shared" si="3"/>
        <v>1.4</v>
      </c>
    </row>
    <row r="83" spans="1:23" x14ac:dyDescent="0.2">
      <c r="A83" s="36" t="s">
        <v>39</v>
      </c>
      <c r="B83" s="36" t="str" cm="1">
        <f t="array" ref="B83:C83">_xlfn.XLOOKUP(A83,'Player List'!$A$2:$A$177,'Player List'!$B$2:$C$177)</f>
        <v>Scotland</v>
      </c>
      <c r="C83" s="36" t="str">
        <v>Centre</v>
      </c>
      <c r="D83" s="37">
        <v>76</v>
      </c>
      <c r="F83" s="37">
        <v>12</v>
      </c>
      <c r="G83" s="37">
        <f>'Round 1 Data'!G83*'Round 1 Points'!M$2</f>
        <v>0</v>
      </c>
      <c r="H83" s="37">
        <f>'Round 1 Data'!H83*'Round 1 Points'!N$2</f>
        <v>7</v>
      </c>
      <c r="I83" s="37">
        <f>'Round 1 Data'!I83*'Round 1 Points'!O$2</f>
        <v>9.4</v>
      </c>
      <c r="J83" s="37">
        <f>'Round 1 Data'!J83*'Round 1 Points'!P$2</f>
        <v>0</v>
      </c>
      <c r="K83" s="37">
        <f>'Round 1 Data'!K83*'Round 1 Points'!Q$2</f>
        <v>0</v>
      </c>
      <c r="L83" s="37">
        <f>'Round 1 Data'!L83*'Round 1 Points'!R$2</f>
        <v>0</v>
      </c>
      <c r="M83" s="37">
        <f>'Round 1 Data'!M83*'Round 1 Points'!S$2</f>
        <v>15</v>
      </c>
      <c r="N83" s="37">
        <f>'Round 1 Data'!N83*'Round 1 Points'!T$2</f>
        <v>0</v>
      </c>
      <c r="O83" s="37">
        <f>'Round 1 Data'!O83*'Round 1 Points'!U$2</f>
        <v>0</v>
      </c>
      <c r="P83" s="37">
        <f>'Round 1 Data'!P83*'Round 1 Points'!V$2</f>
        <v>0</v>
      </c>
      <c r="Q83" s="37">
        <f>'Round 1 Data'!Q83*'Round 1 Points'!W$2</f>
        <v>0</v>
      </c>
      <c r="R83" s="37">
        <f>'Round 1 Data'!R83*'Round 1 Points'!X$2</f>
        <v>0</v>
      </c>
      <c r="S83" s="37">
        <f>'Round 1 Data'!S83*'Round 1 Points'!Y$2</f>
        <v>0</v>
      </c>
      <c r="T83" s="38">
        <f t="shared" si="2"/>
        <v>43.4</v>
      </c>
      <c r="U83" s="37">
        <f>'Round 1 Data'!U83*'Round 1 Points'!$Z$2</f>
        <v>0</v>
      </c>
      <c r="V83" s="36">
        <f>IF('Round 1 Data'!D83='Round 1 Points'!$K$1,'Round 1 Points'!$K$2*D83/80,0)</f>
        <v>7.6</v>
      </c>
      <c r="W83">
        <f t="shared" si="3"/>
        <v>51</v>
      </c>
    </row>
    <row r="84" spans="1:23" x14ac:dyDescent="0.2">
      <c r="A84" s="36" t="s">
        <v>40</v>
      </c>
      <c r="B84" s="36" t="str" cm="1">
        <f t="array" ref="B84:C84">_xlfn.XLOOKUP(A84,'Player List'!$A$2:$A$177,'Player List'!$B$2:$C$177)</f>
        <v>Scotland</v>
      </c>
      <c r="C84" s="36" t="str">
        <v>Centre</v>
      </c>
      <c r="D84" s="37">
        <v>80</v>
      </c>
      <c r="F84" s="37">
        <v>10</v>
      </c>
      <c r="G84" s="37">
        <f>'Round 1 Data'!G84*'Round 1 Points'!M$2</f>
        <v>7</v>
      </c>
      <c r="H84" s="37">
        <f>'Round 1 Data'!H84*'Round 1 Points'!N$2</f>
        <v>0</v>
      </c>
      <c r="I84" s="37">
        <f>'Round 1 Data'!I84*'Round 1 Points'!O$2</f>
        <v>12.600000000000001</v>
      </c>
      <c r="J84" s="37">
        <f>'Round 1 Data'!J84*'Round 1 Points'!P$2</f>
        <v>0</v>
      </c>
      <c r="K84" s="37">
        <f>'Round 1 Data'!K84*'Round 1 Points'!Q$2</f>
        <v>0</v>
      </c>
      <c r="L84" s="37">
        <f>'Round 1 Data'!L84*'Round 1 Points'!R$2</f>
        <v>0</v>
      </c>
      <c r="M84" s="37">
        <f>'Round 1 Data'!M84*'Round 1 Points'!S$2</f>
        <v>0</v>
      </c>
      <c r="N84" s="37">
        <f>'Round 1 Data'!N84*'Round 1 Points'!T$2</f>
        <v>7</v>
      </c>
      <c r="O84" s="37">
        <f>'Round 1 Data'!O84*'Round 1 Points'!U$2</f>
        <v>0</v>
      </c>
      <c r="P84" s="37">
        <f>'Round 1 Data'!P84*'Round 1 Points'!V$2</f>
        <v>0</v>
      </c>
      <c r="Q84" s="37">
        <f>'Round 1 Data'!Q84*'Round 1 Points'!W$2</f>
        <v>0</v>
      </c>
      <c r="R84" s="37">
        <f>'Round 1 Data'!R84*'Round 1 Points'!X$2</f>
        <v>0</v>
      </c>
      <c r="S84" s="37">
        <f>'Round 1 Data'!S84*'Round 1 Points'!Y$2</f>
        <v>0</v>
      </c>
      <c r="T84" s="38">
        <f t="shared" si="2"/>
        <v>36.6</v>
      </c>
      <c r="U84" s="37">
        <f>'Round 1 Data'!U84*'Round 1 Points'!$Z$2</f>
        <v>0</v>
      </c>
      <c r="V84" s="36">
        <f>IF('Round 1 Data'!D84='Round 1 Points'!$K$1,'Round 1 Points'!$K$2*D84/80,0)</f>
        <v>8</v>
      </c>
      <c r="W84">
        <f t="shared" si="3"/>
        <v>44.6</v>
      </c>
    </row>
    <row r="85" spans="1:23" x14ac:dyDescent="0.2">
      <c r="A85" s="36" t="s">
        <v>41</v>
      </c>
      <c r="B85" s="36" t="str" cm="1">
        <f t="array" ref="B85:C85">_xlfn.XLOOKUP(A85,'Player List'!$A$2:$A$177,'Player List'!$B$2:$C$177)</f>
        <v>Scotland</v>
      </c>
      <c r="C85" s="36" t="str">
        <v>Fly Half</v>
      </c>
      <c r="D85" s="37">
        <v>80</v>
      </c>
      <c r="F85" s="37">
        <v>10</v>
      </c>
      <c r="G85" s="37">
        <f>'Round 1 Data'!G85*'Round 1 Points'!M$2</f>
        <v>7</v>
      </c>
      <c r="H85" s="37">
        <f>'Round 1 Data'!H85*'Round 1 Points'!N$2</f>
        <v>0</v>
      </c>
      <c r="I85" s="37">
        <f>'Round 1 Data'!I85*'Round 1 Points'!O$2</f>
        <v>17</v>
      </c>
      <c r="J85" s="37">
        <f>'Round 1 Data'!J85*'Round 1 Points'!P$2</f>
        <v>0</v>
      </c>
      <c r="K85" s="37">
        <f>'Round 1 Data'!K85*'Round 1 Points'!Q$2</f>
        <v>0</v>
      </c>
      <c r="L85" s="37">
        <f>'Round 1 Data'!L85*'Round 1 Points'!R$2</f>
        <v>0</v>
      </c>
      <c r="M85" s="37">
        <f>'Round 1 Data'!M85*'Round 1 Points'!S$2</f>
        <v>0</v>
      </c>
      <c r="N85" s="37">
        <f>'Round 1 Data'!N85*'Round 1 Points'!T$2</f>
        <v>0</v>
      </c>
      <c r="O85" s="37">
        <f>'Round 1 Data'!O85*'Round 1 Points'!U$2</f>
        <v>6</v>
      </c>
      <c r="P85" s="37">
        <f>'Round 1 Data'!P85*'Round 1 Points'!V$2</f>
        <v>5</v>
      </c>
      <c r="Q85" s="37">
        <f>'Round 1 Data'!Q85*'Round 1 Points'!W$2</f>
        <v>0</v>
      </c>
      <c r="R85" s="37">
        <f>'Round 1 Data'!R85*'Round 1 Points'!X$2</f>
        <v>0</v>
      </c>
      <c r="S85" s="37">
        <f>'Round 1 Data'!S85*'Round 1 Points'!Y$2</f>
        <v>0</v>
      </c>
      <c r="T85" s="38">
        <f t="shared" si="2"/>
        <v>45</v>
      </c>
      <c r="U85" s="37">
        <f>'Round 1 Data'!U85*'Round 1 Points'!$Z$2</f>
        <v>0</v>
      </c>
      <c r="V85" s="36">
        <f>IF('Round 1 Data'!D85='Round 1 Points'!$K$1,'Round 1 Points'!$K$2*D85/80,0)</f>
        <v>8</v>
      </c>
      <c r="W85">
        <f t="shared" si="3"/>
        <v>53</v>
      </c>
    </row>
    <row r="86" spans="1:23" x14ac:dyDescent="0.2">
      <c r="A86" s="36" t="s">
        <v>42</v>
      </c>
      <c r="B86" s="36" t="str" cm="1">
        <f t="array" ref="B86:C86">_xlfn.XLOOKUP(A86,'Player List'!$A$2:$A$177,'Player List'!$B$2:$C$177)</f>
        <v>Scotland</v>
      </c>
      <c r="C86" s="36" t="str">
        <v>Scrum Half</v>
      </c>
      <c r="D86" s="37">
        <v>11</v>
      </c>
      <c r="F86" s="37">
        <v>1</v>
      </c>
      <c r="G86" s="37">
        <f>'Round 1 Data'!G86*'Round 1 Points'!M$2</f>
        <v>0</v>
      </c>
      <c r="H86" s="37">
        <f>'Round 1 Data'!H86*'Round 1 Points'!N$2</f>
        <v>0</v>
      </c>
      <c r="I86" s="37">
        <f>'Round 1 Data'!I86*'Round 1 Points'!O$2</f>
        <v>0</v>
      </c>
      <c r="J86" s="37">
        <f>'Round 1 Data'!J86*'Round 1 Points'!P$2</f>
        <v>0</v>
      </c>
      <c r="K86" s="37">
        <f>'Round 1 Data'!K86*'Round 1 Points'!Q$2</f>
        <v>0</v>
      </c>
      <c r="L86" s="37">
        <f>'Round 1 Data'!L86*'Round 1 Points'!R$2</f>
        <v>0</v>
      </c>
      <c r="M86" s="37">
        <f>'Round 1 Data'!M86*'Round 1 Points'!S$2</f>
        <v>0</v>
      </c>
      <c r="N86" s="37">
        <f>'Round 1 Data'!N86*'Round 1 Points'!T$2</f>
        <v>0</v>
      </c>
      <c r="O86" s="37">
        <f>'Round 1 Data'!O86*'Round 1 Points'!U$2</f>
        <v>0</v>
      </c>
      <c r="P86" s="37">
        <f>'Round 1 Data'!P86*'Round 1 Points'!V$2</f>
        <v>0</v>
      </c>
      <c r="Q86" s="37">
        <f>'Round 1 Data'!Q86*'Round 1 Points'!W$2</f>
        <v>0</v>
      </c>
      <c r="R86" s="37">
        <f>'Round 1 Data'!R86*'Round 1 Points'!X$2</f>
        <v>0</v>
      </c>
      <c r="S86" s="37">
        <f>'Round 1 Data'!S86*'Round 1 Points'!Y$2</f>
        <v>0</v>
      </c>
      <c r="T86" s="38">
        <f t="shared" si="2"/>
        <v>1</v>
      </c>
      <c r="U86" s="37">
        <f>'Round 1 Data'!U86*'Round 1 Points'!$Z$2</f>
        <v>0</v>
      </c>
      <c r="V86" s="36">
        <f>IF('Round 1 Data'!D86='Round 1 Points'!$K$1,'Round 1 Points'!$K$2*D86/80,0)</f>
        <v>1.1000000000000001</v>
      </c>
      <c r="W86">
        <f t="shared" si="3"/>
        <v>2.1</v>
      </c>
    </row>
    <row r="87" spans="1:23" x14ac:dyDescent="0.2">
      <c r="A87" s="36" t="s">
        <v>43</v>
      </c>
      <c r="B87" s="36" t="str" cm="1">
        <f t="array" ref="B87:C87">_xlfn.XLOOKUP(A87,'Player List'!$A$2:$A$177,'Player List'!$B$2:$C$177)</f>
        <v>Scotland</v>
      </c>
      <c r="C87" s="36" t="str">
        <v>Scrum Half</v>
      </c>
      <c r="D87" s="37">
        <v>69</v>
      </c>
      <c r="F87" s="37">
        <v>9</v>
      </c>
      <c r="G87" s="37">
        <f>'Round 1 Data'!G87*'Round 1 Points'!M$2</f>
        <v>7</v>
      </c>
      <c r="H87" s="37">
        <f>'Round 1 Data'!H87*'Round 1 Points'!N$2</f>
        <v>7</v>
      </c>
      <c r="I87" s="37">
        <f>'Round 1 Data'!I87*'Round 1 Points'!O$2</f>
        <v>4.2</v>
      </c>
      <c r="J87" s="37">
        <f>'Round 1 Data'!J87*'Round 1 Points'!P$2</f>
        <v>0</v>
      </c>
      <c r="K87" s="37">
        <f>'Round 1 Data'!K87*'Round 1 Points'!Q$2</f>
        <v>0</v>
      </c>
      <c r="L87" s="37">
        <f>'Round 1 Data'!L87*'Round 1 Points'!R$2</f>
        <v>0</v>
      </c>
      <c r="M87" s="37">
        <f>'Round 1 Data'!M87*'Round 1 Points'!S$2</f>
        <v>15</v>
      </c>
      <c r="N87" s="37">
        <f>'Round 1 Data'!N87*'Round 1 Points'!T$2</f>
        <v>0</v>
      </c>
      <c r="O87" s="37">
        <f>'Round 1 Data'!O87*'Round 1 Points'!U$2</f>
        <v>0</v>
      </c>
      <c r="P87" s="37">
        <f>'Round 1 Data'!P87*'Round 1 Points'!V$2</f>
        <v>0</v>
      </c>
      <c r="Q87" s="37">
        <f>'Round 1 Data'!Q87*'Round 1 Points'!W$2</f>
        <v>0</v>
      </c>
      <c r="R87" s="37">
        <f>'Round 1 Data'!R87*'Round 1 Points'!X$2</f>
        <v>0</v>
      </c>
      <c r="S87" s="37">
        <f>'Round 1 Data'!S87*'Round 1 Points'!Y$2</f>
        <v>0</v>
      </c>
      <c r="T87" s="38">
        <f t="shared" si="2"/>
        <v>42.2</v>
      </c>
      <c r="U87" s="37">
        <f>'Round 1 Data'!U87*'Round 1 Points'!$Z$2</f>
        <v>0</v>
      </c>
      <c r="V87" s="36">
        <f>IF('Round 1 Data'!D87='Round 1 Points'!$K$1,'Round 1 Points'!$K$2*D87/80,0)</f>
        <v>6.9</v>
      </c>
      <c r="W87">
        <f t="shared" si="3"/>
        <v>49.1</v>
      </c>
    </row>
    <row r="88" spans="1:23" x14ac:dyDescent="0.2">
      <c r="A88" s="36" t="s">
        <v>44</v>
      </c>
      <c r="B88" s="36" t="str" cm="1">
        <f t="array" ref="B88:C88">_xlfn.XLOOKUP(A88,'Player List'!$A$2:$A$177,'Player List'!$B$2:$C$177)</f>
        <v>Scotland</v>
      </c>
      <c r="C88" s="36" t="str">
        <v>Back Row</v>
      </c>
      <c r="D88" s="37">
        <v>58</v>
      </c>
      <c r="F88" s="37">
        <v>17</v>
      </c>
      <c r="G88" s="37">
        <f>'Round 1 Data'!G88*'Round 1 Points'!M$2</f>
        <v>21</v>
      </c>
      <c r="H88" s="37">
        <f>'Round 1 Data'!H88*'Round 1 Points'!N$2</f>
        <v>0</v>
      </c>
      <c r="I88" s="37">
        <f>'Round 1 Data'!I88*'Round 1 Points'!O$2</f>
        <v>1.8</v>
      </c>
      <c r="J88" s="37">
        <f>'Round 1 Data'!J88*'Round 1 Points'!P$2</f>
        <v>0</v>
      </c>
      <c r="K88" s="37">
        <f>'Round 1 Data'!K88*'Round 1 Points'!Q$2</f>
        <v>0</v>
      </c>
      <c r="L88" s="37">
        <f>'Round 1 Data'!L88*'Round 1 Points'!R$2</f>
        <v>0</v>
      </c>
      <c r="M88" s="37">
        <f>'Round 1 Data'!M88*'Round 1 Points'!S$2</f>
        <v>0</v>
      </c>
      <c r="N88" s="37">
        <f>'Round 1 Data'!N88*'Round 1 Points'!T$2</f>
        <v>0</v>
      </c>
      <c r="O88" s="37">
        <f>'Round 1 Data'!O88*'Round 1 Points'!U$2</f>
        <v>0</v>
      </c>
      <c r="P88" s="37">
        <f>'Round 1 Data'!P88*'Round 1 Points'!V$2</f>
        <v>0</v>
      </c>
      <c r="Q88" s="37">
        <f>'Round 1 Data'!Q88*'Round 1 Points'!W$2</f>
        <v>0</v>
      </c>
      <c r="R88" s="37">
        <f>'Round 1 Data'!R88*'Round 1 Points'!X$2</f>
        <v>0</v>
      </c>
      <c r="S88" s="37">
        <f>'Round 1 Data'!S88*'Round 1 Points'!Y$2</f>
        <v>0</v>
      </c>
      <c r="T88" s="38">
        <f t="shared" si="2"/>
        <v>39.799999999999997</v>
      </c>
      <c r="U88" s="37">
        <f>'Round 1 Data'!U88*'Round 1 Points'!$Z$2</f>
        <v>0</v>
      </c>
      <c r="V88" s="36">
        <f>IF('Round 1 Data'!D88='Round 1 Points'!$K$1,'Round 1 Points'!$K$2*D88/80,0)</f>
        <v>5.8</v>
      </c>
      <c r="W88">
        <f t="shared" si="3"/>
        <v>45.599999999999994</v>
      </c>
    </row>
    <row r="89" spans="1:23" x14ac:dyDescent="0.2">
      <c r="A89" s="36" t="s">
        <v>45</v>
      </c>
      <c r="B89" s="36" t="str" cm="1">
        <f t="array" ref="B89:C89">_xlfn.XLOOKUP(A89,'Player List'!$A$2:$A$177,'Player List'!$B$2:$C$177)</f>
        <v>Scotland</v>
      </c>
      <c r="C89" s="36" t="str">
        <v>Back Row</v>
      </c>
      <c r="D89" s="37">
        <v>22</v>
      </c>
      <c r="F89" s="37">
        <v>6</v>
      </c>
      <c r="G89" s="37">
        <f>'Round 1 Data'!G89*'Round 1 Points'!M$2</f>
        <v>0</v>
      </c>
      <c r="H89" s="37">
        <f>'Round 1 Data'!H89*'Round 1 Points'!N$2</f>
        <v>0</v>
      </c>
      <c r="I89" s="37">
        <f>'Round 1 Data'!I89*'Round 1 Points'!O$2</f>
        <v>2.6</v>
      </c>
      <c r="J89" s="37">
        <f>'Round 1 Data'!J89*'Round 1 Points'!P$2</f>
        <v>0</v>
      </c>
      <c r="K89" s="37">
        <f>'Round 1 Data'!K89*'Round 1 Points'!Q$2</f>
        <v>0</v>
      </c>
      <c r="L89" s="37">
        <f>'Round 1 Data'!L89*'Round 1 Points'!R$2</f>
        <v>0</v>
      </c>
      <c r="M89" s="37">
        <f>'Round 1 Data'!M89*'Round 1 Points'!S$2</f>
        <v>0</v>
      </c>
      <c r="N89" s="37">
        <f>'Round 1 Data'!N89*'Round 1 Points'!T$2</f>
        <v>0</v>
      </c>
      <c r="O89" s="37">
        <f>'Round 1 Data'!O89*'Round 1 Points'!U$2</f>
        <v>0</v>
      </c>
      <c r="P89" s="37">
        <f>'Round 1 Data'!P89*'Round 1 Points'!V$2</f>
        <v>0</v>
      </c>
      <c r="Q89" s="37">
        <f>'Round 1 Data'!Q89*'Round 1 Points'!W$2</f>
        <v>0</v>
      </c>
      <c r="R89" s="37">
        <f>'Round 1 Data'!R89*'Round 1 Points'!X$2</f>
        <v>0</v>
      </c>
      <c r="S89" s="37">
        <f>'Round 1 Data'!S89*'Round 1 Points'!Y$2</f>
        <v>0</v>
      </c>
      <c r="T89" s="38">
        <f t="shared" si="2"/>
        <v>8.6</v>
      </c>
      <c r="U89" s="37">
        <f>'Round 1 Data'!U89*'Round 1 Points'!$Z$2</f>
        <v>0</v>
      </c>
      <c r="V89" s="36">
        <f>IF('Round 1 Data'!D89='Round 1 Points'!$K$1,'Round 1 Points'!$K$2*D89/80,0)</f>
        <v>2.2000000000000002</v>
      </c>
      <c r="W89">
        <f t="shared" si="3"/>
        <v>10.8</v>
      </c>
    </row>
    <row r="90" spans="1:23" x14ac:dyDescent="0.2">
      <c r="A90" s="36" t="s">
        <v>46</v>
      </c>
      <c r="B90" s="36" t="str" cm="1">
        <f t="array" ref="B90:C90">_xlfn.XLOOKUP(A90,'Player List'!$A$2:$A$177,'Player List'!$B$2:$C$177)</f>
        <v>Scotland</v>
      </c>
      <c r="C90" s="36" t="str">
        <v>Back Row</v>
      </c>
      <c r="D90" s="37">
        <v>80</v>
      </c>
      <c r="F90" s="37">
        <v>24</v>
      </c>
      <c r="G90" s="37">
        <f>'Round 1 Data'!G90*'Round 1 Points'!M$2</f>
        <v>14</v>
      </c>
      <c r="H90" s="37">
        <f>'Round 1 Data'!H90*'Round 1 Points'!N$2</f>
        <v>0</v>
      </c>
      <c r="I90" s="37">
        <f>'Round 1 Data'!I90*'Round 1 Points'!O$2</f>
        <v>6.2</v>
      </c>
      <c r="J90" s="37">
        <f>'Round 1 Data'!J90*'Round 1 Points'!P$2</f>
        <v>0</v>
      </c>
      <c r="K90" s="37">
        <f>'Round 1 Data'!K90*'Round 1 Points'!Q$2</f>
        <v>0</v>
      </c>
      <c r="L90" s="37">
        <f>'Round 1 Data'!L90*'Round 1 Points'!R$2</f>
        <v>0</v>
      </c>
      <c r="M90" s="37">
        <f>'Round 1 Data'!M90*'Round 1 Points'!S$2</f>
        <v>0</v>
      </c>
      <c r="N90" s="37">
        <f>'Round 1 Data'!N90*'Round 1 Points'!T$2</f>
        <v>7</v>
      </c>
      <c r="O90" s="37">
        <f>'Round 1 Data'!O90*'Round 1 Points'!U$2</f>
        <v>0</v>
      </c>
      <c r="P90" s="37">
        <f>'Round 1 Data'!P90*'Round 1 Points'!V$2</f>
        <v>0</v>
      </c>
      <c r="Q90" s="37">
        <f>'Round 1 Data'!Q90*'Round 1 Points'!W$2</f>
        <v>0</v>
      </c>
      <c r="R90" s="37">
        <f>'Round 1 Data'!R90*'Round 1 Points'!X$2</f>
        <v>0</v>
      </c>
      <c r="S90" s="37">
        <f>'Round 1 Data'!S90*'Round 1 Points'!Y$2</f>
        <v>0</v>
      </c>
      <c r="T90" s="38">
        <f t="shared" si="2"/>
        <v>51.2</v>
      </c>
      <c r="U90" s="37">
        <f>'Round 1 Data'!U90*'Round 1 Points'!$Z$2</f>
        <v>0</v>
      </c>
      <c r="V90" s="36">
        <f>IF('Round 1 Data'!D90='Round 1 Points'!$K$1,'Round 1 Points'!$K$2*D90/80,0)</f>
        <v>8</v>
      </c>
      <c r="W90">
        <f t="shared" si="3"/>
        <v>59.2</v>
      </c>
    </row>
    <row r="91" spans="1:23" x14ac:dyDescent="0.2">
      <c r="A91" s="36" t="s">
        <v>47</v>
      </c>
      <c r="B91" s="36" t="str" cm="1">
        <f t="array" ref="B91:C91">_xlfn.XLOOKUP(A91,'Player List'!$A$2:$A$177,'Player List'!$B$2:$C$177)</f>
        <v>Scotland</v>
      </c>
      <c r="C91" s="36" t="str">
        <v>Back Row</v>
      </c>
      <c r="D91" s="37">
        <v>80</v>
      </c>
      <c r="F91" s="37">
        <v>11</v>
      </c>
      <c r="G91" s="37">
        <f>'Round 1 Data'!G91*'Round 1 Points'!M$2</f>
        <v>14</v>
      </c>
      <c r="H91" s="37">
        <f>'Round 1 Data'!H91*'Round 1 Points'!N$2</f>
        <v>0</v>
      </c>
      <c r="I91" s="37">
        <f>'Round 1 Data'!I91*'Round 1 Points'!O$2</f>
        <v>6.2</v>
      </c>
      <c r="J91" s="37">
        <f>'Round 1 Data'!J91*'Round 1 Points'!P$2</f>
        <v>0</v>
      </c>
      <c r="K91" s="37">
        <f>'Round 1 Data'!K91*'Round 1 Points'!Q$2</f>
        <v>0</v>
      </c>
      <c r="L91" s="37">
        <f>'Round 1 Data'!L91*'Round 1 Points'!R$2</f>
        <v>7</v>
      </c>
      <c r="M91" s="37">
        <f>'Round 1 Data'!M91*'Round 1 Points'!S$2</f>
        <v>0</v>
      </c>
      <c r="N91" s="37">
        <f>'Round 1 Data'!N91*'Round 1 Points'!T$2</f>
        <v>0</v>
      </c>
      <c r="O91" s="37">
        <f>'Round 1 Data'!O91*'Round 1 Points'!U$2</f>
        <v>0</v>
      </c>
      <c r="P91" s="37">
        <f>'Round 1 Data'!P91*'Round 1 Points'!V$2</f>
        <v>0</v>
      </c>
      <c r="Q91" s="37">
        <f>'Round 1 Data'!Q91*'Round 1 Points'!W$2</f>
        <v>0</v>
      </c>
      <c r="R91" s="37">
        <f>'Round 1 Data'!R91*'Round 1 Points'!X$2</f>
        <v>0</v>
      </c>
      <c r="S91" s="37">
        <f>'Round 1 Data'!S91*'Round 1 Points'!Y$2</f>
        <v>0</v>
      </c>
      <c r="T91" s="38">
        <f t="shared" si="2"/>
        <v>38.200000000000003</v>
      </c>
      <c r="U91" s="37">
        <f>'Round 1 Data'!U91*'Round 1 Points'!$Z$2</f>
        <v>0</v>
      </c>
      <c r="V91" s="36">
        <f>IF('Round 1 Data'!D91='Round 1 Points'!$K$1,'Round 1 Points'!$K$2*D91/80,0)</f>
        <v>8</v>
      </c>
      <c r="W91">
        <f t="shared" si="3"/>
        <v>46.2</v>
      </c>
    </row>
    <row r="92" spans="1:23" x14ac:dyDescent="0.2">
      <c r="A92" s="36" t="s">
        <v>48</v>
      </c>
      <c r="B92" s="36" t="str" cm="1">
        <f t="array" ref="B92:C92">_xlfn.XLOOKUP(A92,'Player List'!$A$2:$A$177,'Player List'!$B$2:$C$177)</f>
        <v>Scotland</v>
      </c>
      <c r="C92" s="36" t="str">
        <v>Second Row</v>
      </c>
      <c r="D92" s="37">
        <v>66</v>
      </c>
      <c r="F92" s="37">
        <v>13</v>
      </c>
      <c r="G92" s="37">
        <f>'Round 1 Data'!G92*'Round 1 Points'!M$2</f>
        <v>7</v>
      </c>
      <c r="H92" s="37">
        <f>'Round 1 Data'!H92*'Round 1 Points'!N$2</f>
        <v>0</v>
      </c>
      <c r="I92" s="37">
        <f>'Round 1 Data'!I92*'Round 1 Points'!O$2</f>
        <v>0.8</v>
      </c>
      <c r="J92" s="37">
        <f>'Round 1 Data'!J92*'Round 1 Points'!P$2</f>
        <v>0</v>
      </c>
      <c r="K92" s="37">
        <f>'Round 1 Data'!K92*'Round 1 Points'!Q$2</f>
        <v>7</v>
      </c>
      <c r="L92" s="37">
        <f>'Round 1 Data'!L92*'Round 1 Points'!R$2</f>
        <v>0</v>
      </c>
      <c r="M92" s="37">
        <f>'Round 1 Data'!M92*'Round 1 Points'!S$2</f>
        <v>0</v>
      </c>
      <c r="N92" s="37">
        <f>'Round 1 Data'!N92*'Round 1 Points'!T$2</f>
        <v>0</v>
      </c>
      <c r="O92" s="37">
        <f>'Round 1 Data'!O92*'Round 1 Points'!U$2</f>
        <v>0</v>
      </c>
      <c r="P92" s="37">
        <f>'Round 1 Data'!P92*'Round 1 Points'!V$2</f>
        <v>0</v>
      </c>
      <c r="Q92" s="37">
        <f>'Round 1 Data'!Q92*'Round 1 Points'!W$2</f>
        <v>0</v>
      </c>
      <c r="R92" s="37">
        <f>'Round 1 Data'!R92*'Round 1 Points'!X$2</f>
        <v>0</v>
      </c>
      <c r="S92" s="37">
        <f>'Round 1 Data'!S92*'Round 1 Points'!Y$2</f>
        <v>0</v>
      </c>
      <c r="T92" s="38">
        <f t="shared" si="2"/>
        <v>27.8</v>
      </c>
      <c r="U92" s="37">
        <f>'Round 1 Data'!U92*'Round 1 Points'!$Z$2</f>
        <v>0</v>
      </c>
      <c r="V92" s="36">
        <f>IF('Round 1 Data'!D92='Round 1 Points'!$K$1,'Round 1 Points'!$K$2*D92/80,0)</f>
        <v>6.6</v>
      </c>
      <c r="W92">
        <f t="shared" si="3"/>
        <v>34.4</v>
      </c>
    </row>
    <row r="93" spans="1:23" x14ac:dyDescent="0.2">
      <c r="A93" s="36" t="s">
        <v>49</v>
      </c>
      <c r="B93" s="36" t="str" cm="1">
        <f t="array" ref="B93:C93">_xlfn.XLOOKUP(A93,'Player List'!$A$2:$A$177,'Player List'!$B$2:$C$177)</f>
        <v>Scotland</v>
      </c>
      <c r="C93" s="36" t="str">
        <v>Second Row</v>
      </c>
      <c r="D93" s="37">
        <v>14</v>
      </c>
      <c r="F93" s="37">
        <v>3</v>
      </c>
      <c r="G93" s="37">
        <f>'Round 1 Data'!G93*'Round 1 Points'!M$2</f>
        <v>7</v>
      </c>
      <c r="H93" s="37">
        <f>'Round 1 Data'!H93*'Round 1 Points'!N$2</f>
        <v>0</v>
      </c>
      <c r="I93" s="37">
        <f>'Round 1 Data'!I93*'Round 1 Points'!O$2</f>
        <v>1.4000000000000001</v>
      </c>
      <c r="J93" s="37">
        <f>'Round 1 Data'!J93*'Round 1 Points'!P$2</f>
        <v>0</v>
      </c>
      <c r="K93" s="37">
        <f>'Round 1 Data'!K93*'Round 1 Points'!Q$2</f>
        <v>0</v>
      </c>
      <c r="L93" s="37">
        <f>'Round 1 Data'!L93*'Round 1 Points'!R$2</f>
        <v>0</v>
      </c>
      <c r="M93" s="37">
        <f>'Round 1 Data'!M93*'Round 1 Points'!S$2</f>
        <v>0</v>
      </c>
      <c r="N93" s="37">
        <f>'Round 1 Data'!N93*'Round 1 Points'!T$2</f>
        <v>0</v>
      </c>
      <c r="O93" s="37">
        <f>'Round 1 Data'!O93*'Round 1 Points'!U$2</f>
        <v>0</v>
      </c>
      <c r="P93" s="37">
        <f>'Round 1 Data'!P93*'Round 1 Points'!V$2</f>
        <v>0</v>
      </c>
      <c r="Q93" s="37">
        <f>'Round 1 Data'!Q93*'Round 1 Points'!W$2</f>
        <v>0</v>
      </c>
      <c r="R93" s="37">
        <f>'Round 1 Data'!R93*'Round 1 Points'!X$2</f>
        <v>0</v>
      </c>
      <c r="S93" s="37">
        <f>'Round 1 Data'!S93*'Round 1 Points'!Y$2</f>
        <v>0</v>
      </c>
      <c r="T93" s="38">
        <f t="shared" si="2"/>
        <v>11.4</v>
      </c>
      <c r="U93" s="37">
        <f>'Round 1 Data'!U93*'Round 1 Points'!$Z$2</f>
        <v>0</v>
      </c>
      <c r="V93" s="36">
        <f>IF('Round 1 Data'!D93='Round 1 Points'!$K$1,'Round 1 Points'!$K$2*D93/80,0)</f>
        <v>1.4</v>
      </c>
      <c r="W93">
        <f t="shared" si="3"/>
        <v>12.8</v>
      </c>
    </row>
    <row r="94" spans="1:23" x14ac:dyDescent="0.2">
      <c r="A94" s="36" t="s">
        <v>50</v>
      </c>
      <c r="B94" s="36" t="str" cm="1">
        <f t="array" ref="B94:C94">_xlfn.XLOOKUP(A94,'Player List'!$A$2:$A$177,'Player List'!$B$2:$C$177)</f>
        <v>Scotland</v>
      </c>
      <c r="C94" s="36" t="str">
        <v>Second Row</v>
      </c>
      <c r="D94" s="37">
        <v>80</v>
      </c>
      <c r="F94" s="37">
        <v>15</v>
      </c>
      <c r="G94" s="37">
        <f>'Round 1 Data'!G94*'Round 1 Points'!M$2</f>
        <v>14</v>
      </c>
      <c r="H94" s="37">
        <f>'Round 1 Data'!H94*'Round 1 Points'!N$2</f>
        <v>0</v>
      </c>
      <c r="I94" s="37">
        <f>'Round 1 Data'!I94*'Round 1 Points'!O$2</f>
        <v>1.2000000000000002</v>
      </c>
      <c r="J94" s="37">
        <f>'Round 1 Data'!J94*'Round 1 Points'!P$2</f>
        <v>0</v>
      </c>
      <c r="K94" s="37">
        <f>'Round 1 Data'!K94*'Round 1 Points'!Q$2</f>
        <v>0</v>
      </c>
      <c r="L94" s="37">
        <f>'Round 1 Data'!L94*'Round 1 Points'!R$2</f>
        <v>0</v>
      </c>
      <c r="M94" s="37">
        <f>'Round 1 Data'!M94*'Round 1 Points'!S$2</f>
        <v>0</v>
      </c>
      <c r="N94" s="37">
        <f>'Round 1 Data'!N94*'Round 1 Points'!T$2</f>
        <v>0</v>
      </c>
      <c r="O94" s="37">
        <f>'Round 1 Data'!O94*'Round 1 Points'!U$2</f>
        <v>0</v>
      </c>
      <c r="P94" s="37">
        <f>'Round 1 Data'!P94*'Round 1 Points'!V$2</f>
        <v>0</v>
      </c>
      <c r="Q94" s="37">
        <f>'Round 1 Data'!Q94*'Round 1 Points'!W$2</f>
        <v>0</v>
      </c>
      <c r="R94" s="37">
        <f>'Round 1 Data'!R94*'Round 1 Points'!X$2</f>
        <v>0</v>
      </c>
      <c r="S94" s="37">
        <f>'Round 1 Data'!S94*'Round 1 Points'!Y$2</f>
        <v>0</v>
      </c>
      <c r="T94" s="38">
        <f t="shared" si="2"/>
        <v>30.2</v>
      </c>
      <c r="U94" s="37">
        <f>'Round 1 Data'!U94*'Round 1 Points'!$Z$2</f>
        <v>0</v>
      </c>
      <c r="V94" s="36">
        <f>IF('Round 1 Data'!D94='Round 1 Points'!$K$1,'Round 1 Points'!$K$2*D94/80,0)</f>
        <v>8</v>
      </c>
      <c r="W94">
        <f t="shared" si="3"/>
        <v>38.200000000000003</v>
      </c>
    </row>
    <row r="95" spans="1:23" x14ac:dyDescent="0.2">
      <c r="A95" s="36" t="s">
        <v>180</v>
      </c>
      <c r="B95" s="36" t="str" cm="1">
        <f t="array" ref="B95:C95">_xlfn.XLOOKUP(A95,'Player List'!$A$2:$A$177,'Player List'!$B$2:$C$177)</f>
        <v>Scotland</v>
      </c>
      <c r="C95" s="36" t="str">
        <v>Prop</v>
      </c>
      <c r="D95" s="37">
        <v>22</v>
      </c>
      <c r="F95" s="37">
        <v>8</v>
      </c>
      <c r="G95" s="37">
        <f>'Round 1 Data'!G95*'Round 1 Points'!M$2</f>
        <v>0</v>
      </c>
      <c r="H95" s="37">
        <f>'Round 1 Data'!H95*'Round 1 Points'!N$2</f>
        <v>0</v>
      </c>
      <c r="I95" s="37">
        <f>'Round 1 Data'!I95*'Round 1 Points'!O$2</f>
        <v>0</v>
      </c>
      <c r="J95" s="37">
        <f>'Round 1 Data'!J95*'Round 1 Points'!P$2</f>
        <v>0</v>
      </c>
      <c r="K95" s="37">
        <f>'Round 1 Data'!K95*'Round 1 Points'!Q$2</f>
        <v>0</v>
      </c>
      <c r="L95" s="37">
        <f>'Round 1 Data'!L95*'Round 1 Points'!R$2</f>
        <v>0</v>
      </c>
      <c r="M95" s="37">
        <f>'Round 1 Data'!M95*'Round 1 Points'!S$2</f>
        <v>0</v>
      </c>
      <c r="N95" s="37">
        <f>'Round 1 Data'!N95*'Round 1 Points'!T$2</f>
        <v>0</v>
      </c>
      <c r="O95" s="37">
        <f>'Round 1 Data'!O95*'Round 1 Points'!U$2</f>
        <v>0</v>
      </c>
      <c r="P95" s="37">
        <f>'Round 1 Data'!P95*'Round 1 Points'!V$2</f>
        <v>0</v>
      </c>
      <c r="Q95" s="37">
        <f>'Round 1 Data'!Q95*'Round 1 Points'!W$2</f>
        <v>0</v>
      </c>
      <c r="R95" s="37">
        <f>'Round 1 Data'!R95*'Round 1 Points'!X$2</f>
        <v>0</v>
      </c>
      <c r="S95" s="37">
        <f>'Round 1 Data'!S95*'Round 1 Points'!Y$2</f>
        <v>0</v>
      </c>
      <c r="T95" s="38">
        <f t="shared" si="2"/>
        <v>8</v>
      </c>
      <c r="U95" s="37">
        <f>'Round 1 Data'!U95*'Round 1 Points'!$Z$2</f>
        <v>0</v>
      </c>
      <c r="V95" s="36">
        <f>IF('Round 1 Data'!D95='Round 1 Points'!$K$1,'Round 1 Points'!$K$2*D95/80,0)</f>
        <v>2.2000000000000002</v>
      </c>
      <c r="W95">
        <f t="shared" si="3"/>
        <v>10.199999999999999</v>
      </c>
    </row>
    <row r="96" spans="1:23" x14ac:dyDescent="0.2">
      <c r="A96" s="36" t="s">
        <v>51</v>
      </c>
      <c r="B96" s="36" t="str" cm="1">
        <f t="array" ref="B96:C96">_xlfn.XLOOKUP(A96,'Player List'!$A$2:$A$177,'Player List'!$B$2:$C$177)</f>
        <v>Scotland</v>
      </c>
      <c r="C96" s="36" t="str">
        <v>Prop</v>
      </c>
      <c r="D96" s="37">
        <v>14</v>
      </c>
      <c r="F96" s="37">
        <v>3</v>
      </c>
      <c r="G96" s="37">
        <f>'Round 1 Data'!G96*'Round 1 Points'!M$2</f>
        <v>0</v>
      </c>
      <c r="H96" s="37">
        <f>'Round 1 Data'!H96*'Round 1 Points'!N$2</f>
        <v>0</v>
      </c>
      <c r="I96" s="37">
        <f>'Round 1 Data'!I96*'Round 1 Points'!O$2</f>
        <v>0.4</v>
      </c>
      <c r="J96" s="37">
        <f>'Round 1 Data'!J96*'Round 1 Points'!P$2</f>
        <v>0</v>
      </c>
      <c r="K96" s="37">
        <f>'Round 1 Data'!K96*'Round 1 Points'!Q$2</f>
        <v>0</v>
      </c>
      <c r="L96" s="37">
        <f>'Round 1 Data'!L96*'Round 1 Points'!R$2</f>
        <v>0</v>
      </c>
      <c r="M96" s="37">
        <f>'Round 1 Data'!M96*'Round 1 Points'!S$2</f>
        <v>0</v>
      </c>
      <c r="N96" s="37">
        <f>'Round 1 Data'!N96*'Round 1 Points'!T$2</f>
        <v>0</v>
      </c>
      <c r="O96" s="37">
        <f>'Round 1 Data'!O96*'Round 1 Points'!U$2</f>
        <v>0</v>
      </c>
      <c r="P96" s="37">
        <f>'Round 1 Data'!P96*'Round 1 Points'!V$2</f>
        <v>0</v>
      </c>
      <c r="Q96" s="37">
        <f>'Round 1 Data'!Q96*'Round 1 Points'!W$2</f>
        <v>0</v>
      </c>
      <c r="R96" s="37">
        <f>'Round 1 Data'!R96*'Round 1 Points'!X$2</f>
        <v>0</v>
      </c>
      <c r="S96" s="37">
        <f>'Round 1 Data'!S96*'Round 1 Points'!Y$2</f>
        <v>0</v>
      </c>
      <c r="T96" s="38">
        <f t="shared" si="2"/>
        <v>3.4</v>
      </c>
      <c r="U96" s="37">
        <f>'Round 1 Data'!U96*'Round 1 Points'!$Z$2</f>
        <v>0</v>
      </c>
      <c r="V96" s="36">
        <f>IF('Round 1 Data'!D96='Round 1 Points'!$K$1,'Round 1 Points'!$K$2*D96/80,0)</f>
        <v>1.4</v>
      </c>
      <c r="W96">
        <f t="shared" si="3"/>
        <v>4.8</v>
      </c>
    </row>
    <row r="97" spans="1:23" x14ac:dyDescent="0.2">
      <c r="A97" s="36" t="s">
        <v>53</v>
      </c>
      <c r="B97" s="36" t="str" cm="1">
        <f t="array" ref="B97:C97">_xlfn.XLOOKUP(A97,'Player List'!$A$2:$A$177,'Player List'!$B$2:$C$177)</f>
        <v>Scotland</v>
      </c>
      <c r="C97" s="36" t="str">
        <v>Prop</v>
      </c>
      <c r="D97" s="37">
        <v>58</v>
      </c>
      <c r="F97" s="37">
        <v>11</v>
      </c>
      <c r="G97" s="37">
        <f>'Round 1 Data'!G97*'Round 1 Points'!M$2</f>
        <v>0</v>
      </c>
      <c r="H97" s="37">
        <f>'Round 1 Data'!H97*'Round 1 Points'!N$2</f>
        <v>0</v>
      </c>
      <c r="I97" s="37">
        <f>'Round 1 Data'!I97*'Round 1 Points'!O$2</f>
        <v>0.60000000000000009</v>
      </c>
      <c r="J97" s="37">
        <f>'Round 1 Data'!J97*'Round 1 Points'!P$2</f>
        <v>0</v>
      </c>
      <c r="K97" s="37">
        <f>'Round 1 Data'!K97*'Round 1 Points'!Q$2</f>
        <v>0</v>
      </c>
      <c r="L97" s="37">
        <f>'Round 1 Data'!L97*'Round 1 Points'!R$2</f>
        <v>0</v>
      </c>
      <c r="M97" s="37">
        <f>'Round 1 Data'!M97*'Round 1 Points'!S$2</f>
        <v>0</v>
      </c>
      <c r="N97" s="37">
        <f>'Round 1 Data'!N97*'Round 1 Points'!T$2</f>
        <v>0</v>
      </c>
      <c r="O97" s="37">
        <f>'Round 1 Data'!O97*'Round 1 Points'!U$2</f>
        <v>0</v>
      </c>
      <c r="P97" s="37">
        <f>'Round 1 Data'!P97*'Round 1 Points'!V$2</f>
        <v>0</v>
      </c>
      <c r="Q97" s="37">
        <f>'Round 1 Data'!Q97*'Round 1 Points'!W$2</f>
        <v>0</v>
      </c>
      <c r="R97" s="37">
        <f>'Round 1 Data'!R97*'Round 1 Points'!X$2</f>
        <v>0</v>
      </c>
      <c r="S97" s="37">
        <f>'Round 1 Data'!S97*'Round 1 Points'!Y$2</f>
        <v>0</v>
      </c>
      <c r="T97" s="38">
        <f t="shared" si="2"/>
        <v>11.6</v>
      </c>
      <c r="U97" s="37">
        <f>'Round 1 Data'!U97*'Round 1 Points'!$Z$2</f>
        <v>0</v>
      </c>
      <c r="V97" s="36">
        <f>IF('Round 1 Data'!D97='Round 1 Points'!$K$1,'Round 1 Points'!$K$2*D97/80,0)</f>
        <v>5.8</v>
      </c>
      <c r="W97">
        <f t="shared" si="3"/>
        <v>17.399999999999999</v>
      </c>
    </row>
    <row r="98" spans="1:23" x14ac:dyDescent="0.2">
      <c r="A98" s="36" t="s">
        <v>54</v>
      </c>
      <c r="B98" s="36" t="str" cm="1">
        <f t="array" ref="B98:C98">_xlfn.XLOOKUP(A98,'Player List'!$A$2:$A$177,'Player List'!$B$2:$C$177)</f>
        <v>Scotland</v>
      </c>
      <c r="C98" s="36" t="str">
        <v>Prop</v>
      </c>
      <c r="D98" s="37">
        <v>66</v>
      </c>
      <c r="F98" s="37">
        <v>15</v>
      </c>
      <c r="G98" s="37">
        <f>'Round 1 Data'!G98*'Round 1 Points'!M$2</f>
        <v>0</v>
      </c>
      <c r="H98" s="37">
        <f>'Round 1 Data'!H98*'Round 1 Points'!N$2</f>
        <v>0</v>
      </c>
      <c r="I98" s="37">
        <f>'Round 1 Data'!I98*'Round 1 Points'!O$2</f>
        <v>5</v>
      </c>
      <c r="J98" s="37">
        <f>'Round 1 Data'!J98*'Round 1 Points'!P$2</f>
        <v>0</v>
      </c>
      <c r="K98" s="37">
        <f>'Round 1 Data'!K98*'Round 1 Points'!Q$2</f>
        <v>0</v>
      </c>
      <c r="L98" s="37">
        <f>'Round 1 Data'!L98*'Round 1 Points'!R$2</f>
        <v>0</v>
      </c>
      <c r="M98" s="37">
        <f>'Round 1 Data'!M98*'Round 1 Points'!S$2</f>
        <v>0</v>
      </c>
      <c r="N98" s="37">
        <f>'Round 1 Data'!N98*'Round 1 Points'!T$2</f>
        <v>0</v>
      </c>
      <c r="O98" s="37">
        <f>'Round 1 Data'!O98*'Round 1 Points'!U$2</f>
        <v>0</v>
      </c>
      <c r="P98" s="37">
        <f>'Round 1 Data'!P98*'Round 1 Points'!V$2</f>
        <v>0</v>
      </c>
      <c r="Q98" s="37">
        <f>'Round 1 Data'!Q98*'Round 1 Points'!W$2</f>
        <v>0</v>
      </c>
      <c r="R98" s="37">
        <f>'Round 1 Data'!R98*'Round 1 Points'!X$2</f>
        <v>0</v>
      </c>
      <c r="S98" s="37">
        <f>'Round 1 Data'!S98*'Round 1 Points'!Y$2</f>
        <v>0</v>
      </c>
      <c r="T98" s="38">
        <f t="shared" si="2"/>
        <v>20</v>
      </c>
      <c r="U98" s="37">
        <f>'Round 1 Data'!U98*'Round 1 Points'!$Z$2</f>
        <v>0</v>
      </c>
      <c r="V98" s="36">
        <f>IF('Round 1 Data'!D98='Round 1 Points'!$K$1,'Round 1 Points'!$K$2*D98/80,0)</f>
        <v>6.6</v>
      </c>
      <c r="W98">
        <f t="shared" si="3"/>
        <v>26.6</v>
      </c>
    </row>
    <row r="99" spans="1:23" x14ac:dyDescent="0.2">
      <c r="A99" s="36" t="s">
        <v>55</v>
      </c>
      <c r="B99" s="36" t="str" cm="1">
        <f t="array" ref="B99:C99">_xlfn.XLOOKUP(A99,'Player List'!$A$2:$A$177,'Player List'!$B$2:$C$177)</f>
        <v>Scotland</v>
      </c>
      <c r="C99" s="36" t="str">
        <v>Hooker</v>
      </c>
      <c r="D99" s="37">
        <v>22</v>
      </c>
      <c r="F99" s="37">
        <v>3</v>
      </c>
      <c r="G99" s="37">
        <f>'Round 1 Data'!G99*'Round 1 Points'!M$2</f>
        <v>0</v>
      </c>
      <c r="H99" s="37">
        <f>'Round 1 Data'!H99*'Round 1 Points'!N$2</f>
        <v>0</v>
      </c>
      <c r="I99" s="37">
        <f>'Round 1 Data'!I99*'Round 1 Points'!O$2</f>
        <v>0.4</v>
      </c>
      <c r="J99" s="37">
        <f>'Round 1 Data'!J99*'Round 1 Points'!P$2</f>
        <v>0</v>
      </c>
      <c r="K99" s="37">
        <f>'Round 1 Data'!K99*'Round 1 Points'!Q$2</f>
        <v>0</v>
      </c>
      <c r="L99" s="37">
        <f>'Round 1 Data'!L99*'Round 1 Points'!R$2</f>
        <v>0</v>
      </c>
      <c r="M99" s="37">
        <f>'Round 1 Data'!M99*'Round 1 Points'!S$2</f>
        <v>0</v>
      </c>
      <c r="N99" s="37">
        <f>'Round 1 Data'!N99*'Round 1 Points'!T$2</f>
        <v>0</v>
      </c>
      <c r="O99" s="37">
        <f>'Round 1 Data'!O99*'Round 1 Points'!U$2</f>
        <v>0</v>
      </c>
      <c r="P99" s="37">
        <f>'Round 1 Data'!P99*'Round 1 Points'!V$2</f>
        <v>0</v>
      </c>
      <c r="Q99" s="37">
        <f>'Round 1 Data'!Q99*'Round 1 Points'!W$2</f>
        <v>0</v>
      </c>
      <c r="R99" s="37">
        <f>'Round 1 Data'!R99*'Round 1 Points'!X$2</f>
        <v>0</v>
      </c>
      <c r="S99" s="37">
        <f>'Round 1 Data'!S99*'Round 1 Points'!Y$2</f>
        <v>0</v>
      </c>
      <c r="T99" s="38">
        <f t="shared" si="2"/>
        <v>3.4</v>
      </c>
      <c r="U99" s="37">
        <f>'Round 1 Data'!U99*'Round 1 Points'!$Z$2</f>
        <v>0</v>
      </c>
      <c r="V99" s="36">
        <f>IF('Round 1 Data'!D99='Round 1 Points'!$K$1,'Round 1 Points'!$K$2*D99/80,0)</f>
        <v>2.2000000000000002</v>
      </c>
      <c r="W99">
        <f t="shared" si="3"/>
        <v>5.6</v>
      </c>
    </row>
    <row r="100" spans="1:23" x14ac:dyDescent="0.2">
      <c r="A100" s="36" t="s">
        <v>56</v>
      </c>
      <c r="B100" s="36" t="str" cm="1">
        <f t="array" ref="B100:C100">_xlfn.XLOOKUP(A100,'Player List'!$A$2:$A$177,'Player List'!$B$2:$C$177)</f>
        <v>Scotland</v>
      </c>
      <c r="C100" s="36" t="str">
        <v>Hooker</v>
      </c>
      <c r="D100" s="37">
        <v>58</v>
      </c>
      <c r="F100" s="37">
        <v>11</v>
      </c>
      <c r="G100" s="37">
        <f>'Round 1 Data'!G100*'Round 1 Points'!M$2</f>
        <v>14</v>
      </c>
      <c r="H100" s="37">
        <f>'Round 1 Data'!H100*'Round 1 Points'!N$2</f>
        <v>0</v>
      </c>
      <c r="I100" s="37">
        <f>'Round 1 Data'!I100*'Round 1 Points'!O$2</f>
        <v>4.2</v>
      </c>
      <c r="J100" s="37">
        <f>'Round 1 Data'!J100*'Round 1 Points'!P$2</f>
        <v>0</v>
      </c>
      <c r="K100" s="37">
        <f>'Round 1 Data'!K100*'Round 1 Points'!Q$2</f>
        <v>7</v>
      </c>
      <c r="L100" s="37">
        <f>'Round 1 Data'!L100*'Round 1 Points'!R$2</f>
        <v>0</v>
      </c>
      <c r="M100" s="37">
        <f>'Round 1 Data'!M100*'Round 1 Points'!S$2</f>
        <v>0</v>
      </c>
      <c r="N100" s="37">
        <f>'Round 1 Data'!N100*'Round 1 Points'!T$2</f>
        <v>0</v>
      </c>
      <c r="O100" s="37">
        <f>'Round 1 Data'!O100*'Round 1 Points'!U$2</f>
        <v>0</v>
      </c>
      <c r="P100" s="37">
        <f>'Round 1 Data'!P100*'Round 1 Points'!V$2</f>
        <v>0</v>
      </c>
      <c r="Q100" s="37">
        <f>'Round 1 Data'!Q100*'Round 1 Points'!W$2</f>
        <v>0</v>
      </c>
      <c r="R100" s="37">
        <f>'Round 1 Data'!R100*'Round 1 Points'!X$2</f>
        <v>0</v>
      </c>
      <c r="S100" s="37">
        <f>'Round 1 Data'!S100*'Round 1 Points'!Y$2</f>
        <v>0</v>
      </c>
      <c r="T100" s="38">
        <f t="shared" si="2"/>
        <v>36.200000000000003</v>
      </c>
      <c r="U100" s="37">
        <f>'Round 1 Data'!U100*'Round 1 Points'!$Z$2</f>
        <v>0</v>
      </c>
      <c r="V100" s="36">
        <f>IF('Round 1 Data'!D100='Round 1 Points'!$K$1,'Round 1 Points'!$K$2*D100/80,0)</f>
        <v>5.8</v>
      </c>
      <c r="W100">
        <f t="shared" si="3"/>
        <v>42</v>
      </c>
    </row>
    <row r="101" spans="1:23" x14ac:dyDescent="0.2">
      <c r="A101" s="36" t="s">
        <v>103</v>
      </c>
      <c r="B101" s="36" t="str" cm="1">
        <f t="array" ref="B101:C101">_xlfn.XLOOKUP(A101,'Player List'!$A$2:$A$177,'Player List'!$B$2:$C$177)</f>
        <v>Italy</v>
      </c>
      <c r="C101" s="36" t="str">
        <v>Back Three</v>
      </c>
      <c r="D101" s="37">
        <v>66</v>
      </c>
      <c r="F101" s="37">
        <v>6</v>
      </c>
      <c r="G101" s="37">
        <f>'Round 1 Data'!G101*'Round 1 Points'!M$2</f>
        <v>0</v>
      </c>
      <c r="H101" s="37">
        <f>'Round 1 Data'!H101*'Round 1 Points'!N$2</f>
        <v>0</v>
      </c>
      <c r="I101" s="37">
        <f>'Round 1 Data'!I101*'Round 1 Points'!O$2</f>
        <v>9.2000000000000011</v>
      </c>
      <c r="J101" s="37">
        <f>'Round 1 Data'!J101*'Round 1 Points'!P$2</f>
        <v>0</v>
      </c>
      <c r="K101" s="37">
        <f>'Round 1 Data'!K101*'Round 1 Points'!Q$2</f>
        <v>0</v>
      </c>
      <c r="L101" s="37">
        <f>'Round 1 Data'!L101*'Round 1 Points'!R$2</f>
        <v>0</v>
      </c>
      <c r="M101" s="37">
        <f>'Round 1 Data'!M101*'Round 1 Points'!S$2</f>
        <v>0</v>
      </c>
      <c r="N101" s="37">
        <f>'Round 1 Data'!N101*'Round 1 Points'!T$2</f>
        <v>0</v>
      </c>
      <c r="O101" s="37">
        <f>'Round 1 Data'!O101*'Round 1 Points'!U$2</f>
        <v>0</v>
      </c>
      <c r="P101" s="37">
        <f>'Round 1 Data'!P101*'Round 1 Points'!V$2</f>
        <v>0</v>
      </c>
      <c r="Q101" s="37">
        <f>'Round 1 Data'!Q101*'Round 1 Points'!W$2</f>
        <v>0</v>
      </c>
      <c r="R101" s="37">
        <f>'Round 1 Data'!R101*'Round 1 Points'!X$2</f>
        <v>0</v>
      </c>
      <c r="S101" s="37">
        <f>'Round 1 Data'!S101*'Round 1 Points'!Y$2</f>
        <v>0</v>
      </c>
      <c r="T101" s="38">
        <f t="shared" si="2"/>
        <v>15.200000000000001</v>
      </c>
      <c r="U101" s="37">
        <f>'Round 1 Data'!U101*'Round 1 Points'!$Z$2</f>
        <v>0</v>
      </c>
      <c r="V101" s="36">
        <f>IF('Round 1 Data'!D101='Round 1 Points'!$K$1,'Round 1 Points'!$K$2*D101/80,0)</f>
        <v>0</v>
      </c>
      <c r="W101">
        <f t="shared" si="3"/>
        <v>15.200000000000001</v>
      </c>
    </row>
    <row r="102" spans="1:23" x14ac:dyDescent="0.2">
      <c r="A102" s="36" t="s">
        <v>104</v>
      </c>
      <c r="B102" s="36" t="str" cm="1">
        <f t="array" ref="B102:C102">_xlfn.XLOOKUP(A102,'Player List'!$A$2:$A$177,'Player List'!$B$2:$C$177)</f>
        <v>Italy</v>
      </c>
      <c r="C102" s="36" t="str">
        <v>Back Three</v>
      </c>
      <c r="D102" s="37">
        <v>80</v>
      </c>
      <c r="F102" s="37"/>
      <c r="G102" s="37">
        <f>'Round 1 Data'!G102*'Round 1 Points'!M$2</f>
        <v>0</v>
      </c>
      <c r="H102" s="37">
        <f>'Round 1 Data'!H102*'Round 1 Points'!N$2</f>
        <v>0</v>
      </c>
      <c r="I102" s="37">
        <f>'Round 1 Data'!I102*'Round 1 Points'!O$2</f>
        <v>22.8</v>
      </c>
      <c r="J102" s="37">
        <f>'Round 1 Data'!J102*'Round 1 Points'!P$2</f>
        <v>0</v>
      </c>
      <c r="K102" s="37">
        <f>'Round 1 Data'!K102*'Round 1 Points'!Q$2</f>
        <v>0</v>
      </c>
      <c r="L102" s="37">
        <f>'Round 1 Data'!L102*'Round 1 Points'!R$2</f>
        <v>0</v>
      </c>
      <c r="M102" s="37">
        <f>'Round 1 Data'!M102*'Round 1 Points'!S$2</f>
        <v>15</v>
      </c>
      <c r="N102" s="37">
        <f>'Round 1 Data'!N102*'Round 1 Points'!T$2</f>
        <v>0</v>
      </c>
      <c r="O102" s="37">
        <f>'Round 1 Data'!O102*'Round 1 Points'!U$2</f>
        <v>0</v>
      </c>
      <c r="P102" s="37">
        <f>'Round 1 Data'!P102*'Round 1 Points'!V$2</f>
        <v>0</v>
      </c>
      <c r="Q102" s="37">
        <f>'Round 1 Data'!Q102*'Round 1 Points'!W$2</f>
        <v>0</v>
      </c>
      <c r="R102" s="37">
        <f>'Round 1 Data'!R102*'Round 1 Points'!X$2</f>
        <v>0</v>
      </c>
      <c r="S102" s="37">
        <f>'Round 1 Data'!S102*'Round 1 Points'!Y$2</f>
        <v>0</v>
      </c>
      <c r="T102" s="38">
        <f t="shared" si="2"/>
        <v>37.799999999999997</v>
      </c>
      <c r="U102" s="37">
        <f>'Round 1 Data'!U102*'Round 1 Points'!$Z$2</f>
        <v>0</v>
      </c>
      <c r="V102" s="36">
        <f>IF('Round 1 Data'!D102='Round 1 Points'!$K$1,'Round 1 Points'!$K$2*D102/80,0)</f>
        <v>0</v>
      </c>
      <c r="W102">
        <f t="shared" si="3"/>
        <v>37.799999999999997</v>
      </c>
    </row>
    <row r="103" spans="1:23" x14ac:dyDescent="0.2">
      <c r="A103" s="36" t="s">
        <v>105</v>
      </c>
      <c r="B103" s="36" t="str" cm="1">
        <f t="array" ref="B103:C103">_xlfn.XLOOKUP(A103,'Player List'!$A$2:$A$177,'Player List'!$B$2:$C$177)</f>
        <v>Italy</v>
      </c>
      <c r="C103" s="36" t="str">
        <v>Back Three</v>
      </c>
      <c r="D103" s="37">
        <v>6</v>
      </c>
      <c r="F103" s="37"/>
      <c r="G103" s="37">
        <f>'Round 1 Data'!G103*'Round 1 Points'!M$2</f>
        <v>0</v>
      </c>
      <c r="H103" s="37">
        <f>'Round 1 Data'!H103*'Round 1 Points'!N$2</f>
        <v>0</v>
      </c>
      <c r="I103" s="37">
        <f>'Round 1 Data'!I103*'Round 1 Points'!O$2</f>
        <v>0</v>
      </c>
      <c r="J103" s="37">
        <f>'Round 1 Data'!J103*'Round 1 Points'!P$2</f>
        <v>0</v>
      </c>
      <c r="K103" s="37">
        <f>'Round 1 Data'!K103*'Round 1 Points'!Q$2</f>
        <v>0</v>
      </c>
      <c r="L103" s="37">
        <f>'Round 1 Data'!L103*'Round 1 Points'!R$2</f>
        <v>0</v>
      </c>
      <c r="M103" s="37">
        <f>'Round 1 Data'!M103*'Round 1 Points'!S$2</f>
        <v>0</v>
      </c>
      <c r="N103" s="37">
        <f>'Round 1 Data'!N103*'Round 1 Points'!T$2</f>
        <v>0</v>
      </c>
      <c r="O103" s="37">
        <f>'Round 1 Data'!O103*'Round 1 Points'!U$2</f>
        <v>0</v>
      </c>
      <c r="P103" s="37">
        <f>'Round 1 Data'!P103*'Round 1 Points'!V$2</f>
        <v>0</v>
      </c>
      <c r="Q103" s="37">
        <f>'Round 1 Data'!Q103*'Round 1 Points'!W$2</f>
        <v>0</v>
      </c>
      <c r="R103" s="37">
        <f>'Round 1 Data'!R103*'Round 1 Points'!X$2</f>
        <v>0</v>
      </c>
      <c r="S103" s="37">
        <f>'Round 1 Data'!S103*'Round 1 Points'!Y$2</f>
        <v>0</v>
      </c>
      <c r="T103" s="38">
        <f t="shared" si="2"/>
        <v>0</v>
      </c>
      <c r="U103" s="37">
        <f>'Round 1 Data'!U103*'Round 1 Points'!$Z$2</f>
        <v>0</v>
      </c>
      <c r="V103" s="36">
        <f>IF('Round 1 Data'!D103='Round 1 Points'!$K$1,'Round 1 Points'!$K$2*D103/80,0)</f>
        <v>0</v>
      </c>
      <c r="W103">
        <f t="shared" si="3"/>
        <v>0</v>
      </c>
    </row>
    <row r="104" spans="1:23" x14ac:dyDescent="0.2">
      <c r="A104" s="36" t="s">
        <v>106</v>
      </c>
      <c r="B104" s="36" t="str" cm="1">
        <f t="array" ref="B104:C104">_xlfn.XLOOKUP(A104,'Player List'!$A$2:$A$177,'Player List'!$B$2:$C$177)</f>
        <v>Italy</v>
      </c>
      <c r="C104" s="36" t="str">
        <v>Back Three</v>
      </c>
      <c r="D104" s="37">
        <v>80</v>
      </c>
      <c r="F104" s="37"/>
      <c r="G104" s="37">
        <f>'Round 1 Data'!G104*'Round 1 Points'!M$2</f>
        <v>0</v>
      </c>
      <c r="H104" s="37">
        <f>'Round 1 Data'!H104*'Round 1 Points'!N$2</f>
        <v>7</v>
      </c>
      <c r="I104" s="37">
        <f>'Round 1 Data'!I104*'Round 1 Points'!O$2</f>
        <v>7.6000000000000005</v>
      </c>
      <c r="J104" s="37">
        <f>'Round 1 Data'!J104*'Round 1 Points'!P$2</f>
        <v>0</v>
      </c>
      <c r="K104" s="37">
        <f>'Round 1 Data'!K104*'Round 1 Points'!Q$2</f>
        <v>0</v>
      </c>
      <c r="L104" s="37">
        <f>'Round 1 Data'!L104*'Round 1 Points'!R$2</f>
        <v>0</v>
      </c>
      <c r="M104" s="37">
        <f>'Round 1 Data'!M104*'Round 1 Points'!S$2</f>
        <v>0</v>
      </c>
      <c r="N104" s="37">
        <f>'Round 1 Data'!N104*'Round 1 Points'!T$2</f>
        <v>0</v>
      </c>
      <c r="O104" s="37">
        <f>'Round 1 Data'!O104*'Round 1 Points'!U$2</f>
        <v>0</v>
      </c>
      <c r="P104" s="37">
        <f>'Round 1 Data'!P104*'Round 1 Points'!V$2</f>
        <v>0</v>
      </c>
      <c r="Q104" s="37">
        <f>'Round 1 Data'!Q104*'Round 1 Points'!W$2</f>
        <v>0</v>
      </c>
      <c r="R104" s="37">
        <f>'Round 1 Data'!R104*'Round 1 Points'!X$2</f>
        <v>0</v>
      </c>
      <c r="S104" s="37">
        <f>'Round 1 Data'!S104*'Round 1 Points'!Y$2</f>
        <v>0</v>
      </c>
      <c r="T104" s="38">
        <f t="shared" si="2"/>
        <v>14.600000000000001</v>
      </c>
      <c r="U104" s="37">
        <f>'Round 1 Data'!U104*'Round 1 Points'!$Z$2</f>
        <v>0</v>
      </c>
      <c r="V104" s="36">
        <f>IF('Round 1 Data'!D104='Round 1 Points'!$K$1,'Round 1 Points'!$K$2*D104/80,0)</f>
        <v>0</v>
      </c>
      <c r="W104">
        <f t="shared" si="3"/>
        <v>14.600000000000001</v>
      </c>
    </row>
    <row r="105" spans="1:23" x14ac:dyDescent="0.2">
      <c r="A105" s="36" t="s">
        <v>107</v>
      </c>
      <c r="B105" s="36" t="str" cm="1">
        <f t="array" ref="B105:C105">_xlfn.XLOOKUP(A105,'Player List'!$A$2:$A$177,'Player List'!$B$2:$C$177)</f>
        <v>Italy</v>
      </c>
      <c r="C105" s="36" t="str">
        <v>Back Three</v>
      </c>
      <c r="D105" s="37">
        <v>14</v>
      </c>
      <c r="F105" s="37">
        <v>1</v>
      </c>
      <c r="G105" s="37">
        <f>'Round 1 Data'!G105*'Round 1 Points'!M$2</f>
        <v>0</v>
      </c>
      <c r="H105" s="37">
        <f>'Round 1 Data'!H105*'Round 1 Points'!N$2</f>
        <v>0</v>
      </c>
      <c r="I105" s="37">
        <f>'Round 1 Data'!I105*'Round 1 Points'!O$2</f>
        <v>2.8000000000000003</v>
      </c>
      <c r="J105" s="37">
        <f>'Round 1 Data'!J105*'Round 1 Points'!P$2</f>
        <v>0</v>
      </c>
      <c r="K105" s="37">
        <f>'Round 1 Data'!K105*'Round 1 Points'!Q$2</f>
        <v>0</v>
      </c>
      <c r="L105" s="37">
        <f>'Round 1 Data'!L105*'Round 1 Points'!R$2</f>
        <v>0</v>
      </c>
      <c r="M105" s="37">
        <f>'Round 1 Data'!M105*'Round 1 Points'!S$2</f>
        <v>0</v>
      </c>
      <c r="N105" s="37">
        <f>'Round 1 Data'!N105*'Round 1 Points'!T$2</f>
        <v>0</v>
      </c>
      <c r="O105" s="37">
        <f>'Round 1 Data'!O105*'Round 1 Points'!U$2</f>
        <v>0</v>
      </c>
      <c r="P105" s="37">
        <f>'Round 1 Data'!P105*'Round 1 Points'!V$2</f>
        <v>0</v>
      </c>
      <c r="Q105" s="37">
        <f>'Round 1 Data'!Q105*'Round 1 Points'!W$2</f>
        <v>0</v>
      </c>
      <c r="R105" s="37">
        <f>'Round 1 Data'!R105*'Round 1 Points'!X$2</f>
        <v>0</v>
      </c>
      <c r="S105" s="37">
        <f>'Round 1 Data'!S105*'Round 1 Points'!Y$2</f>
        <v>0</v>
      </c>
      <c r="T105" s="38">
        <f t="shared" si="2"/>
        <v>3.8000000000000003</v>
      </c>
      <c r="U105" s="37">
        <f>'Round 1 Data'!U105*'Round 1 Points'!$Z$2</f>
        <v>0</v>
      </c>
      <c r="V105" s="36">
        <f>IF('Round 1 Data'!D105='Round 1 Points'!$K$1,'Round 1 Points'!$K$2*D105/80,0)</f>
        <v>0</v>
      </c>
      <c r="W105">
        <f t="shared" si="3"/>
        <v>3.8000000000000003</v>
      </c>
    </row>
    <row r="106" spans="1:23" x14ac:dyDescent="0.2">
      <c r="A106" s="36" t="s">
        <v>108</v>
      </c>
      <c r="B106" s="36" t="str" cm="1">
        <f t="array" ref="B106:C106">_xlfn.XLOOKUP(A106,'Player List'!$A$2:$A$177,'Player List'!$B$2:$C$177)</f>
        <v>Italy</v>
      </c>
      <c r="C106" s="36" t="str">
        <v>Centre</v>
      </c>
      <c r="D106" s="37">
        <v>80</v>
      </c>
      <c r="F106" s="37">
        <v>4</v>
      </c>
      <c r="G106" s="37">
        <f>'Round 1 Data'!G106*'Round 1 Points'!M$2</f>
        <v>0</v>
      </c>
      <c r="H106" s="37">
        <f>'Round 1 Data'!H106*'Round 1 Points'!N$2</f>
        <v>0</v>
      </c>
      <c r="I106" s="37">
        <f>'Round 1 Data'!I106*'Round 1 Points'!O$2</f>
        <v>18</v>
      </c>
      <c r="J106" s="37">
        <f>'Round 1 Data'!J106*'Round 1 Points'!P$2</f>
        <v>0</v>
      </c>
      <c r="K106" s="37">
        <f>'Round 1 Data'!K106*'Round 1 Points'!Q$2</f>
        <v>0</v>
      </c>
      <c r="L106" s="37">
        <f>'Round 1 Data'!L106*'Round 1 Points'!R$2</f>
        <v>0</v>
      </c>
      <c r="M106" s="37">
        <f>'Round 1 Data'!M106*'Round 1 Points'!S$2</f>
        <v>0</v>
      </c>
      <c r="N106" s="37">
        <f>'Round 1 Data'!N106*'Round 1 Points'!T$2</f>
        <v>0</v>
      </c>
      <c r="O106" s="37">
        <f>'Round 1 Data'!O106*'Round 1 Points'!U$2</f>
        <v>0</v>
      </c>
      <c r="P106" s="37">
        <f>'Round 1 Data'!P106*'Round 1 Points'!V$2</f>
        <v>0</v>
      </c>
      <c r="Q106" s="37">
        <f>'Round 1 Data'!Q106*'Round 1 Points'!W$2</f>
        <v>0</v>
      </c>
      <c r="R106" s="37">
        <f>'Round 1 Data'!R106*'Round 1 Points'!X$2</f>
        <v>0</v>
      </c>
      <c r="S106" s="37">
        <f>'Round 1 Data'!S106*'Round 1 Points'!Y$2</f>
        <v>0</v>
      </c>
      <c r="T106" s="38">
        <f t="shared" si="2"/>
        <v>22</v>
      </c>
      <c r="U106" s="37">
        <f>'Round 1 Data'!U106*'Round 1 Points'!$Z$2</f>
        <v>0</v>
      </c>
      <c r="V106" s="36">
        <f>IF('Round 1 Data'!D106='Round 1 Points'!$K$1,'Round 1 Points'!$K$2*D106/80,0)</f>
        <v>0</v>
      </c>
      <c r="W106">
        <f t="shared" si="3"/>
        <v>22</v>
      </c>
    </row>
    <row r="107" spans="1:23" x14ac:dyDescent="0.2">
      <c r="A107" s="36" t="s">
        <v>109</v>
      </c>
      <c r="B107" s="36" t="str" cm="1">
        <f t="array" ref="B107:C107">_xlfn.XLOOKUP(A107,'Player List'!$A$2:$A$177,'Player List'!$B$2:$C$177)</f>
        <v>Italy</v>
      </c>
      <c r="C107" s="36" t="str">
        <v>Centre</v>
      </c>
      <c r="D107" s="37">
        <v>80</v>
      </c>
      <c r="F107" s="37">
        <v>11</v>
      </c>
      <c r="G107" s="37">
        <f>'Round 1 Data'!G107*'Round 1 Points'!M$2</f>
        <v>7</v>
      </c>
      <c r="H107" s="37">
        <f>'Round 1 Data'!H107*'Round 1 Points'!N$2</f>
        <v>0</v>
      </c>
      <c r="I107" s="37">
        <f>'Round 1 Data'!I107*'Round 1 Points'!O$2</f>
        <v>14.600000000000001</v>
      </c>
      <c r="J107" s="37">
        <f>'Round 1 Data'!J107*'Round 1 Points'!P$2</f>
        <v>0</v>
      </c>
      <c r="K107" s="37">
        <f>'Round 1 Data'!K107*'Round 1 Points'!Q$2</f>
        <v>0</v>
      </c>
      <c r="L107" s="37">
        <f>'Round 1 Data'!L107*'Round 1 Points'!R$2</f>
        <v>0</v>
      </c>
      <c r="M107" s="37">
        <f>'Round 1 Data'!M107*'Round 1 Points'!S$2</f>
        <v>0</v>
      </c>
      <c r="N107" s="37">
        <f>'Round 1 Data'!N107*'Round 1 Points'!T$2</f>
        <v>0</v>
      </c>
      <c r="O107" s="37">
        <f>'Round 1 Data'!O107*'Round 1 Points'!U$2</f>
        <v>0</v>
      </c>
      <c r="P107" s="37">
        <f>'Round 1 Data'!P107*'Round 1 Points'!V$2</f>
        <v>0</v>
      </c>
      <c r="Q107" s="37">
        <f>'Round 1 Data'!Q107*'Round 1 Points'!W$2</f>
        <v>0</v>
      </c>
      <c r="R107" s="37">
        <f>'Round 1 Data'!R107*'Round 1 Points'!X$2</f>
        <v>0</v>
      </c>
      <c r="S107" s="37">
        <f>'Round 1 Data'!S107*'Round 1 Points'!Y$2</f>
        <v>0</v>
      </c>
      <c r="T107" s="38">
        <f t="shared" si="2"/>
        <v>32.6</v>
      </c>
      <c r="U107" s="37">
        <f>'Round 1 Data'!U107*'Round 1 Points'!$Z$2</f>
        <v>0</v>
      </c>
      <c r="V107" s="36">
        <f>IF('Round 1 Data'!D107='Round 1 Points'!$K$1,'Round 1 Points'!$K$2*D107/80,0)</f>
        <v>0</v>
      </c>
      <c r="W107">
        <f t="shared" si="3"/>
        <v>32.6</v>
      </c>
    </row>
    <row r="108" spans="1:23" x14ac:dyDescent="0.2">
      <c r="A108" s="36" t="s">
        <v>110</v>
      </c>
      <c r="B108" s="36" t="str" cm="1">
        <f t="array" ref="B108:C108">_xlfn.XLOOKUP(A108,'Player List'!$A$2:$A$177,'Player List'!$B$2:$C$177)</f>
        <v>Italy</v>
      </c>
      <c r="C108" s="36" t="str">
        <v>Fly Half</v>
      </c>
      <c r="D108" s="37">
        <v>80</v>
      </c>
      <c r="F108" s="37">
        <v>5</v>
      </c>
      <c r="G108" s="37">
        <f>'Round 1 Data'!G108*'Round 1 Points'!M$2</f>
        <v>0</v>
      </c>
      <c r="H108" s="37">
        <f>'Round 1 Data'!H108*'Round 1 Points'!N$2</f>
        <v>0</v>
      </c>
      <c r="I108" s="37">
        <f>'Round 1 Data'!I108*'Round 1 Points'!O$2</f>
        <v>18.600000000000001</v>
      </c>
      <c r="J108" s="37">
        <f>'Round 1 Data'!J108*'Round 1 Points'!P$2</f>
        <v>0</v>
      </c>
      <c r="K108" s="37">
        <f>'Round 1 Data'!K108*'Round 1 Points'!Q$2</f>
        <v>0</v>
      </c>
      <c r="L108" s="37">
        <f>'Round 1 Data'!L108*'Round 1 Points'!R$2</f>
        <v>0</v>
      </c>
      <c r="M108" s="37">
        <f>'Round 1 Data'!M108*'Round 1 Points'!S$2</f>
        <v>0</v>
      </c>
      <c r="N108" s="37">
        <f>'Round 1 Data'!N108*'Round 1 Points'!T$2</f>
        <v>0</v>
      </c>
      <c r="O108" s="37">
        <f>'Round 1 Data'!O108*'Round 1 Points'!U$2</f>
        <v>0</v>
      </c>
      <c r="P108" s="37">
        <f>'Round 1 Data'!P108*'Round 1 Points'!V$2</f>
        <v>20</v>
      </c>
      <c r="Q108" s="37">
        <f>'Round 1 Data'!Q108*'Round 1 Points'!W$2</f>
        <v>0</v>
      </c>
      <c r="R108" s="37">
        <f>'Round 1 Data'!R108*'Round 1 Points'!X$2</f>
        <v>0</v>
      </c>
      <c r="S108" s="37">
        <f>'Round 1 Data'!S108*'Round 1 Points'!Y$2</f>
        <v>0</v>
      </c>
      <c r="T108" s="38">
        <f t="shared" si="2"/>
        <v>43.6</v>
      </c>
      <c r="U108" s="37">
        <f>'Round 1 Data'!U108*'Round 1 Points'!$Z$2</f>
        <v>0</v>
      </c>
      <c r="V108" s="36">
        <f>IF('Round 1 Data'!D108='Round 1 Points'!$K$1,'Round 1 Points'!$K$2*D108/80,0)</f>
        <v>0</v>
      </c>
      <c r="W108">
        <f t="shared" si="3"/>
        <v>43.6</v>
      </c>
    </row>
    <row r="109" spans="1:23" x14ac:dyDescent="0.2">
      <c r="A109" s="36" t="s">
        <v>111</v>
      </c>
      <c r="B109" s="36" t="str" cm="1">
        <f t="array" ref="B109:C109">_xlfn.XLOOKUP(A109,'Player List'!$A$2:$A$177,'Player List'!$B$2:$C$177)</f>
        <v>Italy</v>
      </c>
      <c r="C109" s="36" t="str">
        <v>Scrum Half</v>
      </c>
      <c r="D109" s="37">
        <v>74</v>
      </c>
      <c r="F109" s="37">
        <v>2</v>
      </c>
      <c r="G109" s="37">
        <f>'Round 1 Data'!G109*'Round 1 Points'!M$2</f>
        <v>0</v>
      </c>
      <c r="H109" s="37">
        <f>'Round 1 Data'!H109*'Round 1 Points'!N$2</f>
        <v>0</v>
      </c>
      <c r="I109" s="37">
        <f>'Round 1 Data'!I109*'Round 1 Points'!O$2</f>
        <v>0.4</v>
      </c>
      <c r="J109" s="37">
        <f>'Round 1 Data'!J109*'Round 1 Points'!P$2</f>
        <v>0</v>
      </c>
      <c r="K109" s="37">
        <f>'Round 1 Data'!K109*'Round 1 Points'!Q$2</f>
        <v>0</v>
      </c>
      <c r="L109" s="37">
        <f>'Round 1 Data'!L109*'Round 1 Points'!R$2</f>
        <v>0</v>
      </c>
      <c r="M109" s="37">
        <f>'Round 1 Data'!M109*'Round 1 Points'!S$2</f>
        <v>0</v>
      </c>
      <c r="N109" s="37">
        <f>'Round 1 Data'!N109*'Round 1 Points'!T$2</f>
        <v>7</v>
      </c>
      <c r="O109" s="37">
        <f>'Round 1 Data'!O109*'Round 1 Points'!U$2</f>
        <v>0</v>
      </c>
      <c r="P109" s="37">
        <f>'Round 1 Data'!P109*'Round 1 Points'!V$2</f>
        <v>0</v>
      </c>
      <c r="Q109" s="37">
        <f>'Round 1 Data'!Q109*'Round 1 Points'!W$2</f>
        <v>0</v>
      </c>
      <c r="R109" s="37">
        <f>'Round 1 Data'!R109*'Round 1 Points'!X$2</f>
        <v>0</v>
      </c>
      <c r="S109" s="37">
        <f>'Round 1 Data'!S109*'Round 1 Points'!Y$2</f>
        <v>0</v>
      </c>
      <c r="T109" s="38">
        <f t="shared" si="2"/>
        <v>9.4</v>
      </c>
      <c r="U109" s="37">
        <f>'Round 1 Data'!U109*'Round 1 Points'!$Z$2</f>
        <v>0</v>
      </c>
      <c r="V109" s="36">
        <f>IF('Round 1 Data'!D109='Round 1 Points'!$K$1,'Round 1 Points'!$K$2*D109/80,0)</f>
        <v>0</v>
      </c>
      <c r="W109">
        <f t="shared" si="3"/>
        <v>9.4</v>
      </c>
    </row>
    <row r="110" spans="1:23" x14ac:dyDescent="0.2">
      <c r="A110" s="36" t="s">
        <v>112</v>
      </c>
      <c r="B110" s="36" t="str" cm="1">
        <f t="array" ref="B110:C110">_xlfn.XLOOKUP(A110,'Player List'!$A$2:$A$177,'Player List'!$B$2:$C$177)</f>
        <v>Italy</v>
      </c>
      <c r="C110" s="36" t="str">
        <v>Back Row</v>
      </c>
      <c r="D110" s="37">
        <v>11</v>
      </c>
      <c r="F110" s="37"/>
      <c r="G110" s="37">
        <f>'Round 1 Data'!G110*'Round 1 Points'!M$2</f>
        <v>0</v>
      </c>
      <c r="H110" s="37">
        <f>'Round 1 Data'!H110*'Round 1 Points'!N$2</f>
        <v>0</v>
      </c>
      <c r="I110" s="37">
        <f>'Round 1 Data'!I110*'Round 1 Points'!O$2</f>
        <v>1.8</v>
      </c>
      <c r="J110" s="37">
        <f>'Round 1 Data'!J110*'Round 1 Points'!P$2</f>
        <v>0</v>
      </c>
      <c r="K110" s="37">
        <f>'Round 1 Data'!K110*'Round 1 Points'!Q$2</f>
        <v>0</v>
      </c>
      <c r="L110" s="37">
        <f>'Round 1 Data'!L110*'Round 1 Points'!R$2</f>
        <v>0</v>
      </c>
      <c r="M110" s="37">
        <f>'Round 1 Data'!M110*'Round 1 Points'!S$2</f>
        <v>0</v>
      </c>
      <c r="N110" s="37">
        <f>'Round 1 Data'!N110*'Round 1 Points'!T$2</f>
        <v>0</v>
      </c>
      <c r="O110" s="37">
        <f>'Round 1 Data'!O110*'Round 1 Points'!U$2</f>
        <v>0</v>
      </c>
      <c r="P110" s="37">
        <f>'Round 1 Data'!P110*'Round 1 Points'!V$2</f>
        <v>0</v>
      </c>
      <c r="Q110" s="37">
        <f>'Round 1 Data'!Q110*'Round 1 Points'!W$2</f>
        <v>0</v>
      </c>
      <c r="R110" s="37">
        <f>'Round 1 Data'!R110*'Round 1 Points'!X$2</f>
        <v>0</v>
      </c>
      <c r="S110" s="37">
        <f>'Round 1 Data'!S110*'Round 1 Points'!Y$2</f>
        <v>0</v>
      </c>
      <c r="T110" s="38">
        <f t="shared" si="2"/>
        <v>1.8</v>
      </c>
      <c r="U110" s="37">
        <f>'Round 1 Data'!U110*'Round 1 Points'!$Z$2</f>
        <v>0</v>
      </c>
      <c r="V110" s="36">
        <f>IF('Round 1 Data'!D110='Round 1 Points'!$K$1,'Round 1 Points'!$K$2*D110/80,0)</f>
        <v>0</v>
      </c>
      <c r="W110">
        <f t="shared" si="3"/>
        <v>1.8</v>
      </c>
    </row>
    <row r="111" spans="1:23" x14ac:dyDescent="0.2">
      <c r="A111" s="36" t="s">
        <v>113</v>
      </c>
      <c r="B111" s="36" t="str" cm="1">
        <f t="array" ref="B111:C111">_xlfn.XLOOKUP(A111,'Player List'!$A$2:$A$177,'Player List'!$B$2:$C$177)</f>
        <v>Italy</v>
      </c>
      <c r="C111" s="36" t="str">
        <v>Back Row</v>
      </c>
      <c r="D111" s="37">
        <v>80</v>
      </c>
      <c r="F111" s="37">
        <v>10</v>
      </c>
      <c r="G111" s="37">
        <f>'Round 1 Data'!G111*'Round 1 Points'!M$2</f>
        <v>0</v>
      </c>
      <c r="H111" s="37">
        <f>'Round 1 Data'!H111*'Round 1 Points'!N$2</f>
        <v>0</v>
      </c>
      <c r="I111" s="37">
        <f>'Round 1 Data'!I111*'Round 1 Points'!O$2</f>
        <v>9</v>
      </c>
      <c r="J111" s="37">
        <f>'Round 1 Data'!J111*'Round 1 Points'!P$2</f>
        <v>0</v>
      </c>
      <c r="K111" s="37">
        <f>'Round 1 Data'!K111*'Round 1 Points'!Q$2</f>
        <v>0</v>
      </c>
      <c r="L111" s="37">
        <f>'Round 1 Data'!L111*'Round 1 Points'!R$2</f>
        <v>0</v>
      </c>
      <c r="M111" s="37">
        <f>'Round 1 Data'!M111*'Round 1 Points'!S$2</f>
        <v>0</v>
      </c>
      <c r="N111" s="37">
        <f>'Round 1 Data'!N111*'Round 1 Points'!T$2</f>
        <v>0</v>
      </c>
      <c r="O111" s="37">
        <f>'Round 1 Data'!O111*'Round 1 Points'!U$2</f>
        <v>0</v>
      </c>
      <c r="P111" s="37">
        <f>'Round 1 Data'!P111*'Round 1 Points'!V$2</f>
        <v>0</v>
      </c>
      <c r="Q111" s="37">
        <f>'Round 1 Data'!Q111*'Round 1 Points'!W$2</f>
        <v>0</v>
      </c>
      <c r="R111" s="37">
        <f>'Round 1 Data'!R111*'Round 1 Points'!X$2</f>
        <v>0</v>
      </c>
      <c r="S111" s="37">
        <f>'Round 1 Data'!S111*'Round 1 Points'!Y$2</f>
        <v>0</v>
      </c>
      <c r="T111" s="38">
        <f t="shared" si="2"/>
        <v>19</v>
      </c>
      <c r="U111" s="37">
        <f>'Round 1 Data'!U111*'Round 1 Points'!$Z$2</f>
        <v>0</v>
      </c>
      <c r="V111" s="36">
        <f>IF('Round 1 Data'!D111='Round 1 Points'!$K$1,'Round 1 Points'!$K$2*D111/80,0)</f>
        <v>0</v>
      </c>
      <c r="W111">
        <f t="shared" si="3"/>
        <v>19</v>
      </c>
    </row>
    <row r="112" spans="1:23" x14ac:dyDescent="0.2">
      <c r="A112" s="36" t="s">
        <v>114</v>
      </c>
      <c r="B112" s="36" t="str" cm="1">
        <f t="array" ref="B112:C112">_xlfn.XLOOKUP(A112,'Player List'!$A$2:$A$177,'Player List'!$B$2:$C$177)</f>
        <v>Italy</v>
      </c>
      <c r="C112" s="36" t="str">
        <v>Back Row</v>
      </c>
      <c r="D112" s="37">
        <v>65</v>
      </c>
      <c r="F112" s="37">
        <v>7</v>
      </c>
      <c r="G112" s="37">
        <f>'Round 1 Data'!G112*'Round 1 Points'!M$2</f>
        <v>7</v>
      </c>
      <c r="H112" s="37">
        <f>'Round 1 Data'!H112*'Round 1 Points'!N$2</f>
        <v>0</v>
      </c>
      <c r="I112" s="37">
        <f>'Round 1 Data'!I112*'Round 1 Points'!O$2</f>
        <v>13</v>
      </c>
      <c r="J112" s="37">
        <f>'Round 1 Data'!J112*'Round 1 Points'!P$2</f>
        <v>0</v>
      </c>
      <c r="K112" s="37">
        <f>'Round 1 Data'!K112*'Round 1 Points'!Q$2</f>
        <v>0</v>
      </c>
      <c r="L112" s="37">
        <f>'Round 1 Data'!L112*'Round 1 Points'!R$2</f>
        <v>0</v>
      </c>
      <c r="M112" s="37">
        <f>'Round 1 Data'!M112*'Round 1 Points'!S$2</f>
        <v>0</v>
      </c>
      <c r="N112" s="37">
        <f>'Round 1 Data'!N112*'Round 1 Points'!T$2</f>
        <v>0</v>
      </c>
      <c r="O112" s="37">
        <f>'Round 1 Data'!O112*'Round 1 Points'!U$2</f>
        <v>0</v>
      </c>
      <c r="P112" s="37">
        <f>'Round 1 Data'!P112*'Round 1 Points'!V$2</f>
        <v>0</v>
      </c>
      <c r="Q112" s="37">
        <f>'Round 1 Data'!Q112*'Round 1 Points'!W$2</f>
        <v>0</v>
      </c>
      <c r="R112" s="37">
        <f>'Round 1 Data'!R112*'Round 1 Points'!X$2</f>
        <v>0</v>
      </c>
      <c r="S112" s="37">
        <f>'Round 1 Data'!S112*'Round 1 Points'!Y$2</f>
        <v>0</v>
      </c>
      <c r="T112" s="38">
        <f t="shared" si="2"/>
        <v>27</v>
      </c>
      <c r="U112" s="37">
        <f>'Round 1 Data'!U112*'Round 1 Points'!$Z$2</f>
        <v>0</v>
      </c>
      <c r="V112" s="36">
        <f>IF('Round 1 Data'!D112='Round 1 Points'!$K$1,'Round 1 Points'!$K$2*D112/80,0)</f>
        <v>0</v>
      </c>
      <c r="W112">
        <f t="shared" si="3"/>
        <v>27</v>
      </c>
    </row>
    <row r="113" spans="1:23" x14ac:dyDescent="0.2">
      <c r="A113" s="36" t="s">
        <v>154</v>
      </c>
      <c r="B113" s="36" t="str" cm="1">
        <f t="array" ref="B113:C113">_xlfn.XLOOKUP(A113,'Player List'!$A$2:$A$177,'Player List'!$B$2:$C$177)</f>
        <v>Italy</v>
      </c>
      <c r="C113" s="36" t="str">
        <v>Back Row</v>
      </c>
      <c r="D113" s="37">
        <v>11</v>
      </c>
      <c r="F113" s="37"/>
      <c r="G113" s="37">
        <f>'Round 1 Data'!G113*'Round 1 Points'!M$2</f>
        <v>0</v>
      </c>
      <c r="H113" s="37">
        <f>'Round 1 Data'!H113*'Round 1 Points'!N$2</f>
        <v>0</v>
      </c>
      <c r="I113" s="37">
        <f>'Round 1 Data'!I113*'Round 1 Points'!O$2</f>
        <v>2</v>
      </c>
      <c r="J113" s="37">
        <f>'Round 1 Data'!J113*'Round 1 Points'!P$2</f>
        <v>0</v>
      </c>
      <c r="K113" s="37">
        <f>'Round 1 Data'!K113*'Round 1 Points'!Q$2</f>
        <v>0</v>
      </c>
      <c r="L113" s="37">
        <f>'Round 1 Data'!L113*'Round 1 Points'!R$2</f>
        <v>0</v>
      </c>
      <c r="M113" s="37">
        <f>'Round 1 Data'!M113*'Round 1 Points'!S$2</f>
        <v>0</v>
      </c>
      <c r="N113" s="37">
        <f>'Round 1 Data'!N113*'Round 1 Points'!T$2</f>
        <v>0</v>
      </c>
      <c r="O113" s="37">
        <f>'Round 1 Data'!O113*'Round 1 Points'!U$2</f>
        <v>0</v>
      </c>
      <c r="P113" s="37">
        <f>'Round 1 Data'!P113*'Round 1 Points'!V$2</f>
        <v>0</v>
      </c>
      <c r="Q113" s="37">
        <f>'Round 1 Data'!Q113*'Round 1 Points'!W$2</f>
        <v>0</v>
      </c>
      <c r="R113" s="37">
        <f>'Round 1 Data'!R113*'Round 1 Points'!X$2</f>
        <v>0</v>
      </c>
      <c r="S113" s="37">
        <f>'Round 1 Data'!S113*'Round 1 Points'!Y$2</f>
        <v>0</v>
      </c>
      <c r="T113" s="38">
        <f t="shared" si="2"/>
        <v>2</v>
      </c>
      <c r="U113" s="37">
        <f>'Round 1 Data'!U113*'Round 1 Points'!$Z$2</f>
        <v>0</v>
      </c>
      <c r="V113" s="36">
        <f>IF('Round 1 Data'!D113='Round 1 Points'!$K$1,'Round 1 Points'!$K$2*D113/80,0)</f>
        <v>0</v>
      </c>
      <c r="W113">
        <f t="shared" si="3"/>
        <v>2</v>
      </c>
    </row>
    <row r="114" spans="1:23" x14ac:dyDescent="0.2">
      <c r="A114" s="36" t="s">
        <v>117</v>
      </c>
      <c r="B114" s="36" t="str" cm="1">
        <f t="array" ref="B114:C114">_xlfn.XLOOKUP(A114,'Player List'!$A$2:$A$177,'Player List'!$B$2:$C$177)</f>
        <v>Italy</v>
      </c>
      <c r="C114" s="36" t="str">
        <v>Second Row</v>
      </c>
      <c r="D114" s="37">
        <v>69</v>
      </c>
      <c r="F114" s="37">
        <v>12</v>
      </c>
      <c r="G114" s="37">
        <f>'Round 1 Data'!G114*'Round 1 Points'!M$2</f>
        <v>14</v>
      </c>
      <c r="H114" s="37">
        <f>'Round 1 Data'!H114*'Round 1 Points'!N$2</f>
        <v>0</v>
      </c>
      <c r="I114" s="37">
        <f>'Round 1 Data'!I114*'Round 1 Points'!O$2</f>
        <v>4.2</v>
      </c>
      <c r="J114" s="37">
        <f>'Round 1 Data'!J114*'Round 1 Points'!P$2</f>
        <v>0</v>
      </c>
      <c r="K114" s="37">
        <f>'Round 1 Data'!K114*'Round 1 Points'!Q$2</f>
        <v>0</v>
      </c>
      <c r="L114" s="37">
        <f>'Round 1 Data'!L114*'Round 1 Points'!R$2</f>
        <v>0</v>
      </c>
      <c r="M114" s="37">
        <f>'Round 1 Data'!M114*'Round 1 Points'!S$2</f>
        <v>0</v>
      </c>
      <c r="N114" s="37">
        <f>'Round 1 Data'!N114*'Round 1 Points'!T$2</f>
        <v>0</v>
      </c>
      <c r="O114" s="37">
        <f>'Round 1 Data'!O114*'Round 1 Points'!U$2</f>
        <v>0</v>
      </c>
      <c r="P114" s="37">
        <f>'Round 1 Data'!P114*'Round 1 Points'!V$2</f>
        <v>0</v>
      </c>
      <c r="Q114" s="37">
        <f>'Round 1 Data'!Q114*'Round 1 Points'!W$2</f>
        <v>0</v>
      </c>
      <c r="R114" s="37">
        <f>'Round 1 Data'!R114*'Round 1 Points'!X$2</f>
        <v>0</v>
      </c>
      <c r="S114" s="37">
        <f>'Round 1 Data'!S114*'Round 1 Points'!Y$2</f>
        <v>0</v>
      </c>
      <c r="T114" s="38">
        <f t="shared" si="2"/>
        <v>30.2</v>
      </c>
      <c r="U114" s="37">
        <f>'Round 1 Data'!U114*'Round 1 Points'!$Z$2</f>
        <v>0</v>
      </c>
      <c r="V114" s="36">
        <f>IF('Round 1 Data'!D114='Round 1 Points'!$K$1,'Round 1 Points'!$K$2*D114/80,0)</f>
        <v>0</v>
      </c>
      <c r="W114">
        <f t="shared" si="3"/>
        <v>30.2</v>
      </c>
    </row>
    <row r="115" spans="1:23" x14ac:dyDescent="0.2">
      <c r="A115" s="36" t="s">
        <v>116</v>
      </c>
      <c r="B115" s="36" t="str" cm="1">
        <f t="array" ref="B115:C115">_xlfn.XLOOKUP(A115,'Player List'!$A$2:$A$177,'Player List'!$B$2:$C$177)</f>
        <v>Italy</v>
      </c>
      <c r="C115" s="36" t="str">
        <v>Second Row</v>
      </c>
      <c r="D115" s="37">
        <v>69</v>
      </c>
      <c r="F115" s="37">
        <v>12</v>
      </c>
      <c r="G115" s="37">
        <f>'Round 1 Data'!G115*'Round 1 Points'!M$2</f>
        <v>0</v>
      </c>
      <c r="H115" s="37">
        <f>'Round 1 Data'!H115*'Round 1 Points'!N$2</f>
        <v>0</v>
      </c>
      <c r="I115" s="37">
        <f>'Round 1 Data'!I115*'Round 1 Points'!O$2</f>
        <v>9.2000000000000011</v>
      </c>
      <c r="J115" s="37">
        <f>'Round 1 Data'!J115*'Round 1 Points'!P$2</f>
        <v>0</v>
      </c>
      <c r="K115" s="37">
        <f>'Round 1 Data'!K115*'Round 1 Points'!Q$2</f>
        <v>0</v>
      </c>
      <c r="L115" s="37">
        <f>'Round 1 Data'!L115*'Round 1 Points'!R$2</f>
        <v>7</v>
      </c>
      <c r="M115" s="37">
        <f>'Round 1 Data'!M115*'Round 1 Points'!S$2</f>
        <v>0</v>
      </c>
      <c r="N115" s="37">
        <f>'Round 1 Data'!N115*'Round 1 Points'!T$2</f>
        <v>0</v>
      </c>
      <c r="O115" s="37">
        <f>'Round 1 Data'!O115*'Round 1 Points'!U$2</f>
        <v>0</v>
      </c>
      <c r="P115" s="37">
        <f>'Round 1 Data'!P115*'Round 1 Points'!V$2</f>
        <v>0</v>
      </c>
      <c r="Q115" s="37">
        <f>'Round 1 Data'!Q115*'Round 1 Points'!W$2</f>
        <v>0</v>
      </c>
      <c r="R115" s="37">
        <f>'Round 1 Data'!R115*'Round 1 Points'!X$2</f>
        <v>0</v>
      </c>
      <c r="S115" s="37">
        <f>'Round 1 Data'!S115*'Round 1 Points'!Y$2</f>
        <v>0</v>
      </c>
      <c r="T115" s="38">
        <f t="shared" si="2"/>
        <v>28.200000000000003</v>
      </c>
      <c r="U115" s="37">
        <f>'Round 1 Data'!U115*'Round 1 Points'!$Z$2</f>
        <v>0</v>
      </c>
      <c r="V115" s="36">
        <f>IF('Round 1 Data'!D115='Round 1 Points'!$K$1,'Round 1 Points'!$K$2*D115/80,0)</f>
        <v>0</v>
      </c>
      <c r="W115">
        <f t="shared" si="3"/>
        <v>28.200000000000003</v>
      </c>
    </row>
    <row r="116" spans="1:23" x14ac:dyDescent="0.2">
      <c r="A116" s="36" t="s">
        <v>118</v>
      </c>
      <c r="B116" s="36" t="str" cm="1">
        <f t="array" ref="B116:C116">_xlfn.XLOOKUP(A116,'Player List'!$A$2:$A$177,'Player List'!$B$2:$C$177)</f>
        <v>Italy</v>
      </c>
      <c r="C116" s="36" t="str">
        <v>Second Row</v>
      </c>
      <c r="D116" s="37">
        <v>80</v>
      </c>
      <c r="F116" s="37">
        <v>10</v>
      </c>
      <c r="G116" s="37">
        <f>'Round 1 Data'!G116*'Round 1 Points'!M$2</f>
        <v>14</v>
      </c>
      <c r="H116" s="37">
        <f>'Round 1 Data'!H116*'Round 1 Points'!N$2</f>
        <v>7</v>
      </c>
      <c r="I116" s="37">
        <f>'Round 1 Data'!I116*'Round 1 Points'!O$2</f>
        <v>7</v>
      </c>
      <c r="J116" s="37">
        <f>'Round 1 Data'!J116*'Round 1 Points'!P$2</f>
        <v>0</v>
      </c>
      <c r="K116" s="37">
        <f>'Round 1 Data'!K116*'Round 1 Points'!Q$2</f>
        <v>7</v>
      </c>
      <c r="L116" s="37">
        <f>'Round 1 Data'!L116*'Round 1 Points'!R$2</f>
        <v>0</v>
      </c>
      <c r="M116" s="37">
        <f>'Round 1 Data'!M116*'Round 1 Points'!S$2</f>
        <v>0</v>
      </c>
      <c r="N116" s="37">
        <f>'Round 1 Data'!N116*'Round 1 Points'!T$2</f>
        <v>0</v>
      </c>
      <c r="O116" s="37">
        <f>'Round 1 Data'!O116*'Round 1 Points'!U$2</f>
        <v>0</v>
      </c>
      <c r="P116" s="37">
        <f>'Round 1 Data'!P116*'Round 1 Points'!V$2</f>
        <v>0</v>
      </c>
      <c r="Q116" s="37">
        <f>'Round 1 Data'!Q116*'Round 1 Points'!W$2</f>
        <v>0</v>
      </c>
      <c r="R116" s="37">
        <f>'Round 1 Data'!R116*'Round 1 Points'!X$2</f>
        <v>0</v>
      </c>
      <c r="S116" s="37">
        <f>'Round 1 Data'!S116*'Round 1 Points'!Y$2</f>
        <v>0</v>
      </c>
      <c r="T116" s="38">
        <f t="shared" si="2"/>
        <v>45</v>
      </c>
      <c r="U116" s="37">
        <f>'Round 1 Data'!U116*'Round 1 Points'!$Z$2</f>
        <v>0</v>
      </c>
      <c r="V116" s="36">
        <f>IF('Round 1 Data'!D116='Round 1 Points'!$K$1,'Round 1 Points'!$K$2*D116/80,0)</f>
        <v>0</v>
      </c>
      <c r="W116">
        <f t="shared" si="3"/>
        <v>45</v>
      </c>
    </row>
    <row r="117" spans="1:23" x14ac:dyDescent="0.2">
      <c r="A117" s="36" t="s">
        <v>119</v>
      </c>
      <c r="B117" s="36" t="str" cm="1">
        <f t="array" ref="B117:C117">_xlfn.XLOOKUP(A117,'Player List'!$A$2:$A$177,'Player List'!$B$2:$C$177)</f>
        <v>Italy</v>
      </c>
      <c r="C117" s="36" t="str">
        <v>Second Row</v>
      </c>
      <c r="D117" s="37">
        <v>15</v>
      </c>
      <c r="F117" s="37"/>
      <c r="G117" s="37">
        <f>'Round 1 Data'!G117*'Round 1 Points'!M$2</f>
        <v>0</v>
      </c>
      <c r="H117" s="37">
        <f>'Round 1 Data'!H117*'Round 1 Points'!N$2</f>
        <v>0</v>
      </c>
      <c r="I117" s="37">
        <f>'Round 1 Data'!I117*'Round 1 Points'!O$2</f>
        <v>3.2</v>
      </c>
      <c r="J117" s="37">
        <f>'Round 1 Data'!J117*'Round 1 Points'!P$2</f>
        <v>0</v>
      </c>
      <c r="K117" s="37">
        <f>'Round 1 Data'!K117*'Round 1 Points'!Q$2</f>
        <v>0</v>
      </c>
      <c r="L117" s="37">
        <f>'Round 1 Data'!L117*'Round 1 Points'!R$2</f>
        <v>0</v>
      </c>
      <c r="M117" s="37">
        <f>'Round 1 Data'!M117*'Round 1 Points'!S$2</f>
        <v>0</v>
      </c>
      <c r="N117" s="37">
        <f>'Round 1 Data'!N117*'Round 1 Points'!T$2</f>
        <v>0</v>
      </c>
      <c r="O117" s="37">
        <f>'Round 1 Data'!O117*'Round 1 Points'!U$2</f>
        <v>0</v>
      </c>
      <c r="P117" s="37">
        <f>'Round 1 Data'!P117*'Round 1 Points'!V$2</f>
        <v>0</v>
      </c>
      <c r="Q117" s="37">
        <f>'Round 1 Data'!Q117*'Round 1 Points'!W$2</f>
        <v>0</v>
      </c>
      <c r="R117" s="37">
        <f>'Round 1 Data'!R117*'Round 1 Points'!X$2</f>
        <v>0</v>
      </c>
      <c r="S117" s="37">
        <f>'Round 1 Data'!S117*'Round 1 Points'!Y$2</f>
        <v>0</v>
      </c>
      <c r="T117" s="38">
        <f t="shared" si="2"/>
        <v>3.2</v>
      </c>
      <c r="U117" s="37">
        <f>'Round 1 Data'!U117*'Round 1 Points'!$Z$2</f>
        <v>0</v>
      </c>
      <c r="V117" s="36">
        <f>IF('Round 1 Data'!D117='Round 1 Points'!$K$1,'Round 1 Points'!$K$2*D117/80,0)</f>
        <v>0</v>
      </c>
      <c r="W117">
        <f t="shared" si="3"/>
        <v>3.2</v>
      </c>
    </row>
    <row r="118" spans="1:23" x14ac:dyDescent="0.2">
      <c r="A118" s="36" t="s">
        <v>187</v>
      </c>
      <c r="B118" s="36" t="str" cm="1">
        <f t="array" ref="B118:C118">_xlfn.XLOOKUP(A118,'Player List'!$A$2:$A$177,'Player List'!$B$2:$C$177)</f>
        <v>Italy</v>
      </c>
      <c r="C118" s="36" t="str">
        <v>Prop</v>
      </c>
      <c r="D118" s="37">
        <v>24</v>
      </c>
      <c r="F118" s="37"/>
      <c r="G118" s="37">
        <f>'Round 1 Data'!G118*'Round 1 Points'!M$2</f>
        <v>0</v>
      </c>
      <c r="H118" s="37">
        <f>'Round 1 Data'!H118*'Round 1 Points'!N$2</f>
        <v>0</v>
      </c>
      <c r="I118" s="37">
        <f>'Round 1 Data'!I118*'Round 1 Points'!O$2</f>
        <v>2.4000000000000004</v>
      </c>
      <c r="J118" s="37">
        <f>'Round 1 Data'!J118*'Round 1 Points'!P$2</f>
        <v>0</v>
      </c>
      <c r="K118" s="37">
        <f>'Round 1 Data'!K118*'Round 1 Points'!Q$2</f>
        <v>0</v>
      </c>
      <c r="L118" s="37">
        <f>'Round 1 Data'!L118*'Round 1 Points'!R$2</f>
        <v>0</v>
      </c>
      <c r="M118" s="37">
        <f>'Round 1 Data'!M118*'Round 1 Points'!S$2</f>
        <v>0</v>
      </c>
      <c r="N118" s="37">
        <f>'Round 1 Data'!N118*'Round 1 Points'!T$2</f>
        <v>0</v>
      </c>
      <c r="O118" s="37">
        <f>'Round 1 Data'!O118*'Round 1 Points'!U$2</f>
        <v>0</v>
      </c>
      <c r="P118" s="37">
        <f>'Round 1 Data'!P118*'Round 1 Points'!V$2</f>
        <v>0</v>
      </c>
      <c r="Q118" s="37">
        <f>'Round 1 Data'!Q118*'Round 1 Points'!W$2</f>
        <v>0</v>
      </c>
      <c r="R118" s="37">
        <f>'Round 1 Data'!R118*'Round 1 Points'!X$2</f>
        <v>0</v>
      </c>
      <c r="S118" s="37">
        <f>'Round 1 Data'!S118*'Round 1 Points'!Y$2</f>
        <v>0</v>
      </c>
      <c r="T118" s="38">
        <f t="shared" si="2"/>
        <v>2.4000000000000004</v>
      </c>
      <c r="U118" s="37">
        <f>'Round 1 Data'!U118*'Round 1 Points'!$Z$2</f>
        <v>0</v>
      </c>
      <c r="V118" s="36">
        <f>IF('Round 1 Data'!D118='Round 1 Points'!$K$1,'Round 1 Points'!$K$2*D118/80,0)</f>
        <v>0</v>
      </c>
      <c r="W118">
        <f t="shared" si="3"/>
        <v>2.4000000000000004</v>
      </c>
    </row>
    <row r="119" spans="1:23" x14ac:dyDescent="0.2">
      <c r="A119" s="36" t="s">
        <v>120</v>
      </c>
      <c r="B119" s="36" t="str" cm="1">
        <f t="array" ref="B119:C119">_xlfn.XLOOKUP(A119,'Player List'!$A$2:$A$177,'Player List'!$B$2:$C$177)</f>
        <v>Italy</v>
      </c>
      <c r="C119" s="36" t="str">
        <v>Prop</v>
      </c>
      <c r="D119" s="37">
        <v>56</v>
      </c>
      <c r="F119" s="37">
        <v>10</v>
      </c>
      <c r="G119" s="37">
        <f>'Round 1 Data'!G119*'Round 1 Points'!M$2</f>
        <v>0</v>
      </c>
      <c r="H119" s="37">
        <f>'Round 1 Data'!H119*'Round 1 Points'!N$2</f>
        <v>0</v>
      </c>
      <c r="I119" s="37">
        <f>'Round 1 Data'!I119*'Round 1 Points'!O$2</f>
        <v>2.6</v>
      </c>
      <c r="J119" s="37">
        <f>'Round 1 Data'!J119*'Round 1 Points'!P$2</f>
        <v>0</v>
      </c>
      <c r="K119" s="37">
        <f>'Round 1 Data'!K119*'Round 1 Points'!Q$2</f>
        <v>0</v>
      </c>
      <c r="L119" s="37">
        <f>'Round 1 Data'!L119*'Round 1 Points'!R$2</f>
        <v>0</v>
      </c>
      <c r="M119" s="37">
        <f>'Round 1 Data'!M119*'Round 1 Points'!S$2</f>
        <v>0</v>
      </c>
      <c r="N119" s="37">
        <f>'Round 1 Data'!N119*'Round 1 Points'!T$2</f>
        <v>0</v>
      </c>
      <c r="O119" s="37">
        <f>'Round 1 Data'!O119*'Round 1 Points'!U$2</f>
        <v>0</v>
      </c>
      <c r="P119" s="37">
        <f>'Round 1 Data'!P119*'Round 1 Points'!V$2</f>
        <v>0</v>
      </c>
      <c r="Q119" s="37">
        <f>'Round 1 Data'!Q119*'Round 1 Points'!W$2</f>
        <v>0</v>
      </c>
      <c r="R119" s="37">
        <f>'Round 1 Data'!R119*'Round 1 Points'!X$2</f>
        <v>0</v>
      </c>
      <c r="S119" s="37">
        <f>'Round 1 Data'!S119*'Round 1 Points'!Y$2</f>
        <v>0</v>
      </c>
      <c r="T119" s="38">
        <f t="shared" si="2"/>
        <v>12.6</v>
      </c>
      <c r="U119" s="37">
        <f>'Round 1 Data'!U119*'Round 1 Points'!$Z$2</f>
        <v>0</v>
      </c>
      <c r="V119" s="36">
        <f>IF('Round 1 Data'!D119='Round 1 Points'!$K$1,'Round 1 Points'!$K$2*D119/80,0)</f>
        <v>0</v>
      </c>
      <c r="W119">
        <f t="shared" si="3"/>
        <v>12.6</v>
      </c>
    </row>
    <row r="120" spans="1:23" x14ac:dyDescent="0.2">
      <c r="A120" s="36" t="s">
        <v>121</v>
      </c>
      <c r="B120" s="36" t="str" cm="1">
        <f t="array" ref="B120:C120">_xlfn.XLOOKUP(A120,'Player List'!$A$2:$A$177,'Player List'!$B$2:$C$177)</f>
        <v>Italy</v>
      </c>
      <c r="C120" s="36" t="str">
        <v>Prop</v>
      </c>
      <c r="D120" s="37">
        <v>69</v>
      </c>
      <c r="F120" s="37">
        <v>7</v>
      </c>
      <c r="G120" s="37">
        <f>'Round 1 Data'!G120*'Round 1 Points'!M$2</f>
        <v>14</v>
      </c>
      <c r="H120" s="37">
        <f>'Round 1 Data'!H120*'Round 1 Points'!N$2</f>
        <v>7</v>
      </c>
      <c r="I120" s="37">
        <f>'Round 1 Data'!I120*'Round 1 Points'!O$2</f>
        <v>9.2000000000000011</v>
      </c>
      <c r="J120" s="37">
        <f>'Round 1 Data'!J120*'Round 1 Points'!P$2</f>
        <v>0</v>
      </c>
      <c r="K120" s="37">
        <f>'Round 1 Data'!K120*'Round 1 Points'!Q$2</f>
        <v>0</v>
      </c>
      <c r="L120" s="37">
        <f>'Round 1 Data'!L120*'Round 1 Points'!R$2</f>
        <v>0</v>
      </c>
      <c r="M120" s="37">
        <f>'Round 1 Data'!M120*'Round 1 Points'!S$2</f>
        <v>0</v>
      </c>
      <c r="N120" s="37">
        <f>'Round 1 Data'!N120*'Round 1 Points'!T$2</f>
        <v>0</v>
      </c>
      <c r="O120" s="37">
        <f>'Round 1 Data'!O120*'Round 1 Points'!U$2</f>
        <v>0</v>
      </c>
      <c r="P120" s="37">
        <f>'Round 1 Data'!P120*'Round 1 Points'!V$2</f>
        <v>0</v>
      </c>
      <c r="Q120" s="37">
        <f>'Round 1 Data'!Q120*'Round 1 Points'!W$2</f>
        <v>0</v>
      </c>
      <c r="R120" s="37">
        <f>'Round 1 Data'!R120*'Round 1 Points'!X$2</f>
        <v>0</v>
      </c>
      <c r="S120" s="37">
        <f>'Round 1 Data'!S120*'Round 1 Points'!Y$2</f>
        <v>0</v>
      </c>
      <c r="T120" s="38">
        <f t="shared" si="2"/>
        <v>37.200000000000003</v>
      </c>
      <c r="U120" s="37">
        <f>'Round 1 Data'!U120*'Round 1 Points'!$Z$2</f>
        <v>0</v>
      </c>
      <c r="V120" s="36">
        <f>IF('Round 1 Data'!D120='Round 1 Points'!$K$1,'Round 1 Points'!$K$2*D120/80,0)</f>
        <v>0</v>
      </c>
      <c r="W120">
        <f t="shared" si="3"/>
        <v>37.200000000000003</v>
      </c>
    </row>
    <row r="121" spans="1:23" x14ac:dyDescent="0.2">
      <c r="A121" s="36" t="s">
        <v>123</v>
      </c>
      <c r="B121" s="36" t="str" cm="1">
        <f t="array" ref="B121:C121">_xlfn.XLOOKUP(A121,'Player List'!$A$2:$A$177,'Player List'!$B$2:$C$177)</f>
        <v>Italy</v>
      </c>
      <c r="C121" s="36" t="str">
        <v>Prop</v>
      </c>
      <c r="D121" s="37">
        <v>11</v>
      </c>
      <c r="F121" s="37"/>
      <c r="G121" s="37">
        <f>'Round 1 Data'!G121*'Round 1 Points'!M$2</f>
        <v>0</v>
      </c>
      <c r="H121" s="37">
        <f>'Round 1 Data'!H121*'Round 1 Points'!N$2</f>
        <v>0</v>
      </c>
      <c r="I121" s="37">
        <f>'Round 1 Data'!I121*'Round 1 Points'!O$2</f>
        <v>1.8</v>
      </c>
      <c r="J121" s="37">
        <f>'Round 1 Data'!J121*'Round 1 Points'!P$2</f>
        <v>0</v>
      </c>
      <c r="K121" s="37">
        <f>'Round 1 Data'!K121*'Round 1 Points'!Q$2</f>
        <v>0</v>
      </c>
      <c r="L121" s="37">
        <f>'Round 1 Data'!L121*'Round 1 Points'!R$2</f>
        <v>0</v>
      </c>
      <c r="M121" s="37">
        <f>'Round 1 Data'!M121*'Round 1 Points'!S$2</f>
        <v>0</v>
      </c>
      <c r="N121" s="37">
        <f>'Round 1 Data'!N121*'Round 1 Points'!T$2</f>
        <v>0</v>
      </c>
      <c r="O121" s="37">
        <f>'Round 1 Data'!O121*'Round 1 Points'!U$2</f>
        <v>0</v>
      </c>
      <c r="P121" s="37">
        <f>'Round 1 Data'!P121*'Round 1 Points'!V$2</f>
        <v>0</v>
      </c>
      <c r="Q121" s="37">
        <f>'Round 1 Data'!Q121*'Round 1 Points'!W$2</f>
        <v>0</v>
      </c>
      <c r="R121" s="37">
        <f>'Round 1 Data'!R121*'Round 1 Points'!X$2</f>
        <v>0</v>
      </c>
      <c r="S121" s="37">
        <f>'Round 1 Data'!S121*'Round 1 Points'!Y$2</f>
        <v>0</v>
      </c>
      <c r="T121" s="38">
        <f t="shared" si="2"/>
        <v>1.8</v>
      </c>
      <c r="U121" s="37">
        <f>'Round 1 Data'!U121*'Round 1 Points'!$Z$2</f>
        <v>0</v>
      </c>
      <c r="V121" s="36">
        <f>IF('Round 1 Data'!D121='Round 1 Points'!$K$1,'Round 1 Points'!$K$2*D121/80,0)</f>
        <v>0</v>
      </c>
      <c r="W121">
        <f t="shared" si="3"/>
        <v>1.8</v>
      </c>
    </row>
    <row r="122" spans="1:23" x14ac:dyDescent="0.2">
      <c r="A122" s="36" t="s">
        <v>124</v>
      </c>
      <c r="B122" s="36" t="str" cm="1">
        <f t="array" ref="B122:C122">_xlfn.XLOOKUP(A122,'Player List'!$A$2:$A$177,'Player List'!$B$2:$C$177)</f>
        <v>Italy</v>
      </c>
      <c r="C122" s="36" t="str">
        <v>Hooker</v>
      </c>
      <c r="D122" s="37">
        <v>11</v>
      </c>
      <c r="F122" s="37"/>
      <c r="G122" s="37">
        <f>'Round 1 Data'!G122*'Round 1 Points'!M$2</f>
        <v>0</v>
      </c>
      <c r="H122" s="37">
        <f>'Round 1 Data'!H122*'Round 1 Points'!N$2</f>
        <v>0</v>
      </c>
      <c r="I122" s="37">
        <f>'Round 1 Data'!I122*'Round 1 Points'!O$2</f>
        <v>0</v>
      </c>
      <c r="J122" s="37">
        <f>'Round 1 Data'!J122*'Round 1 Points'!P$2</f>
        <v>0</v>
      </c>
      <c r="K122" s="37">
        <f>'Round 1 Data'!K122*'Round 1 Points'!Q$2</f>
        <v>0</v>
      </c>
      <c r="L122" s="37">
        <f>'Round 1 Data'!L122*'Round 1 Points'!R$2</f>
        <v>0</v>
      </c>
      <c r="M122" s="37">
        <f>'Round 1 Data'!M122*'Round 1 Points'!S$2</f>
        <v>0</v>
      </c>
      <c r="N122" s="37">
        <f>'Round 1 Data'!N122*'Round 1 Points'!T$2</f>
        <v>0</v>
      </c>
      <c r="O122" s="37">
        <f>'Round 1 Data'!O122*'Round 1 Points'!U$2</f>
        <v>0</v>
      </c>
      <c r="P122" s="37">
        <f>'Round 1 Data'!P122*'Round 1 Points'!V$2</f>
        <v>0</v>
      </c>
      <c r="Q122" s="37">
        <f>'Round 1 Data'!Q122*'Round 1 Points'!W$2</f>
        <v>0</v>
      </c>
      <c r="R122" s="37">
        <f>'Round 1 Data'!R122*'Round 1 Points'!X$2</f>
        <v>0</v>
      </c>
      <c r="S122" s="37">
        <f>'Round 1 Data'!S122*'Round 1 Points'!Y$2</f>
        <v>0</v>
      </c>
      <c r="T122" s="38">
        <f t="shared" si="2"/>
        <v>0</v>
      </c>
      <c r="U122" s="37">
        <f>'Round 1 Data'!U122*'Round 1 Points'!$Z$2</f>
        <v>0</v>
      </c>
      <c r="V122" s="36">
        <f>IF('Round 1 Data'!D122='Round 1 Points'!$K$1,'Round 1 Points'!$K$2*D122/80,0)</f>
        <v>0</v>
      </c>
      <c r="W122">
        <f t="shared" si="3"/>
        <v>0</v>
      </c>
    </row>
    <row r="123" spans="1:23" x14ac:dyDescent="0.2">
      <c r="A123" s="36" t="s">
        <v>125</v>
      </c>
      <c r="B123" s="36" t="str" cm="1">
        <f t="array" ref="B123:C123">_xlfn.XLOOKUP(A123,'Player List'!$A$2:$A$177,'Player List'!$B$2:$C$177)</f>
        <v>Italy</v>
      </c>
      <c r="C123" s="36" t="str">
        <v>Hooker</v>
      </c>
      <c r="D123" s="37">
        <v>69</v>
      </c>
      <c r="F123" s="37">
        <v>12</v>
      </c>
      <c r="G123" s="37">
        <f>'Round 1 Data'!G123*'Round 1 Points'!M$2</f>
        <v>7</v>
      </c>
      <c r="H123" s="37">
        <f>'Round 1 Data'!H123*'Round 1 Points'!N$2</f>
        <v>0</v>
      </c>
      <c r="I123" s="37">
        <f>'Round 1 Data'!I123*'Round 1 Points'!O$2</f>
        <v>4.4000000000000004</v>
      </c>
      <c r="J123" s="37">
        <f>'Round 1 Data'!J123*'Round 1 Points'!P$2</f>
        <v>0</v>
      </c>
      <c r="K123" s="37">
        <f>'Round 1 Data'!K123*'Round 1 Points'!Q$2</f>
        <v>0</v>
      </c>
      <c r="L123" s="37">
        <f>'Round 1 Data'!L123*'Round 1 Points'!R$2</f>
        <v>7</v>
      </c>
      <c r="M123" s="37">
        <f>'Round 1 Data'!M123*'Round 1 Points'!S$2</f>
        <v>0</v>
      </c>
      <c r="N123" s="37">
        <f>'Round 1 Data'!N123*'Round 1 Points'!T$2</f>
        <v>0</v>
      </c>
      <c r="O123" s="37">
        <f>'Round 1 Data'!O123*'Round 1 Points'!U$2</f>
        <v>0</v>
      </c>
      <c r="P123" s="37">
        <f>'Round 1 Data'!P123*'Round 1 Points'!V$2</f>
        <v>0</v>
      </c>
      <c r="Q123" s="37">
        <f>'Round 1 Data'!Q123*'Round 1 Points'!W$2</f>
        <v>0</v>
      </c>
      <c r="R123" s="37">
        <f>'Round 1 Data'!R123*'Round 1 Points'!X$2</f>
        <v>0</v>
      </c>
      <c r="S123" s="37">
        <f>'Round 1 Data'!S123*'Round 1 Points'!Y$2</f>
        <v>0</v>
      </c>
      <c r="T123" s="38">
        <f t="shared" si="2"/>
        <v>30.4</v>
      </c>
      <c r="U123" s="37">
        <f>'Round 1 Data'!U123*'Round 1 Points'!$Z$2</f>
        <v>0</v>
      </c>
      <c r="V123" s="36">
        <f>IF('Round 1 Data'!D123='Round 1 Points'!$K$1,'Round 1 Points'!$K$2*D123/80,0)</f>
        <v>0</v>
      </c>
      <c r="W123">
        <f t="shared" si="3"/>
        <v>30.4</v>
      </c>
    </row>
    <row r="124" spans="1:23" x14ac:dyDescent="0.2">
      <c r="A124" s="36" t="s">
        <v>12</v>
      </c>
      <c r="B124" s="36" t="str" cm="1">
        <f t="array" ref="B124:C124">_xlfn.XLOOKUP(A124,'Player List'!$A$2:$A$177,'Player List'!$B$2:$C$177)</f>
        <v>France</v>
      </c>
      <c r="C124" s="36" t="str">
        <v>Back Three</v>
      </c>
      <c r="D124" s="37">
        <v>80</v>
      </c>
      <c r="F124" s="37">
        <v>2</v>
      </c>
      <c r="G124" s="37">
        <f>'Round 1 Data'!G124*'Round 1 Points'!M$2</f>
        <v>14</v>
      </c>
      <c r="H124" s="37">
        <f>'Round 1 Data'!H124*'Round 1 Points'!N$2</f>
        <v>14</v>
      </c>
      <c r="I124" s="37">
        <f>'Round 1 Data'!I124*'Round 1 Points'!O$2</f>
        <v>11.200000000000001</v>
      </c>
      <c r="J124" s="37">
        <f>'Round 1 Data'!J124*'Round 1 Points'!P$2</f>
        <v>0</v>
      </c>
      <c r="K124" s="37">
        <f>'Round 1 Data'!K124*'Round 1 Points'!Q$2</f>
        <v>0</v>
      </c>
      <c r="L124" s="37">
        <f>'Round 1 Data'!L124*'Round 1 Points'!R$2</f>
        <v>0</v>
      </c>
      <c r="M124" s="37">
        <f>'Round 1 Data'!M124*'Round 1 Points'!S$2</f>
        <v>0</v>
      </c>
      <c r="N124" s="37">
        <f>'Round 1 Data'!N124*'Round 1 Points'!T$2</f>
        <v>0</v>
      </c>
      <c r="O124" s="37">
        <f>'Round 1 Data'!O124*'Round 1 Points'!U$2</f>
        <v>0</v>
      </c>
      <c r="P124" s="37">
        <f>'Round 1 Data'!P124*'Round 1 Points'!V$2</f>
        <v>0</v>
      </c>
      <c r="Q124" s="37">
        <f>'Round 1 Data'!Q124*'Round 1 Points'!W$2</f>
        <v>0</v>
      </c>
      <c r="R124" s="37">
        <f>'Round 1 Data'!R124*'Round 1 Points'!X$2</f>
        <v>0</v>
      </c>
      <c r="S124" s="37">
        <f>'Round 1 Data'!S124*'Round 1 Points'!Y$2</f>
        <v>0</v>
      </c>
      <c r="T124" s="38">
        <f t="shared" si="2"/>
        <v>41.2</v>
      </c>
      <c r="U124" s="37">
        <f>'Round 1 Data'!U124*'Round 1 Points'!$Z$2</f>
        <v>0</v>
      </c>
      <c r="V124" s="36">
        <f>IF('Round 1 Data'!D124='Round 1 Points'!$K$1,'Round 1 Points'!$K$2*D124/80,0)</f>
        <v>8</v>
      </c>
      <c r="W124">
        <f t="shared" si="3"/>
        <v>49.2</v>
      </c>
    </row>
    <row r="125" spans="1:23" x14ac:dyDescent="0.2">
      <c r="A125" s="36" t="s">
        <v>13</v>
      </c>
      <c r="B125" s="36" t="str" cm="1">
        <f t="array" ref="B125:C125">_xlfn.XLOOKUP(A125,'Player List'!$A$2:$A$177,'Player List'!$B$2:$C$177)</f>
        <v>France</v>
      </c>
      <c r="C125" s="36" t="str">
        <v>Back Three</v>
      </c>
      <c r="D125" s="37">
        <v>80</v>
      </c>
      <c r="F125" s="37">
        <v>2</v>
      </c>
      <c r="G125" s="37">
        <f>'Round 1 Data'!G125*'Round 1 Points'!M$2</f>
        <v>0</v>
      </c>
      <c r="H125" s="37">
        <f>'Round 1 Data'!H125*'Round 1 Points'!N$2</f>
        <v>7</v>
      </c>
      <c r="I125" s="37">
        <f>'Round 1 Data'!I125*'Round 1 Points'!O$2</f>
        <v>10.4</v>
      </c>
      <c r="J125" s="37">
        <f>'Round 1 Data'!J125*'Round 1 Points'!P$2</f>
        <v>0</v>
      </c>
      <c r="K125" s="37">
        <f>'Round 1 Data'!K125*'Round 1 Points'!Q$2</f>
        <v>0</v>
      </c>
      <c r="L125" s="37">
        <f>'Round 1 Data'!L125*'Round 1 Points'!R$2</f>
        <v>0</v>
      </c>
      <c r="M125" s="37">
        <f>'Round 1 Data'!M125*'Round 1 Points'!S$2</f>
        <v>15</v>
      </c>
      <c r="N125" s="37">
        <f>'Round 1 Data'!N125*'Round 1 Points'!T$2</f>
        <v>0</v>
      </c>
      <c r="O125" s="37">
        <f>'Round 1 Data'!O125*'Round 1 Points'!U$2</f>
        <v>6</v>
      </c>
      <c r="P125" s="37">
        <f>'Round 1 Data'!P125*'Round 1 Points'!V$2</f>
        <v>5</v>
      </c>
      <c r="Q125" s="37">
        <f>'Round 1 Data'!Q125*'Round 1 Points'!W$2</f>
        <v>0</v>
      </c>
      <c r="R125" s="37">
        <f>'Round 1 Data'!R125*'Round 1 Points'!X$2</f>
        <v>0</v>
      </c>
      <c r="S125" s="37">
        <f>'Round 1 Data'!S125*'Round 1 Points'!Y$2</f>
        <v>0</v>
      </c>
      <c r="T125" s="38">
        <f t="shared" si="2"/>
        <v>45.4</v>
      </c>
      <c r="U125" s="37">
        <f>'Round 1 Data'!U125*'Round 1 Points'!$Z$2</f>
        <v>0</v>
      </c>
      <c r="V125" s="36">
        <f>IF('Round 1 Data'!D125='Round 1 Points'!$K$1,'Round 1 Points'!$K$2*D125/80,0)</f>
        <v>8</v>
      </c>
      <c r="W125">
        <f t="shared" si="3"/>
        <v>53.4</v>
      </c>
    </row>
    <row r="126" spans="1:23" x14ac:dyDescent="0.2">
      <c r="A126" s="36" t="s">
        <v>14</v>
      </c>
      <c r="B126" s="36" t="str" cm="1">
        <f t="array" ref="B126:C126">_xlfn.XLOOKUP(A126,'Player List'!$A$2:$A$177,'Player List'!$B$2:$C$177)</f>
        <v>France</v>
      </c>
      <c r="C126" s="36" t="str">
        <v>Centre</v>
      </c>
      <c r="D126" s="37">
        <v>80</v>
      </c>
      <c r="F126" s="37">
        <v>1</v>
      </c>
      <c r="G126" s="37">
        <f>'Round 1 Data'!G126*'Round 1 Points'!M$2</f>
        <v>0</v>
      </c>
      <c r="H126" s="37">
        <f>'Round 1 Data'!H126*'Round 1 Points'!N$2</f>
        <v>7</v>
      </c>
      <c r="I126" s="37">
        <f>'Round 1 Data'!I126*'Round 1 Points'!O$2</f>
        <v>4.2</v>
      </c>
      <c r="J126" s="37">
        <f>'Round 1 Data'!J126*'Round 1 Points'!P$2</f>
        <v>0</v>
      </c>
      <c r="K126" s="37">
        <f>'Round 1 Data'!K126*'Round 1 Points'!Q$2</f>
        <v>0</v>
      </c>
      <c r="L126" s="37">
        <f>'Round 1 Data'!L126*'Round 1 Points'!R$2</f>
        <v>0</v>
      </c>
      <c r="M126" s="37">
        <f>'Round 1 Data'!M126*'Round 1 Points'!S$2</f>
        <v>15</v>
      </c>
      <c r="N126" s="37">
        <f>'Round 1 Data'!N126*'Round 1 Points'!T$2</f>
        <v>0</v>
      </c>
      <c r="O126" s="37">
        <f>'Round 1 Data'!O126*'Round 1 Points'!U$2</f>
        <v>0</v>
      </c>
      <c r="P126" s="37">
        <f>'Round 1 Data'!P126*'Round 1 Points'!V$2</f>
        <v>0</v>
      </c>
      <c r="Q126" s="37">
        <f>'Round 1 Data'!Q126*'Round 1 Points'!W$2</f>
        <v>0</v>
      </c>
      <c r="R126" s="37">
        <f>'Round 1 Data'!R126*'Round 1 Points'!X$2</f>
        <v>0</v>
      </c>
      <c r="S126" s="37">
        <f>'Round 1 Data'!S126*'Round 1 Points'!Y$2</f>
        <v>0</v>
      </c>
      <c r="T126" s="38">
        <f t="shared" si="2"/>
        <v>27.2</v>
      </c>
      <c r="U126" s="37">
        <f>'Round 1 Data'!U126*'Round 1 Points'!$Z$2</f>
        <v>0</v>
      </c>
      <c r="V126" s="36">
        <f>IF('Round 1 Data'!D126='Round 1 Points'!$K$1,'Round 1 Points'!$K$2*D126/80,0)</f>
        <v>8</v>
      </c>
      <c r="W126">
        <f t="shared" si="3"/>
        <v>35.200000000000003</v>
      </c>
    </row>
    <row r="127" spans="1:23" x14ac:dyDescent="0.2">
      <c r="A127" s="36" t="s">
        <v>15</v>
      </c>
      <c r="B127" s="36" t="str" cm="1">
        <f t="array" ref="B127:C127">_xlfn.XLOOKUP(A127,'Player List'!$A$2:$A$177,'Player List'!$B$2:$C$177)</f>
        <v>France</v>
      </c>
      <c r="C127" s="36" t="str">
        <v>Centre</v>
      </c>
      <c r="D127" s="37">
        <v>80</v>
      </c>
      <c r="F127" s="37">
        <v>16</v>
      </c>
      <c r="G127" s="37">
        <f>'Round 1 Data'!G127*'Round 1 Points'!M$2</f>
        <v>0</v>
      </c>
      <c r="H127" s="37">
        <f>'Round 1 Data'!H127*'Round 1 Points'!N$2</f>
        <v>0</v>
      </c>
      <c r="I127" s="37">
        <f>'Round 1 Data'!I127*'Round 1 Points'!O$2</f>
        <v>13.200000000000001</v>
      </c>
      <c r="J127" s="37">
        <f>'Round 1 Data'!J127*'Round 1 Points'!P$2</f>
        <v>0</v>
      </c>
      <c r="K127" s="37">
        <f>'Round 1 Data'!K127*'Round 1 Points'!Q$2</f>
        <v>0</v>
      </c>
      <c r="L127" s="37">
        <f>'Round 1 Data'!L127*'Round 1 Points'!R$2</f>
        <v>0</v>
      </c>
      <c r="M127" s="37">
        <f>'Round 1 Data'!M127*'Round 1 Points'!S$2</f>
        <v>0</v>
      </c>
      <c r="N127" s="37">
        <f>'Round 1 Data'!N127*'Round 1 Points'!T$2</f>
        <v>0</v>
      </c>
      <c r="O127" s="37">
        <f>'Round 1 Data'!O127*'Round 1 Points'!U$2</f>
        <v>0</v>
      </c>
      <c r="P127" s="37">
        <f>'Round 1 Data'!P127*'Round 1 Points'!V$2</f>
        <v>0</v>
      </c>
      <c r="Q127" s="37">
        <f>'Round 1 Data'!Q127*'Round 1 Points'!W$2</f>
        <v>0</v>
      </c>
      <c r="R127" s="37">
        <f>'Round 1 Data'!R127*'Round 1 Points'!X$2</f>
        <v>0</v>
      </c>
      <c r="S127" s="37">
        <f>'Round 1 Data'!S127*'Round 1 Points'!Y$2</f>
        <v>0</v>
      </c>
      <c r="T127" s="38">
        <f t="shared" si="2"/>
        <v>29.200000000000003</v>
      </c>
      <c r="U127" s="37">
        <f>'Round 1 Data'!U127*'Round 1 Points'!$Z$2</f>
        <v>0</v>
      </c>
      <c r="V127" s="36">
        <f>IF('Round 1 Data'!D127='Round 1 Points'!$K$1,'Round 1 Points'!$K$2*D127/80,0)</f>
        <v>8</v>
      </c>
      <c r="W127">
        <f t="shared" si="3"/>
        <v>37.200000000000003</v>
      </c>
    </row>
    <row r="128" spans="1:23" x14ac:dyDescent="0.2">
      <c r="A128" s="36" t="s">
        <v>16</v>
      </c>
      <c r="B128" s="36" t="str" cm="1">
        <f t="array" ref="B128:C128">_xlfn.XLOOKUP(A128,'Player List'!$A$2:$A$177,'Player List'!$B$2:$C$177)</f>
        <v>France</v>
      </c>
      <c r="C128" s="36" t="str">
        <v>Centre</v>
      </c>
      <c r="D128" s="37">
        <v>80</v>
      </c>
      <c r="F128" s="37">
        <v>3</v>
      </c>
      <c r="G128" s="37">
        <f>'Round 1 Data'!G128*'Round 1 Points'!M$2</f>
        <v>0</v>
      </c>
      <c r="H128" s="37">
        <f>'Round 1 Data'!H128*'Round 1 Points'!N$2</f>
        <v>0</v>
      </c>
      <c r="I128" s="37">
        <f>'Round 1 Data'!I128*'Round 1 Points'!O$2</f>
        <v>9.2000000000000011</v>
      </c>
      <c r="J128" s="37">
        <f>'Round 1 Data'!J128*'Round 1 Points'!P$2</f>
        <v>0</v>
      </c>
      <c r="K128" s="37">
        <f>'Round 1 Data'!K128*'Round 1 Points'!Q$2</f>
        <v>0</v>
      </c>
      <c r="L128" s="37">
        <f>'Round 1 Data'!L128*'Round 1 Points'!R$2</f>
        <v>0</v>
      </c>
      <c r="M128" s="37">
        <f>'Round 1 Data'!M128*'Round 1 Points'!S$2</f>
        <v>0</v>
      </c>
      <c r="N128" s="37">
        <f>'Round 1 Data'!N128*'Round 1 Points'!T$2</f>
        <v>0</v>
      </c>
      <c r="O128" s="37">
        <f>'Round 1 Data'!O128*'Round 1 Points'!U$2</f>
        <v>0</v>
      </c>
      <c r="P128" s="37">
        <f>'Round 1 Data'!P128*'Round 1 Points'!V$2</f>
        <v>0</v>
      </c>
      <c r="Q128" s="37">
        <f>'Round 1 Data'!Q128*'Round 1 Points'!W$2</f>
        <v>0</v>
      </c>
      <c r="R128" s="37">
        <f>'Round 1 Data'!R128*'Round 1 Points'!X$2</f>
        <v>0</v>
      </c>
      <c r="S128" s="37">
        <f>'Round 1 Data'!S128*'Round 1 Points'!Y$2</f>
        <v>0</v>
      </c>
      <c r="T128" s="38">
        <f t="shared" si="2"/>
        <v>12.200000000000001</v>
      </c>
      <c r="U128" s="37">
        <f>'Round 1 Data'!U128*'Round 1 Points'!$Z$2</f>
        <v>0</v>
      </c>
      <c r="V128" s="36">
        <f>IF('Round 1 Data'!D128='Round 1 Points'!$K$1,'Round 1 Points'!$K$2*D128/80,0)</f>
        <v>8</v>
      </c>
      <c r="W128">
        <f t="shared" si="3"/>
        <v>20.200000000000003</v>
      </c>
    </row>
    <row r="129" spans="1:23" x14ac:dyDescent="0.2">
      <c r="A129" s="36" t="s">
        <v>17</v>
      </c>
      <c r="B129" s="36" t="str" cm="1">
        <f t="array" ref="B129:C129">_xlfn.XLOOKUP(A129,'Player List'!$A$2:$A$177,'Player List'!$B$2:$C$177)</f>
        <v>France</v>
      </c>
      <c r="C129" s="36" t="str">
        <v>Fly Half</v>
      </c>
      <c r="D129" s="37">
        <v>15</v>
      </c>
      <c r="F129" s="37"/>
      <c r="G129" s="37">
        <f>'Round 1 Data'!G129*'Round 1 Points'!M$2</f>
        <v>0</v>
      </c>
      <c r="H129" s="37">
        <f>'Round 1 Data'!H129*'Round 1 Points'!N$2</f>
        <v>0</v>
      </c>
      <c r="I129" s="37">
        <f>'Round 1 Data'!I129*'Round 1 Points'!O$2</f>
        <v>1.6</v>
      </c>
      <c r="J129" s="37">
        <f>'Round 1 Data'!J129*'Round 1 Points'!P$2</f>
        <v>0</v>
      </c>
      <c r="K129" s="37">
        <f>'Round 1 Data'!K129*'Round 1 Points'!Q$2</f>
        <v>0</v>
      </c>
      <c r="L129" s="37">
        <f>'Round 1 Data'!L129*'Round 1 Points'!R$2</f>
        <v>0</v>
      </c>
      <c r="M129" s="37">
        <f>'Round 1 Data'!M129*'Round 1 Points'!S$2</f>
        <v>15</v>
      </c>
      <c r="N129" s="37">
        <f>'Round 1 Data'!N129*'Round 1 Points'!T$2</f>
        <v>0</v>
      </c>
      <c r="O129" s="37">
        <f>'Round 1 Data'!O129*'Round 1 Points'!U$2</f>
        <v>0</v>
      </c>
      <c r="P129" s="37">
        <f>'Round 1 Data'!P129*'Round 1 Points'!V$2</f>
        <v>0</v>
      </c>
      <c r="Q129" s="37">
        <f>'Round 1 Data'!Q129*'Round 1 Points'!W$2</f>
        <v>0</v>
      </c>
      <c r="R129" s="37">
        <f>'Round 1 Data'!R129*'Round 1 Points'!X$2</f>
        <v>0</v>
      </c>
      <c r="S129" s="37">
        <f>'Round 1 Data'!S129*'Round 1 Points'!Y$2</f>
        <v>0</v>
      </c>
      <c r="T129" s="38">
        <f t="shared" si="2"/>
        <v>16.600000000000001</v>
      </c>
      <c r="U129" s="37">
        <f>'Round 1 Data'!U129*'Round 1 Points'!$Z$2</f>
        <v>0</v>
      </c>
      <c r="V129" s="36">
        <f>IF('Round 1 Data'!D129='Round 1 Points'!$K$1,'Round 1 Points'!$K$2*D129/80,0)</f>
        <v>1.5</v>
      </c>
      <c r="W129">
        <f t="shared" si="3"/>
        <v>18.100000000000001</v>
      </c>
    </row>
    <row r="130" spans="1:23" x14ac:dyDescent="0.2">
      <c r="A130" s="36" t="s">
        <v>18</v>
      </c>
      <c r="B130" s="36" t="str" cm="1">
        <f t="array" ref="B130:C130">_xlfn.XLOOKUP(A130,'Player List'!$A$2:$A$177,'Player List'!$B$2:$C$177)</f>
        <v>France</v>
      </c>
      <c r="C130" s="36" t="str">
        <v>Fly Half</v>
      </c>
      <c r="D130" s="37">
        <v>65</v>
      </c>
      <c r="F130" s="37">
        <v>6</v>
      </c>
      <c r="G130" s="37">
        <f>'Round 1 Data'!G130*'Round 1 Points'!M$2</f>
        <v>0</v>
      </c>
      <c r="H130" s="37">
        <f>'Round 1 Data'!H130*'Round 1 Points'!N$2</f>
        <v>0</v>
      </c>
      <c r="I130" s="37">
        <f>'Round 1 Data'!I130*'Round 1 Points'!O$2</f>
        <v>7.6000000000000005</v>
      </c>
      <c r="J130" s="37">
        <f>'Round 1 Data'!J130*'Round 1 Points'!P$2</f>
        <v>0</v>
      </c>
      <c r="K130" s="37">
        <f>'Round 1 Data'!K130*'Round 1 Points'!Q$2</f>
        <v>0</v>
      </c>
      <c r="L130" s="37">
        <f>'Round 1 Data'!L130*'Round 1 Points'!R$2</f>
        <v>0</v>
      </c>
      <c r="M130" s="37">
        <f>'Round 1 Data'!M130*'Round 1 Points'!S$2</f>
        <v>0</v>
      </c>
      <c r="N130" s="37">
        <f>'Round 1 Data'!N130*'Round 1 Points'!T$2</f>
        <v>7</v>
      </c>
      <c r="O130" s="37">
        <f>'Round 1 Data'!O130*'Round 1 Points'!U$2</f>
        <v>0</v>
      </c>
      <c r="P130" s="37">
        <f>'Round 1 Data'!P130*'Round 1 Points'!V$2</f>
        <v>0</v>
      </c>
      <c r="Q130" s="37">
        <f>'Round 1 Data'!Q130*'Round 1 Points'!W$2</f>
        <v>0</v>
      </c>
      <c r="R130" s="37">
        <f>'Round 1 Data'!R130*'Round 1 Points'!X$2</f>
        <v>0</v>
      </c>
      <c r="S130" s="37">
        <f>'Round 1 Data'!S130*'Round 1 Points'!Y$2</f>
        <v>0</v>
      </c>
      <c r="T130" s="38">
        <f t="shared" si="2"/>
        <v>20.6</v>
      </c>
      <c r="U130" s="37">
        <f>'Round 1 Data'!U130*'Round 1 Points'!$Z$2</f>
        <v>0</v>
      </c>
      <c r="V130" s="36">
        <f>IF('Round 1 Data'!D130='Round 1 Points'!$K$1,'Round 1 Points'!$K$2*D130/80,0)</f>
        <v>6.5</v>
      </c>
      <c r="W130">
        <f t="shared" si="3"/>
        <v>27.1</v>
      </c>
    </row>
    <row r="131" spans="1:23" x14ac:dyDescent="0.2">
      <c r="A131" s="36" t="s">
        <v>19</v>
      </c>
      <c r="B131" s="36" t="str" cm="1">
        <f t="array" ref="B131:C131">_xlfn.XLOOKUP(A131,'Player List'!$A$2:$A$177,'Player List'!$B$2:$C$177)</f>
        <v>France</v>
      </c>
      <c r="C131" s="36" t="str">
        <v>Scrum Half</v>
      </c>
      <c r="D131" s="37">
        <v>80</v>
      </c>
      <c r="F131" s="37">
        <v>11</v>
      </c>
      <c r="G131" s="37">
        <f>'Round 1 Data'!G131*'Round 1 Points'!M$2</f>
        <v>0</v>
      </c>
      <c r="H131" s="37">
        <f>'Round 1 Data'!H131*'Round 1 Points'!N$2</f>
        <v>0</v>
      </c>
      <c r="I131" s="37">
        <f>'Round 1 Data'!I131*'Round 1 Points'!O$2</f>
        <v>10.4</v>
      </c>
      <c r="J131" s="37">
        <f>'Round 1 Data'!J131*'Round 1 Points'!P$2</f>
        <v>0</v>
      </c>
      <c r="K131" s="37">
        <f>'Round 1 Data'!K131*'Round 1 Points'!Q$2</f>
        <v>0</v>
      </c>
      <c r="L131" s="37">
        <f>'Round 1 Data'!L131*'Round 1 Points'!R$2</f>
        <v>0</v>
      </c>
      <c r="M131" s="37">
        <f>'Round 1 Data'!M131*'Round 1 Points'!S$2</f>
        <v>0</v>
      </c>
      <c r="N131" s="37">
        <f>'Round 1 Data'!N131*'Round 1 Points'!T$2</f>
        <v>0</v>
      </c>
      <c r="O131" s="37">
        <f>'Round 1 Data'!O131*'Round 1 Points'!U$2</f>
        <v>0</v>
      </c>
      <c r="P131" s="37">
        <f>'Round 1 Data'!P131*'Round 1 Points'!V$2</f>
        <v>0</v>
      </c>
      <c r="Q131" s="37">
        <f>'Round 1 Data'!Q131*'Round 1 Points'!W$2</f>
        <v>0</v>
      </c>
      <c r="R131" s="37">
        <f>'Round 1 Data'!R131*'Round 1 Points'!X$2</f>
        <v>0</v>
      </c>
      <c r="S131" s="37">
        <f>'Round 1 Data'!S131*'Round 1 Points'!Y$2</f>
        <v>0</v>
      </c>
      <c r="T131" s="38">
        <f t="shared" si="2"/>
        <v>21.4</v>
      </c>
      <c r="U131" s="37">
        <f>'Round 1 Data'!U131*'Round 1 Points'!$Z$2</f>
        <v>15</v>
      </c>
      <c r="V131" s="36">
        <f>IF('Round 1 Data'!D131='Round 1 Points'!$K$1,'Round 1 Points'!$K$2*D131/80,0)</f>
        <v>8</v>
      </c>
      <c r="W131">
        <f t="shared" si="3"/>
        <v>44.4</v>
      </c>
    </row>
    <row r="132" spans="1:23" x14ac:dyDescent="0.2">
      <c r="A132" s="36" t="s">
        <v>20</v>
      </c>
      <c r="B132" s="36" t="str" cm="1">
        <f t="array" ref="B132:C132">_xlfn.XLOOKUP(A132,'Player List'!$A$2:$A$177,'Player List'!$B$2:$C$177)</f>
        <v>France</v>
      </c>
      <c r="C132" s="36" t="str">
        <v>Back Row</v>
      </c>
      <c r="D132" s="37">
        <v>61</v>
      </c>
      <c r="F132" s="37">
        <v>13</v>
      </c>
      <c r="G132" s="37">
        <f>'Round 1 Data'!G132*'Round 1 Points'!M$2</f>
        <v>7</v>
      </c>
      <c r="H132" s="37">
        <f>'Round 1 Data'!H132*'Round 1 Points'!N$2</f>
        <v>0</v>
      </c>
      <c r="I132" s="37">
        <f>'Round 1 Data'!I132*'Round 1 Points'!O$2</f>
        <v>14.4</v>
      </c>
      <c r="J132" s="37">
        <f>'Round 1 Data'!J132*'Round 1 Points'!P$2</f>
        <v>0</v>
      </c>
      <c r="K132" s="37">
        <f>'Round 1 Data'!K132*'Round 1 Points'!Q$2</f>
        <v>0</v>
      </c>
      <c r="L132" s="37">
        <f>'Round 1 Data'!L132*'Round 1 Points'!R$2</f>
        <v>0</v>
      </c>
      <c r="M132" s="37">
        <f>'Round 1 Data'!M132*'Round 1 Points'!S$2</f>
        <v>0</v>
      </c>
      <c r="N132" s="37">
        <f>'Round 1 Data'!N132*'Round 1 Points'!T$2</f>
        <v>0</v>
      </c>
      <c r="O132" s="37">
        <f>'Round 1 Data'!O132*'Round 1 Points'!U$2</f>
        <v>0</v>
      </c>
      <c r="P132" s="37">
        <f>'Round 1 Data'!P132*'Round 1 Points'!V$2</f>
        <v>0</v>
      </c>
      <c r="Q132" s="37">
        <f>'Round 1 Data'!Q132*'Round 1 Points'!W$2</f>
        <v>0</v>
      </c>
      <c r="R132" s="37">
        <f>'Round 1 Data'!R132*'Round 1 Points'!X$2</f>
        <v>0</v>
      </c>
      <c r="S132" s="37">
        <f>'Round 1 Data'!S132*'Round 1 Points'!Y$2</f>
        <v>0</v>
      </c>
      <c r="T132" s="38">
        <f t="shared" si="2"/>
        <v>34.4</v>
      </c>
      <c r="U132" s="37">
        <f>'Round 1 Data'!U132*'Round 1 Points'!$Z$2</f>
        <v>0</v>
      </c>
      <c r="V132" s="36">
        <f>IF('Round 1 Data'!D132='Round 1 Points'!$K$1,'Round 1 Points'!$K$2*D132/80,0)</f>
        <v>6.1</v>
      </c>
      <c r="W132">
        <f t="shared" si="3"/>
        <v>40.5</v>
      </c>
    </row>
    <row r="133" spans="1:23" x14ac:dyDescent="0.2">
      <c r="A133" s="36" t="s">
        <v>22</v>
      </c>
      <c r="B133" s="36" t="str" cm="1">
        <f t="array" ref="B133:C133">_xlfn.XLOOKUP(A133,'Player List'!$A$2:$A$177,'Player List'!$B$2:$C$177)</f>
        <v>France</v>
      </c>
      <c r="C133" s="36" t="str">
        <v>Back Row</v>
      </c>
      <c r="D133" s="37">
        <v>80</v>
      </c>
      <c r="F133" s="37">
        <v>19</v>
      </c>
      <c r="G133" s="37">
        <f>'Round 1 Data'!G133*'Round 1 Points'!M$2</f>
        <v>7</v>
      </c>
      <c r="H133" s="37">
        <f>'Round 1 Data'!H133*'Round 1 Points'!N$2</f>
        <v>0</v>
      </c>
      <c r="I133" s="37">
        <f>'Round 1 Data'!I133*'Round 1 Points'!O$2</f>
        <v>2.4000000000000004</v>
      </c>
      <c r="J133" s="37">
        <f>'Round 1 Data'!J133*'Round 1 Points'!P$2</f>
        <v>0</v>
      </c>
      <c r="K133" s="37">
        <f>'Round 1 Data'!K133*'Round 1 Points'!Q$2</f>
        <v>0</v>
      </c>
      <c r="L133" s="37">
        <f>'Round 1 Data'!L133*'Round 1 Points'!R$2</f>
        <v>7</v>
      </c>
      <c r="M133" s="37">
        <f>'Round 1 Data'!M133*'Round 1 Points'!S$2</f>
        <v>0</v>
      </c>
      <c r="N133" s="37">
        <f>'Round 1 Data'!N133*'Round 1 Points'!T$2</f>
        <v>0</v>
      </c>
      <c r="O133" s="37">
        <f>'Round 1 Data'!O133*'Round 1 Points'!U$2</f>
        <v>0</v>
      </c>
      <c r="P133" s="37">
        <f>'Round 1 Data'!P133*'Round 1 Points'!V$2</f>
        <v>0</v>
      </c>
      <c r="Q133" s="37">
        <f>'Round 1 Data'!Q133*'Round 1 Points'!W$2</f>
        <v>0</v>
      </c>
      <c r="R133" s="37">
        <f>'Round 1 Data'!R133*'Round 1 Points'!X$2</f>
        <v>0</v>
      </c>
      <c r="S133" s="37">
        <f>'Round 1 Data'!S133*'Round 1 Points'!Y$2</f>
        <v>0</v>
      </c>
      <c r="T133" s="38">
        <f t="shared" si="2"/>
        <v>35.4</v>
      </c>
      <c r="U133" s="37">
        <f>'Round 1 Data'!U133*'Round 1 Points'!$Z$2</f>
        <v>0</v>
      </c>
      <c r="V133" s="36">
        <f>IF('Round 1 Data'!D133='Round 1 Points'!$K$1,'Round 1 Points'!$K$2*D133/80,0)</f>
        <v>8</v>
      </c>
      <c r="W133">
        <f t="shared" si="3"/>
        <v>43.4</v>
      </c>
    </row>
    <row r="134" spans="1:23" x14ac:dyDescent="0.2">
      <c r="A134" s="36" t="s">
        <v>23</v>
      </c>
      <c r="B134" s="36" t="str" cm="1">
        <f t="array" ref="B134:C134">_xlfn.XLOOKUP(A134,'Player List'!$A$2:$A$177,'Player List'!$B$2:$C$177)</f>
        <v>France</v>
      </c>
      <c r="C134" s="36" t="str">
        <v>Back Row</v>
      </c>
      <c r="D134" s="37">
        <v>19</v>
      </c>
      <c r="F134" s="37">
        <v>4</v>
      </c>
      <c r="G134" s="37">
        <f>'Round 1 Data'!G134*'Round 1 Points'!M$2</f>
        <v>0</v>
      </c>
      <c r="H134" s="37">
        <f>'Round 1 Data'!H134*'Round 1 Points'!N$2</f>
        <v>0</v>
      </c>
      <c r="I134" s="37">
        <f>'Round 1 Data'!I134*'Round 1 Points'!O$2</f>
        <v>0</v>
      </c>
      <c r="J134" s="37">
        <f>'Round 1 Data'!J134*'Round 1 Points'!P$2</f>
        <v>0</v>
      </c>
      <c r="K134" s="37">
        <f>'Round 1 Data'!K134*'Round 1 Points'!Q$2</f>
        <v>0</v>
      </c>
      <c r="L134" s="37">
        <f>'Round 1 Data'!L134*'Round 1 Points'!R$2</f>
        <v>7</v>
      </c>
      <c r="M134" s="37">
        <f>'Round 1 Data'!M134*'Round 1 Points'!S$2</f>
        <v>0</v>
      </c>
      <c r="N134" s="37">
        <f>'Round 1 Data'!N134*'Round 1 Points'!T$2</f>
        <v>0</v>
      </c>
      <c r="O134" s="37">
        <f>'Round 1 Data'!O134*'Round 1 Points'!U$2</f>
        <v>0</v>
      </c>
      <c r="P134" s="37">
        <f>'Round 1 Data'!P134*'Round 1 Points'!V$2</f>
        <v>0</v>
      </c>
      <c r="Q134" s="37">
        <f>'Round 1 Data'!Q134*'Round 1 Points'!W$2</f>
        <v>0</v>
      </c>
      <c r="R134" s="37">
        <f>'Round 1 Data'!R134*'Round 1 Points'!X$2</f>
        <v>0</v>
      </c>
      <c r="S134" s="37">
        <f>'Round 1 Data'!S134*'Round 1 Points'!Y$2</f>
        <v>0</v>
      </c>
      <c r="T134" s="38">
        <f t="shared" si="2"/>
        <v>11</v>
      </c>
      <c r="U134" s="37">
        <f>'Round 1 Data'!U134*'Round 1 Points'!$Z$2</f>
        <v>0</v>
      </c>
      <c r="V134" s="36">
        <f>IF('Round 1 Data'!D134='Round 1 Points'!$K$1,'Round 1 Points'!$K$2*D134/80,0)</f>
        <v>1.9</v>
      </c>
      <c r="W134">
        <f t="shared" si="3"/>
        <v>12.9</v>
      </c>
    </row>
    <row r="135" spans="1:23" x14ac:dyDescent="0.2">
      <c r="A135" s="36" t="s">
        <v>24</v>
      </c>
      <c r="B135" s="36" t="str" cm="1">
        <f t="array" ref="B135:C135">_xlfn.XLOOKUP(A135,'Player List'!$A$2:$A$177,'Player List'!$B$2:$C$177)</f>
        <v>France</v>
      </c>
      <c r="C135" s="36" t="str">
        <v>Back Row</v>
      </c>
      <c r="D135" s="37">
        <v>70</v>
      </c>
      <c r="F135" s="37">
        <v>8</v>
      </c>
      <c r="G135" s="37">
        <f>'Round 1 Data'!G135*'Round 1 Points'!M$2</f>
        <v>0</v>
      </c>
      <c r="H135" s="37">
        <f>'Round 1 Data'!H135*'Round 1 Points'!N$2</f>
        <v>0</v>
      </c>
      <c r="I135" s="37">
        <f>'Round 1 Data'!I135*'Round 1 Points'!O$2</f>
        <v>10.8</v>
      </c>
      <c r="J135" s="37">
        <f>'Round 1 Data'!J135*'Round 1 Points'!P$2</f>
        <v>0</v>
      </c>
      <c r="K135" s="37">
        <f>'Round 1 Data'!K135*'Round 1 Points'!Q$2</f>
        <v>7</v>
      </c>
      <c r="L135" s="37">
        <f>'Round 1 Data'!L135*'Round 1 Points'!R$2</f>
        <v>0</v>
      </c>
      <c r="M135" s="37">
        <f>'Round 1 Data'!M135*'Round 1 Points'!S$2</f>
        <v>0</v>
      </c>
      <c r="N135" s="37">
        <f>'Round 1 Data'!N135*'Round 1 Points'!T$2</f>
        <v>0</v>
      </c>
      <c r="O135" s="37">
        <f>'Round 1 Data'!O135*'Round 1 Points'!U$2</f>
        <v>0</v>
      </c>
      <c r="P135" s="37">
        <f>'Round 1 Data'!P135*'Round 1 Points'!V$2</f>
        <v>0</v>
      </c>
      <c r="Q135" s="37">
        <f>'Round 1 Data'!Q135*'Round 1 Points'!W$2</f>
        <v>0</v>
      </c>
      <c r="R135" s="37">
        <f>'Round 1 Data'!R135*'Round 1 Points'!X$2</f>
        <v>-5</v>
      </c>
      <c r="S135" s="37">
        <f>'Round 1 Data'!S135*'Round 1 Points'!Y$2</f>
        <v>0</v>
      </c>
      <c r="T135" s="38">
        <f t="shared" si="2"/>
        <v>20.8</v>
      </c>
      <c r="U135" s="37">
        <f>'Round 1 Data'!U135*'Round 1 Points'!$Z$2</f>
        <v>0</v>
      </c>
      <c r="V135" s="36">
        <f>IF('Round 1 Data'!D135='Round 1 Points'!$K$1,'Round 1 Points'!$K$2*D135/80,0)</f>
        <v>7</v>
      </c>
      <c r="W135">
        <f t="shared" si="3"/>
        <v>27.8</v>
      </c>
    </row>
    <row r="136" spans="1:23" x14ac:dyDescent="0.2">
      <c r="A136" s="36" t="s">
        <v>25</v>
      </c>
      <c r="B136" s="36" t="str" cm="1">
        <f t="array" ref="B136:C136">_xlfn.XLOOKUP(A136,'Player List'!$A$2:$A$177,'Player List'!$B$2:$C$177)</f>
        <v>France</v>
      </c>
      <c r="C136" s="36" t="str">
        <v>Second Row</v>
      </c>
      <c r="D136" s="37">
        <v>80</v>
      </c>
      <c r="F136" s="37">
        <v>17</v>
      </c>
      <c r="G136" s="37">
        <f>'Round 1 Data'!G136*'Round 1 Points'!M$2</f>
        <v>0</v>
      </c>
      <c r="H136" s="37">
        <f>'Round 1 Data'!H136*'Round 1 Points'!N$2</f>
        <v>7</v>
      </c>
      <c r="I136" s="37">
        <f>'Round 1 Data'!I136*'Round 1 Points'!O$2</f>
        <v>7</v>
      </c>
      <c r="J136" s="37">
        <f>'Round 1 Data'!J136*'Round 1 Points'!P$2</f>
        <v>0</v>
      </c>
      <c r="K136" s="37">
        <f>'Round 1 Data'!K136*'Round 1 Points'!Q$2</f>
        <v>7</v>
      </c>
      <c r="L136" s="37">
        <f>'Round 1 Data'!L136*'Round 1 Points'!R$2</f>
        <v>0</v>
      </c>
      <c r="M136" s="37">
        <f>'Round 1 Data'!M136*'Round 1 Points'!S$2</f>
        <v>15</v>
      </c>
      <c r="N136" s="37">
        <f>'Round 1 Data'!N136*'Round 1 Points'!T$2</f>
        <v>0</v>
      </c>
      <c r="O136" s="37">
        <f>'Round 1 Data'!O136*'Round 1 Points'!U$2</f>
        <v>0</v>
      </c>
      <c r="P136" s="37">
        <f>'Round 1 Data'!P136*'Round 1 Points'!V$2</f>
        <v>0</v>
      </c>
      <c r="Q136" s="37">
        <f>'Round 1 Data'!Q136*'Round 1 Points'!W$2</f>
        <v>0</v>
      </c>
      <c r="R136" s="37">
        <f>'Round 1 Data'!R136*'Round 1 Points'!X$2</f>
        <v>0</v>
      </c>
      <c r="S136" s="37">
        <f>'Round 1 Data'!S136*'Round 1 Points'!Y$2</f>
        <v>0</v>
      </c>
      <c r="T136" s="38">
        <f t="shared" si="2"/>
        <v>53</v>
      </c>
      <c r="U136" s="37">
        <f>'Round 1 Data'!U136*'Round 1 Points'!$Z$2</f>
        <v>0</v>
      </c>
      <c r="V136" s="36">
        <f>IF('Round 1 Data'!D136='Round 1 Points'!$K$1,'Round 1 Points'!$K$2*D136/80,0)</f>
        <v>8</v>
      </c>
      <c r="W136">
        <f t="shared" si="3"/>
        <v>61</v>
      </c>
    </row>
    <row r="137" spans="1:23" x14ac:dyDescent="0.2">
      <c r="A137" s="36" t="s">
        <v>26</v>
      </c>
      <c r="B137" s="36" t="str" cm="1">
        <f t="array" ref="B137:C137">_xlfn.XLOOKUP(A137,'Player List'!$A$2:$A$177,'Player List'!$B$2:$C$177)</f>
        <v>France</v>
      </c>
      <c r="C137" s="36" t="str">
        <v>Second Row</v>
      </c>
      <c r="D137" s="37">
        <v>26</v>
      </c>
      <c r="F137" s="37">
        <v>3</v>
      </c>
      <c r="G137" s="37">
        <f>'Round 1 Data'!G137*'Round 1 Points'!M$2</f>
        <v>7</v>
      </c>
      <c r="H137" s="37">
        <f>'Round 1 Data'!H137*'Round 1 Points'!N$2</f>
        <v>0</v>
      </c>
      <c r="I137" s="37">
        <f>'Round 1 Data'!I137*'Round 1 Points'!O$2</f>
        <v>0.60000000000000009</v>
      </c>
      <c r="J137" s="37">
        <f>'Round 1 Data'!J137*'Round 1 Points'!P$2</f>
        <v>0</v>
      </c>
      <c r="K137" s="37">
        <f>'Round 1 Data'!K137*'Round 1 Points'!Q$2</f>
        <v>0</v>
      </c>
      <c r="L137" s="37">
        <f>'Round 1 Data'!L137*'Round 1 Points'!R$2</f>
        <v>7</v>
      </c>
      <c r="M137" s="37">
        <f>'Round 1 Data'!M137*'Round 1 Points'!S$2</f>
        <v>0</v>
      </c>
      <c r="N137" s="37">
        <f>'Round 1 Data'!N137*'Round 1 Points'!T$2</f>
        <v>7</v>
      </c>
      <c r="O137" s="37">
        <f>'Round 1 Data'!O137*'Round 1 Points'!U$2</f>
        <v>0</v>
      </c>
      <c r="P137" s="37">
        <f>'Round 1 Data'!P137*'Round 1 Points'!V$2</f>
        <v>0</v>
      </c>
      <c r="Q137" s="37">
        <f>'Round 1 Data'!Q137*'Round 1 Points'!W$2</f>
        <v>0</v>
      </c>
      <c r="R137" s="37">
        <f>'Round 1 Data'!R137*'Round 1 Points'!X$2</f>
        <v>0</v>
      </c>
      <c r="S137" s="37">
        <f>'Round 1 Data'!S137*'Round 1 Points'!Y$2</f>
        <v>0</v>
      </c>
      <c r="T137" s="38">
        <f t="shared" si="2"/>
        <v>24.6</v>
      </c>
      <c r="U137" s="37">
        <f>'Round 1 Data'!U137*'Round 1 Points'!$Z$2</f>
        <v>0</v>
      </c>
      <c r="V137" s="36">
        <f>IF('Round 1 Data'!D137='Round 1 Points'!$K$1,'Round 1 Points'!$K$2*D137/80,0)</f>
        <v>2.6</v>
      </c>
      <c r="W137">
        <f t="shared" si="3"/>
        <v>27.200000000000003</v>
      </c>
    </row>
    <row r="138" spans="1:23" x14ac:dyDescent="0.2">
      <c r="A138" s="36" t="s">
        <v>27</v>
      </c>
      <c r="B138" s="36" t="str" cm="1">
        <f t="array" ref="B138:C138">_xlfn.XLOOKUP(A138,'Player List'!$A$2:$A$177,'Player List'!$B$2:$C$177)</f>
        <v>France</v>
      </c>
      <c r="C138" s="36" t="str">
        <v>Second Row</v>
      </c>
      <c r="D138" s="37">
        <v>54</v>
      </c>
      <c r="F138" s="37">
        <v>11</v>
      </c>
      <c r="G138" s="37">
        <f>'Round 1 Data'!G138*'Round 1 Points'!M$2</f>
        <v>7</v>
      </c>
      <c r="H138" s="37">
        <f>'Round 1 Data'!H138*'Round 1 Points'!N$2</f>
        <v>0</v>
      </c>
      <c r="I138" s="37">
        <f>'Round 1 Data'!I138*'Round 1 Points'!O$2</f>
        <v>2.4000000000000004</v>
      </c>
      <c r="J138" s="37">
        <f>'Round 1 Data'!J138*'Round 1 Points'!P$2</f>
        <v>0</v>
      </c>
      <c r="K138" s="37">
        <f>'Round 1 Data'!K138*'Round 1 Points'!Q$2</f>
        <v>0</v>
      </c>
      <c r="L138" s="37">
        <f>'Round 1 Data'!L138*'Round 1 Points'!R$2</f>
        <v>0</v>
      </c>
      <c r="M138" s="37">
        <f>'Round 1 Data'!M138*'Round 1 Points'!S$2</f>
        <v>0</v>
      </c>
      <c r="N138" s="37">
        <f>'Round 1 Data'!N138*'Round 1 Points'!T$2</f>
        <v>0</v>
      </c>
      <c r="O138" s="37">
        <f>'Round 1 Data'!O138*'Round 1 Points'!U$2</f>
        <v>0</v>
      </c>
      <c r="P138" s="37">
        <f>'Round 1 Data'!P138*'Round 1 Points'!V$2</f>
        <v>0</v>
      </c>
      <c r="Q138" s="37">
        <f>'Round 1 Data'!Q138*'Round 1 Points'!W$2</f>
        <v>0</v>
      </c>
      <c r="R138" s="37">
        <f>'Round 1 Data'!R138*'Round 1 Points'!X$2</f>
        <v>0</v>
      </c>
      <c r="S138" s="37">
        <f>'Round 1 Data'!S138*'Round 1 Points'!Y$2</f>
        <v>0</v>
      </c>
      <c r="T138" s="38">
        <f t="shared" si="2"/>
        <v>20.399999999999999</v>
      </c>
      <c r="U138" s="37">
        <f>'Round 1 Data'!U138*'Round 1 Points'!$Z$2</f>
        <v>0</v>
      </c>
      <c r="V138" s="36">
        <f>IF('Round 1 Data'!D138='Round 1 Points'!$K$1,'Round 1 Points'!$K$2*D138/80,0)</f>
        <v>5.4</v>
      </c>
      <c r="W138">
        <f t="shared" si="3"/>
        <v>25.799999999999997</v>
      </c>
    </row>
    <row r="139" spans="1:23" x14ac:dyDescent="0.2">
      <c r="A139" s="36" t="s">
        <v>28</v>
      </c>
      <c r="B139" s="36" t="str" cm="1">
        <f t="array" ref="B139:C139">_xlfn.XLOOKUP(A139,'Player List'!$A$2:$A$177,'Player List'!$B$2:$C$177)</f>
        <v>France</v>
      </c>
      <c r="C139" s="36" t="str">
        <v>Prop</v>
      </c>
      <c r="D139" s="37">
        <v>51</v>
      </c>
      <c r="F139" s="37">
        <v>9</v>
      </c>
      <c r="G139" s="37">
        <f>'Round 1 Data'!G139*'Round 1 Points'!M$2</f>
        <v>0</v>
      </c>
      <c r="H139" s="37">
        <f>'Round 1 Data'!H139*'Round 1 Points'!N$2</f>
        <v>0</v>
      </c>
      <c r="I139" s="37">
        <f>'Round 1 Data'!I139*'Round 1 Points'!O$2</f>
        <v>3.4000000000000004</v>
      </c>
      <c r="J139" s="37">
        <f>'Round 1 Data'!J139*'Round 1 Points'!P$2</f>
        <v>0</v>
      </c>
      <c r="K139" s="37">
        <f>'Round 1 Data'!K139*'Round 1 Points'!Q$2</f>
        <v>0</v>
      </c>
      <c r="L139" s="37">
        <f>'Round 1 Data'!L139*'Round 1 Points'!R$2</f>
        <v>0</v>
      </c>
      <c r="M139" s="37">
        <f>'Round 1 Data'!M139*'Round 1 Points'!S$2</f>
        <v>0</v>
      </c>
      <c r="N139" s="37">
        <f>'Round 1 Data'!N139*'Round 1 Points'!T$2</f>
        <v>0</v>
      </c>
      <c r="O139" s="37">
        <f>'Round 1 Data'!O139*'Round 1 Points'!U$2</f>
        <v>0</v>
      </c>
      <c r="P139" s="37">
        <f>'Round 1 Data'!P139*'Round 1 Points'!V$2</f>
        <v>0</v>
      </c>
      <c r="Q139" s="37">
        <f>'Round 1 Data'!Q139*'Round 1 Points'!W$2</f>
        <v>0</v>
      </c>
      <c r="R139" s="37">
        <f>'Round 1 Data'!R139*'Round 1 Points'!X$2</f>
        <v>0</v>
      </c>
      <c r="S139" s="37">
        <f>'Round 1 Data'!S139*'Round 1 Points'!Y$2</f>
        <v>0</v>
      </c>
      <c r="T139" s="38">
        <f t="shared" ref="T139:T144" si="4">SUM(F139:S139)</f>
        <v>12.4</v>
      </c>
      <c r="U139" s="37">
        <f>'Round 1 Data'!U139*'Round 1 Points'!$Z$2</f>
        <v>0</v>
      </c>
      <c r="V139" s="36">
        <f>IF('Round 1 Data'!D139='Round 1 Points'!$K$1,'Round 1 Points'!$K$2*D139/80,0)</f>
        <v>5.0999999999999996</v>
      </c>
      <c r="W139">
        <f t="shared" ref="W139:W144" si="5">SUM(T139:V139)</f>
        <v>17.5</v>
      </c>
    </row>
    <row r="140" spans="1:23" x14ac:dyDescent="0.2">
      <c r="A140" s="36" t="s">
        <v>29</v>
      </c>
      <c r="B140" s="36" t="str" cm="1">
        <f t="array" ref="B140:C140">_xlfn.XLOOKUP(A140,'Player List'!$A$2:$A$177,'Player List'!$B$2:$C$177)</f>
        <v>France</v>
      </c>
      <c r="C140" s="36" t="str">
        <v>Prop</v>
      </c>
      <c r="D140" s="37">
        <v>51</v>
      </c>
      <c r="F140" s="37">
        <v>8</v>
      </c>
      <c r="G140" s="37">
        <f>'Round 1 Data'!G140*'Round 1 Points'!M$2</f>
        <v>0</v>
      </c>
      <c r="H140" s="37">
        <f>'Round 1 Data'!H140*'Round 1 Points'!N$2</f>
        <v>0</v>
      </c>
      <c r="I140" s="37">
        <f>'Round 1 Data'!I140*'Round 1 Points'!O$2</f>
        <v>7.4</v>
      </c>
      <c r="J140" s="37">
        <f>'Round 1 Data'!J140*'Round 1 Points'!P$2</f>
        <v>0</v>
      </c>
      <c r="K140" s="37">
        <f>'Round 1 Data'!K140*'Round 1 Points'!Q$2</f>
        <v>0</v>
      </c>
      <c r="L140" s="37">
        <f>'Round 1 Data'!L140*'Round 1 Points'!R$2</f>
        <v>0</v>
      </c>
      <c r="M140" s="37">
        <f>'Round 1 Data'!M140*'Round 1 Points'!S$2</f>
        <v>0</v>
      </c>
      <c r="N140" s="37">
        <f>'Round 1 Data'!N140*'Round 1 Points'!T$2</f>
        <v>0</v>
      </c>
      <c r="O140" s="37">
        <f>'Round 1 Data'!O140*'Round 1 Points'!U$2</f>
        <v>0</v>
      </c>
      <c r="P140" s="37">
        <f>'Round 1 Data'!P140*'Round 1 Points'!V$2</f>
        <v>0</v>
      </c>
      <c r="Q140" s="37">
        <f>'Round 1 Data'!Q140*'Round 1 Points'!W$2</f>
        <v>0</v>
      </c>
      <c r="R140" s="37">
        <f>'Round 1 Data'!R140*'Round 1 Points'!X$2</f>
        <v>0</v>
      </c>
      <c r="S140" s="37">
        <f>'Round 1 Data'!S140*'Round 1 Points'!Y$2</f>
        <v>0</v>
      </c>
      <c r="T140" s="38">
        <f t="shared" si="4"/>
        <v>15.4</v>
      </c>
      <c r="U140" s="37">
        <f>'Round 1 Data'!U140*'Round 1 Points'!$Z$2</f>
        <v>0</v>
      </c>
      <c r="V140" s="36">
        <f>IF('Round 1 Data'!D140='Round 1 Points'!$K$1,'Round 1 Points'!$K$2*D140/80,0)</f>
        <v>5.0999999999999996</v>
      </c>
      <c r="W140">
        <f t="shared" si="5"/>
        <v>20.5</v>
      </c>
    </row>
    <row r="141" spans="1:23" x14ac:dyDescent="0.2">
      <c r="A141" s="36" t="s">
        <v>30</v>
      </c>
      <c r="B141" s="36" t="str" cm="1">
        <f t="array" ref="B141:C141">_xlfn.XLOOKUP(A141,'Player List'!$A$2:$A$177,'Player List'!$B$2:$C$177)</f>
        <v>France</v>
      </c>
      <c r="C141" s="36" t="str">
        <v>Prop</v>
      </c>
      <c r="D141" s="37">
        <v>29</v>
      </c>
      <c r="F141" s="37">
        <v>3</v>
      </c>
      <c r="G141" s="37">
        <f>'Round 1 Data'!G141*'Round 1 Points'!M$2</f>
        <v>0</v>
      </c>
      <c r="H141" s="37">
        <f>'Round 1 Data'!H141*'Round 1 Points'!N$2</f>
        <v>0</v>
      </c>
      <c r="I141" s="37">
        <f>'Round 1 Data'!I141*'Round 1 Points'!O$2</f>
        <v>0</v>
      </c>
      <c r="J141" s="37">
        <f>'Round 1 Data'!J141*'Round 1 Points'!P$2</f>
        <v>0</v>
      </c>
      <c r="K141" s="37">
        <f>'Round 1 Data'!K141*'Round 1 Points'!Q$2</f>
        <v>0</v>
      </c>
      <c r="L141" s="37">
        <f>'Round 1 Data'!L141*'Round 1 Points'!R$2</f>
        <v>0</v>
      </c>
      <c r="M141" s="37">
        <f>'Round 1 Data'!M141*'Round 1 Points'!S$2</f>
        <v>0</v>
      </c>
      <c r="N141" s="37">
        <f>'Round 1 Data'!N141*'Round 1 Points'!T$2</f>
        <v>0</v>
      </c>
      <c r="O141" s="37">
        <f>'Round 1 Data'!O141*'Round 1 Points'!U$2</f>
        <v>0</v>
      </c>
      <c r="P141" s="37">
        <f>'Round 1 Data'!P141*'Round 1 Points'!V$2</f>
        <v>0</v>
      </c>
      <c r="Q141" s="37">
        <f>'Round 1 Data'!Q141*'Round 1 Points'!W$2</f>
        <v>0</v>
      </c>
      <c r="R141" s="37">
        <f>'Round 1 Data'!R141*'Round 1 Points'!X$2</f>
        <v>0</v>
      </c>
      <c r="S141" s="37">
        <f>'Round 1 Data'!S141*'Round 1 Points'!Y$2</f>
        <v>0</v>
      </c>
      <c r="T141" s="38">
        <f t="shared" si="4"/>
        <v>3</v>
      </c>
      <c r="U141" s="37">
        <f>'Round 1 Data'!U141*'Round 1 Points'!$Z$2</f>
        <v>0</v>
      </c>
      <c r="V141" s="36">
        <f>IF('Round 1 Data'!D141='Round 1 Points'!$K$1,'Round 1 Points'!$K$2*D141/80,0)</f>
        <v>2.9</v>
      </c>
      <c r="W141">
        <f t="shared" si="5"/>
        <v>5.9</v>
      </c>
    </row>
    <row r="142" spans="1:23" x14ac:dyDescent="0.2">
      <c r="A142" s="36" t="s">
        <v>31</v>
      </c>
      <c r="B142" s="36" t="str" cm="1">
        <f t="array" ref="B142:C142">_xlfn.XLOOKUP(A142,'Player List'!$A$2:$A$177,'Player List'!$B$2:$C$177)</f>
        <v>France</v>
      </c>
      <c r="C142" s="36" t="str">
        <v>Prop</v>
      </c>
      <c r="D142" s="37">
        <v>29</v>
      </c>
      <c r="F142" s="37">
        <v>7</v>
      </c>
      <c r="G142" s="37">
        <f>'Round 1 Data'!G142*'Round 1 Points'!M$2</f>
        <v>0</v>
      </c>
      <c r="H142" s="37">
        <f>'Round 1 Data'!H142*'Round 1 Points'!N$2</f>
        <v>0</v>
      </c>
      <c r="I142" s="37">
        <f>'Round 1 Data'!I142*'Round 1 Points'!O$2</f>
        <v>0</v>
      </c>
      <c r="J142" s="37">
        <f>'Round 1 Data'!J142*'Round 1 Points'!P$2</f>
        <v>0</v>
      </c>
      <c r="K142" s="37">
        <f>'Round 1 Data'!K142*'Round 1 Points'!Q$2</f>
        <v>0</v>
      </c>
      <c r="L142" s="37">
        <f>'Round 1 Data'!L142*'Round 1 Points'!R$2</f>
        <v>0</v>
      </c>
      <c r="M142" s="37">
        <f>'Round 1 Data'!M142*'Round 1 Points'!S$2</f>
        <v>0</v>
      </c>
      <c r="N142" s="37">
        <f>'Round 1 Data'!N142*'Round 1 Points'!T$2</f>
        <v>0</v>
      </c>
      <c r="O142" s="37">
        <f>'Round 1 Data'!O142*'Round 1 Points'!U$2</f>
        <v>0</v>
      </c>
      <c r="P142" s="37">
        <f>'Round 1 Data'!P142*'Round 1 Points'!V$2</f>
        <v>0</v>
      </c>
      <c r="Q142" s="37">
        <f>'Round 1 Data'!Q142*'Round 1 Points'!W$2</f>
        <v>0</v>
      </c>
      <c r="R142" s="37">
        <f>'Round 1 Data'!R142*'Round 1 Points'!X$2</f>
        <v>0</v>
      </c>
      <c r="S142" s="37">
        <f>'Round 1 Data'!S142*'Round 1 Points'!Y$2</f>
        <v>0</v>
      </c>
      <c r="T142" s="38">
        <f t="shared" si="4"/>
        <v>7</v>
      </c>
      <c r="U142" s="37">
        <f>'Round 1 Data'!U142*'Round 1 Points'!$Z$2</f>
        <v>0</v>
      </c>
      <c r="V142" s="36">
        <f>IF('Round 1 Data'!D142='Round 1 Points'!$K$1,'Round 1 Points'!$K$2*D142/80,0)</f>
        <v>2.9</v>
      </c>
      <c r="W142">
        <f t="shared" si="5"/>
        <v>9.9</v>
      </c>
    </row>
    <row r="143" spans="1:23" x14ac:dyDescent="0.2">
      <c r="A143" s="36" t="s">
        <v>32</v>
      </c>
      <c r="B143" s="36" t="str" cm="1">
        <f t="array" ref="B143:C143">_xlfn.XLOOKUP(A143,'Player List'!$A$2:$A$177,'Player List'!$B$2:$C$177)</f>
        <v>France</v>
      </c>
      <c r="C143" s="36" t="str">
        <v>Hooker</v>
      </c>
      <c r="D143" s="37">
        <v>19</v>
      </c>
      <c r="F143" s="37">
        <v>4</v>
      </c>
      <c r="G143" s="37">
        <f>'Round 1 Data'!G143*'Round 1 Points'!M$2</f>
        <v>7</v>
      </c>
      <c r="H143" s="37">
        <f>'Round 1 Data'!H143*'Round 1 Points'!N$2</f>
        <v>0</v>
      </c>
      <c r="I143" s="37">
        <f>'Round 1 Data'!I143*'Round 1 Points'!O$2</f>
        <v>0</v>
      </c>
      <c r="J143" s="37">
        <f>'Round 1 Data'!J143*'Round 1 Points'!P$2</f>
        <v>0</v>
      </c>
      <c r="K143" s="37">
        <f>'Round 1 Data'!K143*'Round 1 Points'!Q$2</f>
        <v>0</v>
      </c>
      <c r="L143" s="37">
        <f>'Round 1 Data'!L143*'Round 1 Points'!R$2</f>
        <v>0</v>
      </c>
      <c r="M143" s="37">
        <f>'Round 1 Data'!M143*'Round 1 Points'!S$2</f>
        <v>0</v>
      </c>
      <c r="N143" s="37">
        <f>'Round 1 Data'!N143*'Round 1 Points'!T$2</f>
        <v>0</v>
      </c>
      <c r="O143" s="37">
        <f>'Round 1 Data'!O143*'Round 1 Points'!U$2</f>
        <v>0</v>
      </c>
      <c r="P143" s="37">
        <f>'Round 1 Data'!P143*'Round 1 Points'!V$2</f>
        <v>0</v>
      </c>
      <c r="Q143" s="37">
        <f>'Round 1 Data'!Q143*'Round 1 Points'!W$2</f>
        <v>0</v>
      </c>
      <c r="R143" s="37">
        <f>'Round 1 Data'!R143*'Round 1 Points'!X$2</f>
        <v>0</v>
      </c>
      <c r="S143" s="37">
        <f>'Round 1 Data'!S143*'Round 1 Points'!Y$2</f>
        <v>0</v>
      </c>
      <c r="T143" s="38">
        <f t="shared" si="4"/>
        <v>11</v>
      </c>
      <c r="U143" s="37">
        <f>'Round 1 Data'!U143*'Round 1 Points'!$Z$2</f>
        <v>0</v>
      </c>
      <c r="V143" s="36">
        <f>IF('Round 1 Data'!D143='Round 1 Points'!$K$1,'Round 1 Points'!$K$2*D143/80,0)</f>
        <v>1.9</v>
      </c>
      <c r="W143">
        <f t="shared" si="5"/>
        <v>12.9</v>
      </c>
    </row>
    <row r="144" spans="1:23" x14ac:dyDescent="0.2">
      <c r="A144" s="36" t="s">
        <v>33</v>
      </c>
      <c r="B144" s="36" t="str" cm="1">
        <f t="array" ref="B144:C144">_xlfn.XLOOKUP(A144,'Player List'!$A$2:$A$177,'Player List'!$B$2:$C$177)</f>
        <v>France</v>
      </c>
      <c r="C144" s="36" t="str">
        <v>Hooker</v>
      </c>
      <c r="D144" s="37">
        <v>61</v>
      </c>
      <c r="F144" s="37">
        <v>13</v>
      </c>
      <c r="G144" s="37">
        <f>'Round 1 Data'!G144*'Round 1 Points'!M$2</f>
        <v>0</v>
      </c>
      <c r="H144" s="37">
        <f>'Round 1 Data'!H144*'Round 1 Points'!N$2</f>
        <v>0</v>
      </c>
      <c r="I144" s="37">
        <f>'Round 1 Data'!I144*'Round 1 Points'!O$2</f>
        <v>6.4</v>
      </c>
      <c r="J144" s="37">
        <f>'Round 1 Data'!J144*'Round 1 Points'!P$2</f>
        <v>0</v>
      </c>
      <c r="K144" s="37">
        <f>'Round 1 Data'!K144*'Round 1 Points'!Q$2</f>
        <v>0</v>
      </c>
      <c r="L144" s="37">
        <f>'Round 1 Data'!L144*'Round 1 Points'!R$2</f>
        <v>0</v>
      </c>
      <c r="M144" s="37">
        <f>'Round 1 Data'!M144*'Round 1 Points'!S$2</f>
        <v>0</v>
      </c>
      <c r="N144" s="37">
        <f>'Round 1 Data'!N144*'Round 1 Points'!T$2</f>
        <v>0</v>
      </c>
      <c r="O144" s="37">
        <f>'Round 1 Data'!O144*'Round 1 Points'!U$2</f>
        <v>0</v>
      </c>
      <c r="P144" s="37">
        <f>'Round 1 Data'!P144*'Round 1 Points'!V$2</f>
        <v>0</v>
      </c>
      <c r="Q144" s="37">
        <f>'Round 1 Data'!Q144*'Round 1 Points'!W$2</f>
        <v>0</v>
      </c>
      <c r="R144" s="37">
        <f>'Round 1 Data'!R144*'Round 1 Points'!X$2</f>
        <v>0</v>
      </c>
      <c r="S144" s="37">
        <f>'Round 1 Data'!S144*'Round 1 Points'!Y$2</f>
        <v>0</v>
      </c>
      <c r="T144" s="38">
        <f t="shared" si="4"/>
        <v>19.399999999999999</v>
      </c>
      <c r="U144" s="37">
        <f>'Round 1 Data'!U144*'Round 1 Points'!$Z$2</f>
        <v>0</v>
      </c>
      <c r="V144" s="36">
        <f>IF('Round 1 Data'!D144='Round 1 Points'!$K$1,'Round 1 Points'!$K$2*D144/80,0)</f>
        <v>6.1</v>
      </c>
      <c r="W144">
        <f t="shared" si="5"/>
        <v>25.5</v>
      </c>
    </row>
  </sheetData>
  <autoFilter ref="A9:Z144" xr:uid="{C52B9692-EE20-4063-B9DD-E0A4CA589552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9E7A-DA15-40AF-8A60-6FEE11FF9455}">
  <sheetPr>
    <tabColor theme="9" tint="0.79998168889431442"/>
  </sheetPr>
  <dimension ref="A1:Z146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29.1640625" customWidth="1"/>
    <col min="2" max="3" width="16.5" customWidth="1"/>
    <col min="4" max="4" width="10.83203125" customWidth="1"/>
    <col min="12" max="12" width="13.5" customWidth="1"/>
    <col min="19" max="19" width="11" customWidth="1"/>
  </cols>
  <sheetData>
    <row r="1" spans="1:26" ht="31" thickBot="1" x14ac:dyDescent="0.25">
      <c r="J1" s="43"/>
      <c r="K1" s="44" t="s">
        <v>204</v>
      </c>
      <c r="L1" s="45" t="s">
        <v>207</v>
      </c>
      <c r="M1" s="45" t="s">
        <v>1</v>
      </c>
      <c r="N1" s="45" t="s">
        <v>2</v>
      </c>
      <c r="O1" s="45" t="s">
        <v>208</v>
      </c>
      <c r="P1" s="45" t="s">
        <v>3</v>
      </c>
      <c r="Q1" s="45" t="s">
        <v>4</v>
      </c>
      <c r="R1" s="45" t="s">
        <v>5</v>
      </c>
      <c r="S1" s="45" t="s">
        <v>6</v>
      </c>
      <c r="T1" s="45" t="s">
        <v>209</v>
      </c>
      <c r="U1" s="45" t="s">
        <v>7</v>
      </c>
      <c r="V1" s="45" t="s">
        <v>8</v>
      </c>
      <c r="W1" s="45" t="s">
        <v>9</v>
      </c>
      <c r="X1" s="45" t="s">
        <v>10</v>
      </c>
      <c r="Y1" s="45" t="s">
        <v>11</v>
      </c>
      <c r="Z1" s="46" t="s">
        <v>215</v>
      </c>
    </row>
    <row r="2" spans="1:26" ht="16" thickBot="1" x14ac:dyDescent="0.25">
      <c r="B2" s="43" t="s">
        <v>191</v>
      </c>
      <c r="C2" s="50" t="s">
        <v>204</v>
      </c>
      <c r="E2" s="43" t="s">
        <v>189</v>
      </c>
      <c r="F2" s="44">
        <v>32</v>
      </c>
      <c r="G2" s="44">
        <v>19</v>
      </c>
      <c r="H2" s="50" t="s">
        <v>193</v>
      </c>
      <c r="J2" s="47" t="s">
        <v>214</v>
      </c>
      <c r="K2" s="48">
        <v>8</v>
      </c>
      <c r="L2" s="48">
        <v>1</v>
      </c>
      <c r="M2" s="48">
        <v>7</v>
      </c>
      <c r="N2" s="48">
        <v>7</v>
      </c>
      <c r="O2" s="48">
        <v>0.2</v>
      </c>
      <c r="P2" s="48">
        <v>10</v>
      </c>
      <c r="Q2" s="48">
        <v>7</v>
      </c>
      <c r="R2" s="48">
        <v>7</v>
      </c>
      <c r="S2" s="48">
        <v>15</v>
      </c>
      <c r="T2" s="48">
        <v>7</v>
      </c>
      <c r="U2" s="48">
        <v>2</v>
      </c>
      <c r="V2" s="48">
        <v>5</v>
      </c>
      <c r="W2" s="48">
        <v>7</v>
      </c>
      <c r="X2" s="48">
        <v>-5</v>
      </c>
      <c r="Y2" s="48">
        <v>-10</v>
      </c>
      <c r="Z2" s="49">
        <v>15</v>
      </c>
    </row>
    <row r="3" spans="1:26" x14ac:dyDescent="0.2">
      <c r="B3" s="51" t="s">
        <v>188</v>
      </c>
      <c r="C3" s="52" t="s">
        <v>212</v>
      </c>
      <c r="E3" s="51" t="s">
        <v>191</v>
      </c>
      <c r="F3">
        <v>35</v>
      </c>
      <c r="G3">
        <v>7</v>
      </c>
      <c r="H3" s="52" t="s">
        <v>188</v>
      </c>
    </row>
    <row r="4" spans="1:26" ht="16" thickBot="1" x14ac:dyDescent="0.25">
      <c r="B4" s="51" t="s">
        <v>189</v>
      </c>
      <c r="C4" s="52" t="s">
        <v>204</v>
      </c>
      <c r="E4" s="47" t="s">
        <v>190</v>
      </c>
      <c r="F4" s="48">
        <v>31</v>
      </c>
      <c r="G4" s="48">
        <v>14</v>
      </c>
      <c r="H4" s="49" t="s">
        <v>192</v>
      </c>
    </row>
    <row r="5" spans="1:26" x14ac:dyDescent="0.2">
      <c r="B5" s="51" t="s">
        <v>190</v>
      </c>
      <c r="C5" s="52" t="s">
        <v>204</v>
      </c>
    </row>
    <row r="6" spans="1:26" x14ac:dyDescent="0.2">
      <c r="B6" s="51" t="s">
        <v>193</v>
      </c>
      <c r="C6" s="52" t="s">
        <v>212</v>
      </c>
    </row>
    <row r="7" spans="1:26" ht="16" thickBot="1" x14ac:dyDescent="0.25">
      <c r="B7" s="47" t="s">
        <v>192</v>
      </c>
      <c r="C7" s="49" t="s">
        <v>212</v>
      </c>
    </row>
    <row r="8" spans="1:26" ht="16" thickBot="1" x14ac:dyDescent="0.25"/>
    <row r="9" spans="1:26" ht="31" thickBot="1" x14ac:dyDescent="0.25">
      <c r="A9" s="39" t="s">
        <v>0</v>
      </c>
      <c r="B9" s="40" t="s">
        <v>203</v>
      </c>
      <c r="C9" s="40" t="s">
        <v>202</v>
      </c>
      <c r="D9" s="40" t="s">
        <v>205</v>
      </c>
      <c r="E9" s="40"/>
      <c r="F9" s="41" t="s">
        <v>207</v>
      </c>
      <c r="G9" s="41" t="s">
        <v>1</v>
      </c>
      <c r="H9" s="41" t="s">
        <v>2</v>
      </c>
      <c r="I9" s="41" t="s">
        <v>208</v>
      </c>
      <c r="J9" s="41" t="s">
        <v>3</v>
      </c>
      <c r="K9" s="41" t="s">
        <v>4</v>
      </c>
      <c r="L9" s="41" t="s">
        <v>5</v>
      </c>
      <c r="M9" s="41" t="s">
        <v>6</v>
      </c>
      <c r="N9" s="41" t="s">
        <v>209</v>
      </c>
      <c r="O9" s="41" t="s">
        <v>7</v>
      </c>
      <c r="P9" s="41" t="s">
        <v>8</v>
      </c>
      <c r="Q9" s="41" t="s">
        <v>9</v>
      </c>
      <c r="R9" s="41" t="s">
        <v>10</v>
      </c>
      <c r="S9" s="41" t="s">
        <v>11</v>
      </c>
      <c r="T9" s="41" t="s">
        <v>211</v>
      </c>
      <c r="U9" s="41" t="s">
        <v>206</v>
      </c>
      <c r="V9" s="41" t="s">
        <v>216</v>
      </c>
      <c r="W9" s="42" t="s">
        <v>210</v>
      </c>
    </row>
    <row r="10" spans="1:26" ht="16" thickBot="1" x14ac:dyDescent="0.25">
      <c r="A10" s="80" t="s">
        <v>126</v>
      </c>
      <c r="B10" s="36" t="str" cm="1">
        <f t="array" ref="B10:C10">_xlfn.XLOOKUP(A10,'Player List'!$A$2:$A$177,'Player List'!$B$2:$C$177)</f>
        <v>Ireland</v>
      </c>
      <c r="C10" s="36" t="str">
        <v>Back Three</v>
      </c>
      <c r="D10" s="37">
        <v>80</v>
      </c>
      <c r="F10" s="37">
        <f>'Round 2 Data'!F10*'Round 2 Points'!L$2</f>
        <v>5</v>
      </c>
      <c r="G10" s="37">
        <f>'Round 2 Data'!G10*'Round 2 Points'!M$2</f>
        <v>0</v>
      </c>
      <c r="H10" s="37">
        <f>'Round 2 Data'!H10*'Round 2 Points'!N$2</f>
        <v>0</v>
      </c>
      <c r="I10" s="37">
        <f>'Round 2 Data'!I10*'Round 2 Points'!O$2</f>
        <v>12.600000000000001</v>
      </c>
      <c r="J10" s="37">
        <f>'Round 2 Data'!J10*'Round 2 Points'!P$2</f>
        <v>0</v>
      </c>
      <c r="K10" s="37">
        <f>'Round 2 Data'!K10*'Round 2 Points'!Q$2</f>
        <v>0</v>
      </c>
      <c r="L10" s="37">
        <f>'Round 2 Data'!L10*'Round 2 Points'!R$2</f>
        <v>0</v>
      </c>
      <c r="M10" s="37">
        <f>'Round 2 Data'!M10*'Round 2 Points'!S$2</f>
        <v>0</v>
      </c>
      <c r="N10" s="37">
        <f>'Round 2 Data'!N10*'Round 2 Points'!T$2</f>
        <v>0</v>
      </c>
      <c r="O10" s="37">
        <f>'Round 2 Data'!O10*'Round 2 Points'!U$2</f>
        <v>0</v>
      </c>
      <c r="P10" s="37">
        <f>'Round 2 Data'!P10*'Round 2 Points'!V$2</f>
        <v>0</v>
      </c>
      <c r="Q10" s="37">
        <f>'Round 2 Data'!Q10*'Round 2 Points'!W$2</f>
        <v>0</v>
      </c>
      <c r="R10" s="37">
        <f>'Round 2 Data'!R10*'Round 2 Points'!X$2</f>
        <v>0</v>
      </c>
      <c r="S10" s="37">
        <f>'Round 2 Data'!S10*'Round 2 Points'!Y$2</f>
        <v>0</v>
      </c>
      <c r="T10" s="38">
        <f>SUM(F10:S10)</f>
        <v>17.600000000000001</v>
      </c>
      <c r="U10" s="37">
        <f>'Round 2 Data'!U10*'Round 2 Points'!Z$2</f>
        <v>0</v>
      </c>
      <c r="V10" s="36">
        <f>IF('Round 2 Data'!D10='Round 2 Points'!$K$1,D10/80*$K$2,0)</f>
        <v>8</v>
      </c>
      <c r="W10" s="52">
        <f>SUM(T10:V10)</f>
        <v>25.6</v>
      </c>
    </row>
    <row r="11" spans="1:26" ht="16" thickBot="1" x14ac:dyDescent="0.25">
      <c r="A11" s="77" t="s">
        <v>127</v>
      </c>
      <c r="B11" s="36" t="str" cm="1">
        <f t="array" ref="B11:C11">_xlfn.XLOOKUP(A11,'Player List'!$A$2:$A$177,'Player List'!$B$2:$C$177)</f>
        <v>Ireland</v>
      </c>
      <c r="C11" s="36" t="str">
        <v>Back Three</v>
      </c>
      <c r="D11" s="37">
        <v>80</v>
      </c>
      <c r="F11" s="37">
        <f>'Round 2 Data'!F11*'Round 2 Points'!L$2</f>
        <v>3</v>
      </c>
      <c r="G11" s="37">
        <f>'Round 2 Data'!G11*'Round 2 Points'!M$2</f>
        <v>7</v>
      </c>
      <c r="H11" s="37">
        <f>'Round 2 Data'!H11*'Round 2 Points'!N$2</f>
        <v>14</v>
      </c>
      <c r="I11" s="37">
        <f>'Round 2 Data'!I11*'Round 2 Points'!O$2</f>
        <v>41</v>
      </c>
      <c r="J11" s="37">
        <f>'Round 2 Data'!J11*'Round 2 Points'!P$2</f>
        <v>10</v>
      </c>
      <c r="K11" s="37">
        <f>'Round 2 Data'!K11*'Round 2 Points'!Q$2</f>
        <v>0</v>
      </c>
      <c r="L11" s="37">
        <f>'Round 2 Data'!L11*'Round 2 Points'!R$2</f>
        <v>0</v>
      </c>
      <c r="M11" s="37">
        <f>'Round 2 Data'!M11*'Round 2 Points'!S$2</f>
        <v>15</v>
      </c>
      <c r="N11" s="37">
        <f>'Round 2 Data'!N11*'Round 2 Points'!T$2</f>
        <v>0</v>
      </c>
      <c r="O11" s="37">
        <f>'Round 2 Data'!O11*'Round 2 Points'!U$2</f>
        <v>0</v>
      </c>
      <c r="P11" s="37">
        <f>'Round 2 Data'!P11*'Round 2 Points'!V$2</f>
        <v>0</v>
      </c>
      <c r="Q11" s="37">
        <f>'Round 2 Data'!Q11*'Round 2 Points'!W$2</f>
        <v>0</v>
      </c>
      <c r="R11" s="37">
        <f>'Round 2 Data'!R11*'Round 2 Points'!X$2</f>
        <v>0</v>
      </c>
      <c r="S11" s="37">
        <f>'Round 2 Data'!S11*'Round 2 Points'!Y$2</f>
        <v>0</v>
      </c>
      <c r="T11" s="38">
        <f t="shared" ref="T11:T74" si="0">SUM(F11:S11)</f>
        <v>90</v>
      </c>
      <c r="U11" s="37">
        <f>'Round 2 Data'!U11*'Round 2 Points'!Z$2</f>
        <v>0</v>
      </c>
      <c r="V11" s="36">
        <f>IF('Round 2 Data'!D11='Round 2 Points'!$K$1,D11/80*$K$2,0)</f>
        <v>8</v>
      </c>
      <c r="W11" s="52">
        <f t="shared" ref="W11:W74" si="1">SUM(T11:V11)</f>
        <v>98</v>
      </c>
    </row>
    <row r="12" spans="1:26" ht="16" thickBot="1" x14ac:dyDescent="0.25">
      <c r="A12" s="76" t="s">
        <v>128</v>
      </c>
      <c r="B12" s="36" t="str" cm="1">
        <f t="array" ref="B12:C12">_xlfn.XLOOKUP(A12,'Player List'!$A$2:$A$177,'Player List'!$B$2:$C$177)</f>
        <v>Ireland</v>
      </c>
      <c r="C12" s="36" t="str">
        <v>Back Three</v>
      </c>
      <c r="D12" s="37">
        <v>80</v>
      </c>
      <c r="F12" s="37">
        <f>'Round 2 Data'!F12*'Round 2 Points'!L$2</f>
        <v>4</v>
      </c>
      <c r="G12" s="37">
        <f>'Round 2 Data'!G12*'Round 2 Points'!M$2</f>
        <v>0</v>
      </c>
      <c r="H12" s="37">
        <f>'Round 2 Data'!H12*'Round 2 Points'!N$2</f>
        <v>7</v>
      </c>
      <c r="I12" s="37">
        <f>'Round 2 Data'!I12*'Round 2 Points'!O$2</f>
        <v>18.8</v>
      </c>
      <c r="J12" s="37">
        <f>'Round 2 Data'!J12*'Round 2 Points'!P$2</f>
        <v>0</v>
      </c>
      <c r="K12" s="37">
        <f>'Round 2 Data'!K12*'Round 2 Points'!Q$2</f>
        <v>0</v>
      </c>
      <c r="L12" s="37">
        <f>'Round 2 Data'!L12*'Round 2 Points'!R$2</f>
        <v>0</v>
      </c>
      <c r="M12" s="37">
        <f>'Round 2 Data'!M12*'Round 2 Points'!S$2</f>
        <v>15</v>
      </c>
      <c r="N12" s="37">
        <f>'Round 2 Data'!N12*'Round 2 Points'!T$2</f>
        <v>0</v>
      </c>
      <c r="O12" s="37">
        <f>'Round 2 Data'!O12*'Round 2 Points'!U$2</f>
        <v>0</v>
      </c>
      <c r="P12" s="37">
        <f>'Round 2 Data'!P12*'Round 2 Points'!V$2</f>
        <v>0</v>
      </c>
      <c r="Q12" s="37">
        <f>'Round 2 Data'!Q12*'Round 2 Points'!W$2</f>
        <v>0</v>
      </c>
      <c r="R12" s="37">
        <f>'Round 2 Data'!R12*'Round 2 Points'!X$2</f>
        <v>0</v>
      </c>
      <c r="S12" s="37">
        <f>'Round 2 Data'!S12*'Round 2 Points'!Y$2</f>
        <v>0</v>
      </c>
      <c r="T12" s="38">
        <f t="shared" si="0"/>
        <v>44.8</v>
      </c>
      <c r="U12" s="37">
        <f>'Round 2 Data'!U12*'Round 2 Points'!Z$2</f>
        <v>0</v>
      </c>
      <c r="V12" s="36">
        <f>IF('Round 2 Data'!D12='Round 2 Points'!$K$1,D12/80*$K$2,0)</f>
        <v>8</v>
      </c>
      <c r="W12" s="52">
        <f t="shared" si="1"/>
        <v>52.8</v>
      </c>
    </row>
    <row r="13" spans="1:26" ht="16" thickBot="1" x14ac:dyDescent="0.25">
      <c r="A13" s="77" t="s">
        <v>129</v>
      </c>
      <c r="B13" s="36" t="str" cm="1">
        <f t="array" ref="B13:C13">_xlfn.XLOOKUP(A13,'Player List'!$A$2:$A$177,'Player List'!$B$2:$C$177)</f>
        <v>Ireland</v>
      </c>
      <c r="C13" s="36" t="str">
        <v>Centre</v>
      </c>
      <c r="D13" s="37">
        <v>14</v>
      </c>
      <c r="F13" s="37">
        <f>'Round 2 Data'!F13*'Round 2 Points'!L$2</f>
        <v>3</v>
      </c>
      <c r="G13" s="37">
        <f>'Round 2 Data'!G13*'Round 2 Points'!M$2</f>
        <v>0</v>
      </c>
      <c r="H13" s="37">
        <f>'Round 2 Data'!H13*'Round 2 Points'!N$2</f>
        <v>0</v>
      </c>
      <c r="I13" s="37">
        <f>'Round 2 Data'!I13*'Round 2 Points'!O$2</f>
        <v>5</v>
      </c>
      <c r="J13" s="37">
        <f>'Round 2 Data'!J13*'Round 2 Points'!P$2</f>
        <v>0</v>
      </c>
      <c r="K13" s="37">
        <f>'Round 2 Data'!K13*'Round 2 Points'!Q$2</f>
        <v>0</v>
      </c>
      <c r="L13" s="37">
        <f>'Round 2 Data'!L13*'Round 2 Points'!R$2</f>
        <v>0</v>
      </c>
      <c r="M13" s="37">
        <f>'Round 2 Data'!M13*'Round 2 Points'!S$2</f>
        <v>0</v>
      </c>
      <c r="N13" s="37">
        <f>'Round 2 Data'!N13*'Round 2 Points'!T$2</f>
        <v>0</v>
      </c>
      <c r="O13" s="37">
        <f>'Round 2 Data'!O13*'Round 2 Points'!U$2</f>
        <v>0</v>
      </c>
      <c r="P13" s="37">
        <f>'Round 2 Data'!P13*'Round 2 Points'!V$2</f>
        <v>0</v>
      </c>
      <c r="Q13" s="37">
        <f>'Round 2 Data'!Q13*'Round 2 Points'!W$2</f>
        <v>0</v>
      </c>
      <c r="R13" s="37">
        <f>'Round 2 Data'!R13*'Round 2 Points'!X$2</f>
        <v>0</v>
      </c>
      <c r="S13" s="37">
        <f>'Round 2 Data'!S13*'Round 2 Points'!Y$2</f>
        <v>0</v>
      </c>
      <c r="T13" s="38">
        <f t="shared" si="0"/>
        <v>8</v>
      </c>
      <c r="U13" s="37">
        <f>'Round 2 Data'!U13*'Round 2 Points'!Z$2</f>
        <v>0</v>
      </c>
      <c r="V13" s="36">
        <f>IF('Round 2 Data'!D13='Round 2 Points'!$K$1,D13/80*$K$2,0)</f>
        <v>1.4</v>
      </c>
      <c r="W13" s="52">
        <f t="shared" si="1"/>
        <v>9.4</v>
      </c>
    </row>
    <row r="14" spans="1:26" ht="16" thickBot="1" x14ac:dyDescent="0.25">
      <c r="A14" s="76" t="s">
        <v>130</v>
      </c>
      <c r="B14" s="36" t="str" cm="1">
        <f t="array" ref="B14:C14">_xlfn.XLOOKUP(A14,'Player List'!$A$2:$A$177,'Player List'!$B$2:$C$177)</f>
        <v>Ireland</v>
      </c>
      <c r="C14" s="36" t="str">
        <v>Centre</v>
      </c>
      <c r="D14" s="37">
        <v>66</v>
      </c>
      <c r="F14" s="37">
        <f>'Round 2 Data'!F14*'Round 2 Points'!L$2</f>
        <v>3</v>
      </c>
      <c r="G14" s="37">
        <f>'Round 2 Data'!G14*'Round 2 Points'!M$2</f>
        <v>0</v>
      </c>
      <c r="H14" s="37">
        <f>'Round 2 Data'!H14*'Round 2 Points'!N$2</f>
        <v>0</v>
      </c>
      <c r="I14" s="37">
        <f>'Round 2 Data'!I14*'Round 2 Points'!O$2</f>
        <v>13.8</v>
      </c>
      <c r="J14" s="37">
        <f>'Round 2 Data'!J14*'Round 2 Points'!P$2</f>
        <v>0</v>
      </c>
      <c r="K14" s="37">
        <f>'Round 2 Data'!K14*'Round 2 Points'!Q$2</f>
        <v>0</v>
      </c>
      <c r="L14" s="37">
        <f>'Round 2 Data'!L14*'Round 2 Points'!R$2</f>
        <v>7</v>
      </c>
      <c r="M14" s="37">
        <f>'Round 2 Data'!M14*'Round 2 Points'!S$2</f>
        <v>0</v>
      </c>
      <c r="N14" s="37">
        <f>'Round 2 Data'!N14*'Round 2 Points'!T$2</f>
        <v>0</v>
      </c>
      <c r="O14" s="37">
        <f>'Round 2 Data'!O14*'Round 2 Points'!U$2</f>
        <v>0</v>
      </c>
      <c r="P14" s="37">
        <f>'Round 2 Data'!P14*'Round 2 Points'!V$2</f>
        <v>0</v>
      </c>
      <c r="Q14" s="37">
        <f>'Round 2 Data'!Q14*'Round 2 Points'!W$2</f>
        <v>0</v>
      </c>
      <c r="R14" s="37">
        <f>'Round 2 Data'!R14*'Round 2 Points'!X$2</f>
        <v>0</v>
      </c>
      <c r="S14" s="37">
        <f>'Round 2 Data'!S14*'Round 2 Points'!Y$2</f>
        <v>0</v>
      </c>
      <c r="T14" s="38">
        <f t="shared" si="0"/>
        <v>23.8</v>
      </c>
      <c r="U14" s="37">
        <f>'Round 2 Data'!U14*'Round 2 Points'!Z$2</f>
        <v>0</v>
      </c>
      <c r="V14" s="36">
        <f>IF('Round 2 Data'!D14='Round 2 Points'!$K$1,D14/80*$K$2,0)</f>
        <v>6.6</v>
      </c>
      <c r="W14" s="52">
        <f t="shared" si="1"/>
        <v>30.4</v>
      </c>
    </row>
    <row r="15" spans="1:26" ht="16" thickBot="1" x14ac:dyDescent="0.25">
      <c r="A15" s="77" t="s">
        <v>131</v>
      </c>
      <c r="B15" s="36" t="str" cm="1">
        <f t="array" ref="B15:C15">_xlfn.XLOOKUP(A15,'Player List'!$A$2:$A$177,'Player List'!$B$2:$C$177)</f>
        <v>Ireland</v>
      </c>
      <c r="C15" s="36" t="str">
        <v>Centre</v>
      </c>
      <c r="D15" s="37">
        <v>80</v>
      </c>
      <c r="F15" s="37">
        <f>'Round 2 Data'!F15*'Round 2 Points'!L$2</f>
        <v>9</v>
      </c>
      <c r="G15" s="37">
        <f>'Round 2 Data'!G15*'Round 2 Points'!M$2</f>
        <v>7</v>
      </c>
      <c r="H15" s="37">
        <f>'Round 2 Data'!H15*'Round 2 Points'!N$2</f>
        <v>7</v>
      </c>
      <c r="I15" s="37">
        <f>'Round 2 Data'!I15*'Round 2 Points'!O$2</f>
        <v>12.8</v>
      </c>
      <c r="J15" s="37">
        <f>'Round 2 Data'!J15*'Round 2 Points'!P$2</f>
        <v>0</v>
      </c>
      <c r="K15" s="37">
        <f>'Round 2 Data'!K15*'Round 2 Points'!Q$2</f>
        <v>0</v>
      </c>
      <c r="L15" s="37">
        <f>'Round 2 Data'!L15*'Round 2 Points'!R$2</f>
        <v>0</v>
      </c>
      <c r="M15" s="37">
        <f>'Round 2 Data'!M15*'Round 2 Points'!S$2</f>
        <v>15</v>
      </c>
      <c r="N15" s="37">
        <f>'Round 2 Data'!N15*'Round 2 Points'!T$2</f>
        <v>7</v>
      </c>
      <c r="O15" s="37">
        <f>'Round 2 Data'!O15*'Round 2 Points'!U$2</f>
        <v>0</v>
      </c>
      <c r="P15" s="37">
        <f>'Round 2 Data'!P15*'Round 2 Points'!V$2</f>
        <v>0</v>
      </c>
      <c r="Q15" s="37">
        <f>'Round 2 Data'!Q15*'Round 2 Points'!W$2</f>
        <v>0</v>
      </c>
      <c r="R15" s="37">
        <f>'Round 2 Data'!R15*'Round 2 Points'!X$2</f>
        <v>0</v>
      </c>
      <c r="S15" s="37">
        <f>'Round 2 Data'!S15*'Round 2 Points'!Y$2</f>
        <v>0</v>
      </c>
      <c r="T15" s="38">
        <f t="shared" si="0"/>
        <v>57.8</v>
      </c>
      <c r="U15" s="37">
        <f>'Round 2 Data'!U15*'Round 2 Points'!Z$2</f>
        <v>0</v>
      </c>
      <c r="V15" s="36">
        <f>IF('Round 2 Data'!D15='Round 2 Points'!$K$1,D15/80*$K$2,0)</f>
        <v>8</v>
      </c>
      <c r="W15" s="52">
        <f t="shared" si="1"/>
        <v>65.8</v>
      </c>
    </row>
    <row r="16" spans="1:26" ht="16" thickBot="1" x14ac:dyDescent="0.25">
      <c r="A16" s="76" t="s">
        <v>132</v>
      </c>
      <c r="B16" s="36" t="str" cm="1">
        <f t="array" ref="B16:C16">_xlfn.XLOOKUP(A16,'Player List'!$A$2:$A$177,'Player List'!$B$2:$C$177)</f>
        <v>Ireland</v>
      </c>
      <c r="C16" s="36" t="str">
        <v>Fly Half</v>
      </c>
      <c r="D16" s="37">
        <v>32</v>
      </c>
      <c r="F16" s="37">
        <f>'Round 2 Data'!F16*'Round 2 Points'!L$2</f>
        <v>3</v>
      </c>
      <c r="G16" s="37">
        <f>'Round 2 Data'!G16*'Round 2 Points'!M$2</f>
        <v>0</v>
      </c>
      <c r="H16" s="37">
        <f>'Round 2 Data'!H16*'Round 2 Points'!N$2</f>
        <v>0</v>
      </c>
      <c r="I16" s="37">
        <f>'Round 2 Data'!I16*'Round 2 Points'!O$2</f>
        <v>2</v>
      </c>
      <c r="J16" s="37">
        <f>'Round 2 Data'!J16*'Round 2 Points'!P$2</f>
        <v>0</v>
      </c>
      <c r="K16" s="37">
        <f>'Round 2 Data'!K16*'Round 2 Points'!Q$2</f>
        <v>0</v>
      </c>
      <c r="L16" s="37">
        <f>'Round 2 Data'!L16*'Round 2 Points'!R$2</f>
        <v>0</v>
      </c>
      <c r="M16" s="37">
        <f>'Round 2 Data'!M16*'Round 2 Points'!S$2</f>
        <v>0</v>
      </c>
      <c r="N16" s="37">
        <f>'Round 2 Data'!N16*'Round 2 Points'!T$2</f>
        <v>0</v>
      </c>
      <c r="O16" s="37">
        <f>'Round 2 Data'!O16*'Round 2 Points'!U$2</f>
        <v>2</v>
      </c>
      <c r="P16" s="37">
        <f>'Round 2 Data'!P16*'Round 2 Points'!V$2</f>
        <v>5</v>
      </c>
      <c r="Q16" s="37">
        <f>'Round 2 Data'!Q16*'Round 2 Points'!W$2</f>
        <v>0</v>
      </c>
      <c r="R16" s="37">
        <f>'Round 2 Data'!R16*'Round 2 Points'!X$2</f>
        <v>0</v>
      </c>
      <c r="S16" s="37">
        <f>'Round 2 Data'!S16*'Round 2 Points'!Y$2</f>
        <v>0</v>
      </c>
      <c r="T16" s="38">
        <f t="shared" si="0"/>
        <v>12</v>
      </c>
      <c r="U16" s="37">
        <f>'Round 2 Data'!U16*'Round 2 Points'!Z$2</f>
        <v>0</v>
      </c>
      <c r="V16" s="36">
        <f>IF('Round 2 Data'!D16='Round 2 Points'!$K$1,D16/80*$K$2,0)</f>
        <v>3.2</v>
      </c>
      <c r="W16" s="52">
        <f t="shared" si="1"/>
        <v>15.2</v>
      </c>
    </row>
    <row r="17" spans="1:23" ht="16" thickBot="1" x14ac:dyDescent="0.25">
      <c r="A17" s="77" t="s">
        <v>133</v>
      </c>
      <c r="B17" s="36" t="str" cm="1">
        <f t="array" ref="B17:C17">_xlfn.XLOOKUP(A17,'Player List'!$A$2:$A$177,'Player List'!$B$2:$C$177)</f>
        <v>Ireland</v>
      </c>
      <c r="C17" s="36" t="str">
        <v>Fly Half</v>
      </c>
      <c r="D17" s="37">
        <v>48</v>
      </c>
      <c r="F17" s="37">
        <f>'Round 2 Data'!F17*'Round 2 Points'!L$2</f>
        <v>3</v>
      </c>
      <c r="G17" s="37">
        <f>'Round 2 Data'!G17*'Round 2 Points'!M$2</f>
        <v>0</v>
      </c>
      <c r="H17" s="37">
        <f>'Round 2 Data'!H17*'Round 2 Points'!N$2</f>
        <v>14</v>
      </c>
      <c r="I17" s="37">
        <f>'Round 2 Data'!I17*'Round 2 Points'!O$2</f>
        <v>16</v>
      </c>
      <c r="J17" s="37">
        <f>'Round 2 Data'!J17*'Round 2 Points'!P$2</f>
        <v>0</v>
      </c>
      <c r="K17" s="37">
        <f>'Round 2 Data'!K17*'Round 2 Points'!Q$2</f>
        <v>0</v>
      </c>
      <c r="L17" s="37">
        <f>'Round 2 Data'!L17*'Round 2 Points'!R$2</f>
        <v>0</v>
      </c>
      <c r="M17" s="37">
        <f>'Round 2 Data'!M17*'Round 2 Points'!S$2</f>
        <v>0</v>
      </c>
      <c r="N17" s="37">
        <f>'Round 2 Data'!N17*'Round 2 Points'!T$2</f>
        <v>0</v>
      </c>
      <c r="O17" s="37">
        <f>'Round 2 Data'!O17*'Round 2 Points'!U$2</f>
        <v>4</v>
      </c>
      <c r="P17" s="37">
        <f>'Round 2 Data'!P17*'Round 2 Points'!V$2</f>
        <v>5</v>
      </c>
      <c r="Q17" s="37">
        <f>'Round 2 Data'!Q17*'Round 2 Points'!W$2</f>
        <v>0</v>
      </c>
      <c r="R17" s="37">
        <f>'Round 2 Data'!R17*'Round 2 Points'!X$2</f>
        <v>0</v>
      </c>
      <c r="S17" s="37">
        <f>'Round 2 Data'!S17*'Round 2 Points'!Y$2</f>
        <v>0</v>
      </c>
      <c r="T17" s="38">
        <f t="shared" si="0"/>
        <v>42</v>
      </c>
      <c r="U17" s="37">
        <f>'Round 2 Data'!U17*'Round 2 Points'!Z$2</f>
        <v>0</v>
      </c>
      <c r="V17" s="36">
        <f>IF('Round 2 Data'!D17='Round 2 Points'!$K$1,D17/80*$K$2,0)</f>
        <v>4.8</v>
      </c>
      <c r="W17" s="52">
        <f t="shared" si="1"/>
        <v>46.8</v>
      </c>
    </row>
    <row r="18" spans="1:23" ht="16" thickBot="1" x14ac:dyDescent="0.25">
      <c r="A18" s="76" t="s">
        <v>134</v>
      </c>
      <c r="B18" s="36" t="str" cm="1">
        <f t="array" ref="B18:C18">_xlfn.XLOOKUP(A18,'Player List'!$A$2:$A$177,'Player List'!$B$2:$C$177)</f>
        <v>Ireland</v>
      </c>
      <c r="C18" s="36" t="str">
        <v>Scrum Half</v>
      </c>
      <c r="D18" s="37">
        <v>24</v>
      </c>
      <c r="F18" s="37">
        <f>'Round 2 Data'!F18*'Round 2 Points'!L$2</f>
        <v>1</v>
      </c>
      <c r="G18" s="37">
        <f>'Round 2 Data'!G18*'Round 2 Points'!M$2</f>
        <v>0</v>
      </c>
      <c r="H18" s="37">
        <f>'Round 2 Data'!H18*'Round 2 Points'!N$2</f>
        <v>0</v>
      </c>
      <c r="I18" s="37">
        <f>'Round 2 Data'!I18*'Round 2 Points'!O$2</f>
        <v>2.8000000000000003</v>
      </c>
      <c r="J18" s="37">
        <f>'Round 2 Data'!J18*'Round 2 Points'!P$2</f>
        <v>0</v>
      </c>
      <c r="K18" s="37">
        <f>'Round 2 Data'!K18*'Round 2 Points'!Q$2</f>
        <v>0</v>
      </c>
      <c r="L18" s="37">
        <f>'Round 2 Data'!L18*'Round 2 Points'!R$2</f>
        <v>0</v>
      </c>
      <c r="M18" s="37">
        <f>'Round 2 Data'!M18*'Round 2 Points'!S$2</f>
        <v>0</v>
      </c>
      <c r="N18" s="37">
        <f>'Round 2 Data'!N18*'Round 2 Points'!T$2</f>
        <v>0</v>
      </c>
      <c r="O18" s="37">
        <f>'Round 2 Data'!O18*'Round 2 Points'!U$2</f>
        <v>0</v>
      </c>
      <c r="P18" s="37">
        <f>'Round 2 Data'!P18*'Round 2 Points'!V$2</f>
        <v>0</v>
      </c>
      <c r="Q18" s="37">
        <f>'Round 2 Data'!Q18*'Round 2 Points'!W$2</f>
        <v>0</v>
      </c>
      <c r="R18" s="37">
        <f>'Round 2 Data'!R18*'Round 2 Points'!X$2</f>
        <v>0</v>
      </c>
      <c r="S18" s="37">
        <f>'Round 2 Data'!S18*'Round 2 Points'!Y$2</f>
        <v>0</v>
      </c>
      <c r="T18" s="38">
        <f t="shared" si="0"/>
        <v>3.8000000000000003</v>
      </c>
      <c r="U18" s="37">
        <f>'Round 2 Data'!U18*'Round 2 Points'!Z$2</f>
        <v>0</v>
      </c>
      <c r="V18" s="36">
        <f>IF('Round 2 Data'!D18='Round 2 Points'!$K$1,D18/80*$K$2,0)</f>
        <v>2.4</v>
      </c>
      <c r="W18" s="52">
        <f t="shared" si="1"/>
        <v>6.2</v>
      </c>
    </row>
    <row r="19" spans="1:23" ht="16" thickBot="1" x14ac:dyDescent="0.25">
      <c r="A19" s="77" t="s">
        <v>135</v>
      </c>
      <c r="B19" s="36" t="str" cm="1">
        <f t="array" ref="B19:C19">_xlfn.XLOOKUP(A19,'Player List'!$A$2:$A$177,'Player List'!$B$2:$C$177)</f>
        <v>Ireland</v>
      </c>
      <c r="C19" s="36" t="str">
        <v>Scrum Half</v>
      </c>
      <c r="D19" s="37">
        <v>56</v>
      </c>
      <c r="F19" s="37">
        <f>'Round 2 Data'!F19*'Round 2 Points'!L$2</f>
        <v>3</v>
      </c>
      <c r="G19" s="37">
        <f>'Round 2 Data'!G19*'Round 2 Points'!M$2</f>
        <v>0</v>
      </c>
      <c r="H19" s="37">
        <f>'Round 2 Data'!H19*'Round 2 Points'!N$2</f>
        <v>0</v>
      </c>
      <c r="I19" s="37">
        <f>'Round 2 Data'!I19*'Round 2 Points'!O$2</f>
        <v>2.2000000000000002</v>
      </c>
      <c r="J19" s="37">
        <f>'Round 2 Data'!J19*'Round 2 Points'!P$2</f>
        <v>0</v>
      </c>
      <c r="K19" s="37">
        <f>'Round 2 Data'!K19*'Round 2 Points'!Q$2</f>
        <v>0</v>
      </c>
      <c r="L19" s="37">
        <f>'Round 2 Data'!L19*'Round 2 Points'!R$2</f>
        <v>0</v>
      </c>
      <c r="M19" s="37">
        <f>'Round 2 Data'!M19*'Round 2 Points'!S$2</f>
        <v>0</v>
      </c>
      <c r="N19" s="37">
        <f>'Round 2 Data'!N19*'Round 2 Points'!T$2</f>
        <v>0</v>
      </c>
      <c r="O19" s="37">
        <f>'Round 2 Data'!O19*'Round 2 Points'!U$2</f>
        <v>0</v>
      </c>
      <c r="P19" s="37">
        <f>'Round 2 Data'!P19*'Round 2 Points'!V$2</f>
        <v>0</v>
      </c>
      <c r="Q19" s="37">
        <f>'Round 2 Data'!Q19*'Round 2 Points'!W$2</f>
        <v>0</v>
      </c>
      <c r="R19" s="37">
        <f>'Round 2 Data'!R19*'Round 2 Points'!X$2</f>
        <v>0</v>
      </c>
      <c r="S19" s="37">
        <f>'Round 2 Data'!S19*'Round 2 Points'!Y$2</f>
        <v>0</v>
      </c>
      <c r="T19" s="38">
        <f t="shared" si="0"/>
        <v>5.2</v>
      </c>
      <c r="U19" s="37">
        <f>'Round 2 Data'!U19*'Round 2 Points'!Z$2</f>
        <v>0</v>
      </c>
      <c r="V19" s="36">
        <f>IF('Round 2 Data'!D19='Round 2 Points'!$K$1,D19/80*$K$2,0)</f>
        <v>5.6</v>
      </c>
      <c r="W19" s="52">
        <f t="shared" si="1"/>
        <v>10.8</v>
      </c>
    </row>
    <row r="20" spans="1:23" ht="16" thickBot="1" x14ac:dyDescent="0.25">
      <c r="A20" s="76" t="s">
        <v>136</v>
      </c>
      <c r="B20" s="36" t="str" cm="1">
        <f t="array" ref="B20:C20">_xlfn.XLOOKUP(A20,'Player List'!$A$2:$A$177,'Player List'!$B$2:$C$177)</f>
        <v>Ireland</v>
      </c>
      <c r="C20" s="36" t="str">
        <v>Back Row</v>
      </c>
      <c r="D20" s="37">
        <v>24</v>
      </c>
      <c r="F20" s="37">
        <f>'Round 2 Data'!F20*'Round 2 Points'!L$2</f>
        <v>2</v>
      </c>
      <c r="G20" s="37">
        <f>'Round 2 Data'!G20*'Round 2 Points'!M$2</f>
        <v>0</v>
      </c>
      <c r="H20" s="37">
        <f>'Round 2 Data'!H20*'Round 2 Points'!N$2</f>
        <v>0</v>
      </c>
      <c r="I20" s="37">
        <f>'Round 2 Data'!I20*'Round 2 Points'!O$2</f>
        <v>4.4000000000000004</v>
      </c>
      <c r="J20" s="37">
        <f>'Round 2 Data'!J20*'Round 2 Points'!P$2</f>
        <v>0</v>
      </c>
      <c r="K20" s="37">
        <f>'Round 2 Data'!K20*'Round 2 Points'!Q$2</f>
        <v>0</v>
      </c>
      <c r="L20" s="37">
        <f>'Round 2 Data'!L20*'Round 2 Points'!R$2</f>
        <v>0</v>
      </c>
      <c r="M20" s="37">
        <f>'Round 2 Data'!M20*'Round 2 Points'!S$2</f>
        <v>0</v>
      </c>
      <c r="N20" s="37">
        <f>'Round 2 Data'!N20*'Round 2 Points'!T$2</f>
        <v>0</v>
      </c>
      <c r="O20" s="37">
        <f>'Round 2 Data'!O20*'Round 2 Points'!U$2</f>
        <v>0</v>
      </c>
      <c r="P20" s="37">
        <f>'Round 2 Data'!P20*'Round 2 Points'!V$2</f>
        <v>0</v>
      </c>
      <c r="Q20" s="37">
        <f>'Round 2 Data'!Q20*'Round 2 Points'!W$2</f>
        <v>0</v>
      </c>
      <c r="R20" s="37">
        <f>'Round 2 Data'!R20*'Round 2 Points'!X$2</f>
        <v>0</v>
      </c>
      <c r="S20" s="37">
        <f>'Round 2 Data'!S20*'Round 2 Points'!Y$2</f>
        <v>0</v>
      </c>
      <c r="T20" s="38">
        <f t="shared" si="0"/>
        <v>6.4</v>
      </c>
      <c r="U20" s="37">
        <f>'Round 2 Data'!U20*'Round 2 Points'!Z$2</f>
        <v>0</v>
      </c>
      <c r="V20" s="36">
        <f>IF('Round 2 Data'!D20='Round 2 Points'!$K$1,D20/80*$K$2,0)</f>
        <v>2.4</v>
      </c>
      <c r="W20" s="52">
        <f t="shared" si="1"/>
        <v>8.8000000000000007</v>
      </c>
    </row>
    <row r="21" spans="1:23" ht="16" thickBot="1" x14ac:dyDescent="0.25">
      <c r="A21" s="77" t="s">
        <v>137</v>
      </c>
      <c r="B21" s="36" t="str" cm="1">
        <f t="array" ref="B21:C21">_xlfn.XLOOKUP(A21,'Player List'!$A$2:$A$177,'Player List'!$B$2:$C$177)</f>
        <v>Ireland</v>
      </c>
      <c r="C21" s="36" t="str">
        <v>Back Row</v>
      </c>
      <c r="D21" s="37">
        <v>80</v>
      </c>
      <c r="F21" s="37">
        <f>'Round 2 Data'!F21*'Round 2 Points'!L$2</f>
        <v>6</v>
      </c>
      <c r="G21" s="37">
        <f>'Round 2 Data'!G21*'Round 2 Points'!M$2</f>
        <v>0</v>
      </c>
      <c r="H21" s="37">
        <f>'Round 2 Data'!H21*'Round 2 Points'!N$2</f>
        <v>0</v>
      </c>
      <c r="I21" s="37">
        <f>'Round 2 Data'!I21*'Round 2 Points'!O$2</f>
        <v>23.400000000000002</v>
      </c>
      <c r="J21" s="37">
        <f>'Round 2 Data'!J21*'Round 2 Points'!P$2</f>
        <v>0</v>
      </c>
      <c r="K21" s="37">
        <f>'Round 2 Data'!K21*'Round 2 Points'!Q$2</f>
        <v>0</v>
      </c>
      <c r="L21" s="37">
        <f>'Round 2 Data'!L21*'Round 2 Points'!R$2</f>
        <v>7</v>
      </c>
      <c r="M21" s="37">
        <f>'Round 2 Data'!M21*'Round 2 Points'!S$2</f>
        <v>0</v>
      </c>
      <c r="N21" s="37">
        <f>'Round 2 Data'!N21*'Round 2 Points'!T$2</f>
        <v>7</v>
      </c>
      <c r="O21" s="37">
        <f>'Round 2 Data'!O21*'Round 2 Points'!U$2</f>
        <v>0</v>
      </c>
      <c r="P21" s="37">
        <f>'Round 2 Data'!P21*'Round 2 Points'!V$2</f>
        <v>0</v>
      </c>
      <c r="Q21" s="37">
        <f>'Round 2 Data'!Q21*'Round 2 Points'!W$2</f>
        <v>0</v>
      </c>
      <c r="R21" s="37">
        <f>'Round 2 Data'!R21*'Round 2 Points'!X$2</f>
        <v>0</v>
      </c>
      <c r="S21" s="37">
        <f>'Round 2 Data'!S21*'Round 2 Points'!Y$2</f>
        <v>0</v>
      </c>
      <c r="T21" s="38">
        <f t="shared" si="0"/>
        <v>43.400000000000006</v>
      </c>
      <c r="U21" s="37">
        <f>'Round 2 Data'!U21*'Round 2 Points'!Z$2</f>
        <v>15</v>
      </c>
      <c r="V21" s="36">
        <f>IF('Round 2 Data'!D21='Round 2 Points'!$K$1,D21/80*$K$2,0)</f>
        <v>8</v>
      </c>
      <c r="W21" s="52">
        <f t="shared" si="1"/>
        <v>66.400000000000006</v>
      </c>
    </row>
    <row r="22" spans="1:23" ht="16" thickBot="1" x14ac:dyDescent="0.25">
      <c r="A22" s="76" t="s">
        <v>138</v>
      </c>
      <c r="B22" s="36" t="str" cm="1">
        <f t="array" ref="B22:C22">_xlfn.XLOOKUP(A22,'Player List'!$A$2:$A$177,'Player List'!$B$2:$C$177)</f>
        <v>Ireland</v>
      </c>
      <c r="C22" s="36" t="str">
        <v>Back Row</v>
      </c>
      <c r="D22" s="37">
        <v>56</v>
      </c>
      <c r="F22" s="37">
        <f>'Round 2 Data'!F22*'Round 2 Points'!L$2</f>
        <v>7</v>
      </c>
      <c r="G22" s="37">
        <f>'Round 2 Data'!G22*'Round 2 Points'!M$2</f>
        <v>0</v>
      </c>
      <c r="H22" s="37">
        <f>'Round 2 Data'!H22*'Round 2 Points'!N$2</f>
        <v>0</v>
      </c>
      <c r="I22" s="37">
        <f>'Round 2 Data'!I22*'Round 2 Points'!O$2</f>
        <v>3</v>
      </c>
      <c r="J22" s="37">
        <f>'Round 2 Data'!J22*'Round 2 Points'!P$2</f>
        <v>0</v>
      </c>
      <c r="K22" s="37">
        <f>'Round 2 Data'!K22*'Round 2 Points'!Q$2</f>
        <v>0</v>
      </c>
      <c r="L22" s="37">
        <f>'Round 2 Data'!L22*'Round 2 Points'!R$2</f>
        <v>0</v>
      </c>
      <c r="M22" s="37">
        <f>'Round 2 Data'!M22*'Round 2 Points'!S$2</f>
        <v>0</v>
      </c>
      <c r="N22" s="37">
        <f>'Round 2 Data'!N22*'Round 2 Points'!T$2</f>
        <v>0</v>
      </c>
      <c r="O22" s="37">
        <f>'Round 2 Data'!O22*'Round 2 Points'!U$2</f>
        <v>0</v>
      </c>
      <c r="P22" s="37">
        <f>'Round 2 Data'!P22*'Round 2 Points'!V$2</f>
        <v>0</v>
      </c>
      <c r="Q22" s="37">
        <f>'Round 2 Data'!Q22*'Round 2 Points'!W$2</f>
        <v>0</v>
      </c>
      <c r="R22" s="37">
        <f>'Round 2 Data'!R22*'Round 2 Points'!X$2</f>
        <v>0</v>
      </c>
      <c r="S22" s="37">
        <f>'Round 2 Data'!S22*'Round 2 Points'!Y$2</f>
        <v>0</v>
      </c>
      <c r="T22" s="38">
        <f t="shared" si="0"/>
        <v>10</v>
      </c>
      <c r="U22" s="37">
        <f>'Round 2 Data'!U22*'Round 2 Points'!Z$2</f>
        <v>0</v>
      </c>
      <c r="V22" s="36">
        <f>IF('Round 2 Data'!D22='Round 2 Points'!$K$1,D22/80*$K$2,0)</f>
        <v>5.6</v>
      </c>
      <c r="W22" s="52">
        <f t="shared" si="1"/>
        <v>15.6</v>
      </c>
    </row>
    <row r="23" spans="1:23" ht="16" thickBot="1" x14ac:dyDescent="0.25">
      <c r="A23" s="77" t="s">
        <v>139</v>
      </c>
      <c r="B23" s="36" t="str" cm="1">
        <f t="array" ref="B23:C23">_xlfn.XLOOKUP(A23,'Player List'!$A$2:$A$177,'Player List'!$B$2:$C$177)</f>
        <v>Ireland</v>
      </c>
      <c r="C23" s="36" t="str">
        <v>Back Row</v>
      </c>
      <c r="D23" s="37">
        <v>80</v>
      </c>
      <c r="F23" s="37">
        <f>'Round 2 Data'!F23*'Round 2 Points'!L$2</f>
        <v>12</v>
      </c>
      <c r="G23" s="37">
        <f>'Round 2 Data'!G23*'Round 2 Points'!M$2</f>
        <v>7</v>
      </c>
      <c r="H23" s="37">
        <f>'Round 2 Data'!H23*'Round 2 Points'!N$2</f>
        <v>0</v>
      </c>
      <c r="I23" s="37">
        <f>'Round 2 Data'!I23*'Round 2 Points'!O$2</f>
        <v>10.200000000000001</v>
      </c>
      <c r="J23" s="37">
        <f>'Round 2 Data'!J23*'Round 2 Points'!P$2</f>
        <v>0</v>
      </c>
      <c r="K23" s="37">
        <f>'Round 2 Data'!K23*'Round 2 Points'!Q$2</f>
        <v>0</v>
      </c>
      <c r="L23" s="37">
        <f>'Round 2 Data'!L23*'Round 2 Points'!R$2</f>
        <v>0</v>
      </c>
      <c r="M23" s="37">
        <f>'Round 2 Data'!M23*'Round 2 Points'!S$2</f>
        <v>0</v>
      </c>
      <c r="N23" s="37">
        <f>'Round 2 Data'!N23*'Round 2 Points'!T$2</f>
        <v>0</v>
      </c>
      <c r="O23" s="37">
        <f>'Round 2 Data'!O23*'Round 2 Points'!U$2</f>
        <v>0</v>
      </c>
      <c r="P23" s="37">
        <f>'Round 2 Data'!P23*'Round 2 Points'!V$2</f>
        <v>0</v>
      </c>
      <c r="Q23" s="37">
        <f>'Round 2 Data'!Q23*'Round 2 Points'!W$2</f>
        <v>0</v>
      </c>
      <c r="R23" s="37">
        <f>'Round 2 Data'!R23*'Round 2 Points'!X$2</f>
        <v>0</v>
      </c>
      <c r="S23" s="37">
        <f>'Round 2 Data'!S23*'Round 2 Points'!Y$2</f>
        <v>0</v>
      </c>
      <c r="T23" s="38">
        <f t="shared" si="0"/>
        <v>29.200000000000003</v>
      </c>
      <c r="U23" s="37">
        <f>'Round 2 Data'!U23*'Round 2 Points'!Z$2</f>
        <v>0</v>
      </c>
      <c r="V23" s="36">
        <f>IF('Round 2 Data'!D23='Round 2 Points'!$K$1,D23/80*$K$2,0)</f>
        <v>8</v>
      </c>
      <c r="W23" s="52">
        <f t="shared" si="1"/>
        <v>37.200000000000003</v>
      </c>
    </row>
    <row r="24" spans="1:23" ht="16" thickBot="1" x14ac:dyDescent="0.25">
      <c r="A24" s="76" t="s">
        <v>140</v>
      </c>
      <c r="B24" s="36" t="str" cm="1">
        <f t="array" ref="B24:C24">_xlfn.XLOOKUP(A24,'Player List'!$A$2:$A$177,'Player List'!$B$2:$C$177)</f>
        <v>Ireland</v>
      </c>
      <c r="C24" s="36" t="str">
        <v>Second Row</v>
      </c>
      <c r="D24" s="37">
        <v>45</v>
      </c>
      <c r="F24" s="37">
        <f>'Round 2 Data'!F24*'Round 2 Points'!L$2</f>
        <v>10</v>
      </c>
      <c r="G24" s="37">
        <f>'Round 2 Data'!G24*'Round 2 Points'!M$2</f>
        <v>14</v>
      </c>
      <c r="H24" s="37">
        <f>'Round 2 Data'!H24*'Round 2 Points'!N$2</f>
        <v>7</v>
      </c>
      <c r="I24" s="37">
        <f>'Round 2 Data'!I24*'Round 2 Points'!O$2</f>
        <v>6.6000000000000005</v>
      </c>
      <c r="J24" s="37">
        <f>'Round 2 Data'!J24*'Round 2 Points'!P$2</f>
        <v>0</v>
      </c>
      <c r="K24" s="37">
        <f>'Round 2 Data'!K24*'Round 2 Points'!Q$2</f>
        <v>0</v>
      </c>
      <c r="L24" s="37">
        <f>'Round 2 Data'!L24*'Round 2 Points'!R$2</f>
        <v>7</v>
      </c>
      <c r="M24" s="37">
        <f>'Round 2 Data'!M24*'Round 2 Points'!S$2</f>
        <v>0</v>
      </c>
      <c r="N24" s="37">
        <f>'Round 2 Data'!N24*'Round 2 Points'!T$2</f>
        <v>0</v>
      </c>
      <c r="O24" s="37">
        <f>'Round 2 Data'!O24*'Round 2 Points'!U$2</f>
        <v>0</v>
      </c>
      <c r="P24" s="37">
        <f>'Round 2 Data'!P24*'Round 2 Points'!V$2</f>
        <v>0</v>
      </c>
      <c r="Q24" s="37">
        <f>'Round 2 Data'!Q24*'Round 2 Points'!W$2</f>
        <v>0</v>
      </c>
      <c r="R24" s="37">
        <f>'Round 2 Data'!R24*'Round 2 Points'!X$2</f>
        <v>0</v>
      </c>
      <c r="S24" s="37">
        <f>'Round 2 Data'!S24*'Round 2 Points'!Y$2</f>
        <v>0</v>
      </c>
      <c r="T24" s="38">
        <f t="shared" si="0"/>
        <v>44.6</v>
      </c>
      <c r="U24" s="37">
        <f>'Round 2 Data'!U24*'Round 2 Points'!Z$2</f>
        <v>0</v>
      </c>
      <c r="V24" s="36">
        <f>IF('Round 2 Data'!D24='Round 2 Points'!$K$1,D24/80*$K$2,0)</f>
        <v>4.5</v>
      </c>
      <c r="W24" s="52">
        <f t="shared" si="1"/>
        <v>49.1</v>
      </c>
    </row>
    <row r="25" spans="1:23" ht="16" thickBot="1" x14ac:dyDescent="0.25">
      <c r="A25" s="77" t="s">
        <v>141</v>
      </c>
      <c r="B25" s="36" t="str" cm="1">
        <f t="array" ref="B25:C25">_xlfn.XLOOKUP(A25,'Player List'!$A$2:$A$177,'Player List'!$B$2:$C$177)</f>
        <v>Ireland</v>
      </c>
      <c r="C25" s="36" t="str">
        <v>Second Row</v>
      </c>
      <c r="D25" s="37">
        <v>35</v>
      </c>
      <c r="F25" s="37">
        <f>'Round 2 Data'!F25*'Round 2 Points'!L$2</f>
        <v>4</v>
      </c>
      <c r="G25" s="37">
        <f>'Round 2 Data'!G25*'Round 2 Points'!M$2</f>
        <v>0</v>
      </c>
      <c r="H25" s="37">
        <f>'Round 2 Data'!H25*'Round 2 Points'!N$2</f>
        <v>0</v>
      </c>
      <c r="I25" s="37">
        <f>'Round 2 Data'!I25*'Round 2 Points'!O$2</f>
        <v>4</v>
      </c>
      <c r="J25" s="37">
        <f>'Round 2 Data'!J25*'Round 2 Points'!P$2</f>
        <v>0</v>
      </c>
      <c r="K25" s="37">
        <f>'Round 2 Data'!K25*'Round 2 Points'!Q$2</f>
        <v>0</v>
      </c>
      <c r="L25" s="37">
        <f>'Round 2 Data'!L25*'Round 2 Points'!R$2</f>
        <v>0</v>
      </c>
      <c r="M25" s="37">
        <f>'Round 2 Data'!M25*'Round 2 Points'!S$2</f>
        <v>0</v>
      </c>
      <c r="N25" s="37">
        <f>'Round 2 Data'!N25*'Round 2 Points'!T$2</f>
        <v>0</v>
      </c>
      <c r="O25" s="37">
        <f>'Round 2 Data'!O25*'Round 2 Points'!U$2</f>
        <v>0</v>
      </c>
      <c r="P25" s="37">
        <f>'Round 2 Data'!P25*'Round 2 Points'!V$2</f>
        <v>0</v>
      </c>
      <c r="Q25" s="37">
        <f>'Round 2 Data'!Q25*'Round 2 Points'!W$2</f>
        <v>0</v>
      </c>
      <c r="R25" s="37">
        <f>'Round 2 Data'!R25*'Round 2 Points'!X$2</f>
        <v>0</v>
      </c>
      <c r="S25" s="37">
        <f>'Round 2 Data'!S25*'Round 2 Points'!Y$2</f>
        <v>0</v>
      </c>
      <c r="T25" s="38">
        <f t="shared" si="0"/>
        <v>8</v>
      </c>
      <c r="U25" s="37">
        <f>'Round 2 Data'!U25*'Round 2 Points'!Z$2</f>
        <v>0</v>
      </c>
      <c r="V25" s="36">
        <f>IF('Round 2 Data'!D25='Round 2 Points'!$K$1,D25/80*$K$2,0)</f>
        <v>3.5</v>
      </c>
      <c r="W25" s="52">
        <f t="shared" si="1"/>
        <v>11.5</v>
      </c>
    </row>
    <row r="26" spans="1:23" ht="16" thickBot="1" x14ac:dyDescent="0.25">
      <c r="A26" s="76" t="s">
        <v>142</v>
      </c>
      <c r="B26" s="36" t="str" cm="1">
        <f t="array" ref="B26:C26">_xlfn.XLOOKUP(A26,'Player List'!$A$2:$A$177,'Player List'!$B$2:$C$177)</f>
        <v>Ireland</v>
      </c>
      <c r="C26" s="36" t="str">
        <v>Second Row</v>
      </c>
      <c r="D26" s="37">
        <v>80</v>
      </c>
      <c r="F26" s="37">
        <f>'Round 2 Data'!F26*'Round 2 Points'!L$2</f>
        <v>15</v>
      </c>
      <c r="G26" s="37">
        <f>'Round 2 Data'!G26*'Round 2 Points'!M$2</f>
        <v>7</v>
      </c>
      <c r="H26" s="37">
        <f>'Round 2 Data'!H26*'Round 2 Points'!N$2</f>
        <v>0</v>
      </c>
      <c r="I26" s="37">
        <f>'Round 2 Data'!I26*'Round 2 Points'!O$2</f>
        <v>10.4</v>
      </c>
      <c r="J26" s="37">
        <f>'Round 2 Data'!J26*'Round 2 Points'!P$2</f>
        <v>0</v>
      </c>
      <c r="K26" s="37">
        <f>'Round 2 Data'!K26*'Round 2 Points'!Q$2</f>
        <v>0</v>
      </c>
      <c r="L26" s="37">
        <f>'Round 2 Data'!L26*'Round 2 Points'!R$2</f>
        <v>0</v>
      </c>
      <c r="M26" s="37">
        <f>'Round 2 Data'!M26*'Round 2 Points'!S$2</f>
        <v>0</v>
      </c>
      <c r="N26" s="37">
        <f>'Round 2 Data'!N26*'Round 2 Points'!T$2</f>
        <v>0</v>
      </c>
      <c r="O26" s="37">
        <f>'Round 2 Data'!O26*'Round 2 Points'!U$2</f>
        <v>0</v>
      </c>
      <c r="P26" s="37">
        <f>'Round 2 Data'!P26*'Round 2 Points'!V$2</f>
        <v>0</v>
      </c>
      <c r="Q26" s="37">
        <f>'Round 2 Data'!Q26*'Round 2 Points'!W$2</f>
        <v>0</v>
      </c>
      <c r="R26" s="37">
        <f>'Round 2 Data'!R26*'Round 2 Points'!X$2</f>
        <v>0</v>
      </c>
      <c r="S26" s="37">
        <f>'Round 2 Data'!S26*'Round 2 Points'!Y$2</f>
        <v>0</v>
      </c>
      <c r="T26" s="38">
        <f t="shared" si="0"/>
        <v>32.4</v>
      </c>
      <c r="U26" s="37">
        <f>'Round 2 Data'!U26*'Round 2 Points'!Z$2</f>
        <v>0</v>
      </c>
      <c r="V26" s="36">
        <f>IF('Round 2 Data'!D26='Round 2 Points'!$K$1,D26/80*$K$2,0)</f>
        <v>8</v>
      </c>
      <c r="W26" s="52">
        <f t="shared" si="1"/>
        <v>40.4</v>
      </c>
    </row>
    <row r="27" spans="1:23" ht="16" thickBot="1" x14ac:dyDescent="0.25">
      <c r="A27" s="77" t="s">
        <v>143</v>
      </c>
      <c r="B27" s="36" t="str" cm="1">
        <f t="array" ref="B27:C27">_xlfn.XLOOKUP(A27,'Player List'!$A$2:$A$177,'Player List'!$B$2:$C$177)</f>
        <v>Ireland</v>
      </c>
      <c r="C27" s="36" t="str">
        <v>Prop</v>
      </c>
      <c r="D27" s="37">
        <v>61</v>
      </c>
      <c r="F27" s="37">
        <f>'Round 2 Data'!F27*'Round 2 Points'!L$2</f>
        <v>12</v>
      </c>
      <c r="G27" s="37">
        <f>'Round 2 Data'!G27*'Round 2 Points'!M$2</f>
        <v>7</v>
      </c>
      <c r="H27" s="37">
        <f>'Round 2 Data'!H27*'Round 2 Points'!N$2</f>
        <v>0</v>
      </c>
      <c r="I27" s="37">
        <f>'Round 2 Data'!I27*'Round 2 Points'!O$2</f>
        <v>2.2000000000000002</v>
      </c>
      <c r="J27" s="37">
        <f>'Round 2 Data'!J27*'Round 2 Points'!P$2</f>
        <v>0</v>
      </c>
      <c r="K27" s="37">
        <f>'Round 2 Data'!K27*'Round 2 Points'!Q$2</f>
        <v>0</v>
      </c>
      <c r="L27" s="37">
        <f>'Round 2 Data'!L27*'Round 2 Points'!R$2</f>
        <v>0</v>
      </c>
      <c r="M27" s="37">
        <f>'Round 2 Data'!M27*'Round 2 Points'!S$2</f>
        <v>0</v>
      </c>
      <c r="N27" s="37">
        <f>'Round 2 Data'!N27*'Round 2 Points'!T$2</f>
        <v>7</v>
      </c>
      <c r="O27" s="37">
        <f>'Round 2 Data'!O27*'Round 2 Points'!U$2</f>
        <v>0</v>
      </c>
      <c r="P27" s="37">
        <f>'Round 2 Data'!P27*'Round 2 Points'!V$2</f>
        <v>0</v>
      </c>
      <c r="Q27" s="37">
        <f>'Round 2 Data'!Q27*'Round 2 Points'!W$2</f>
        <v>0</v>
      </c>
      <c r="R27" s="37">
        <f>'Round 2 Data'!R27*'Round 2 Points'!X$2</f>
        <v>0</v>
      </c>
      <c r="S27" s="37">
        <f>'Round 2 Data'!S27*'Round 2 Points'!Y$2</f>
        <v>0</v>
      </c>
      <c r="T27" s="38">
        <f t="shared" si="0"/>
        <v>28.2</v>
      </c>
      <c r="U27" s="37">
        <f>'Round 2 Data'!U27*'Round 2 Points'!Z$2</f>
        <v>0</v>
      </c>
      <c r="V27" s="36">
        <f>IF('Round 2 Data'!D27='Round 2 Points'!$K$1,D27/80*$K$2,0)</f>
        <v>6.1</v>
      </c>
      <c r="W27" s="52">
        <f t="shared" si="1"/>
        <v>34.299999999999997</v>
      </c>
    </row>
    <row r="28" spans="1:23" ht="16" thickBot="1" x14ac:dyDescent="0.25">
      <c r="A28" s="76" t="s">
        <v>144</v>
      </c>
      <c r="B28" s="36" t="str" cm="1">
        <f t="array" ref="B28:C28">_xlfn.XLOOKUP(A28,'Player List'!$A$2:$A$177,'Player List'!$B$2:$C$177)</f>
        <v>Ireland</v>
      </c>
      <c r="C28" s="36" t="str">
        <v>Prop</v>
      </c>
      <c r="D28" s="37">
        <v>11</v>
      </c>
      <c r="F28" s="37">
        <f>'Round 2 Data'!F28*'Round 2 Points'!L$2</f>
        <v>3</v>
      </c>
      <c r="G28" s="37">
        <f>'Round 2 Data'!G28*'Round 2 Points'!M$2</f>
        <v>0</v>
      </c>
      <c r="H28" s="37">
        <f>'Round 2 Data'!H28*'Round 2 Points'!N$2</f>
        <v>0</v>
      </c>
      <c r="I28" s="37">
        <f>'Round 2 Data'!I28*'Round 2 Points'!O$2</f>
        <v>1.8</v>
      </c>
      <c r="J28" s="37">
        <f>'Round 2 Data'!J28*'Round 2 Points'!P$2</f>
        <v>0</v>
      </c>
      <c r="K28" s="37">
        <f>'Round 2 Data'!K28*'Round 2 Points'!Q$2</f>
        <v>0</v>
      </c>
      <c r="L28" s="37">
        <f>'Round 2 Data'!L28*'Round 2 Points'!R$2</f>
        <v>0</v>
      </c>
      <c r="M28" s="37">
        <f>'Round 2 Data'!M28*'Round 2 Points'!S$2</f>
        <v>0</v>
      </c>
      <c r="N28" s="37">
        <f>'Round 2 Data'!N28*'Round 2 Points'!T$2</f>
        <v>0</v>
      </c>
      <c r="O28" s="37">
        <f>'Round 2 Data'!O28*'Round 2 Points'!U$2</f>
        <v>0</v>
      </c>
      <c r="P28" s="37">
        <f>'Round 2 Data'!P28*'Round 2 Points'!V$2</f>
        <v>0</v>
      </c>
      <c r="Q28" s="37">
        <f>'Round 2 Data'!Q28*'Round 2 Points'!W$2</f>
        <v>0</v>
      </c>
      <c r="R28" s="37">
        <f>'Round 2 Data'!R28*'Round 2 Points'!X$2</f>
        <v>0</v>
      </c>
      <c r="S28" s="37">
        <f>'Round 2 Data'!S28*'Round 2 Points'!Y$2</f>
        <v>0</v>
      </c>
      <c r="T28" s="38">
        <f t="shared" si="0"/>
        <v>4.8</v>
      </c>
      <c r="U28" s="37">
        <f>'Round 2 Data'!U28*'Round 2 Points'!Z$2</f>
        <v>0</v>
      </c>
      <c r="V28" s="36">
        <f>IF('Round 2 Data'!D28='Round 2 Points'!$K$1,D28/80*$K$2,0)</f>
        <v>1.1000000000000001</v>
      </c>
      <c r="W28" s="52">
        <f t="shared" si="1"/>
        <v>5.9</v>
      </c>
    </row>
    <row r="29" spans="1:23" ht="16" thickBot="1" x14ac:dyDescent="0.25">
      <c r="A29" s="77" t="s">
        <v>145</v>
      </c>
      <c r="B29" s="36" t="str" cm="1">
        <f t="array" ref="B29:C29">_xlfn.XLOOKUP(A29,'Player List'!$A$2:$A$177,'Player List'!$B$2:$C$177)</f>
        <v>Ireland</v>
      </c>
      <c r="C29" s="36" t="str">
        <v>Prop</v>
      </c>
      <c r="D29" s="37">
        <v>19</v>
      </c>
      <c r="F29" s="37">
        <f>'Round 2 Data'!F29*'Round 2 Points'!L$2</f>
        <v>0</v>
      </c>
      <c r="G29" s="37">
        <f>'Round 2 Data'!G29*'Round 2 Points'!M$2</f>
        <v>0</v>
      </c>
      <c r="H29" s="37">
        <f>'Round 2 Data'!H29*'Round 2 Points'!N$2</f>
        <v>0</v>
      </c>
      <c r="I29" s="37">
        <f>'Round 2 Data'!I29*'Round 2 Points'!O$2</f>
        <v>10.4</v>
      </c>
      <c r="J29" s="37">
        <f>'Round 2 Data'!J29*'Round 2 Points'!P$2</f>
        <v>0</v>
      </c>
      <c r="K29" s="37">
        <f>'Round 2 Data'!K29*'Round 2 Points'!Q$2</f>
        <v>0</v>
      </c>
      <c r="L29" s="37">
        <f>'Round 2 Data'!L29*'Round 2 Points'!R$2</f>
        <v>0</v>
      </c>
      <c r="M29" s="37">
        <f>'Round 2 Data'!M29*'Round 2 Points'!S$2</f>
        <v>0</v>
      </c>
      <c r="N29" s="37">
        <f>'Round 2 Data'!N29*'Round 2 Points'!T$2</f>
        <v>0</v>
      </c>
      <c r="O29" s="37">
        <f>'Round 2 Data'!O29*'Round 2 Points'!U$2</f>
        <v>0</v>
      </c>
      <c r="P29" s="37">
        <f>'Round 2 Data'!P29*'Round 2 Points'!V$2</f>
        <v>0</v>
      </c>
      <c r="Q29" s="37">
        <f>'Round 2 Data'!Q29*'Round 2 Points'!W$2</f>
        <v>0</v>
      </c>
      <c r="R29" s="37">
        <f>'Round 2 Data'!R29*'Round 2 Points'!X$2</f>
        <v>0</v>
      </c>
      <c r="S29" s="37">
        <f>'Round 2 Data'!S29*'Round 2 Points'!Y$2</f>
        <v>0</v>
      </c>
      <c r="T29" s="38">
        <f t="shared" si="0"/>
        <v>10.4</v>
      </c>
      <c r="U29" s="37">
        <f>'Round 2 Data'!U29*'Round 2 Points'!Z$2</f>
        <v>0</v>
      </c>
      <c r="V29" s="36">
        <f>IF('Round 2 Data'!D29='Round 2 Points'!$K$1,D29/80*$K$2,0)</f>
        <v>1.9</v>
      </c>
      <c r="W29" s="52">
        <f t="shared" si="1"/>
        <v>12.3</v>
      </c>
    </row>
    <row r="30" spans="1:23" ht="16" thickBot="1" x14ac:dyDescent="0.25">
      <c r="A30" s="76" t="s">
        <v>146</v>
      </c>
      <c r="B30" s="36" t="str" cm="1">
        <f t="array" ref="B30:C30">_xlfn.XLOOKUP(A30,'Player List'!$A$2:$A$177,'Player List'!$B$2:$C$177)</f>
        <v>Ireland</v>
      </c>
      <c r="C30" s="36" t="str">
        <v>Prop</v>
      </c>
      <c r="D30" s="37">
        <v>69</v>
      </c>
      <c r="F30" s="37">
        <f>'Round 2 Data'!F30*'Round 2 Points'!L$2</f>
        <v>6</v>
      </c>
      <c r="G30" s="37">
        <f>'Round 2 Data'!G30*'Round 2 Points'!M$2</f>
        <v>0</v>
      </c>
      <c r="H30" s="37">
        <f>'Round 2 Data'!H30*'Round 2 Points'!N$2</f>
        <v>0</v>
      </c>
      <c r="I30" s="37">
        <f>'Round 2 Data'!I30*'Round 2 Points'!O$2</f>
        <v>3.4000000000000004</v>
      </c>
      <c r="J30" s="37">
        <f>'Round 2 Data'!J30*'Round 2 Points'!P$2</f>
        <v>0</v>
      </c>
      <c r="K30" s="37">
        <f>'Round 2 Data'!K30*'Round 2 Points'!Q$2</f>
        <v>0</v>
      </c>
      <c r="L30" s="37">
        <f>'Round 2 Data'!L30*'Round 2 Points'!R$2</f>
        <v>0</v>
      </c>
      <c r="M30" s="37">
        <f>'Round 2 Data'!M30*'Round 2 Points'!S$2</f>
        <v>15</v>
      </c>
      <c r="N30" s="37">
        <f>'Round 2 Data'!N30*'Round 2 Points'!T$2</f>
        <v>0</v>
      </c>
      <c r="O30" s="37">
        <f>'Round 2 Data'!O30*'Round 2 Points'!U$2</f>
        <v>0</v>
      </c>
      <c r="P30" s="37">
        <f>'Round 2 Data'!P30*'Round 2 Points'!V$2</f>
        <v>0</v>
      </c>
      <c r="Q30" s="37">
        <f>'Round 2 Data'!Q30*'Round 2 Points'!W$2</f>
        <v>0</v>
      </c>
      <c r="R30" s="37">
        <f>'Round 2 Data'!R30*'Round 2 Points'!X$2</f>
        <v>0</v>
      </c>
      <c r="S30" s="37">
        <f>'Round 2 Data'!S30*'Round 2 Points'!Y$2</f>
        <v>0</v>
      </c>
      <c r="T30" s="38">
        <f t="shared" si="0"/>
        <v>24.4</v>
      </c>
      <c r="U30" s="37">
        <f>'Round 2 Data'!U30*'Round 2 Points'!Z$2</f>
        <v>0</v>
      </c>
      <c r="V30" s="36">
        <f>IF('Round 2 Data'!D30='Round 2 Points'!$K$1,D30/80*$K$2,0)</f>
        <v>6.9</v>
      </c>
      <c r="W30" s="52">
        <f t="shared" si="1"/>
        <v>31.299999999999997</v>
      </c>
    </row>
    <row r="31" spans="1:23" ht="16" thickBot="1" x14ac:dyDescent="0.25">
      <c r="A31" s="77" t="s">
        <v>147</v>
      </c>
      <c r="B31" s="36" t="str" cm="1">
        <f t="array" ref="B31:C31">_xlfn.XLOOKUP(A31,'Player List'!$A$2:$A$177,'Player List'!$B$2:$C$177)</f>
        <v>Ireland</v>
      </c>
      <c r="C31" s="36" t="str">
        <v>Hooker</v>
      </c>
      <c r="D31" s="37">
        <v>25</v>
      </c>
      <c r="F31" s="37">
        <f>'Round 2 Data'!F31*'Round 2 Points'!L$2</f>
        <v>6</v>
      </c>
      <c r="G31" s="37">
        <f>'Round 2 Data'!G31*'Round 2 Points'!M$2</f>
        <v>0</v>
      </c>
      <c r="H31" s="37">
        <f>'Round 2 Data'!H31*'Round 2 Points'!N$2</f>
        <v>0</v>
      </c>
      <c r="I31" s="37">
        <f>'Round 2 Data'!I31*'Round 2 Points'!O$2</f>
        <v>1.4000000000000001</v>
      </c>
      <c r="J31" s="37">
        <f>'Round 2 Data'!J31*'Round 2 Points'!P$2</f>
        <v>0</v>
      </c>
      <c r="K31" s="37">
        <f>'Round 2 Data'!K31*'Round 2 Points'!Q$2</f>
        <v>0</v>
      </c>
      <c r="L31" s="37">
        <f>'Round 2 Data'!L31*'Round 2 Points'!R$2</f>
        <v>0</v>
      </c>
      <c r="M31" s="37">
        <f>'Round 2 Data'!M31*'Round 2 Points'!S$2</f>
        <v>0</v>
      </c>
      <c r="N31" s="37">
        <f>'Round 2 Data'!N31*'Round 2 Points'!T$2</f>
        <v>0</v>
      </c>
      <c r="O31" s="37">
        <f>'Round 2 Data'!O31*'Round 2 Points'!U$2</f>
        <v>0</v>
      </c>
      <c r="P31" s="37">
        <f>'Round 2 Data'!P31*'Round 2 Points'!V$2</f>
        <v>0</v>
      </c>
      <c r="Q31" s="37">
        <f>'Round 2 Data'!Q31*'Round 2 Points'!W$2</f>
        <v>0</v>
      </c>
      <c r="R31" s="37">
        <f>'Round 2 Data'!R31*'Round 2 Points'!X$2</f>
        <v>0</v>
      </c>
      <c r="S31" s="37">
        <f>'Round 2 Data'!S31*'Round 2 Points'!Y$2</f>
        <v>0</v>
      </c>
      <c r="T31" s="38">
        <f t="shared" si="0"/>
        <v>7.4</v>
      </c>
      <c r="U31" s="37">
        <f>'Round 2 Data'!U31*'Round 2 Points'!Z$2</f>
        <v>0</v>
      </c>
      <c r="V31" s="36">
        <f>IF('Round 2 Data'!D31='Round 2 Points'!$K$1,D31/80*$K$2,0)</f>
        <v>2.5</v>
      </c>
      <c r="W31" s="52">
        <f t="shared" si="1"/>
        <v>9.9</v>
      </c>
    </row>
    <row r="32" spans="1:23" ht="16" thickBot="1" x14ac:dyDescent="0.25">
      <c r="A32" s="76" t="s">
        <v>148</v>
      </c>
      <c r="B32" s="36" t="str" cm="1">
        <f t="array" ref="B32:C32">_xlfn.XLOOKUP(A32,'Player List'!$A$2:$A$177,'Player List'!$B$2:$C$177)</f>
        <v>Ireland</v>
      </c>
      <c r="C32" s="36" t="str">
        <v>Hooker</v>
      </c>
      <c r="D32" s="37">
        <v>55</v>
      </c>
      <c r="F32" s="37">
        <f>'Round 2 Data'!F32*'Round 2 Points'!L$2</f>
        <v>9</v>
      </c>
      <c r="G32" s="37">
        <f>'Round 2 Data'!G32*'Round 2 Points'!M$2</f>
        <v>14</v>
      </c>
      <c r="H32" s="37">
        <f>'Round 2 Data'!H32*'Round 2 Points'!N$2</f>
        <v>0</v>
      </c>
      <c r="I32" s="37">
        <f>'Round 2 Data'!I32*'Round 2 Points'!O$2</f>
        <v>7.6000000000000005</v>
      </c>
      <c r="J32" s="37">
        <f>'Round 2 Data'!J32*'Round 2 Points'!P$2</f>
        <v>0</v>
      </c>
      <c r="K32" s="37">
        <f>'Round 2 Data'!K32*'Round 2 Points'!Q$2</f>
        <v>0</v>
      </c>
      <c r="L32" s="37">
        <f>'Round 2 Data'!L32*'Round 2 Points'!R$2</f>
        <v>0</v>
      </c>
      <c r="M32" s="37">
        <f>'Round 2 Data'!M32*'Round 2 Points'!S$2</f>
        <v>0</v>
      </c>
      <c r="N32" s="37">
        <f>'Round 2 Data'!N32*'Round 2 Points'!T$2</f>
        <v>0</v>
      </c>
      <c r="O32" s="37">
        <f>'Round 2 Data'!O32*'Round 2 Points'!U$2</f>
        <v>0</v>
      </c>
      <c r="P32" s="37">
        <f>'Round 2 Data'!P32*'Round 2 Points'!V$2</f>
        <v>0</v>
      </c>
      <c r="Q32" s="37">
        <f>'Round 2 Data'!Q32*'Round 2 Points'!W$2</f>
        <v>0</v>
      </c>
      <c r="R32" s="37">
        <f>'Round 2 Data'!R32*'Round 2 Points'!X$2</f>
        <v>0</v>
      </c>
      <c r="S32" s="37">
        <f>'Round 2 Data'!S32*'Round 2 Points'!Y$2</f>
        <v>0</v>
      </c>
      <c r="T32" s="38">
        <f t="shared" si="0"/>
        <v>30.6</v>
      </c>
      <c r="U32" s="37">
        <f>'Round 2 Data'!U32*'Round 2 Points'!Z$2</f>
        <v>0</v>
      </c>
      <c r="V32" s="36">
        <f>IF('Round 2 Data'!D32='Round 2 Points'!$K$1,D32/80*$K$2,0)</f>
        <v>5.5</v>
      </c>
      <c r="W32" s="52">
        <f t="shared" si="1"/>
        <v>36.1</v>
      </c>
    </row>
    <row r="33" spans="1:23" ht="16" thickBot="1" x14ac:dyDescent="0.25">
      <c r="A33" s="76" t="s">
        <v>12</v>
      </c>
      <c r="B33" s="36" t="str" cm="1">
        <f t="array" ref="B33:C33">_xlfn.XLOOKUP(A33,'Player List'!$A$2:$A$177,'Player List'!$B$2:$C$177)</f>
        <v>France</v>
      </c>
      <c r="C33" s="36" t="str">
        <v>Back Three</v>
      </c>
      <c r="D33" s="37">
        <v>80</v>
      </c>
      <c r="F33" s="37">
        <f>'Round 2 Data'!F33*'Round 2 Points'!L$2</f>
        <v>4</v>
      </c>
      <c r="G33" s="37">
        <f>'Round 2 Data'!G33*'Round 2 Points'!M$2</f>
        <v>0</v>
      </c>
      <c r="H33" s="37">
        <f>'Round 2 Data'!H33*'Round 2 Points'!N$2</f>
        <v>7</v>
      </c>
      <c r="I33" s="37">
        <f>'Round 2 Data'!I33*'Round 2 Points'!O$2</f>
        <v>26.8</v>
      </c>
      <c r="J33" s="37">
        <f>'Round 2 Data'!J33*'Round 2 Points'!P$2</f>
        <v>0</v>
      </c>
      <c r="K33" s="37">
        <f>'Round 2 Data'!K33*'Round 2 Points'!Q$2</f>
        <v>0</v>
      </c>
      <c r="L33" s="37">
        <f>'Round 2 Data'!L33*'Round 2 Points'!R$2</f>
        <v>0</v>
      </c>
      <c r="M33" s="37">
        <f>'Round 2 Data'!M33*'Round 2 Points'!S$2</f>
        <v>15</v>
      </c>
      <c r="N33" s="37">
        <f>'Round 2 Data'!N33*'Round 2 Points'!T$2</f>
        <v>0</v>
      </c>
      <c r="O33" s="37">
        <f>'Round 2 Data'!O33*'Round 2 Points'!U$2</f>
        <v>0</v>
      </c>
      <c r="P33" s="37">
        <f>'Round 2 Data'!P33*'Round 2 Points'!V$2</f>
        <v>0</v>
      </c>
      <c r="Q33" s="37">
        <f>'Round 2 Data'!Q33*'Round 2 Points'!W$2</f>
        <v>0</v>
      </c>
      <c r="R33" s="37">
        <f>'Round 2 Data'!R33*'Round 2 Points'!X$2</f>
        <v>0</v>
      </c>
      <c r="S33" s="37">
        <f>'Round 2 Data'!S33*'Round 2 Points'!Y$2</f>
        <v>0</v>
      </c>
      <c r="T33" s="38">
        <f t="shared" si="0"/>
        <v>52.8</v>
      </c>
      <c r="U33" s="37">
        <f>'Round 2 Data'!U33*'Round 2 Points'!Z$2</f>
        <v>0</v>
      </c>
      <c r="V33" s="36">
        <f>IF('Round 2 Data'!D33='Round 2 Points'!$K$1,D33/80*$K$2,0)</f>
        <v>0</v>
      </c>
      <c r="W33" s="52">
        <f t="shared" si="1"/>
        <v>52.8</v>
      </c>
    </row>
    <row r="34" spans="1:23" ht="16" thickBot="1" x14ac:dyDescent="0.25">
      <c r="A34" s="77" t="s">
        <v>13</v>
      </c>
      <c r="B34" s="36" t="str" cm="1">
        <f t="array" ref="B34:C34">_xlfn.XLOOKUP(A34,'Player List'!$A$2:$A$177,'Player List'!$B$2:$C$177)</f>
        <v>France</v>
      </c>
      <c r="C34" s="36" t="str">
        <v>Back Three</v>
      </c>
      <c r="D34" s="37">
        <v>61</v>
      </c>
      <c r="F34" s="37">
        <f>'Round 2 Data'!F34*'Round 2 Points'!L$2</f>
        <v>3</v>
      </c>
      <c r="G34" s="37">
        <f>'Round 2 Data'!G34*'Round 2 Points'!M$2</f>
        <v>0</v>
      </c>
      <c r="H34" s="37">
        <f>'Round 2 Data'!H34*'Round 2 Points'!N$2</f>
        <v>0</v>
      </c>
      <c r="I34" s="37">
        <f>'Round 2 Data'!I34*'Round 2 Points'!O$2</f>
        <v>18</v>
      </c>
      <c r="J34" s="37">
        <f>'Round 2 Data'!J34*'Round 2 Points'!P$2</f>
        <v>0</v>
      </c>
      <c r="K34" s="37">
        <f>'Round 2 Data'!K34*'Round 2 Points'!Q$2</f>
        <v>0</v>
      </c>
      <c r="L34" s="37">
        <f>'Round 2 Data'!L34*'Round 2 Points'!R$2</f>
        <v>0</v>
      </c>
      <c r="M34" s="37">
        <f>'Round 2 Data'!M34*'Round 2 Points'!S$2</f>
        <v>0</v>
      </c>
      <c r="N34" s="37">
        <f>'Round 2 Data'!N34*'Round 2 Points'!T$2</f>
        <v>0</v>
      </c>
      <c r="O34" s="37">
        <f>'Round 2 Data'!O34*'Round 2 Points'!U$2</f>
        <v>2</v>
      </c>
      <c r="P34" s="37">
        <f>'Round 2 Data'!P34*'Round 2 Points'!V$2</f>
        <v>15</v>
      </c>
      <c r="Q34" s="37">
        <f>'Round 2 Data'!Q34*'Round 2 Points'!W$2</f>
        <v>7</v>
      </c>
      <c r="R34" s="37">
        <f>'Round 2 Data'!R34*'Round 2 Points'!X$2</f>
        <v>0</v>
      </c>
      <c r="S34" s="37">
        <f>'Round 2 Data'!S34*'Round 2 Points'!Y$2</f>
        <v>0</v>
      </c>
      <c r="T34" s="38">
        <f t="shared" si="0"/>
        <v>45</v>
      </c>
      <c r="U34" s="37">
        <f>'Round 2 Data'!U34*'Round 2 Points'!Z$2</f>
        <v>0</v>
      </c>
      <c r="V34" s="36">
        <f>IF('Round 2 Data'!D34='Round 2 Points'!$K$1,D34/80*$K$2,0)</f>
        <v>0</v>
      </c>
      <c r="W34" s="52">
        <f t="shared" si="1"/>
        <v>45</v>
      </c>
    </row>
    <row r="35" spans="1:23" ht="16" thickBot="1" x14ac:dyDescent="0.25">
      <c r="A35" s="76" t="s">
        <v>14</v>
      </c>
      <c r="B35" s="36" t="str" cm="1">
        <f t="array" ref="B35:C35">_xlfn.XLOOKUP(A35,'Player List'!$A$2:$A$177,'Player List'!$B$2:$C$177)</f>
        <v>France</v>
      </c>
      <c r="C35" s="36" t="str">
        <v>Centre</v>
      </c>
      <c r="D35" s="37">
        <v>68</v>
      </c>
      <c r="F35" s="37">
        <f>'Round 2 Data'!F35*'Round 2 Points'!L$2</f>
        <v>2</v>
      </c>
      <c r="G35" s="37">
        <f>'Round 2 Data'!G35*'Round 2 Points'!M$2</f>
        <v>0</v>
      </c>
      <c r="H35" s="37">
        <f>'Round 2 Data'!H35*'Round 2 Points'!N$2</f>
        <v>14</v>
      </c>
      <c r="I35" s="37">
        <f>'Round 2 Data'!I35*'Round 2 Points'!O$2</f>
        <v>17.600000000000001</v>
      </c>
      <c r="J35" s="37">
        <f>'Round 2 Data'!J35*'Round 2 Points'!P$2</f>
        <v>0</v>
      </c>
      <c r="K35" s="37">
        <f>'Round 2 Data'!K35*'Round 2 Points'!Q$2</f>
        <v>0</v>
      </c>
      <c r="L35" s="37">
        <f>'Round 2 Data'!L35*'Round 2 Points'!R$2</f>
        <v>0</v>
      </c>
      <c r="M35" s="37">
        <f>'Round 2 Data'!M35*'Round 2 Points'!S$2</f>
        <v>0</v>
      </c>
      <c r="N35" s="37">
        <f>'Round 2 Data'!N35*'Round 2 Points'!T$2</f>
        <v>0</v>
      </c>
      <c r="O35" s="37">
        <f>'Round 2 Data'!O35*'Round 2 Points'!U$2</f>
        <v>0</v>
      </c>
      <c r="P35" s="37">
        <f>'Round 2 Data'!P35*'Round 2 Points'!V$2</f>
        <v>0</v>
      </c>
      <c r="Q35" s="37">
        <f>'Round 2 Data'!Q35*'Round 2 Points'!W$2</f>
        <v>0</v>
      </c>
      <c r="R35" s="37">
        <f>'Round 2 Data'!R35*'Round 2 Points'!X$2</f>
        <v>0</v>
      </c>
      <c r="S35" s="37">
        <f>'Round 2 Data'!S35*'Round 2 Points'!Y$2</f>
        <v>0</v>
      </c>
      <c r="T35" s="38">
        <f t="shared" si="0"/>
        <v>33.6</v>
      </c>
      <c r="U35" s="37">
        <f>'Round 2 Data'!U35*'Round 2 Points'!Z$2</f>
        <v>0</v>
      </c>
      <c r="V35" s="36">
        <f>IF('Round 2 Data'!D35='Round 2 Points'!$K$1,D35/80*$K$2,0)</f>
        <v>0</v>
      </c>
      <c r="W35" s="52">
        <f t="shared" si="1"/>
        <v>33.6</v>
      </c>
    </row>
    <row r="36" spans="1:23" ht="16" thickBot="1" x14ac:dyDescent="0.25">
      <c r="A36" s="77" t="s">
        <v>15</v>
      </c>
      <c r="B36" s="36" t="str" cm="1">
        <f t="array" ref="B36:C36">_xlfn.XLOOKUP(A36,'Player List'!$A$2:$A$177,'Player List'!$B$2:$C$177)</f>
        <v>France</v>
      </c>
      <c r="C36" s="36" t="str">
        <v>Centre</v>
      </c>
      <c r="D36" s="37">
        <v>80</v>
      </c>
      <c r="F36" s="37">
        <f>'Round 2 Data'!F36*'Round 2 Points'!L$2</f>
        <v>14</v>
      </c>
      <c r="G36" s="37">
        <f>'Round 2 Data'!G36*'Round 2 Points'!M$2</f>
        <v>0</v>
      </c>
      <c r="H36" s="37">
        <f>'Round 2 Data'!H36*'Round 2 Points'!N$2</f>
        <v>0</v>
      </c>
      <c r="I36" s="37">
        <f>'Round 2 Data'!I36*'Round 2 Points'!O$2</f>
        <v>16.600000000000001</v>
      </c>
      <c r="J36" s="37">
        <f>'Round 2 Data'!J36*'Round 2 Points'!P$2</f>
        <v>0</v>
      </c>
      <c r="K36" s="37">
        <f>'Round 2 Data'!K36*'Round 2 Points'!Q$2</f>
        <v>0</v>
      </c>
      <c r="L36" s="37">
        <f>'Round 2 Data'!L36*'Round 2 Points'!R$2</f>
        <v>0</v>
      </c>
      <c r="M36" s="37">
        <f>'Round 2 Data'!M36*'Round 2 Points'!S$2</f>
        <v>0</v>
      </c>
      <c r="N36" s="37">
        <f>'Round 2 Data'!N36*'Round 2 Points'!T$2</f>
        <v>0</v>
      </c>
      <c r="O36" s="37">
        <f>'Round 2 Data'!O36*'Round 2 Points'!U$2</f>
        <v>0</v>
      </c>
      <c r="P36" s="37">
        <f>'Round 2 Data'!P36*'Round 2 Points'!V$2</f>
        <v>0</v>
      </c>
      <c r="Q36" s="37">
        <f>'Round 2 Data'!Q36*'Round 2 Points'!W$2</f>
        <v>0</v>
      </c>
      <c r="R36" s="37">
        <f>'Round 2 Data'!R36*'Round 2 Points'!X$2</f>
        <v>0</v>
      </c>
      <c r="S36" s="37">
        <f>'Round 2 Data'!S36*'Round 2 Points'!Y$2</f>
        <v>0</v>
      </c>
      <c r="T36" s="38">
        <f t="shared" si="0"/>
        <v>30.6</v>
      </c>
      <c r="U36" s="37">
        <f>'Round 2 Data'!U36*'Round 2 Points'!Z$2</f>
        <v>0</v>
      </c>
      <c r="V36" s="36">
        <f>IF('Round 2 Data'!D36='Round 2 Points'!$K$1,D36/80*$K$2,0)</f>
        <v>0</v>
      </c>
      <c r="W36" s="52">
        <f t="shared" si="1"/>
        <v>30.6</v>
      </c>
    </row>
    <row r="37" spans="1:23" ht="16" thickBot="1" x14ac:dyDescent="0.25">
      <c r="A37" s="76" t="s">
        <v>16</v>
      </c>
      <c r="B37" s="36" t="str" cm="1">
        <f t="array" ref="B37:C37">_xlfn.XLOOKUP(A37,'Player List'!$A$2:$A$177,'Player List'!$B$2:$C$177)</f>
        <v>France</v>
      </c>
      <c r="C37" s="36" t="str">
        <v>Centre</v>
      </c>
      <c r="D37" s="37">
        <v>80</v>
      </c>
      <c r="F37" s="37">
        <f>'Round 2 Data'!F37*'Round 2 Points'!L$2</f>
        <v>9</v>
      </c>
      <c r="G37" s="37">
        <f>'Round 2 Data'!G37*'Round 2 Points'!M$2</f>
        <v>0</v>
      </c>
      <c r="H37" s="37">
        <f>'Round 2 Data'!H37*'Round 2 Points'!N$2</f>
        <v>0</v>
      </c>
      <c r="I37" s="37">
        <f>'Round 2 Data'!I37*'Round 2 Points'!O$2</f>
        <v>11.4</v>
      </c>
      <c r="J37" s="37">
        <f>'Round 2 Data'!J37*'Round 2 Points'!P$2</f>
        <v>0</v>
      </c>
      <c r="K37" s="37">
        <f>'Round 2 Data'!K37*'Round 2 Points'!Q$2</f>
        <v>0</v>
      </c>
      <c r="L37" s="37">
        <f>'Round 2 Data'!L37*'Round 2 Points'!R$2</f>
        <v>0</v>
      </c>
      <c r="M37" s="37">
        <f>'Round 2 Data'!M37*'Round 2 Points'!S$2</f>
        <v>0</v>
      </c>
      <c r="N37" s="37">
        <f>'Round 2 Data'!N37*'Round 2 Points'!T$2</f>
        <v>0</v>
      </c>
      <c r="O37" s="37">
        <f>'Round 2 Data'!O37*'Round 2 Points'!U$2</f>
        <v>0</v>
      </c>
      <c r="P37" s="37">
        <f>'Round 2 Data'!P37*'Round 2 Points'!V$2</f>
        <v>0</v>
      </c>
      <c r="Q37" s="37">
        <f>'Round 2 Data'!Q37*'Round 2 Points'!W$2</f>
        <v>0</v>
      </c>
      <c r="R37" s="37">
        <f>'Round 2 Data'!R37*'Round 2 Points'!X$2</f>
        <v>0</v>
      </c>
      <c r="S37" s="37">
        <f>'Round 2 Data'!S37*'Round 2 Points'!Y$2</f>
        <v>0</v>
      </c>
      <c r="T37" s="38">
        <f t="shared" si="0"/>
        <v>20.399999999999999</v>
      </c>
      <c r="U37" s="37">
        <f>'Round 2 Data'!U37*'Round 2 Points'!Z$2</f>
        <v>0</v>
      </c>
      <c r="V37" s="36">
        <f>IF('Round 2 Data'!D37='Round 2 Points'!$K$1,D37/80*$K$2,0)</f>
        <v>0</v>
      </c>
      <c r="W37" s="52">
        <f t="shared" si="1"/>
        <v>20.399999999999999</v>
      </c>
    </row>
    <row r="38" spans="1:23" ht="16" thickBot="1" x14ac:dyDescent="0.25">
      <c r="A38" s="77" t="s">
        <v>17</v>
      </c>
      <c r="B38" s="36" t="str" cm="1">
        <f t="array" ref="B38:C38">_xlfn.XLOOKUP(A38,'Player List'!$A$2:$A$177,'Player List'!$B$2:$C$177)</f>
        <v>France</v>
      </c>
      <c r="C38" s="36" t="str">
        <v>Fly Half</v>
      </c>
      <c r="D38" s="37">
        <v>19</v>
      </c>
      <c r="F38" s="37">
        <f>'Round 2 Data'!F38*'Round 2 Points'!L$2</f>
        <v>2</v>
      </c>
      <c r="G38" s="37">
        <f>'Round 2 Data'!G38*'Round 2 Points'!M$2</f>
        <v>0</v>
      </c>
      <c r="H38" s="37">
        <f>'Round 2 Data'!H38*'Round 2 Points'!N$2</f>
        <v>0</v>
      </c>
      <c r="I38" s="37">
        <f>'Round 2 Data'!I38*'Round 2 Points'!O$2</f>
        <v>3.8000000000000003</v>
      </c>
      <c r="J38" s="37">
        <f>'Round 2 Data'!J38*'Round 2 Points'!P$2</f>
        <v>0</v>
      </c>
      <c r="K38" s="37">
        <f>'Round 2 Data'!K38*'Round 2 Points'!Q$2</f>
        <v>0</v>
      </c>
      <c r="L38" s="37">
        <f>'Round 2 Data'!L38*'Round 2 Points'!R$2</f>
        <v>0</v>
      </c>
      <c r="M38" s="37">
        <f>'Round 2 Data'!M38*'Round 2 Points'!S$2</f>
        <v>0</v>
      </c>
      <c r="N38" s="37">
        <f>'Round 2 Data'!N38*'Round 2 Points'!T$2</f>
        <v>0</v>
      </c>
      <c r="O38" s="37">
        <f>'Round 2 Data'!O38*'Round 2 Points'!U$2</f>
        <v>0</v>
      </c>
      <c r="P38" s="37">
        <f>'Round 2 Data'!P38*'Round 2 Points'!V$2</f>
        <v>0</v>
      </c>
      <c r="Q38" s="37">
        <f>'Round 2 Data'!Q38*'Round 2 Points'!W$2</f>
        <v>0</v>
      </c>
      <c r="R38" s="37">
        <f>'Round 2 Data'!R38*'Round 2 Points'!X$2</f>
        <v>0</v>
      </c>
      <c r="S38" s="37">
        <f>'Round 2 Data'!S38*'Round 2 Points'!Y$2</f>
        <v>0</v>
      </c>
      <c r="T38" s="38">
        <f t="shared" si="0"/>
        <v>5.8000000000000007</v>
      </c>
      <c r="U38" s="37">
        <f>'Round 2 Data'!U38*'Round 2 Points'!Z$2</f>
        <v>0</v>
      </c>
      <c r="V38" s="36">
        <f>IF('Round 2 Data'!D38='Round 2 Points'!$K$1,D38/80*$K$2,0)</f>
        <v>0</v>
      </c>
      <c r="W38" s="52">
        <f t="shared" si="1"/>
        <v>5.8000000000000007</v>
      </c>
    </row>
    <row r="39" spans="1:23" ht="16" thickBot="1" x14ac:dyDescent="0.25">
      <c r="A39" s="76" t="s">
        <v>18</v>
      </c>
      <c r="B39" s="36" t="str" cm="1">
        <f t="array" ref="B39:C39">_xlfn.XLOOKUP(A39,'Player List'!$A$2:$A$177,'Player List'!$B$2:$C$177)</f>
        <v>France</v>
      </c>
      <c r="C39" s="36" t="str">
        <v>Fly Half</v>
      </c>
      <c r="D39" s="37">
        <v>80</v>
      </c>
      <c r="F39" s="37">
        <f>'Round 2 Data'!F39*'Round 2 Points'!L$2</f>
        <v>12</v>
      </c>
      <c r="G39" s="37">
        <f>'Round 2 Data'!G39*'Round 2 Points'!M$2</f>
        <v>0</v>
      </c>
      <c r="H39" s="37">
        <f>'Round 2 Data'!H39*'Round 2 Points'!N$2</f>
        <v>0</v>
      </c>
      <c r="I39" s="37">
        <f>'Round 2 Data'!I39*'Round 2 Points'!O$2</f>
        <v>10.200000000000001</v>
      </c>
      <c r="J39" s="37">
        <f>'Round 2 Data'!J39*'Round 2 Points'!P$2</f>
        <v>0</v>
      </c>
      <c r="K39" s="37">
        <f>'Round 2 Data'!K39*'Round 2 Points'!Q$2</f>
        <v>0</v>
      </c>
      <c r="L39" s="37">
        <f>'Round 2 Data'!L39*'Round 2 Points'!R$2</f>
        <v>0</v>
      </c>
      <c r="M39" s="37">
        <f>'Round 2 Data'!M39*'Round 2 Points'!S$2</f>
        <v>0</v>
      </c>
      <c r="N39" s="37">
        <f>'Round 2 Data'!N39*'Round 2 Points'!T$2</f>
        <v>0</v>
      </c>
      <c r="O39" s="37">
        <f>'Round 2 Data'!O39*'Round 2 Points'!U$2</f>
        <v>0</v>
      </c>
      <c r="P39" s="37">
        <f>'Round 2 Data'!P39*'Round 2 Points'!V$2</f>
        <v>0</v>
      </c>
      <c r="Q39" s="37">
        <f>'Round 2 Data'!Q39*'Round 2 Points'!W$2</f>
        <v>0</v>
      </c>
      <c r="R39" s="37">
        <f>'Round 2 Data'!R39*'Round 2 Points'!X$2</f>
        <v>0</v>
      </c>
      <c r="S39" s="37">
        <f>'Round 2 Data'!S39*'Round 2 Points'!Y$2</f>
        <v>0</v>
      </c>
      <c r="T39" s="38">
        <f t="shared" si="0"/>
        <v>22.200000000000003</v>
      </c>
      <c r="U39" s="37">
        <f>'Round 2 Data'!U39*'Round 2 Points'!Z$2</f>
        <v>0</v>
      </c>
      <c r="V39" s="36">
        <f>IF('Round 2 Data'!D39='Round 2 Points'!$K$1,D39/80*$K$2,0)</f>
        <v>0</v>
      </c>
      <c r="W39" s="52">
        <f t="shared" si="1"/>
        <v>22.200000000000003</v>
      </c>
    </row>
    <row r="40" spans="1:23" ht="16" thickBot="1" x14ac:dyDescent="0.25">
      <c r="A40" s="77" t="s">
        <v>19</v>
      </c>
      <c r="B40" s="36" t="str" cm="1">
        <f t="array" ref="B40:C40">_xlfn.XLOOKUP(A40,'Player List'!$A$2:$A$177,'Player List'!$B$2:$C$177)</f>
        <v>France</v>
      </c>
      <c r="C40" s="36" t="str">
        <v>Scrum Half</v>
      </c>
      <c r="D40" s="37">
        <v>80</v>
      </c>
      <c r="F40" s="37">
        <f>'Round 2 Data'!F40*'Round 2 Points'!L$2</f>
        <v>10</v>
      </c>
      <c r="G40" s="37">
        <f>'Round 2 Data'!G40*'Round 2 Points'!M$2</f>
        <v>7</v>
      </c>
      <c r="H40" s="37">
        <f>'Round 2 Data'!H40*'Round 2 Points'!N$2</f>
        <v>14</v>
      </c>
      <c r="I40" s="37">
        <f>'Round 2 Data'!I40*'Round 2 Points'!O$2</f>
        <v>18</v>
      </c>
      <c r="J40" s="37">
        <f>'Round 2 Data'!J40*'Round 2 Points'!P$2</f>
        <v>0</v>
      </c>
      <c r="K40" s="37">
        <f>'Round 2 Data'!K40*'Round 2 Points'!Q$2</f>
        <v>0</v>
      </c>
      <c r="L40" s="37">
        <f>'Round 2 Data'!L40*'Round 2 Points'!R$2</f>
        <v>0</v>
      </c>
      <c r="M40" s="37">
        <f>'Round 2 Data'!M40*'Round 2 Points'!S$2</f>
        <v>0</v>
      </c>
      <c r="N40" s="37">
        <f>'Round 2 Data'!N40*'Round 2 Points'!T$2</f>
        <v>0</v>
      </c>
      <c r="O40" s="37">
        <f>'Round 2 Data'!O40*'Round 2 Points'!U$2</f>
        <v>0</v>
      </c>
      <c r="P40" s="37">
        <f>'Round 2 Data'!P40*'Round 2 Points'!V$2</f>
        <v>0</v>
      </c>
      <c r="Q40" s="37">
        <f>'Round 2 Data'!Q40*'Round 2 Points'!W$2</f>
        <v>0</v>
      </c>
      <c r="R40" s="37">
        <f>'Round 2 Data'!R40*'Round 2 Points'!X$2</f>
        <v>0</v>
      </c>
      <c r="S40" s="37">
        <f>'Round 2 Data'!S40*'Round 2 Points'!Y$2</f>
        <v>0</v>
      </c>
      <c r="T40" s="38">
        <f t="shared" si="0"/>
        <v>49</v>
      </c>
      <c r="U40" s="37">
        <f>'Round 2 Data'!U40*'Round 2 Points'!Z$2</f>
        <v>0</v>
      </c>
      <c r="V40" s="36">
        <f>IF('Round 2 Data'!D40='Round 2 Points'!$K$1,D40/80*$K$2,0)</f>
        <v>0</v>
      </c>
      <c r="W40" s="52">
        <f t="shared" si="1"/>
        <v>49</v>
      </c>
    </row>
    <row r="41" spans="1:23" ht="16" thickBot="1" x14ac:dyDescent="0.25">
      <c r="A41" s="76" t="s">
        <v>20</v>
      </c>
      <c r="B41" s="36" t="str" cm="1">
        <f t="array" ref="B41:C41">_xlfn.XLOOKUP(A41,'Player List'!$A$2:$A$177,'Player List'!$B$2:$C$177)</f>
        <v>France</v>
      </c>
      <c r="C41" s="36" t="str">
        <v>Back Row</v>
      </c>
      <c r="D41" s="37">
        <v>52</v>
      </c>
      <c r="F41" s="37">
        <f>'Round 2 Data'!F41*'Round 2 Points'!L$2</f>
        <v>13</v>
      </c>
      <c r="G41" s="37">
        <f>'Round 2 Data'!G41*'Round 2 Points'!M$2</f>
        <v>0</v>
      </c>
      <c r="H41" s="37">
        <f>'Round 2 Data'!H41*'Round 2 Points'!N$2</f>
        <v>0</v>
      </c>
      <c r="I41" s="37">
        <f>'Round 2 Data'!I41*'Round 2 Points'!O$2</f>
        <v>3.4000000000000004</v>
      </c>
      <c r="J41" s="37">
        <f>'Round 2 Data'!J41*'Round 2 Points'!P$2</f>
        <v>0</v>
      </c>
      <c r="K41" s="37">
        <f>'Round 2 Data'!K41*'Round 2 Points'!Q$2</f>
        <v>0</v>
      </c>
      <c r="L41" s="37">
        <f>'Round 2 Data'!L41*'Round 2 Points'!R$2</f>
        <v>0</v>
      </c>
      <c r="M41" s="37">
        <f>'Round 2 Data'!M41*'Round 2 Points'!S$2</f>
        <v>0</v>
      </c>
      <c r="N41" s="37">
        <f>'Round 2 Data'!N41*'Round 2 Points'!T$2</f>
        <v>0</v>
      </c>
      <c r="O41" s="37">
        <f>'Round 2 Data'!O41*'Round 2 Points'!U$2</f>
        <v>0</v>
      </c>
      <c r="P41" s="37">
        <f>'Round 2 Data'!P41*'Round 2 Points'!V$2</f>
        <v>0</v>
      </c>
      <c r="Q41" s="37">
        <f>'Round 2 Data'!Q41*'Round 2 Points'!W$2</f>
        <v>0</v>
      </c>
      <c r="R41" s="37">
        <f>'Round 2 Data'!R41*'Round 2 Points'!X$2</f>
        <v>0</v>
      </c>
      <c r="S41" s="37">
        <f>'Round 2 Data'!S41*'Round 2 Points'!Y$2</f>
        <v>0</v>
      </c>
      <c r="T41" s="38">
        <f t="shared" si="0"/>
        <v>16.399999999999999</v>
      </c>
      <c r="U41" s="37">
        <f>'Round 2 Data'!U41*'Round 2 Points'!Z$2</f>
        <v>0</v>
      </c>
      <c r="V41" s="36">
        <f>IF('Round 2 Data'!D41='Round 2 Points'!$K$1,D41/80*$K$2,0)</f>
        <v>0</v>
      </c>
      <c r="W41" s="52">
        <f t="shared" si="1"/>
        <v>16.399999999999999</v>
      </c>
    </row>
    <row r="42" spans="1:23" ht="16" thickBot="1" x14ac:dyDescent="0.25">
      <c r="A42" s="77" t="s">
        <v>21</v>
      </c>
      <c r="B42" s="36" t="str" cm="1">
        <f t="array" ref="B42:C42">_xlfn.XLOOKUP(A42,'Player List'!$A$2:$A$177,'Player List'!$B$2:$C$177)</f>
        <v>France</v>
      </c>
      <c r="C42" s="36" t="str">
        <v>Back Row</v>
      </c>
      <c r="D42" s="37">
        <v>11</v>
      </c>
      <c r="F42" s="37">
        <f>'Round 2 Data'!F42*'Round 2 Points'!L$2</f>
        <v>6</v>
      </c>
      <c r="G42" s="37">
        <f>'Round 2 Data'!G42*'Round 2 Points'!M$2</f>
        <v>0</v>
      </c>
      <c r="H42" s="37">
        <f>'Round 2 Data'!H42*'Round 2 Points'!N$2</f>
        <v>0</v>
      </c>
      <c r="I42" s="37">
        <f>'Round 2 Data'!I42*'Round 2 Points'!O$2</f>
        <v>0</v>
      </c>
      <c r="J42" s="37">
        <f>'Round 2 Data'!J42*'Round 2 Points'!P$2</f>
        <v>0</v>
      </c>
      <c r="K42" s="37">
        <f>'Round 2 Data'!K42*'Round 2 Points'!Q$2</f>
        <v>0</v>
      </c>
      <c r="L42" s="37">
        <f>'Round 2 Data'!L42*'Round 2 Points'!R$2</f>
        <v>0</v>
      </c>
      <c r="M42" s="37">
        <f>'Round 2 Data'!M42*'Round 2 Points'!S$2</f>
        <v>0</v>
      </c>
      <c r="N42" s="37">
        <f>'Round 2 Data'!N42*'Round 2 Points'!T$2</f>
        <v>0</v>
      </c>
      <c r="O42" s="37">
        <f>'Round 2 Data'!O42*'Round 2 Points'!U$2</f>
        <v>0</v>
      </c>
      <c r="P42" s="37">
        <f>'Round 2 Data'!P42*'Round 2 Points'!V$2</f>
        <v>0</v>
      </c>
      <c r="Q42" s="37">
        <f>'Round 2 Data'!Q42*'Round 2 Points'!W$2</f>
        <v>0</v>
      </c>
      <c r="R42" s="37">
        <f>'Round 2 Data'!R42*'Round 2 Points'!X$2</f>
        <v>0</v>
      </c>
      <c r="S42" s="37">
        <f>'Round 2 Data'!S42*'Round 2 Points'!Y$2</f>
        <v>0</v>
      </c>
      <c r="T42" s="38">
        <f t="shared" si="0"/>
        <v>6</v>
      </c>
      <c r="U42" s="37">
        <f>'Round 2 Data'!U42*'Round 2 Points'!Z$2</f>
        <v>0</v>
      </c>
      <c r="V42" s="36">
        <f>IF('Round 2 Data'!D42='Round 2 Points'!$K$1,D42/80*$K$2,0)</f>
        <v>0</v>
      </c>
      <c r="W42" s="52">
        <f t="shared" si="1"/>
        <v>6</v>
      </c>
    </row>
    <row r="43" spans="1:23" ht="16" thickBot="1" x14ac:dyDescent="0.25">
      <c r="A43" s="76" t="s">
        <v>22</v>
      </c>
      <c r="B43" s="36" t="str" cm="1">
        <f t="array" ref="B43:C43">_xlfn.XLOOKUP(A43,'Player List'!$A$2:$A$177,'Player List'!$B$2:$C$177)</f>
        <v>France</v>
      </c>
      <c r="C43" s="36" t="str">
        <v>Back Row</v>
      </c>
      <c r="D43" s="37">
        <v>80</v>
      </c>
      <c r="F43" s="37">
        <f>'Round 2 Data'!F43*'Round 2 Points'!L$2</f>
        <v>22</v>
      </c>
      <c r="G43" s="37">
        <f>'Round 2 Data'!G43*'Round 2 Points'!M$2</f>
        <v>0</v>
      </c>
      <c r="H43" s="37">
        <f>'Round 2 Data'!H43*'Round 2 Points'!N$2</f>
        <v>7</v>
      </c>
      <c r="I43" s="37">
        <f>'Round 2 Data'!I43*'Round 2 Points'!O$2</f>
        <v>11.600000000000001</v>
      </c>
      <c r="J43" s="37">
        <f>'Round 2 Data'!J43*'Round 2 Points'!P$2</f>
        <v>0</v>
      </c>
      <c r="K43" s="37">
        <f>'Round 2 Data'!K43*'Round 2 Points'!Q$2</f>
        <v>0</v>
      </c>
      <c r="L43" s="37">
        <f>'Round 2 Data'!L43*'Round 2 Points'!R$2</f>
        <v>0</v>
      </c>
      <c r="M43" s="37">
        <f>'Round 2 Data'!M43*'Round 2 Points'!S$2</f>
        <v>0</v>
      </c>
      <c r="N43" s="37">
        <f>'Round 2 Data'!N43*'Round 2 Points'!T$2</f>
        <v>7</v>
      </c>
      <c r="O43" s="37">
        <f>'Round 2 Data'!O43*'Round 2 Points'!U$2</f>
        <v>0</v>
      </c>
      <c r="P43" s="37">
        <f>'Round 2 Data'!P43*'Round 2 Points'!V$2</f>
        <v>0</v>
      </c>
      <c r="Q43" s="37">
        <f>'Round 2 Data'!Q43*'Round 2 Points'!W$2</f>
        <v>0</v>
      </c>
      <c r="R43" s="37">
        <f>'Round 2 Data'!R43*'Round 2 Points'!X$2</f>
        <v>0</v>
      </c>
      <c r="S43" s="37">
        <f>'Round 2 Data'!S43*'Round 2 Points'!Y$2</f>
        <v>0</v>
      </c>
      <c r="T43" s="38">
        <f t="shared" si="0"/>
        <v>47.6</v>
      </c>
      <c r="U43" s="37">
        <f>'Round 2 Data'!U43*'Round 2 Points'!Z$2</f>
        <v>0</v>
      </c>
      <c r="V43" s="36">
        <f>IF('Round 2 Data'!D43='Round 2 Points'!$K$1,D43/80*$K$2,0)</f>
        <v>0</v>
      </c>
      <c r="W43" s="52">
        <f t="shared" si="1"/>
        <v>47.6</v>
      </c>
    </row>
    <row r="44" spans="1:23" ht="16" thickBot="1" x14ac:dyDescent="0.25">
      <c r="A44" s="77" t="s">
        <v>23</v>
      </c>
      <c r="B44" s="36" t="str" cm="1">
        <f t="array" ref="B44:C44">_xlfn.XLOOKUP(A44,'Player List'!$A$2:$A$177,'Player List'!$B$2:$C$177)</f>
        <v>France</v>
      </c>
      <c r="C44" s="36" t="str">
        <v>Back Row</v>
      </c>
      <c r="D44" s="37">
        <v>28</v>
      </c>
      <c r="F44" s="37">
        <f>'Round 2 Data'!F44*'Round 2 Points'!L$2</f>
        <v>7</v>
      </c>
      <c r="G44" s="37">
        <f>'Round 2 Data'!G44*'Round 2 Points'!M$2</f>
        <v>0</v>
      </c>
      <c r="H44" s="37">
        <f>'Round 2 Data'!H44*'Round 2 Points'!N$2</f>
        <v>0</v>
      </c>
      <c r="I44" s="37">
        <f>'Round 2 Data'!I44*'Round 2 Points'!O$2</f>
        <v>4.6000000000000005</v>
      </c>
      <c r="J44" s="37">
        <f>'Round 2 Data'!J44*'Round 2 Points'!P$2</f>
        <v>0</v>
      </c>
      <c r="K44" s="37">
        <f>'Round 2 Data'!K44*'Round 2 Points'!Q$2</f>
        <v>0</v>
      </c>
      <c r="L44" s="37">
        <f>'Round 2 Data'!L44*'Round 2 Points'!R$2</f>
        <v>0</v>
      </c>
      <c r="M44" s="37">
        <f>'Round 2 Data'!M44*'Round 2 Points'!S$2</f>
        <v>0</v>
      </c>
      <c r="N44" s="37">
        <f>'Round 2 Data'!N44*'Round 2 Points'!T$2</f>
        <v>0</v>
      </c>
      <c r="O44" s="37">
        <f>'Round 2 Data'!O44*'Round 2 Points'!U$2</f>
        <v>0</v>
      </c>
      <c r="P44" s="37">
        <f>'Round 2 Data'!P44*'Round 2 Points'!V$2</f>
        <v>0</v>
      </c>
      <c r="Q44" s="37">
        <f>'Round 2 Data'!Q44*'Round 2 Points'!W$2</f>
        <v>0</v>
      </c>
      <c r="R44" s="37">
        <f>'Round 2 Data'!R44*'Round 2 Points'!X$2</f>
        <v>0</v>
      </c>
      <c r="S44" s="37">
        <f>'Round 2 Data'!S44*'Round 2 Points'!Y$2</f>
        <v>0</v>
      </c>
      <c r="T44" s="38">
        <f t="shared" si="0"/>
        <v>11.600000000000001</v>
      </c>
      <c r="U44" s="37">
        <f>'Round 2 Data'!U44*'Round 2 Points'!Z$2</f>
        <v>0</v>
      </c>
      <c r="V44" s="36">
        <f>IF('Round 2 Data'!D44='Round 2 Points'!$K$1,D44/80*$K$2,0)</f>
        <v>0</v>
      </c>
      <c r="W44" s="52">
        <f t="shared" si="1"/>
        <v>11.600000000000001</v>
      </c>
    </row>
    <row r="45" spans="1:23" ht="16" thickBot="1" x14ac:dyDescent="0.25">
      <c r="A45" s="76" t="s">
        <v>24</v>
      </c>
      <c r="B45" s="36" t="str" cm="1">
        <f t="array" ref="B45:C45">_xlfn.XLOOKUP(A45,'Player List'!$A$2:$A$177,'Player List'!$B$2:$C$177)</f>
        <v>France</v>
      </c>
      <c r="C45" s="36" t="str">
        <v>Back Row</v>
      </c>
      <c r="D45" s="37">
        <v>69</v>
      </c>
      <c r="F45" s="37">
        <f>'Round 2 Data'!F45*'Round 2 Points'!L$2</f>
        <v>21</v>
      </c>
      <c r="G45" s="37">
        <f>'Round 2 Data'!G45*'Round 2 Points'!M$2</f>
        <v>0</v>
      </c>
      <c r="H45" s="37">
        <f>'Round 2 Data'!H45*'Round 2 Points'!N$2</f>
        <v>0</v>
      </c>
      <c r="I45" s="37">
        <f>'Round 2 Data'!I45*'Round 2 Points'!O$2</f>
        <v>5</v>
      </c>
      <c r="J45" s="37">
        <f>'Round 2 Data'!J45*'Round 2 Points'!P$2</f>
        <v>0</v>
      </c>
      <c r="K45" s="37">
        <f>'Round 2 Data'!K45*'Round 2 Points'!Q$2</f>
        <v>0</v>
      </c>
      <c r="L45" s="37">
        <f>'Round 2 Data'!L45*'Round 2 Points'!R$2</f>
        <v>7</v>
      </c>
      <c r="M45" s="37">
        <f>'Round 2 Data'!M45*'Round 2 Points'!S$2</f>
        <v>0</v>
      </c>
      <c r="N45" s="37">
        <f>'Round 2 Data'!N45*'Round 2 Points'!T$2</f>
        <v>0</v>
      </c>
      <c r="O45" s="37">
        <f>'Round 2 Data'!O45*'Round 2 Points'!U$2</f>
        <v>0</v>
      </c>
      <c r="P45" s="37">
        <f>'Round 2 Data'!P45*'Round 2 Points'!V$2</f>
        <v>0</v>
      </c>
      <c r="Q45" s="37">
        <f>'Round 2 Data'!Q45*'Round 2 Points'!W$2</f>
        <v>0</v>
      </c>
      <c r="R45" s="37">
        <f>'Round 2 Data'!R45*'Round 2 Points'!X$2</f>
        <v>0</v>
      </c>
      <c r="S45" s="37">
        <f>'Round 2 Data'!S45*'Round 2 Points'!Y$2</f>
        <v>0</v>
      </c>
      <c r="T45" s="38">
        <f t="shared" si="0"/>
        <v>33</v>
      </c>
      <c r="U45" s="37">
        <f>'Round 2 Data'!U45*'Round 2 Points'!Z$2</f>
        <v>0</v>
      </c>
      <c r="V45" s="36">
        <f>IF('Round 2 Data'!D45='Round 2 Points'!$K$1,D45/80*$K$2,0)</f>
        <v>0</v>
      </c>
      <c r="W45" s="52">
        <f t="shared" si="1"/>
        <v>33</v>
      </c>
    </row>
    <row r="46" spans="1:23" ht="16" thickBot="1" x14ac:dyDescent="0.25">
      <c r="A46" s="77" t="s">
        <v>25</v>
      </c>
      <c r="B46" s="36" t="str" cm="1">
        <f t="array" ref="B46:C46">_xlfn.XLOOKUP(A46,'Player List'!$A$2:$A$177,'Player List'!$B$2:$C$177)</f>
        <v>France</v>
      </c>
      <c r="C46" s="36" t="str">
        <v>Second Row</v>
      </c>
      <c r="D46" s="37">
        <v>80</v>
      </c>
      <c r="F46" s="37">
        <f>'Round 2 Data'!F46*'Round 2 Points'!L$2</f>
        <v>24</v>
      </c>
      <c r="G46" s="37">
        <f>'Round 2 Data'!G46*'Round 2 Points'!M$2</f>
        <v>14</v>
      </c>
      <c r="H46" s="37">
        <f>'Round 2 Data'!H46*'Round 2 Points'!N$2</f>
        <v>0</v>
      </c>
      <c r="I46" s="37">
        <f>'Round 2 Data'!I46*'Round 2 Points'!O$2</f>
        <v>12</v>
      </c>
      <c r="J46" s="37">
        <f>'Round 2 Data'!J46*'Round 2 Points'!P$2</f>
        <v>0</v>
      </c>
      <c r="K46" s="37">
        <f>'Round 2 Data'!K46*'Round 2 Points'!Q$2</f>
        <v>0</v>
      </c>
      <c r="L46" s="37">
        <f>'Round 2 Data'!L46*'Round 2 Points'!R$2</f>
        <v>0</v>
      </c>
      <c r="M46" s="37">
        <f>'Round 2 Data'!M46*'Round 2 Points'!S$2</f>
        <v>0</v>
      </c>
      <c r="N46" s="37">
        <f>'Round 2 Data'!N46*'Round 2 Points'!T$2</f>
        <v>0</v>
      </c>
      <c r="O46" s="37">
        <f>'Round 2 Data'!O46*'Round 2 Points'!U$2</f>
        <v>0</v>
      </c>
      <c r="P46" s="37">
        <f>'Round 2 Data'!P46*'Round 2 Points'!V$2</f>
        <v>0</v>
      </c>
      <c r="Q46" s="37">
        <f>'Round 2 Data'!Q46*'Round 2 Points'!W$2</f>
        <v>0</v>
      </c>
      <c r="R46" s="37">
        <f>'Round 2 Data'!R46*'Round 2 Points'!X$2</f>
        <v>0</v>
      </c>
      <c r="S46" s="37">
        <f>'Round 2 Data'!S46*'Round 2 Points'!Y$2</f>
        <v>0</v>
      </c>
      <c r="T46" s="38">
        <f t="shared" si="0"/>
        <v>50</v>
      </c>
      <c r="U46" s="37">
        <f>'Round 2 Data'!U46*'Round 2 Points'!Z$2</f>
        <v>0</v>
      </c>
      <c r="V46" s="36">
        <f>IF('Round 2 Data'!D46='Round 2 Points'!$K$1,D46/80*$K$2,0)</f>
        <v>0</v>
      </c>
      <c r="W46" s="52">
        <f t="shared" si="1"/>
        <v>50</v>
      </c>
    </row>
    <row r="47" spans="1:23" ht="16" thickBot="1" x14ac:dyDescent="0.25">
      <c r="A47" s="76" t="s">
        <v>26</v>
      </c>
      <c r="B47" s="36" t="str" cm="1">
        <f t="array" ref="B47:C47">_xlfn.XLOOKUP(A47,'Player List'!$A$2:$A$177,'Player List'!$B$2:$C$177)</f>
        <v>France</v>
      </c>
      <c r="C47" s="36" t="str">
        <v>Second Row</v>
      </c>
      <c r="D47" s="37">
        <v>35</v>
      </c>
      <c r="F47" s="37">
        <f>'Round 2 Data'!F47*'Round 2 Points'!L$2</f>
        <v>11</v>
      </c>
      <c r="G47" s="37">
        <f>'Round 2 Data'!G47*'Round 2 Points'!M$2</f>
        <v>7</v>
      </c>
      <c r="H47" s="37">
        <f>'Round 2 Data'!H47*'Round 2 Points'!N$2</f>
        <v>0</v>
      </c>
      <c r="I47" s="37">
        <f>'Round 2 Data'!I47*'Round 2 Points'!O$2</f>
        <v>0.60000000000000009</v>
      </c>
      <c r="J47" s="37">
        <f>'Round 2 Data'!J47*'Round 2 Points'!P$2</f>
        <v>0</v>
      </c>
      <c r="K47" s="37">
        <f>'Round 2 Data'!K47*'Round 2 Points'!Q$2</f>
        <v>0</v>
      </c>
      <c r="L47" s="37">
        <f>'Round 2 Data'!L47*'Round 2 Points'!R$2</f>
        <v>7</v>
      </c>
      <c r="M47" s="37">
        <f>'Round 2 Data'!M47*'Round 2 Points'!S$2</f>
        <v>0</v>
      </c>
      <c r="N47" s="37">
        <f>'Round 2 Data'!N47*'Round 2 Points'!T$2</f>
        <v>0</v>
      </c>
      <c r="O47" s="37">
        <f>'Round 2 Data'!O47*'Round 2 Points'!U$2</f>
        <v>0</v>
      </c>
      <c r="P47" s="37">
        <f>'Round 2 Data'!P47*'Round 2 Points'!V$2</f>
        <v>0</v>
      </c>
      <c r="Q47" s="37">
        <f>'Round 2 Data'!Q47*'Round 2 Points'!W$2</f>
        <v>0</v>
      </c>
      <c r="R47" s="37">
        <f>'Round 2 Data'!R47*'Round 2 Points'!X$2</f>
        <v>0</v>
      </c>
      <c r="S47" s="37">
        <f>'Round 2 Data'!S47*'Round 2 Points'!Y$2</f>
        <v>0</v>
      </c>
      <c r="T47" s="38">
        <f t="shared" si="0"/>
        <v>25.6</v>
      </c>
      <c r="U47" s="37">
        <f>'Round 2 Data'!U47*'Round 2 Points'!Z$2</f>
        <v>0</v>
      </c>
      <c r="V47" s="36">
        <f>IF('Round 2 Data'!D47='Round 2 Points'!$K$1,D47/80*$K$2,0)</f>
        <v>0</v>
      </c>
      <c r="W47" s="52">
        <f t="shared" si="1"/>
        <v>25.6</v>
      </c>
    </row>
    <row r="48" spans="1:23" ht="16" thickBot="1" x14ac:dyDescent="0.25">
      <c r="A48" s="77" t="s">
        <v>27</v>
      </c>
      <c r="B48" s="36" t="str" cm="1">
        <f t="array" ref="B48:C48">_xlfn.XLOOKUP(A48,'Player List'!$A$2:$A$177,'Player List'!$B$2:$C$177)</f>
        <v>France</v>
      </c>
      <c r="C48" s="36" t="str">
        <v>Second Row</v>
      </c>
      <c r="D48" s="37">
        <v>45</v>
      </c>
      <c r="F48" s="37">
        <f>'Round 2 Data'!F48*'Round 2 Points'!L$2</f>
        <v>10</v>
      </c>
      <c r="G48" s="37">
        <f>'Round 2 Data'!G48*'Round 2 Points'!M$2</f>
        <v>14</v>
      </c>
      <c r="H48" s="37">
        <f>'Round 2 Data'!H48*'Round 2 Points'!N$2</f>
        <v>0</v>
      </c>
      <c r="I48" s="37">
        <f>'Round 2 Data'!I48*'Round 2 Points'!O$2</f>
        <v>3.2</v>
      </c>
      <c r="J48" s="37">
        <f>'Round 2 Data'!J48*'Round 2 Points'!P$2</f>
        <v>0</v>
      </c>
      <c r="K48" s="37">
        <f>'Round 2 Data'!K48*'Round 2 Points'!Q$2</f>
        <v>0</v>
      </c>
      <c r="L48" s="37">
        <f>'Round 2 Data'!L48*'Round 2 Points'!R$2</f>
        <v>0</v>
      </c>
      <c r="M48" s="37">
        <f>'Round 2 Data'!M48*'Round 2 Points'!S$2</f>
        <v>0</v>
      </c>
      <c r="N48" s="37">
        <f>'Round 2 Data'!N48*'Round 2 Points'!T$2</f>
        <v>0</v>
      </c>
      <c r="O48" s="37">
        <f>'Round 2 Data'!O48*'Round 2 Points'!U$2</f>
        <v>0</v>
      </c>
      <c r="P48" s="37">
        <f>'Round 2 Data'!P48*'Round 2 Points'!V$2</f>
        <v>0</v>
      </c>
      <c r="Q48" s="37">
        <f>'Round 2 Data'!Q48*'Round 2 Points'!W$2</f>
        <v>0</v>
      </c>
      <c r="R48" s="37">
        <f>'Round 2 Data'!R48*'Round 2 Points'!X$2</f>
        <v>0</v>
      </c>
      <c r="S48" s="37">
        <f>'Round 2 Data'!S48*'Round 2 Points'!Y$2</f>
        <v>0</v>
      </c>
      <c r="T48" s="38">
        <f t="shared" si="0"/>
        <v>27.2</v>
      </c>
      <c r="U48" s="37">
        <f>'Round 2 Data'!U48*'Round 2 Points'!Z$2</f>
        <v>0</v>
      </c>
      <c r="V48" s="36">
        <f>IF('Round 2 Data'!D48='Round 2 Points'!$K$1,D48/80*$K$2,0)</f>
        <v>0</v>
      </c>
      <c r="W48" s="52">
        <f t="shared" si="1"/>
        <v>27.2</v>
      </c>
    </row>
    <row r="49" spans="1:23" ht="16" thickBot="1" x14ac:dyDescent="0.25">
      <c r="A49" s="76" t="s">
        <v>28</v>
      </c>
      <c r="B49" s="36" t="str" cm="1">
        <f t="array" ref="B49:C49">_xlfn.XLOOKUP(A49,'Player List'!$A$2:$A$177,'Player List'!$B$2:$C$177)</f>
        <v>France</v>
      </c>
      <c r="C49" s="36" t="str">
        <v>Prop</v>
      </c>
      <c r="D49" s="37">
        <v>44</v>
      </c>
      <c r="F49" s="37">
        <f>'Round 2 Data'!F49*'Round 2 Points'!L$2</f>
        <v>8</v>
      </c>
      <c r="G49" s="37">
        <f>'Round 2 Data'!G49*'Round 2 Points'!M$2</f>
        <v>14</v>
      </c>
      <c r="H49" s="37">
        <f>'Round 2 Data'!H49*'Round 2 Points'!N$2</f>
        <v>0</v>
      </c>
      <c r="I49" s="37">
        <f>'Round 2 Data'!I49*'Round 2 Points'!O$2</f>
        <v>1.2000000000000002</v>
      </c>
      <c r="J49" s="37">
        <f>'Round 2 Data'!J49*'Round 2 Points'!P$2</f>
        <v>0</v>
      </c>
      <c r="K49" s="37">
        <f>'Round 2 Data'!K49*'Round 2 Points'!Q$2</f>
        <v>0</v>
      </c>
      <c r="L49" s="37">
        <f>'Round 2 Data'!L49*'Round 2 Points'!R$2</f>
        <v>0</v>
      </c>
      <c r="M49" s="37">
        <f>'Round 2 Data'!M49*'Round 2 Points'!S$2</f>
        <v>0</v>
      </c>
      <c r="N49" s="37">
        <f>'Round 2 Data'!N49*'Round 2 Points'!T$2</f>
        <v>0</v>
      </c>
      <c r="O49" s="37">
        <f>'Round 2 Data'!O49*'Round 2 Points'!U$2</f>
        <v>0</v>
      </c>
      <c r="P49" s="37">
        <f>'Round 2 Data'!P49*'Round 2 Points'!V$2</f>
        <v>0</v>
      </c>
      <c r="Q49" s="37">
        <f>'Round 2 Data'!Q49*'Round 2 Points'!W$2</f>
        <v>0</v>
      </c>
      <c r="R49" s="37">
        <f>'Round 2 Data'!R49*'Round 2 Points'!X$2</f>
        <v>-5</v>
      </c>
      <c r="S49" s="37">
        <f>'Round 2 Data'!S49*'Round 2 Points'!Y$2</f>
        <v>0</v>
      </c>
      <c r="T49" s="38">
        <f t="shared" si="0"/>
        <v>18.2</v>
      </c>
      <c r="U49" s="37">
        <f>'Round 2 Data'!U49*'Round 2 Points'!Z$2</f>
        <v>0</v>
      </c>
      <c r="V49" s="36">
        <f>IF('Round 2 Data'!D49='Round 2 Points'!$K$1,D49/80*$K$2,0)</f>
        <v>0</v>
      </c>
      <c r="W49" s="52">
        <f t="shared" si="1"/>
        <v>18.2</v>
      </c>
    </row>
    <row r="50" spans="1:23" ht="16" thickBot="1" x14ac:dyDescent="0.25">
      <c r="A50" s="77" t="s">
        <v>29</v>
      </c>
      <c r="B50" s="36" t="str" cm="1">
        <f t="array" ref="B50:C50">_xlfn.XLOOKUP(A50,'Player List'!$A$2:$A$177,'Player List'!$B$2:$C$177)</f>
        <v>France</v>
      </c>
      <c r="C50" s="36" t="str">
        <v>Prop</v>
      </c>
      <c r="D50" s="37">
        <v>56</v>
      </c>
      <c r="F50" s="37">
        <f>'Round 2 Data'!F50*'Round 2 Points'!L$2</f>
        <v>14</v>
      </c>
      <c r="G50" s="37">
        <f>'Round 2 Data'!G50*'Round 2 Points'!M$2</f>
        <v>0</v>
      </c>
      <c r="H50" s="37">
        <f>'Round 2 Data'!H50*'Round 2 Points'!N$2</f>
        <v>0</v>
      </c>
      <c r="I50" s="37">
        <f>'Round 2 Data'!I50*'Round 2 Points'!O$2</f>
        <v>4.6000000000000005</v>
      </c>
      <c r="J50" s="37">
        <f>'Round 2 Data'!J50*'Round 2 Points'!P$2</f>
        <v>0</v>
      </c>
      <c r="K50" s="37">
        <f>'Round 2 Data'!K50*'Round 2 Points'!Q$2</f>
        <v>0</v>
      </c>
      <c r="L50" s="37">
        <f>'Round 2 Data'!L50*'Round 2 Points'!R$2</f>
        <v>0</v>
      </c>
      <c r="M50" s="37">
        <f>'Round 2 Data'!M50*'Round 2 Points'!S$2</f>
        <v>0</v>
      </c>
      <c r="N50" s="37">
        <f>'Round 2 Data'!N50*'Round 2 Points'!T$2</f>
        <v>0</v>
      </c>
      <c r="O50" s="37">
        <f>'Round 2 Data'!O50*'Round 2 Points'!U$2</f>
        <v>0</v>
      </c>
      <c r="P50" s="37">
        <f>'Round 2 Data'!P50*'Round 2 Points'!V$2</f>
        <v>0</v>
      </c>
      <c r="Q50" s="37">
        <f>'Round 2 Data'!Q50*'Round 2 Points'!W$2</f>
        <v>0</v>
      </c>
      <c r="R50" s="37">
        <f>'Round 2 Data'!R50*'Round 2 Points'!X$2</f>
        <v>0</v>
      </c>
      <c r="S50" s="37">
        <f>'Round 2 Data'!S50*'Round 2 Points'!Y$2</f>
        <v>0</v>
      </c>
      <c r="T50" s="38">
        <f t="shared" si="0"/>
        <v>18.600000000000001</v>
      </c>
      <c r="U50" s="37">
        <f>'Round 2 Data'!U50*'Round 2 Points'!Z$2</f>
        <v>0</v>
      </c>
      <c r="V50" s="36">
        <f>IF('Round 2 Data'!D50='Round 2 Points'!$K$1,D50/80*$K$2,0)</f>
        <v>0</v>
      </c>
      <c r="W50" s="52">
        <f t="shared" si="1"/>
        <v>18.600000000000001</v>
      </c>
    </row>
    <row r="51" spans="1:23" ht="16" thickBot="1" x14ac:dyDescent="0.25">
      <c r="A51" s="76" t="s">
        <v>30</v>
      </c>
      <c r="B51" s="36" t="str" cm="1">
        <f t="array" ref="B51:C51">_xlfn.XLOOKUP(A51,'Player List'!$A$2:$A$177,'Player List'!$B$2:$C$177)</f>
        <v>France</v>
      </c>
      <c r="C51" s="36" t="str">
        <v>Prop</v>
      </c>
      <c r="D51" s="37">
        <v>36</v>
      </c>
      <c r="F51" s="37">
        <f>'Round 2 Data'!F51*'Round 2 Points'!L$2</f>
        <v>6</v>
      </c>
      <c r="G51" s="37">
        <f>'Round 2 Data'!G51*'Round 2 Points'!M$2</f>
        <v>7</v>
      </c>
      <c r="H51" s="37">
        <f>'Round 2 Data'!H51*'Round 2 Points'!N$2</f>
        <v>0</v>
      </c>
      <c r="I51" s="37">
        <f>'Round 2 Data'!I51*'Round 2 Points'!O$2</f>
        <v>4</v>
      </c>
      <c r="J51" s="37">
        <f>'Round 2 Data'!J51*'Round 2 Points'!P$2</f>
        <v>0</v>
      </c>
      <c r="K51" s="37">
        <f>'Round 2 Data'!K51*'Round 2 Points'!Q$2</f>
        <v>0</v>
      </c>
      <c r="L51" s="37">
        <f>'Round 2 Data'!L51*'Round 2 Points'!R$2</f>
        <v>0</v>
      </c>
      <c r="M51" s="37">
        <f>'Round 2 Data'!M51*'Round 2 Points'!S$2</f>
        <v>0</v>
      </c>
      <c r="N51" s="37">
        <f>'Round 2 Data'!N51*'Round 2 Points'!T$2</f>
        <v>0</v>
      </c>
      <c r="O51" s="37">
        <f>'Round 2 Data'!O51*'Round 2 Points'!U$2</f>
        <v>0</v>
      </c>
      <c r="P51" s="37">
        <f>'Round 2 Data'!P51*'Round 2 Points'!V$2</f>
        <v>0</v>
      </c>
      <c r="Q51" s="37">
        <f>'Round 2 Data'!Q51*'Round 2 Points'!W$2</f>
        <v>0</v>
      </c>
      <c r="R51" s="37">
        <f>'Round 2 Data'!R51*'Round 2 Points'!X$2</f>
        <v>0</v>
      </c>
      <c r="S51" s="37">
        <f>'Round 2 Data'!S51*'Round 2 Points'!Y$2</f>
        <v>0</v>
      </c>
      <c r="T51" s="38">
        <f t="shared" si="0"/>
        <v>17</v>
      </c>
      <c r="U51" s="37">
        <f>'Round 2 Data'!U51*'Round 2 Points'!Z$2</f>
        <v>0</v>
      </c>
      <c r="V51" s="36">
        <f>IF('Round 2 Data'!D51='Round 2 Points'!$K$1,D51/80*$K$2,0)</f>
        <v>0</v>
      </c>
      <c r="W51" s="52">
        <f t="shared" si="1"/>
        <v>17</v>
      </c>
    </row>
    <row r="52" spans="1:23" ht="16" thickBot="1" x14ac:dyDescent="0.25">
      <c r="A52" s="77" t="s">
        <v>31</v>
      </c>
      <c r="B52" s="36" t="str" cm="1">
        <f t="array" ref="B52:C52">_xlfn.XLOOKUP(A52,'Player List'!$A$2:$A$177,'Player List'!$B$2:$C$177)</f>
        <v>France</v>
      </c>
      <c r="C52" s="36" t="str">
        <v>Prop</v>
      </c>
      <c r="D52" s="37">
        <v>24</v>
      </c>
      <c r="F52" s="37">
        <f>'Round 2 Data'!F52*'Round 2 Points'!L$2</f>
        <v>6</v>
      </c>
      <c r="G52" s="37">
        <f>'Round 2 Data'!G52*'Round 2 Points'!M$2</f>
        <v>7</v>
      </c>
      <c r="H52" s="37">
        <f>'Round 2 Data'!H52*'Round 2 Points'!N$2</f>
        <v>0</v>
      </c>
      <c r="I52" s="37">
        <f>'Round 2 Data'!I52*'Round 2 Points'!O$2</f>
        <v>2.2000000000000002</v>
      </c>
      <c r="J52" s="37">
        <f>'Round 2 Data'!J52*'Round 2 Points'!P$2</f>
        <v>0</v>
      </c>
      <c r="K52" s="37">
        <f>'Round 2 Data'!K52*'Round 2 Points'!Q$2</f>
        <v>0</v>
      </c>
      <c r="L52" s="37">
        <f>'Round 2 Data'!L52*'Round 2 Points'!R$2</f>
        <v>0</v>
      </c>
      <c r="M52" s="37">
        <f>'Round 2 Data'!M52*'Round 2 Points'!S$2</f>
        <v>0</v>
      </c>
      <c r="N52" s="37">
        <f>'Round 2 Data'!N52*'Round 2 Points'!T$2</f>
        <v>0</v>
      </c>
      <c r="O52" s="37">
        <f>'Round 2 Data'!O52*'Round 2 Points'!U$2</f>
        <v>0</v>
      </c>
      <c r="P52" s="37">
        <f>'Round 2 Data'!P52*'Round 2 Points'!V$2</f>
        <v>0</v>
      </c>
      <c r="Q52" s="37">
        <f>'Round 2 Data'!Q52*'Round 2 Points'!W$2</f>
        <v>0</v>
      </c>
      <c r="R52" s="37">
        <f>'Round 2 Data'!R52*'Round 2 Points'!X$2</f>
        <v>0</v>
      </c>
      <c r="S52" s="37">
        <f>'Round 2 Data'!S52*'Round 2 Points'!Y$2</f>
        <v>0</v>
      </c>
      <c r="T52" s="38">
        <f t="shared" si="0"/>
        <v>15.2</v>
      </c>
      <c r="U52" s="37">
        <f>'Round 2 Data'!U52*'Round 2 Points'!Z$2</f>
        <v>0</v>
      </c>
      <c r="V52" s="36">
        <f>IF('Round 2 Data'!D52='Round 2 Points'!$K$1,D52/80*$K$2,0)</f>
        <v>0</v>
      </c>
      <c r="W52" s="52">
        <f t="shared" si="1"/>
        <v>15.2</v>
      </c>
    </row>
    <row r="53" spans="1:23" ht="16" thickBot="1" x14ac:dyDescent="0.25">
      <c r="A53" s="76" t="s">
        <v>32</v>
      </c>
      <c r="B53" s="36" t="str" cm="1">
        <f t="array" ref="B53:C53">_xlfn.XLOOKUP(A53,'Player List'!$A$2:$A$177,'Player List'!$B$2:$C$177)</f>
        <v>France</v>
      </c>
      <c r="C53" s="36" t="str">
        <v>Hooker</v>
      </c>
      <c r="D53" s="37">
        <v>6</v>
      </c>
      <c r="F53" s="37">
        <f>'Round 2 Data'!F53*'Round 2 Points'!L$2</f>
        <v>2</v>
      </c>
      <c r="G53" s="37">
        <f>'Round 2 Data'!G53*'Round 2 Points'!M$2</f>
        <v>0</v>
      </c>
      <c r="H53" s="37">
        <f>'Round 2 Data'!H53*'Round 2 Points'!N$2</f>
        <v>0</v>
      </c>
      <c r="I53" s="37">
        <f>'Round 2 Data'!I53*'Round 2 Points'!O$2</f>
        <v>3.6</v>
      </c>
      <c r="J53" s="37">
        <f>'Round 2 Data'!J53*'Round 2 Points'!P$2</f>
        <v>0</v>
      </c>
      <c r="K53" s="37">
        <f>'Round 2 Data'!K53*'Round 2 Points'!Q$2</f>
        <v>0</v>
      </c>
      <c r="L53" s="37">
        <f>'Round 2 Data'!L53*'Round 2 Points'!R$2</f>
        <v>0</v>
      </c>
      <c r="M53" s="37">
        <f>'Round 2 Data'!M53*'Round 2 Points'!S$2</f>
        <v>0</v>
      </c>
      <c r="N53" s="37">
        <f>'Round 2 Data'!N53*'Round 2 Points'!T$2</f>
        <v>0</v>
      </c>
      <c r="O53" s="37">
        <f>'Round 2 Data'!O53*'Round 2 Points'!U$2</f>
        <v>0</v>
      </c>
      <c r="P53" s="37">
        <f>'Round 2 Data'!P53*'Round 2 Points'!V$2</f>
        <v>0</v>
      </c>
      <c r="Q53" s="37">
        <f>'Round 2 Data'!Q53*'Round 2 Points'!W$2</f>
        <v>0</v>
      </c>
      <c r="R53" s="37">
        <f>'Round 2 Data'!R53*'Round 2 Points'!X$2</f>
        <v>0</v>
      </c>
      <c r="S53" s="37">
        <f>'Round 2 Data'!S53*'Round 2 Points'!Y$2</f>
        <v>0</v>
      </c>
      <c r="T53" s="38">
        <f t="shared" si="0"/>
        <v>5.6</v>
      </c>
      <c r="U53" s="37">
        <f>'Round 2 Data'!U53*'Round 2 Points'!Z$2</f>
        <v>0</v>
      </c>
      <c r="V53" s="36">
        <f>IF('Round 2 Data'!D53='Round 2 Points'!$K$1,D53/80*$K$2,0)</f>
        <v>0</v>
      </c>
      <c r="W53" s="52">
        <f t="shared" si="1"/>
        <v>5.6</v>
      </c>
    </row>
    <row r="54" spans="1:23" ht="16" thickBot="1" x14ac:dyDescent="0.25">
      <c r="A54" s="77" t="s">
        <v>33</v>
      </c>
      <c r="B54" s="36" t="str" cm="1">
        <f t="array" ref="B54:C54">_xlfn.XLOOKUP(A54,'Player List'!$A$2:$A$177,'Player List'!$B$2:$C$177)</f>
        <v>France</v>
      </c>
      <c r="C54" s="36" t="str">
        <v>Hooker</v>
      </c>
      <c r="D54" s="37">
        <v>74</v>
      </c>
      <c r="F54" s="37">
        <f>'Round 2 Data'!F54*'Round 2 Points'!L$2</f>
        <v>19</v>
      </c>
      <c r="G54" s="37">
        <f>'Round 2 Data'!G54*'Round 2 Points'!M$2</f>
        <v>0</v>
      </c>
      <c r="H54" s="37">
        <f>'Round 2 Data'!H54*'Round 2 Points'!N$2</f>
        <v>0</v>
      </c>
      <c r="I54" s="37">
        <f>'Round 2 Data'!I54*'Round 2 Points'!O$2</f>
        <v>4.8000000000000007</v>
      </c>
      <c r="J54" s="37">
        <f>'Round 2 Data'!J54*'Round 2 Points'!P$2</f>
        <v>0</v>
      </c>
      <c r="K54" s="37">
        <f>'Round 2 Data'!K54*'Round 2 Points'!Q$2</f>
        <v>0</v>
      </c>
      <c r="L54" s="37">
        <f>'Round 2 Data'!L54*'Round 2 Points'!R$2</f>
        <v>14</v>
      </c>
      <c r="M54" s="37">
        <f>'Round 2 Data'!M54*'Round 2 Points'!S$2</f>
        <v>0</v>
      </c>
      <c r="N54" s="37">
        <f>'Round 2 Data'!N54*'Round 2 Points'!T$2</f>
        <v>0</v>
      </c>
      <c r="O54" s="37">
        <f>'Round 2 Data'!O54*'Round 2 Points'!U$2</f>
        <v>0</v>
      </c>
      <c r="P54" s="37">
        <f>'Round 2 Data'!P54*'Round 2 Points'!V$2</f>
        <v>0</v>
      </c>
      <c r="Q54" s="37">
        <f>'Round 2 Data'!Q54*'Round 2 Points'!W$2</f>
        <v>0</v>
      </c>
      <c r="R54" s="37">
        <f>'Round 2 Data'!R54*'Round 2 Points'!X$2</f>
        <v>0</v>
      </c>
      <c r="S54" s="37">
        <f>'Round 2 Data'!S54*'Round 2 Points'!Y$2</f>
        <v>0</v>
      </c>
      <c r="T54" s="38">
        <f t="shared" si="0"/>
        <v>37.799999999999997</v>
      </c>
      <c r="U54" s="37">
        <f>'Round 2 Data'!U54*'Round 2 Points'!Z$2</f>
        <v>0</v>
      </c>
      <c r="V54" s="36">
        <f>IF('Round 2 Data'!D54='Round 2 Points'!$K$1,D54/80*$K$2,0)</f>
        <v>0</v>
      </c>
      <c r="W54" s="52">
        <f t="shared" si="1"/>
        <v>37.799999999999997</v>
      </c>
    </row>
    <row r="55" spans="1:23" ht="16" thickBot="1" x14ac:dyDescent="0.25">
      <c r="A55" s="76" t="s">
        <v>34</v>
      </c>
      <c r="B55" s="36" t="str" cm="1">
        <f t="array" ref="B55:C55">_xlfn.XLOOKUP(A55,'Player List'!$A$2:$A$177,'Player List'!$B$2:$C$177)</f>
        <v>Scotland</v>
      </c>
      <c r="C55" s="36" t="str">
        <v>Back Three</v>
      </c>
      <c r="D55" s="37">
        <v>13</v>
      </c>
      <c r="F55" s="37">
        <f>'Round 2 Data'!F55*'Round 2 Points'!L$2</f>
        <v>1</v>
      </c>
      <c r="G55" s="37">
        <f>'Round 2 Data'!G55*'Round 2 Points'!M$2</f>
        <v>0</v>
      </c>
      <c r="H55" s="37">
        <f>'Round 2 Data'!H55*'Round 2 Points'!N$2</f>
        <v>0</v>
      </c>
      <c r="I55" s="37">
        <f>'Round 2 Data'!I55*'Round 2 Points'!O$2</f>
        <v>3.6</v>
      </c>
      <c r="J55" s="37">
        <f>'Round 2 Data'!J55*'Round 2 Points'!P$2</f>
        <v>0</v>
      </c>
      <c r="K55" s="37">
        <f>'Round 2 Data'!K55*'Round 2 Points'!Q$2</f>
        <v>0</v>
      </c>
      <c r="L55" s="37">
        <f>'Round 2 Data'!L55*'Round 2 Points'!R$2</f>
        <v>0</v>
      </c>
      <c r="M55" s="37">
        <f>'Round 2 Data'!M55*'Round 2 Points'!S$2</f>
        <v>0</v>
      </c>
      <c r="N55" s="37">
        <f>'Round 2 Data'!N55*'Round 2 Points'!T$2</f>
        <v>0</v>
      </c>
      <c r="O55" s="37">
        <f>'Round 2 Data'!O55*'Round 2 Points'!U$2</f>
        <v>0</v>
      </c>
      <c r="P55" s="37">
        <f>'Round 2 Data'!P55*'Round 2 Points'!V$2</f>
        <v>0</v>
      </c>
      <c r="Q55" s="37">
        <f>'Round 2 Data'!Q55*'Round 2 Points'!W$2</f>
        <v>0</v>
      </c>
      <c r="R55" s="37">
        <f>'Round 2 Data'!R55*'Round 2 Points'!X$2</f>
        <v>0</v>
      </c>
      <c r="S55" s="37">
        <f>'Round 2 Data'!S55*'Round 2 Points'!Y$2</f>
        <v>0</v>
      </c>
      <c r="T55" s="38">
        <f t="shared" si="0"/>
        <v>4.5999999999999996</v>
      </c>
      <c r="U55" s="37">
        <f>'Round 2 Data'!U55*'Round 2 Points'!Z$2</f>
        <v>0</v>
      </c>
      <c r="V55" s="36">
        <f>IF('Round 2 Data'!D55='Round 2 Points'!$K$1,D55/80*$K$2,0)</f>
        <v>1.3</v>
      </c>
      <c r="W55" s="52">
        <f t="shared" si="1"/>
        <v>5.8999999999999995</v>
      </c>
    </row>
    <row r="56" spans="1:23" ht="16" thickBot="1" x14ac:dyDescent="0.25">
      <c r="A56" s="77" t="s">
        <v>35</v>
      </c>
      <c r="B56" s="36" t="str" cm="1">
        <f t="array" ref="B56:C56">_xlfn.XLOOKUP(A56,'Player List'!$A$2:$A$177,'Player List'!$B$2:$C$177)</f>
        <v>Scotland</v>
      </c>
      <c r="C56" s="36" t="str">
        <v>Back Three</v>
      </c>
      <c r="D56" s="37">
        <v>67</v>
      </c>
      <c r="F56" s="37">
        <f>'Round 2 Data'!F56*'Round 2 Points'!L$2</f>
        <v>5</v>
      </c>
      <c r="G56" s="37">
        <f>'Round 2 Data'!G56*'Round 2 Points'!M$2</f>
        <v>0</v>
      </c>
      <c r="H56" s="37">
        <f>'Round 2 Data'!H56*'Round 2 Points'!N$2</f>
        <v>14</v>
      </c>
      <c r="I56" s="37">
        <f>'Round 2 Data'!I56*'Round 2 Points'!O$2</f>
        <v>22</v>
      </c>
      <c r="J56" s="37">
        <f>'Round 2 Data'!J56*'Round 2 Points'!P$2</f>
        <v>0</v>
      </c>
      <c r="K56" s="37">
        <f>'Round 2 Data'!K56*'Round 2 Points'!Q$2</f>
        <v>0</v>
      </c>
      <c r="L56" s="37">
        <f>'Round 2 Data'!L56*'Round 2 Points'!R$2</f>
        <v>0</v>
      </c>
      <c r="M56" s="37">
        <f>'Round 2 Data'!M56*'Round 2 Points'!S$2</f>
        <v>15</v>
      </c>
      <c r="N56" s="37">
        <f>'Round 2 Data'!N56*'Round 2 Points'!T$2</f>
        <v>0</v>
      </c>
      <c r="O56" s="37">
        <f>'Round 2 Data'!O56*'Round 2 Points'!U$2</f>
        <v>0</v>
      </c>
      <c r="P56" s="37">
        <f>'Round 2 Data'!P56*'Round 2 Points'!V$2</f>
        <v>0</v>
      </c>
      <c r="Q56" s="37">
        <f>'Round 2 Data'!Q56*'Round 2 Points'!W$2</f>
        <v>0</v>
      </c>
      <c r="R56" s="37">
        <f>'Round 2 Data'!R56*'Round 2 Points'!X$2</f>
        <v>0</v>
      </c>
      <c r="S56" s="37">
        <f>'Round 2 Data'!S56*'Round 2 Points'!Y$2</f>
        <v>0</v>
      </c>
      <c r="T56" s="38">
        <f t="shared" si="0"/>
        <v>56</v>
      </c>
      <c r="U56" s="37">
        <f>'Round 2 Data'!U56*'Round 2 Points'!Z$2</f>
        <v>0</v>
      </c>
      <c r="V56" s="36">
        <f>IF('Round 2 Data'!D56='Round 2 Points'!$K$1,D56/80*$K$2,0)</f>
        <v>6.7</v>
      </c>
      <c r="W56" s="52">
        <f t="shared" si="1"/>
        <v>62.7</v>
      </c>
    </row>
    <row r="57" spans="1:23" ht="16" thickBot="1" x14ac:dyDescent="0.25">
      <c r="A57" s="76" t="s">
        <v>36</v>
      </c>
      <c r="B57" s="36" t="str" cm="1">
        <f t="array" ref="B57:C57">_xlfn.XLOOKUP(A57,'Player List'!$A$2:$A$177,'Player List'!$B$2:$C$177)</f>
        <v>Scotland</v>
      </c>
      <c r="C57" s="36" t="str">
        <v>Back Three</v>
      </c>
      <c r="D57" s="37">
        <v>80</v>
      </c>
      <c r="F57" s="37">
        <f>'Round 2 Data'!F57*'Round 2 Points'!L$2</f>
        <v>3</v>
      </c>
      <c r="G57" s="37">
        <f>'Round 2 Data'!G57*'Round 2 Points'!M$2</f>
        <v>0</v>
      </c>
      <c r="H57" s="37">
        <f>'Round 2 Data'!H57*'Round 2 Points'!N$2</f>
        <v>21</v>
      </c>
      <c r="I57" s="37">
        <f>'Round 2 Data'!I57*'Round 2 Points'!O$2</f>
        <v>13</v>
      </c>
      <c r="J57" s="37">
        <f>'Round 2 Data'!J57*'Round 2 Points'!P$2</f>
        <v>0</v>
      </c>
      <c r="K57" s="37">
        <f>'Round 2 Data'!K57*'Round 2 Points'!Q$2</f>
        <v>0</v>
      </c>
      <c r="L57" s="37">
        <f>'Round 2 Data'!L57*'Round 2 Points'!R$2</f>
        <v>0</v>
      </c>
      <c r="M57" s="37">
        <f>'Round 2 Data'!M57*'Round 2 Points'!S$2</f>
        <v>30</v>
      </c>
      <c r="N57" s="37">
        <f>'Round 2 Data'!N57*'Round 2 Points'!T$2</f>
        <v>0</v>
      </c>
      <c r="O57" s="37">
        <f>'Round 2 Data'!O57*'Round 2 Points'!U$2</f>
        <v>0</v>
      </c>
      <c r="P57" s="37">
        <f>'Round 2 Data'!P57*'Round 2 Points'!V$2</f>
        <v>0</v>
      </c>
      <c r="Q57" s="37">
        <f>'Round 2 Data'!Q57*'Round 2 Points'!W$2</f>
        <v>0</v>
      </c>
      <c r="R57" s="37">
        <f>'Round 2 Data'!R57*'Round 2 Points'!X$2</f>
        <v>0</v>
      </c>
      <c r="S57" s="37">
        <f>'Round 2 Data'!S57*'Round 2 Points'!Y$2</f>
        <v>0</v>
      </c>
      <c r="T57" s="38">
        <f t="shared" si="0"/>
        <v>67</v>
      </c>
      <c r="U57" s="37">
        <f>'Round 2 Data'!U57*'Round 2 Points'!Z$2</f>
        <v>0</v>
      </c>
      <c r="V57" s="36">
        <f>IF('Round 2 Data'!D57='Round 2 Points'!$K$1,D57/80*$K$2,0)</f>
        <v>8</v>
      </c>
      <c r="W57" s="52">
        <f t="shared" si="1"/>
        <v>75</v>
      </c>
    </row>
    <row r="58" spans="1:23" ht="16" thickBot="1" x14ac:dyDescent="0.25">
      <c r="A58" s="77" t="s">
        <v>37</v>
      </c>
      <c r="B58" s="36" t="str" cm="1">
        <f t="array" ref="B58:C58">_xlfn.XLOOKUP(A58,'Player List'!$A$2:$A$177,'Player List'!$B$2:$C$177)</f>
        <v>Scotland</v>
      </c>
      <c r="C58" s="36" t="str">
        <v>Back Three</v>
      </c>
      <c r="D58" s="37">
        <v>80</v>
      </c>
      <c r="F58" s="37">
        <f>'Round 2 Data'!F58*'Round 2 Points'!L$2</f>
        <v>2</v>
      </c>
      <c r="G58" s="37">
        <f>'Round 2 Data'!G58*'Round 2 Points'!M$2</f>
        <v>0</v>
      </c>
      <c r="H58" s="37">
        <f>'Round 2 Data'!H58*'Round 2 Points'!N$2</f>
        <v>21</v>
      </c>
      <c r="I58" s="37">
        <f>'Round 2 Data'!I58*'Round 2 Points'!O$2</f>
        <v>29.8</v>
      </c>
      <c r="J58" s="37">
        <f>'Round 2 Data'!J58*'Round 2 Points'!P$2</f>
        <v>0</v>
      </c>
      <c r="K58" s="37">
        <f>'Round 2 Data'!K58*'Round 2 Points'!Q$2</f>
        <v>0</v>
      </c>
      <c r="L58" s="37">
        <f>'Round 2 Data'!L58*'Round 2 Points'!R$2</f>
        <v>0</v>
      </c>
      <c r="M58" s="37">
        <f>'Round 2 Data'!M58*'Round 2 Points'!S$2</f>
        <v>0</v>
      </c>
      <c r="N58" s="37">
        <f>'Round 2 Data'!N58*'Round 2 Points'!T$2</f>
        <v>7</v>
      </c>
      <c r="O58" s="37">
        <f>'Round 2 Data'!O58*'Round 2 Points'!U$2</f>
        <v>0</v>
      </c>
      <c r="P58" s="37">
        <f>'Round 2 Data'!P58*'Round 2 Points'!V$2</f>
        <v>0</v>
      </c>
      <c r="Q58" s="37">
        <f>'Round 2 Data'!Q58*'Round 2 Points'!W$2</f>
        <v>0</v>
      </c>
      <c r="R58" s="37">
        <f>'Round 2 Data'!R58*'Round 2 Points'!X$2</f>
        <v>0</v>
      </c>
      <c r="S58" s="37">
        <f>'Round 2 Data'!S58*'Round 2 Points'!Y$2</f>
        <v>0</v>
      </c>
      <c r="T58" s="38">
        <f t="shared" si="0"/>
        <v>59.8</v>
      </c>
      <c r="U58" s="37">
        <f>'Round 2 Data'!U58*'Round 2 Points'!Z$2</f>
        <v>0</v>
      </c>
      <c r="V58" s="36">
        <f>IF('Round 2 Data'!D58='Round 2 Points'!$K$1,D58/80*$K$2,0)</f>
        <v>8</v>
      </c>
      <c r="W58" s="52">
        <f t="shared" si="1"/>
        <v>67.8</v>
      </c>
    </row>
    <row r="59" spans="1:23" ht="16" thickBot="1" x14ac:dyDescent="0.25">
      <c r="A59" s="76" t="s">
        <v>38</v>
      </c>
      <c r="B59" s="36" t="str" cm="1">
        <f t="array" ref="B59:C59">_xlfn.XLOOKUP(A59,'Player List'!$A$2:$A$177,'Player List'!$B$2:$C$177)</f>
        <v>Scotland</v>
      </c>
      <c r="C59" s="36" t="str">
        <v>Centre</v>
      </c>
      <c r="D59" s="37">
        <v>8</v>
      </c>
      <c r="F59" s="37">
        <f>'Round 2 Data'!F59*'Round 2 Points'!L$2</f>
        <v>3</v>
      </c>
      <c r="G59" s="37">
        <f>'Round 2 Data'!G59*'Round 2 Points'!M$2</f>
        <v>0</v>
      </c>
      <c r="H59" s="37">
        <f>'Round 2 Data'!H59*'Round 2 Points'!N$2</f>
        <v>0</v>
      </c>
      <c r="I59" s="37">
        <f>'Round 2 Data'!I59*'Round 2 Points'!O$2</f>
        <v>2.4000000000000004</v>
      </c>
      <c r="J59" s="37">
        <f>'Round 2 Data'!J59*'Round 2 Points'!P$2</f>
        <v>0</v>
      </c>
      <c r="K59" s="37">
        <f>'Round 2 Data'!K59*'Round 2 Points'!Q$2</f>
        <v>0</v>
      </c>
      <c r="L59" s="37">
        <f>'Round 2 Data'!L59*'Round 2 Points'!R$2</f>
        <v>0</v>
      </c>
      <c r="M59" s="37">
        <f>'Round 2 Data'!M59*'Round 2 Points'!S$2</f>
        <v>0</v>
      </c>
      <c r="N59" s="37">
        <f>'Round 2 Data'!N59*'Round 2 Points'!T$2</f>
        <v>0</v>
      </c>
      <c r="O59" s="37">
        <f>'Round 2 Data'!O59*'Round 2 Points'!U$2</f>
        <v>0</v>
      </c>
      <c r="P59" s="37">
        <f>'Round 2 Data'!P59*'Round 2 Points'!V$2</f>
        <v>0</v>
      </c>
      <c r="Q59" s="37">
        <f>'Round 2 Data'!Q59*'Round 2 Points'!W$2</f>
        <v>0</v>
      </c>
      <c r="R59" s="37">
        <f>'Round 2 Data'!R59*'Round 2 Points'!X$2</f>
        <v>0</v>
      </c>
      <c r="S59" s="37">
        <f>'Round 2 Data'!S59*'Round 2 Points'!Y$2</f>
        <v>0</v>
      </c>
      <c r="T59" s="38">
        <f t="shared" si="0"/>
        <v>5.4</v>
      </c>
      <c r="U59" s="37">
        <f>'Round 2 Data'!U59*'Round 2 Points'!Z$2</f>
        <v>0</v>
      </c>
      <c r="V59" s="36">
        <f>IF('Round 2 Data'!D59='Round 2 Points'!$K$1,D59/80*$K$2,0)</f>
        <v>0.8</v>
      </c>
      <c r="W59" s="52">
        <f t="shared" si="1"/>
        <v>6.2</v>
      </c>
    </row>
    <row r="60" spans="1:23" ht="16" thickBot="1" x14ac:dyDescent="0.25">
      <c r="A60" s="77" t="s">
        <v>39</v>
      </c>
      <c r="B60" s="36" t="str" cm="1">
        <f t="array" ref="B60:C60">_xlfn.XLOOKUP(A60,'Player List'!$A$2:$A$177,'Player List'!$B$2:$C$177)</f>
        <v>Scotland</v>
      </c>
      <c r="C60" s="36" t="str">
        <v>Centre</v>
      </c>
      <c r="D60" s="37">
        <v>80</v>
      </c>
      <c r="F60" s="37">
        <f>'Round 2 Data'!F60*'Round 2 Points'!L$2</f>
        <v>10</v>
      </c>
      <c r="G60" s="37">
        <f>'Round 2 Data'!G60*'Round 2 Points'!M$2</f>
        <v>7</v>
      </c>
      <c r="H60" s="37">
        <f>'Round 2 Data'!H60*'Round 2 Points'!N$2</f>
        <v>7</v>
      </c>
      <c r="I60" s="37">
        <f>'Round 2 Data'!I60*'Round 2 Points'!O$2</f>
        <v>14.4</v>
      </c>
      <c r="J60" s="37">
        <f>'Round 2 Data'!J60*'Round 2 Points'!P$2</f>
        <v>0</v>
      </c>
      <c r="K60" s="37">
        <f>'Round 2 Data'!K60*'Round 2 Points'!Q$2</f>
        <v>0</v>
      </c>
      <c r="L60" s="37">
        <f>'Round 2 Data'!L60*'Round 2 Points'!R$2</f>
        <v>0</v>
      </c>
      <c r="M60" s="37">
        <f>'Round 2 Data'!M60*'Round 2 Points'!S$2</f>
        <v>0</v>
      </c>
      <c r="N60" s="37">
        <f>'Round 2 Data'!N60*'Round 2 Points'!T$2</f>
        <v>0</v>
      </c>
      <c r="O60" s="37">
        <f>'Round 2 Data'!O60*'Round 2 Points'!U$2</f>
        <v>0</v>
      </c>
      <c r="P60" s="37">
        <f>'Round 2 Data'!P60*'Round 2 Points'!V$2</f>
        <v>0</v>
      </c>
      <c r="Q60" s="37">
        <f>'Round 2 Data'!Q60*'Round 2 Points'!W$2</f>
        <v>0</v>
      </c>
      <c r="R60" s="37">
        <f>'Round 2 Data'!R60*'Round 2 Points'!X$2</f>
        <v>0</v>
      </c>
      <c r="S60" s="37">
        <f>'Round 2 Data'!S60*'Round 2 Points'!Y$2</f>
        <v>0</v>
      </c>
      <c r="T60" s="38">
        <f t="shared" si="0"/>
        <v>38.4</v>
      </c>
      <c r="U60" s="37">
        <f>'Round 2 Data'!U60*'Round 2 Points'!Z$2</f>
        <v>0</v>
      </c>
      <c r="V60" s="36">
        <f>IF('Round 2 Data'!D60='Round 2 Points'!$K$1,D60/80*$K$2,0)</f>
        <v>8</v>
      </c>
      <c r="W60" s="52">
        <f t="shared" si="1"/>
        <v>46.4</v>
      </c>
    </row>
    <row r="61" spans="1:23" ht="16" thickBot="1" x14ac:dyDescent="0.25">
      <c r="A61" s="76" t="s">
        <v>40</v>
      </c>
      <c r="B61" s="36" t="str" cm="1">
        <f t="array" ref="B61:C61">_xlfn.XLOOKUP(A61,'Player List'!$A$2:$A$177,'Player List'!$B$2:$C$177)</f>
        <v>Scotland</v>
      </c>
      <c r="C61" s="36" t="str">
        <v>Centre</v>
      </c>
      <c r="D61" s="37">
        <v>72</v>
      </c>
      <c r="F61" s="37">
        <f>'Round 2 Data'!F61*'Round 2 Points'!L$2</f>
        <v>12</v>
      </c>
      <c r="G61" s="37">
        <f>'Round 2 Data'!G61*'Round 2 Points'!M$2</f>
        <v>0</v>
      </c>
      <c r="H61" s="37">
        <f>'Round 2 Data'!H61*'Round 2 Points'!N$2</f>
        <v>0</v>
      </c>
      <c r="I61" s="37">
        <f>'Round 2 Data'!I61*'Round 2 Points'!O$2</f>
        <v>3.2</v>
      </c>
      <c r="J61" s="37">
        <f>'Round 2 Data'!J61*'Round 2 Points'!P$2</f>
        <v>0</v>
      </c>
      <c r="K61" s="37">
        <f>'Round 2 Data'!K61*'Round 2 Points'!Q$2</f>
        <v>0</v>
      </c>
      <c r="L61" s="37">
        <f>'Round 2 Data'!L61*'Round 2 Points'!R$2</f>
        <v>0</v>
      </c>
      <c r="M61" s="37">
        <f>'Round 2 Data'!M61*'Round 2 Points'!S$2</f>
        <v>0</v>
      </c>
      <c r="N61" s="37">
        <f>'Round 2 Data'!N61*'Round 2 Points'!T$2</f>
        <v>0</v>
      </c>
      <c r="O61" s="37">
        <f>'Round 2 Data'!O61*'Round 2 Points'!U$2</f>
        <v>0</v>
      </c>
      <c r="P61" s="37">
        <f>'Round 2 Data'!P61*'Round 2 Points'!V$2</f>
        <v>0</v>
      </c>
      <c r="Q61" s="37">
        <f>'Round 2 Data'!Q61*'Round 2 Points'!W$2</f>
        <v>0</v>
      </c>
      <c r="R61" s="37">
        <f>'Round 2 Data'!R61*'Round 2 Points'!X$2</f>
        <v>0</v>
      </c>
      <c r="S61" s="37">
        <f>'Round 2 Data'!S61*'Round 2 Points'!Y$2</f>
        <v>0</v>
      </c>
      <c r="T61" s="38">
        <f t="shared" si="0"/>
        <v>15.2</v>
      </c>
      <c r="U61" s="37">
        <f>'Round 2 Data'!U61*'Round 2 Points'!Z$2</f>
        <v>0</v>
      </c>
      <c r="V61" s="36">
        <f>IF('Round 2 Data'!D61='Round 2 Points'!$K$1,D61/80*$K$2,0)</f>
        <v>7.2</v>
      </c>
      <c r="W61" s="52">
        <f t="shared" si="1"/>
        <v>22.4</v>
      </c>
    </row>
    <row r="62" spans="1:23" ht="16" thickBot="1" x14ac:dyDescent="0.25">
      <c r="A62" s="77" t="s">
        <v>41</v>
      </c>
      <c r="B62" s="36" t="str" cm="1">
        <f t="array" ref="B62:C62">_xlfn.XLOOKUP(A62,'Player List'!$A$2:$A$177,'Player List'!$B$2:$C$177)</f>
        <v>Scotland</v>
      </c>
      <c r="C62" s="36" t="str">
        <v>Fly Half</v>
      </c>
      <c r="D62" s="37">
        <v>80</v>
      </c>
      <c r="F62" s="37">
        <f>'Round 2 Data'!F62*'Round 2 Points'!L$2</f>
        <v>8</v>
      </c>
      <c r="G62" s="37">
        <f>'Round 2 Data'!G62*'Round 2 Points'!M$2</f>
        <v>0</v>
      </c>
      <c r="H62" s="37">
        <f>'Round 2 Data'!H62*'Round 2 Points'!N$2</f>
        <v>0</v>
      </c>
      <c r="I62" s="37">
        <f>'Round 2 Data'!I62*'Round 2 Points'!O$2</f>
        <v>14.600000000000001</v>
      </c>
      <c r="J62" s="37">
        <f>'Round 2 Data'!J62*'Round 2 Points'!P$2</f>
        <v>10</v>
      </c>
      <c r="K62" s="37">
        <f>'Round 2 Data'!K62*'Round 2 Points'!Q$2</f>
        <v>0</v>
      </c>
      <c r="L62" s="37">
        <f>'Round 2 Data'!L62*'Round 2 Points'!R$2</f>
        <v>0</v>
      </c>
      <c r="M62" s="37">
        <f>'Round 2 Data'!M62*'Round 2 Points'!S$2</f>
        <v>0</v>
      </c>
      <c r="N62" s="37">
        <f>'Round 2 Data'!N62*'Round 2 Points'!T$2</f>
        <v>21</v>
      </c>
      <c r="O62" s="37">
        <f>'Round 2 Data'!O62*'Round 2 Points'!U$2</f>
        <v>4</v>
      </c>
      <c r="P62" s="37">
        <f>'Round 2 Data'!P62*'Round 2 Points'!V$2</f>
        <v>10</v>
      </c>
      <c r="Q62" s="37">
        <f>'Round 2 Data'!Q62*'Round 2 Points'!W$2</f>
        <v>0</v>
      </c>
      <c r="R62" s="37">
        <f>'Round 2 Data'!R62*'Round 2 Points'!X$2</f>
        <v>0</v>
      </c>
      <c r="S62" s="37">
        <f>'Round 2 Data'!S62*'Round 2 Points'!Y$2</f>
        <v>0</v>
      </c>
      <c r="T62" s="38">
        <f t="shared" si="0"/>
        <v>67.599999999999994</v>
      </c>
      <c r="U62" s="37">
        <f>'Round 2 Data'!U62*'Round 2 Points'!Z$2</f>
        <v>15</v>
      </c>
      <c r="V62" s="36">
        <f>IF('Round 2 Data'!D62='Round 2 Points'!$K$1,D62/80*$K$2,0)</f>
        <v>8</v>
      </c>
      <c r="W62" s="52">
        <f t="shared" si="1"/>
        <v>90.6</v>
      </c>
    </row>
    <row r="63" spans="1:23" ht="16" thickBot="1" x14ac:dyDescent="0.25">
      <c r="A63" s="76" t="s">
        <v>42</v>
      </c>
      <c r="B63" s="36" t="str" cm="1">
        <f t="array" ref="B63:C63">_xlfn.XLOOKUP(A63,'Player List'!$A$2:$A$177,'Player List'!$B$2:$C$177)</f>
        <v>Scotland</v>
      </c>
      <c r="C63" s="36" t="str">
        <v>Scrum Half</v>
      </c>
      <c r="D63" s="37">
        <v>21</v>
      </c>
      <c r="F63" s="37">
        <f>'Round 2 Data'!F63*'Round 2 Points'!L$2</f>
        <v>3</v>
      </c>
      <c r="G63" s="37">
        <f>'Round 2 Data'!G63*'Round 2 Points'!M$2</f>
        <v>0</v>
      </c>
      <c r="H63" s="37">
        <f>'Round 2 Data'!H63*'Round 2 Points'!N$2</f>
        <v>0</v>
      </c>
      <c r="I63" s="37">
        <f>'Round 2 Data'!I63*'Round 2 Points'!O$2</f>
        <v>1.6</v>
      </c>
      <c r="J63" s="37">
        <f>'Round 2 Data'!J63*'Round 2 Points'!P$2</f>
        <v>0</v>
      </c>
      <c r="K63" s="37">
        <f>'Round 2 Data'!K63*'Round 2 Points'!Q$2</f>
        <v>0</v>
      </c>
      <c r="L63" s="37">
        <f>'Round 2 Data'!L63*'Round 2 Points'!R$2</f>
        <v>0</v>
      </c>
      <c r="M63" s="37">
        <f>'Round 2 Data'!M63*'Round 2 Points'!S$2</f>
        <v>0</v>
      </c>
      <c r="N63" s="37">
        <f>'Round 2 Data'!N63*'Round 2 Points'!T$2</f>
        <v>0</v>
      </c>
      <c r="O63" s="37">
        <f>'Round 2 Data'!O63*'Round 2 Points'!U$2</f>
        <v>0</v>
      </c>
      <c r="P63" s="37">
        <f>'Round 2 Data'!P63*'Round 2 Points'!V$2</f>
        <v>0</v>
      </c>
      <c r="Q63" s="37">
        <f>'Round 2 Data'!Q63*'Round 2 Points'!W$2</f>
        <v>0</v>
      </c>
      <c r="R63" s="37">
        <f>'Round 2 Data'!R63*'Round 2 Points'!X$2</f>
        <v>0</v>
      </c>
      <c r="S63" s="37">
        <f>'Round 2 Data'!S63*'Round 2 Points'!Y$2</f>
        <v>0</v>
      </c>
      <c r="T63" s="38">
        <f t="shared" si="0"/>
        <v>4.5999999999999996</v>
      </c>
      <c r="U63" s="37">
        <f>'Round 2 Data'!U63*'Round 2 Points'!Z$2</f>
        <v>0</v>
      </c>
      <c r="V63" s="36">
        <f>IF('Round 2 Data'!D63='Round 2 Points'!$K$1,D63/80*$K$2,0)</f>
        <v>2.1</v>
      </c>
      <c r="W63" s="52">
        <f t="shared" si="1"/>
        <v>6.6999999999999993</v>
      </c>
    </row>
    <row r="64" spans="1:23" ht="16" thickBot="1" x14ac:dyDescent="0.25">
      <c r="A64" s="77" t="s">
        <v>43</v>
      </c>
      <c r="B64" s="36" t="str" cm="1">
        <f t="array" ref="B64:C64">_xlfn.XLOOKUP(A64,'Player List'!$A$2:$A$177,'Player List'!$B$2:$C$177)</f>
        <v>Scotland</v>
      </c>
      <c r="C64" s="36" t="str">
        <v>Scrum Half</v>
      </c>
      <c r="D64" s="37">
        <v>59</v>
      </c>
      <c r="F64" s="37">
        <f>'Round 2 Data'!F64*'Round 2 Points'!L$2</f>
        <v>4</v>
      </c>
      <c r="G64" s="37">
        <f>'Round 2 Data'!G64*'Round 2 Points'!M$2</f>
        <v>0</v>
      </c>
      <c r="H64" s="37">
        <f>'Round 2 Data'!H64*'Round 2 Points'!N$2</f>
        <v>0</v>
      </c>
      <c r="I64" s="37">
        <f>'Round 2 Data'!I64*'Round 2 Points'!O$2</f>
        <v>4.6000000000000005</v>
      </c>
      <c r="J64" s="37">
        <f>'Round 2 Data'!J64*'Round 2 Points'!P$2</f>
        <v>0</v>
      </c>
      <c r="K64" s="37">
        <f>'Round 2 Data'!K64*'Round 2 Points'!Q$2</f>
        <v>0</v>
      </c>
      <c r="L64" s="37">
        <f>'Round 2 Data'!L64*'Round 2 Points'!R$2</f>
        <v>0</v>
      </c>
      <c r="M64" s="37">
        <f>'Round 2 Data'!M64*'Round 2 Points'!S$2</f>
        <v>0</v>
      </c>
      <c r="N64" s="37">
        <f>'Round 2 Data'!N64*'Round 2 Points'!T$2</f>
        <v>0</v>
      </c>
      <c r="O64" s="37">
        <f>'Round 2 Data'!O64*'Round 2 Points'!U$2</f>
        <v>0</v>
      </c>
      <c r="P64" s="37">
        <f>'Round 2 Data'!P64*'Round 2 Points'!V$2</f>
        <v>0</v>
      </c>
      <c r="Q64" s="37">
        <f>'Round 2 Data'!Q64*'Round 2 Points'!W$2</f>
        <v>0</v>
      </c>
      <c r="R64" s="37">
        <f>'Round 2 Data'!R64*'Round 2 Points'!X$2</f>
        <v>0</v>
      </c>
      <c r="S64" s="37">
        <f>'Round 2 Data'!S64*'Round 2 Points'!Y$2</f>
        <v>0</v>
      </c>
      <c r="T64" s="38">
        <f t="shared" si="0"/>
        <v>8.6000000000000014</v>
      </c>
      <c r="U64" s="37">
        <f>'Round 2 Data'!U64*'Round 2 Points'!Z$2</f>
        <v>0</v>
      </c>
      <c r="V64" s="36">
        <f>IF('Round 2 Data'!D64='Round 2 Points'!$K$1,D64/80*$K$2,0)</f>
        <v>5.9</v>
      </c>
      <c r="W64" s="52">
        <f t="shared" si="1"/>
        <v>14.500000000000002</v>
      </c>
    </row>
    <row r="65" spans="1:23" ht="16" thickBot="1" x14ac:dyDescent="0.25">
      <c r="A65" s="76" t="s">
        <v>44</v>
      </c>
      <c r="B65" s="36" t="str" cm="1">
        <f t="array" ref="B65:C65">_xlfn.XLOOKUP(A65,'Player List'!$A$2:$A$177,'Player List'!$B$2:$C$177)</f>
        <v>Scotland</v>
      </c>
      <c r="C65" s="36" t="str">
        <v>Back Row</v>
      </c>
      <c r="D65" s="37">
        <v>39</v>
      </c>
      <c r="F65" s="37">
        <f>'Round 2 Data'!F65*'Round 2 Points'!L$2</f>
        <v>11</v>
      </c>
      <c r="G65" s="37">
        <f>'Round 2 Data'!G65*'Round 2 Points'!M$2</f>
        <v>7</v>
      </c>
      <c r="H65" s="37">
        <f>'Round 2 Data'!H65*'Round 2 Points'!N$2</f>
        <v>0</v>
      </c>
      <c r="I65" s="37">
        <f>'Round 2 Data'!I65*'Round 2 Points'!O$2</f>
        <v>2</v>
      </c>
      <c r="J65" s="37">
        <f>'Round 2 Data'!J65*'Round 2 Points'!P$2</f>
        <v>0</v>
      </c>
      <c r="K65" s="37">
        <f>'Round 2 Data'!K65*'Round 2 Points'!Q$2</f>
        <v>0</v>
      </c>
      <c r="L65" s="37">
        <f>'Round 2 Data'!L65*'Round 2 Points'!R$2</f>
        <v>0</v>
      </c>
      <c r="M65" s="37">
        <f>'Round 2 Data'!M65*'Round 2 Points'!S$2</f>
        <v>0</v>
      </c>
      <c r="N65" s="37">
        <f>'Round 2 Data'!N65*'Round 2 Points'!T$2</f>
        <v>0</v>
      </c>
      <c r="O65" s="37">
        <f>'Round 2 Data'!O65*'Round 2 Points'!U$2</f>
        <v>0</v>
      </c>
      <c r="P65" s="37">
        <f>'Round 2 Data'!P65*'Round 2 Points'!V$2</f>
        <v>0</v>
      </c>
      <c r="Q65" s="37">
        <f>'Round 2 Data'!Q65*'Round 2 Points'!W$2</f>
        <v>0</v>
      </c>
      <c r="R65" s="37">
        <f>'Round 2 Data'!R65*'Round 2 Points'!X$2</f>
        <v>0</v>
      </c>
      <c r="S65" s="37">
        <f>'Round 2 Data'!S65*'Round 2 Points'!Y$2</f>
        <v>0</v>
      </c>
      <c r="T65" s="38">
        <f t="shared" si="0"/>
        <v>20</v>
      </c>
      <c r="U65" s="37">
        <f>'Round 2 Data'!U65*'Round 2 Points'!Z$2</f>
        <v>0</v>
      </c>
      <c r="V65" s="36">
        <f>IF('Round 2 Data'!D65='Round 2 Points'!$K$1,D65/80*$K$2,0)</f>
        <v>3.9</v>
      </c>
      <c r="W65" s="52">
        <f t="shared" si="1"/>
        <v>23.9</v>
      </c>
    </row>
    <row r="66" spans="1:23" ht="16" thickBot="1" x14ac:dyDescent="0.25">
      <c r="A66" s="77" t="s">
        <v>45</v>
      </c>
      <c r="B66" s="36" t="str" cm="1">
        <f t="array" ref="B66:C66">_xlfn.XLOOKUP(A66,'Player List'!$A$2:$A$177,'Player List'!$B$2:$C$177)</f>
        <v>Scotland</v>
      </c>
      <c r="C66" s="36" t="str">
        <v>Back Row</v>
      </c>
      <c r="D66" s="37">
        <v>36</v>
      </c>
      <c r="F66" s="37">
        <f>'Round 2 Data'!F66*'Round 2 Points'!L$2</f>
        <v>2</v>
      </c>
      <c r="G66" s="37">
        <f>'Round 2 Data'!G66*'Round 2 Points'!M$2</f>
        <v>0</v>
      </c>
      <c r="H66" s="37">
        <f>'Round 2 Data'!H66*'Round 2 Points'!N$2</f>
        <v>0</v>
      </c>
      <c r="I66" s="37">
        <f>'Round 2 Data'!I66*'Round 2 Points'!O$2</f>
        <v>2.8000000000000003</v>
      </c>
      <c r="J66" s="37">
        <f>'Round 2 Data'!J66*'Round 2 Points'!P$2</f>
        <v>0</v>
      </c>
      <c r="K66" s="37">
        <f>'Round 2 Data'!K66*'Round 2 Points'!Q$2</f>
        <v>0</v>
      </c>
      <c r="L66" s="37">
        <f>'Round 2 Data'!L66*'Round 2 Points'!R$2</f>
        <v>0</v>
      </c>
      <c r="M66" s="37">
        <f>'Round 2 Data'!M66*'Round 2 Points'!S$2</f>
        <v>0</v>
      </c>
      <c r="N66" s="37">
        <f>'Round 2 Data'!N66*'Round 2 Points'!T$2</f>
        <v>0</v>
      </c>
      <c r="O66" s="37">
        <f>'Round 2 Data'!O66*'Round 2 Points'!U$2</f>
        <v>0</v>
      </c>
      <c r="P66" s="37">
        <f>'Round 2 Data'!P66*'Round 2 Points'!V$2</f>
        <v>0</v>
      </c>
      <c r="Q66" s="37">
        <f>'Round 2 Data'!Q66*'Round 2 Points'!W$2</f>
        <v>0</v>
      </c>
      <c r="R66" s="37">
        <f>'Round 2 Data'!R66*'Round 2 Points'!X$2</f>
        <v>0</v>
      </c>
      <c r="S66" s="37">
        <f>'Round 2 Data'!S66*'Round 2 Points'!Y$2</f>
        <v>0</v>
      </c>
      <c r="T66" s="38">
        <f t="shared" si="0"/>
        <v>4.8000000000000007</v>
      </c>
      <c r="U66" s="37">
        <f>'Round 2 Data'!U66*'Round 2 Points'!Z$2</f>
        <v>0</v>
      </c>
      <c r="V66" s="36">
        <f>IF('Round 2 Data'!D66='Round 2 Points'!$K$1,D66/80*$K$2,0)</f>
        <v>3.6</v>
      </c>
      <c r="W66" s="52">
        <f t="shared" si="1"/>
        <v>8.4</v>
      </c>
    </row>
    <row r="67" spans="1:23" ht="16" thickBot="1" x14ac:dyDescent="0.25">
      <c r="A67" s="76" t="s">
        <v>46</v>
      </c>
      <c r="B67" s="36" t="str" cm="1">
        <f t="array" ref="B67:C67">_xlfn.XLOOKUP(A67,'Player List'!$A$2:$A$177,'Player List'!$B$2:$C$177)</f>
        <v>Scotland</v>
      </c>
      <c r="C67" s="36" t="str">
        <v>Back Row</v>
      </c>
      <c r="D67" s="37">
        <v>80</v>
      </c>
      <c r="F67" s="37">
        <f>'Round 2 Data'!F67*'Round 2 Points'!L$2</f>
        <v>16</v>
      </c>
      <c r="G67" s="37">
        <f>'Round 2 Data'!G67*'Round 2 Points'!M$2</f>
        <v>14</v>
      </c>
      <c r="H67" s="37">
        <f>'Round 2 Data'!H67*'Round 2 Points'!N$2</f>
        <v>7</v>
      </c>
      <c r="I67" s="37">
        <f>'Round 2 Data'!I67*'Round 2 Points'!O$2</f>
        <v>9.8000000000000007</v>
      </c>
      <c r="J67" s="37">
        <f>'Round 2 Data'!J67*'Round 2 Points'!P$2</f>
        <v>0</v>
      </c>
      <c r="K67" s="37">
        <f>'Round 2 Data'!K67*'Round 2 Points'!Q$2</f>
        <v>0</v>
      </c>
      <c r="L67" s="37">
        <f>'Round 2 Data'!L67*'Round 2 Points'!R$2</f>
        <v>0</v>
      </c>
      <c r="M67" s="37">
        <f>'Round 2 Data'!M67*'Round 2 Points'!S$2</f>
        <v>15</v>
      </c>
      <c r="N67" s="37">
        <f>'Round 2 Data'!N67*'Round 2 Points'!T$2</f>
        <v>0</v>
      </c>
      <c r="O67" s="37">
        <f>'Round 2 Data'!O67*'Round 2 Points'!U$2</f>
        <v>0</v>
      </c>
      <c r="P67" s="37">
        <f>'Round 2 Data'!P67*'Round 2 Points'!V$2</f>
        <v>0</v>
      </c>
      <c r="Q67" s="37">
        <f>'Round 2 Data'!Q67*'Round 2 Points'!W$2</f>
        <v>0</v>
      </c>
      <c r="R67" s="37">
        <f>'Round 2 Data'!R67*'Round 2 Points'!X$2</f>
        <v>0</v>
      </c>
      <c r="S67" s="37">
        <f>'Round 2 Data'!S67*'Round 2 Points'!Y$2</f>
        <v>0</v>
      </c>
      <c r="T67" s="38">
        <f t="shared" si="0"/>
        <v>61.8</v>
      </c>
      <c r="U67" s="37">
        <f>'Round 2 Data'!U67*'Round 2 Points'!Z$2</f>
        <v>0</v>
      </c>
      <c r="V67" s="36">
        <f>IF('Round 2 Data'!D67='Round 2 Points'!$K$1,D67/80*$K$2,0)</f>
        <v>8</v>
      </c>
      <c r="W67" s="52">
        <f t="shared" si="1"/>
        <v>69.8</v>
      </c>
    </row>
    <row r="68" spans="1:23" ht="16" thickBot="1" x14ac:dyDescent="0.25">
      <c r="A68" s="77" t="s">
        <v>47</v>
      </c>
      <c r="B68" s="36" t="str" cm="1">
        <f t="array" ref="B68:C68">_xlfn.XLOOKUP(A68,'Player List'!$A$2:$A$177,'Player List'!$B$2:$C$177)</f>
        <v>Scotland</v>
      </c>
      <c r="C68" s="36" t="str">
        <v>Back Row</v>
      </c>
      <c r="D68" s="37">
        <v>80</v>
      </c>
      <c r="F68" s="37">
        <f>'Round 2 Data'!F68*'Round 2 Points'!L$2</f>
        <v>8</v>
      </c>
      <c r="G68" s="37">
        <f>'Round 2 Data'!G68*'Round 2 Points'!M$2</f>
        <v>0</v>
      </c>
      <c r="H68" s="37">
        <f>'Round 2 Data'!H68*'Round 2 Points'!N$2</f>
        <v>0</v>
      </c>
      <c r="I68" s="37">
        <f>'Round 2 Data'!I68*'Round 2 Points'!O$2</f>
        <v>2</v>
      </c>
      <c r="J68" s="37">
        <f>'Round 2 Data'!J68*'Round 2 Points'!P$2</f>
        <v>0</v>
      </c>
      <c r="K68" s="37">
        <f>'Round 2 Data'!K68*'Round 2 Points'!Q$2</f>
        <v>0</v>
      </c>
      <c r="L68" s="37">
        <f>'Round 2 Data'!L68*'Round 2 Points'!R$2</f>
        <v>14</v>
      </c>
      <c r="M68" s="37">
        <f>'Round 2 Data'!M68*'Round 2 Points'!S$2</f>
        <v>0</v>
      </c>
      <c r="N68" s="37">
        <f>'Round 2 Data'!N68*'Round 2 Points'!T$2</f>
        <v>0</v>
      </c>
      <c r="O68" s="37">
        <f>'Round 2 Data'!O68*'Round 2 Points'!U$2</f>
        <v>0</v>
      </c>
      <c r="P68" s="37">
        <f>'Round 2 Data'!P68*'Round 2 Points'!V$2</f>
        <v>0</v>
      </c>
      <c r="Q68" s="37">
        <f>'Round 2 Data'!Q68*'Round 2 Points'!W$2</f>
        <v>0</v>
      </c>
      <c r="R68" s="37">
        <f>'Round 2 Data'!R68*'Round 2 Points'!X$2</f>
        <v>0</v>
      </c>
      <c r="S68" s="37">
        <f>'Round 2 Data'!S68*'Round 2 Points'!Y$2</f>
        <v>0</v>
      </c>
      <c r="T68" s="38">
        <f t="shared" si="0"/>
        <v>24</v>
      </c>
      <c r="U68" s="37">
        <f>'Round 2 Data'!U68*'Round 2 Points'!Z$2</f>
        <v>0</v>
      </c>
      <c r="V68" s="36">
        <f>IF('Round 2 Data'!D68='Round 2 Points'!$K$1,D68/80*$K$2,0)</f>
        <v>8</v>
      </c>
      <c r="W68" s="52">
        <f t="shared" si="1"/>
        <v>32</v>
      </c>
    </row>
    <row r="69" spans="1:23" ht="16" thickBot="1" x14ac:dyDescent="0.25">
      <c r="A69" s="76" t="s">
        <v>48</v>
      </c>
      <c r="B69" s="36" t="str" cm="1">
        <f t="array" ref="B69:C69">_xlfn.XLOOKUP(A69,'Player List'!$A$2:$A$177,'Player List'!$B$2:$C$177)</f>
        <v>Scotland</v>
      </c>
      <c r="C69" s="36" t="str">
        <v>Second Row</v>
      </c>
      <c r="D69" s="37">
        <v>64</v>
      </c>
      <c r="F69" s="37">
        <f>'Round 2 Data'!F69*'Round 2 Points'!L$2</f>
        <v>10</v>
      </c>
      <c r="G69" s="37">
        <f>'Round 2 Data'!G69*'Round 2 Points'!M$2</f>
        <v>14</v>
      </c>
      <c r="H69" s="37">
        <f>'Round 2 Data'!H69*'Round 2 Points'!N$2</f>
        <v>0</v>
      </c>
      <c r="I69" s="37">
        <f>'Round 2 Data'!I69*'Round 2 Points'!O$2</f>
        <v>0</v>
      </c>
      <c r="J69" s="37">
        <f>'Round 2 Data'!J69*'Round 2 Points'!P$2</f>
        <v>0</v>
      </c>
      <c r="K69" s="37">
        <f>'Round 2 Data'!K69*'Round 2 Points'!Q$2</f>
        <v>7</v>
      </c>
      <c r="L69" s="37">
        <f>'Round 2 Data'!L69*'Round 2 Points'!R$2</f>
        <v>0</v>
      </c>
      <c r="M69" s="37">
        <f>'Round 2 Data'!M69*'Round 2 Points'!S$2</f>
        <v>0</v>
      </c>
      <c r="N69" s="37">
        <f>'Round 2 Data'!N69*'Round 2 Points'!T$2</f>
        <v>0</v>
      </c>
      <c r="O69" s="37">
        <f>'Round 2 Data'!O69*'Round 2 Points'!U$2</f>
        <v>0</v>
      </c>
      <c r="P69" s="37">
        <f>'Round 2 Data'!P69*'Round 2 Points'!V$2</f>
        <v>0</v>
      </c>
      <c r="Q69" s="37">
        <f>'Round 2 Data'!Q69*'Round 2 Points'!W$2</f>
        <v>0</v>
      </c>
      <c r="R69" s="37">
        <f>'Round 2 Data'!R69*'Round 2 Points'!X$2</f>
        <v>0</v>
      </c>
      <c r="S69" s="37">
        <f>'Round 2 Data'!S69*'Round 2 Points'!Y$2</f>
        <v>0</v>
      </c>
      <c r="T69" s="38">
        <f t="shared" si="0"/>
        <v>31</v>
      </c>
      <c r="U69" s="37">
        <f>'Round 2 Data'!U69*'Round 2 Points'!Z$2</f>
        <v>0</v>
      </c>
      <c r="V69" s="36">
        <f>IF('Round 2 Data'!D69='Round 2 Points'!$K$1,D69/80*$K$2,0)</f>
        <v>6.4</v>
      </c>
      <c r="W69" s="52">
        <f t="shared" si="1"/>
        <v>37.4</v>
      </c>
    </row>
    <row r="70" spans="1:23" ht="16" thickBot="1" x14ac:dyDescent="0.25">
      <c r="A70" s="77" t="s">
        <v>49</v>
      </c>
      <c r="B70" s="36" t="str" cm="1">
        <f t="array" ref="B70:C70">_xlfn.XLOOKUP(A70,'Player List'!$A$2:$A$177,'Player List'!$B$2:$C$177)</f>
        <v>Scotland</v>
      </c>
      <c r="C70" s="36" t="str">
        <v>Second Row</v>
      </c>
      <c r="D70" s="37">
        <v>16</v>
      </c>
      <c r="F70" s="37">
        <f>'Round 2 Data'!F70*'Round 2 Points'!L$2</f>
        <v>3</v>
      </c>
      <c r="G70" s="37">
        <f>'Round 2 Data'!G70*'Round 2 Points'!M$2</f>
        <v>7</v>
      </c>
      <c r="H70" s="37">
        <f>'Round 2 Data'!H70*'Round 2 Points'!N$2</f>
        <v>0</v>
      </c>
      <c r="I70" s="37">
        <f>'Round 2 Data'!I70*'Round 2 Points'!O$2</f>
        <v>0.4</v>
      </c>
      <c r="J70" s="37">
        <f>'Round 2 Data'!J70*'Round 2 Points'!P$2</f>
        <v>0</v>
      </c>
      <c r="K70" s="37">
        <f>'Round 2 Data'!K70*'Round 2 Points'!Q$2</f>
        <v>0</v>
      </c>
      <c r="L70" s="37">
        <f>'Round 2 Data'!L70*'Round 2 Points'!R$2</f>
        <v>0</v>
      </c>
      <c r="M70" s="37">
        <f>'Round 2 Data'!M70*'Round 2 Points'!S$2</f>
        <v>0</v>
      </c>
      <c r="N70" s="37">
        <f>'Round 2 Data'!N70*'Round 2 Points'!T$2</f>
        <v>0</v>
      </c>
      <c r="O70" s="37">
        <f>'Round 2 Data'!O70*'Round 2 Points'!U$2</f>
        <v>0</v>
      </c>
      <c r="P70" s="37">
        <f>'Round 2 Data'!P70*'Round 2 Points'!V$2</f>
        <v>0</v>
      </c>
      <c r="Q70" s="37">
        <f>'Round 2 Data'!Q70*'Round 2 Points'!W$2</f>
        <v>0</v>
      </c>
      <c r="R70" s="37">
        <f>'Round 2 Data'!R70*'Round 2 Points'!X$2</f>
        <v>0</v>
      </c>
      <c r="S70" s="37">
        <f>'Round 2 Data'!S70*'Round 2 Points'!Y$2</f>
        <v>0</v>
      </c>
      <c r="T70" s="38">
        <f t="shared" si="0"/>
        <v>10.4</v>
      </c>
      <c r="U70" s="37">
        <f>'Round 2 Data'!U70*'Round 2 Points'!Z$2</f>
        <v>0</v>
      </c>
      <c r="V70" s="36">
        <f>IF('Round 2 Data'!D70='Round 2 Points'!$K$1,D70/80*$K$2,0)</f>
        <v>1.6</v>
      </c>
      <c r="W70" s="52">
        <f t="shared" si="1"/>
        <v>12</v>
      </c>
    </row>
    <row r="71" spans="1:23" ht="16" thickBot="1" x14ac:dyDescent="0.25">
      <c r="A71" s="76" t="s">
        <v>50</v>
      </c>
      <c r="B71" s="36" t="str" cm="1">
        <f t="array" ref="B71:C71">_xlfn.XLOOKUP(A71,'Player List'!$A$2:$A$177,'Player List'!$B$2:$C$177)</f>
        <v>Scotland</v>
      </c>
      <c r="C71" s="36" t="str">
        <v>Second Row</v>
      </c>
      <c r="D71" s="37">
        <v>80</v>
      </c>
      <c r="F71" s="37">
        <f>'Round 2 Data'!F71*'Round 2 Points'!L$2</f>
        <v>12</v>
      </c>
      <c r="G71" s="37">
        <f>'Round 2 Data'!G71*'Round 2 Points'!M$2</f>
        <v>7</v>
      </c>
      <c r="H71" s="37">
        <f>'Round 2 Data'!H71*'Round 2 Points'!N$2</f>
        <v>0</v>
      </c>
      <c r="I71" s="37">
        <f>'Round 2 Data'!I71*'Round 2 Points'!O$2</f>
        <v>0.8</v>
      </c>
      <c r="J71" s="37">
        <f>'Round 2 Data'!J71*'Round 2 Points'!P$2</f>
        <v>0</v>
      </c>
      <c r="K71" s="37">
        <f>'Round 2 Data'!K71*'Round 2 Points'!Q$2</f>
        <v>7</v>
      </c>
      <c r="L71" s="37">
        <f>'Round 2 Data'!L71*'Round 2 Points'!R$2</f>
        <v>0</v>
      </c>
      <c r="M71" s="37">
        <f>'Round 2 Data'!M71*'Round 2 Points'!S$2</f>
        <v>0</v>
      </c>
      <c r="N71" s="37">
        <f>'Round 2 Data'!N71*'Round 2 Points'!T$2</f>
        <v>0</v>
      </c>
      <c r="O71" s="37">
        <f>'Round 2 Data'!O71*'Round 2 Points'!U$2</f>
        <v>0</v>
      </c>
      <c r="P71" s="37">
        <f>'Round 2 Data'!P71*'Round 2 Points'!V$2</f>
        <v>0</v>
      </c>
      <c r="Q71" s="37">
        <f>'Round 2 Data'!Q71*'Round 2 Points'!W$2</f>
        <v>0</v>
      </c>
      <c r="R71" s="37">
        <f>'Round 2 Data'!R71*'Round 2 Points'!X$2</f>
        <v>0</v>
      </c>
      <c r="S71" s="37">
        <f>'Round 2 Data'!S71*'Round 2 Points'!Y$2</f>
        <v>0</v>
      </c>
      <c r="T71" s="38">
        <f t="shared" si="0"/>
        <v>26.8</v>
      </c>
      <c r="U71" s="37">
        <f>'Round 2 Data'!U71*'Round 2 Points'!Z$2</f>
        <v>0</v>
      </c>
      <c r="V71" s="36">
        <f>IF('Round 2 Data'!D71='Round 2 Points'!$K$1,D71/80*$K$2,0)</f>
        <v>8</v>
      </c>
      <c r="W71" s="52">
        <f t="shared" si="1"/>
        <v>34.799999999999997</v>
      </c>
    </row>
    <row r="72" spans="1:23" ht="16" thickBot="1" x14ac:dyDescent="0.25">
      <c r="A72" s="77" t="s">
        <v>51</v>
      </c>
      <c r="B72" s="36" t="str" cm="1">
        <f t="array" ref="B72:C72">_xlfn.XLOOKUP(A72,'Player List'!$A$2:$A$177,'Player List'!$B$2:$C$177)</f>
        <v>Scotland</v>
      </c>
      <c r="C72" s="36" t="str">
        <v>Prop</v>
      </c>
      <c r="D72" s="37">
        <v>16</v>
      </c>
      <c r="F72" s="37">
        <f>'Round 2 Data'!F72*'Round 2 Points'!L$2</f>
        <v>3</v>
      </c>
      <c r="G72" s="37">
        <f>'Round 2 Data'!G72*'Round 2 Points'!M$2</f>
        <v>0</v>
      </c>
      <c r="H72" s="37">
        <f>'Round 2 Data'!H72*'Round 2 Points'!N$2</f>
        <v>0</v>
      </c>
      <c r="I72" s="37">
        <f>'Round 2 Data'!I72*'Round 2 Points'!O$2</f>
        <v>0</v>
      </c>
      <c r="J72" s="37">
        <f>'Round 2 Data'!J72*'Round 2 Points'!P$2</f>
        <v>0</v>
      </c>
      <c r="K72" s="37">
        <f>'Round 2 Data'!K72*'Round 2 Points'!Q$2</f>
        <v>0</v>
      </c>
      <c r="L72" s="37">
        <f>'Round 2 Data'!L72*'Round 2 Points'!R$2</f>
        <v>0</v>
      </c>
      <c r="M72" s="37">
        <f>'Round 2 Data'!M72*'Round 2 Points'!S$2</f>
        <v>0</v>
      </c>
      <c r="N72" s="37">
        <f>'Round 2 Data'!N72*'Round 2 Points'!T$2</f>
        <v>0</v>
      </c>
      <c r="O72" s="37">
        <f>'Round 2 Data'!O72*'Round 2 Points'!U$2</f>
        <v>0</v>
      </c>
      <c r="P72" s="37">
        <f>'Round 2 Data'!P72*'Round 2 Points'!V$2</f>
        <v>0</v>
      </c>
      <c r="Q72" s="37">
        <f>'Round 2 Data'!Q72*'Round 2 Points'!W$2</f>
        <v>0</v>
      </c>
      <c r="R72" s="37">
        <f>'Round 2 Data'!R72*'Round 2 Points'!X$2</f>
        <v>0</v>
      </c>
      <c r="S72" s="37">
        <f>'Round 2 Data'!S72*'Round 2 Points'!Y$2</f>
        <v>0</v>
      </c>
      <c r="T72" s="38">
        <f t="shared" si="0"/>
        <v>3</v>
      </c>
      <c r="U72" s="37">
        <f>'Round 2 Data'!U72*'Round 2 Points'!Z$2</f>
        <v>0</v>
      </c>
      <c r="V72" s="36">
        <f>IF('Round 2 Data'!D72='Round 2 Points'!$K$1,D72/80*$K$2,0)</f>
        <v>1.6</v>
      </c>
      <c r="W72" s="52">
        <f t="shared" si="1"/>
        <v>4.5999999999999996</v>
      </c>
    </row>
    <row r="73" spans="1:23" ht="16" thickBot="1" x14ac:dyDescent="0.25">
      <c r="A73" s="76" t="s">
        <v>52</v>
      </c>
      <c r="B73" s="36" t="str" cm="1">
        <f t="array" ref="B73:C73">_xlfn.XLOOKUP(A73,'Player List'!$A$2:$A$177,'Player List'!$B$2:$C$177)</f>
        <v>Scotland</v>
      </c>
      <c r="C73" s="36" t="str">
        <v>Prop</v>
      </c>
      <c r="D73" s="37">
        <v>64</v>
      </c>
      <c r="F73" s="37">
        <f>'Round 2 Data'!F73*'Round 2 Points'!L$2</f>
        <v>15</v>
      </c>
      <c r="G73" s="37">
        <f>'Round 2 Data'!G73*'Round 2 Points'!M$2</f>
        <v>14</v>
      </c>
      <c r="H73" s="37">
        <f>'Round 2 Data'!H73*'Round 2 Points'!N$2</f>
        <v>0</v>
      </c>
      <c r="I73" s="37">
        <f>'Round 2 Data'!I73*'Round 2 Points'!O$2</f>
        <v>2.8000000000000003</v>
      </c>
      <c r="J73" s="37">
        <f>'Round 2 Data'!J73*'Round 2 Points'!P$2</f>
        <v>0</v>
      </c>
      <c r="K73" s="37">
        <f>'Round 2 Data'!K73*'Round 2 Points'!Q$2</f>
        <v>0</v>
      </c>
      <c r="L73" s="37">
        <f>'Round 2 Data'!L73*'Round 2 Points'!R$2</f>
        <v>0</v>
      </c>
      <c r="M73" s="37">
        <f>'Round 2 Data'!M73*'Round 2 Points'!S$2</f>
        <v>0</v>
      </c>
      <c r="N73" s="37">
        <f>'Round 2 Data'!N73*'Round 2 Points'!T$2</f>
        <v>0</v>
      </c>
      <c r="O73" s="37">
        <f>'Round 2 Data'!O73*'Round 2 Points'!U$2</f>
        <v>0</v>
      </c>
      <c r="P73" s="37">
        <f>'Round 2 Data'!P73*'Round 2 Points'!V$2</f>
        <v>0</v>
      </c>
      <c r="Q73" s="37">
        <f>'Round 2 Data'!Q73*'Round 2 Points'!W$2</f>
        <v>0</v>
      </c>
      <c r="R73" s="37">
        <f>'Round 2 Data'!R73*'Round 2 Points'!X$2</f>
        <v>0</v>
      </c>
      <c r="S73" s="37">
        <f>'Round 2 Data'!S73*'Round 2 Points'!Y$2</f>
        <v>0</v>
      </c>
      <c r="T73" s="38">
        <f t="shared" si="0"/>
        <v>31.8</v>
      </c>
      <c r="U73" s="37">
        <f>'Round 2 Data'!U73*'Round 2 Points'!Z$2</f>
        <v>0</v>
      </c>
      <c r="V73" s="36">
        <f>IF('Round 2 Data'!D73='Round 2 Points'!$K$1,D73/80*$K$2,0)</f>
        <v>6.4</v>
      </c>
      <c r="W73" s="52">
        <f t="shared" si="1"/>
        <v>38.200000000000003</v>
      </c>
    </row>
    <row r="74" spans="1:23" ht="16" thickBot="1" x14ac:dyDescent="0.25">
      <c r="A74" s="77" t="s">
        <v>53</v>
      </c>
      <c r="B74" s="36" t="str" cm="1">
        <f t="array" ref="B74:C74">_xlfn.XLOOKUP(A74,'Player List'!$A$2:$A$177,'Player List'!$B$2:$C$177)</f>
        <v>Scotland</v>
      </c>
      <c r="C74" s="36" t="str">
        <v>Prop</v>
      </c>
      <c r="D74" s="37">
        <v>16</v>
      </c>
      <c r="F74" s="37">
        <f>'Round 2 Data'!F74*'Round 2 Points'!L$2</f>
        <v>1</v>
      </c>
      <c r="G74" s="37">
        <f>'Round 2 Data'!G74*'Round 2 Points'!M$2</f>
        <v>0</v>
      </c>
      <c r="H74" s="37">
        <f>'Round 2 Data'!H74*'Round 2 Points'!N$2</f>
        <v>0</v>
      </c>
      <c r="I74" s="37">
        <f>'Round 2 Data'!I74*'Round 2 Points'!O$2</f>
        <v>0</v>
      </c>
      <c r="J74" s="37">
        <f>'Round 2 Data'!J74*'Round 2 Points'!P$2</f>
        <v>0</v>
      </c>
      <c r="K74" s="37">
        <f>'Round 2 Data'!K74*'Round 2 Points'!Q$2</f>
        <v>0</v>
      </c>
      <c r="L74" s="37">
        <f>'Round 2 Data'!L74*'Round 2 Points'!R$2</f>
        <v>0</v>
      </c>
      <c r="M74" s="37">
        <f>'Round 2 Data'!M74*'Round 2 Points'!S$2</f>
        <v>0</v>
      </c>
      <c r="N74" s="37">
        <f>'Round 2 Data'!N74*'Round 2 Points'!T$2</f>
        <v>0</v>
      </c>
      <c r="O74" s="37">
        <f>'Round 2 Data'!O74*'Round 2 Points'!U$2</f>
        <v>0</v>
      </c>
      <c r="P74" s="37">
        <f>'Round 2 Data'!P74*'Round 2 Points'!V$2</f>
        <v>0</v>
      </c>
      <c r="Q74" s="37">
        <f>'Round 2 Data'!Q74*'Round 2 Points'!W$2</f>
        <v>0</v>
      </c>
      <c r="R74" s="37">
        <f>'Round 2 Data'!R74*'Round 2 Points'!X$2</f>
        <v>0</v>
      </c>
      <c r="S74" s="37">
        <f>'Round 2 Data'!S74*'Round 2 Points'!Y$2</f>
        <v>0</v>
      </c>
      <c r="T74" s="38">
        <f t="shared" si="0"/>
        <v>1</v>
      </c>
      <c r="U74" s="37">
        <f>'Round 2 Data'!U74*'Round 2 Points'!Z$2</f>
        <v>0</v>
      </c>
      <c r="V74" s="36">
        <f>IF('Round 2 Data'!D74='Round 2 Points'!$K$1,D74/80*$K$2,0)</f>
        <v>1.6</v>
      </c>
      <c r="W74" s="52">
        <f t="shared" si="1"/>
        <v>2.6</v>
      </c>
    </row>
    <row r="75" spans="1:23" ht="16" thickBot="1" x14ac:dyDescent="0.25">
      <c r="A75" s="76" t="s">
        <v>54</v>
      </c>
      <c r="B75" s="36" t="str" cm="1">
        <f t="array" ref="B75:C75">_xlfn.XLOOKUP(A75,'Player List'!$A$2:$A$177,'Player List'!$B$2:$C$177)</f>
        <v>Scotland</v>
      </c>
      <c r="C75" s="36" t="str">
        <v>Prop</v>
      </c>
      <c r="D75" s="37">
        <v>64</v>
      </c>
      <c r="F75" s="37">
        <f>'Round 2 Data'!F75*'Round 2 Points'!L$2</f>
        <v>12</v>
      </c>
      <c r="G75" s="37">
        <f>'Round 2 Data'!G75*'Round 2 Points'!M$2</f>
        <v>0</v>
      </c>
      <c r="H75" s="37">
        <f>'Round 2 Data'!H75*'Round 2 Points'!N$2</f>
        <v>0</v>
      </c>
      <c r="I75" s="37">
        <f>'Round 2 Data'!I75*'Round 2 Points'!O$2</f>
        <v>7</v>
      </c>
      <c r="J75" s="37">
        <f>'Round 2 Data'!J75*'Round 2 Points'!P$2</f>
        <v>0</v>
      </c>
      <c r="K75" s="37">
        <f>'Round 2 Data'!K75*'Round 2 Points'!Q$2</f>
        <v>0</v>
      </c>
      <c r="L75" s="37">
        <f>'Round 2 Data'!L75*'Round 2 Points'!R$2</f>
        <v>0</v>
      </c>
      <c r="M75" s="37">
        <f>'Round 2 Data'!M75*'Round 2 Points'!S$2</f>
        <v>0</v>
      </c>
      <c r="N75" s="37">
        <f>'Round 2 Data'!N75*'Round 2 Points'!T$2</f>
        <v>0</v>
      </c>
      <c r="O75" s="37">
        <f>'Round 2 Data'!O75*'Round 2 Points'!U$2</f>
        <v>0</v>
      </c>
      <c r="P75" s="37">
        <f>'Round 2 Data'!P75*'Round 2 Points'!V$2</f>
        <v>0</v>
      </c>
      <c r="Q75" s="37">
        <f>'Round 2 Data'!Q75*'Round 2 Points'!W$2</f>
        <v>0</v>
      </c>
      <c r="R75" s="37">
        <f>'Round 2 Data'!R75*'Round 2 Points'!X$2</f>
        <v>0</v>
      </c>
      <c r="S75" s="37">
        <f>'Round 2 Data'!S75*'Round 2 Points'!Y$2</f>
        <v>0</v>
      </c>
      <c r="T75" s="38">
        <f t="shared" ref="T75:T138" si="2">SUM(F75:S75)</f>
        <v>19</v>
      </c>
      <c r="U75" s="37">
        <f>'Round 2 Data'!U75*'Round 2 Points'!Z$2</f>
        <v>0</v>
      </c>
      <c r="V75" s="36">
        <f>IF('Round 2 Data'!D75='Round 2 Points'!$K$1,D75/80*$K$2,0)</f>
        <v>6.4</v>
      </c>
      <c r="W75" s="52">
        <f t="shared" ref="W75:W138" si="3">SUM(T75:V75)</f>
        <v>25.4</v>
      </c>
    </row>
    <row r="76" spans="1:23" ht="16" thickBot="1" x14ac:dyDescent="0.25">
      <c r="A76" s="77" t="s">
        <v>55</v>
      </c>
      <c r="B76" s="36" t="str" cm="1">
        <f t="array" ref="B76:C76">_xlfn.XLOOKUP(A76,'Player List'!$A$2:$A$177,'Player List'!$B$2:$C$177)</f>
        <v>Scotland</v>
      </c>
      <c r="C76" s="36" t="str">
        <v>Hooker</v>
      </c>
      <c r="D76" s="37">
        <v>27</v>
      </c>
      <c r="F76" s="37">
        <f>'Round 2 Data'!F76*'Round 2 Points'!L$2</f>
        <v>3</v>
      </c>
      <c r="G76" s="37">
        <f>'Round 2 Data'!G76*'Round 2 Points'!M$2</f>
        <v>0</v>
      </c>
      <c r="H76" s="37">
        <f>'Round 2 Data'!H76*'Round 2 Points'!N$2</f>
        <v>0</v>
      </c>
      <c r="I76" s="37">
        <f>'Round 2 Data'!I76*'Round 2 Points'!O$2</f>
        <v>2.8000000000000003</v>
      </c>
      <c r="J76" s="37">
        <f>'Round 2 Data'!J76*'Round 2 Points'!P$2</f>
        <v>0</v>
      </c>
      <c r="K76" s="37">
        <f>'Round 2 Data'!K76*'Round 2 Points'!Q$2</f>
        <v>0</v>
      </c>
      <c r="L76" s="37">
        <f>'Round 2 Data'!L76*'Round 2 Points'!R$2</f>
        <v>7</v>
      </c>
      <c r="M76" s="37">
        <f>'Round 2 Data'!M76*'Round 2 Points'!S$2</f>
        <v>0</v>
      </c>
      <c r="N76" s="37">
        <f>'Round 2 Data'!N76*'Round 2 Points'!T$2</f>
        <v>0</v>
      </c>
      <c r="O76" s="37">
        <f>'Round 2 Data'!O76*'Round 2 Points'!U$2</f>
        <v>0</v>
      </c>
      <c r="P76" s="37">
        <f>'Round 2 Data'!P76*'Round 2 Points'!V$2</f>
        <v>0</v>
      </c>
      <c r="Q76" s="37">
        <f>'Round 2 Data'!Q76*'Round 2 Points'!W$2</f>
        <v>0</v>
      </c>
      <c r="R76" s="37">
        <f>'Round 2 Data'!R76*'Round 2 Points'!X$2</f>
        <v>0</v>
      </c>
      <c r="S76" s="37">
        <f>'Round 2 Data'!S76*'Round 2 Points'!Y$2</f>
        <v>0</v>
      </c>
      <c r="T76" s="38">
        <f t="shared" si="2"/>
        <v>12.8</v>
      </c>
      <c r="U76" s="37">
        <f>'Round 2 Data'!U76*'Round 2 Points'!Z$2</f>
        <v>0</v>
      </c>
      <c r="V76" s="36">
        <f>IF('Round 2 Data'!D76='Round 2 Points'!$K$1,D76/80*$K$2,0)</f>
        <v>2.7</v>
      </c>
      <c r="W76" s="52">
        <f t="shared" si="3"/>
        <v>15.5</v>
      </c>
    </row>
    <row r="77" spans="1:23" ht="16" thickBot="1" x14ac:dyDescent="0.25">
      <c r="A77" s="76" t="s">
        <v>56</v>
      </c>
      <c r="B77" s="36" t="str" cm="1">
        <f t="array" ref="B77:C77">_xlfn.XLOOKUP(A77,'Player List'!$A$2:$A$177,'Player List'!$B$2:$C$177)</f>
        <v>Scotland</v>
      </c>
      <c r="C77" s="36" t="str">
        <v>Hooker</v>
      </c>
      <c r="D77" s="37">
        <v>48</v>
      </c>
      <c r="F77" s="37">
        <f>'Round 2 Data'!F77*'Round 2 Points'!L$2</f>
        <v>5</v>
      </c>
      <c r="G77" s="37">
        <f>'Round 2 Data'!G77*'Round 2 Points'!M$2</f>
        <v>0</v>
      </c>
      <c r="H77" s="37">
        <f>'Round 2 Data'!H77*'Round 2 Points'!N$2</f>
        <v>0</v>
      </c>
      <c r="I77" s="37">
        <f>'Round 2 Data'!I77*'Round 2 Points'!O$2</f>
        <v>7.4</v>
      </c>
      <c r="J77" s="37">
        <f>'Round 2 Data'!J77*'Round 2 Points'!P$2</f>
        <v>0</v>
      </c>
      <c r="K77" s="37">
        <f>'Round 2 Data'!K77*'Round 2 Points'!Q$2</f>
        <v>0</v>
      </c>
      <c r="L77" s="37">
        <f>'Round 2 Data'!L77*'Round 2 Points'!R$2</f>
        <v>0</v>
      </c>
      <c r="M77" s="37">
        <f>'Round 2 Data'!M77*'Round 2 Points'!S$2</f>
        <v>15</v>
      </c>
      <c r="N77" s="37">
        <f>'Round 2 Data'!N77*'Round 2 Points'!T$2</f>
        <v>0</v>
      </c>
      <c r="O77" s="37">
        <f>'Round 2 Data'!O77*'Round 2 Points'!U$2</f>
        <v>0</v>
      </c>
      <c r="P77" s="37">
        <f>'Round 2 Data'!P77*'Round 2 Points'!V$2</f>
        <v>0</v>
      </c>
      <c r="Q77" s="37">
        <f>'Round 2 Data'!Q77*'Round 2 Points'!W$2</f>
        <v>0</v>
      </c>
      <c r="R77" s="37">
        <f>'Round 2 Data'!R77*'Round 2 Points'!X$2</f>
        <v>-5</v>
      </c>
      <c r="S77" s="37">
        <f>'Round 2 Data'!S77*'Round 2 Points'!Y$2</f>
        <v>0</v>
      </c>
      <c r="T77" s="38">
        <f t="shared" si="2"/>
        <v>22.4</v>
      </c>
      <c r="U77" s="37">
        <f>'Round 2 Data'!U77*'Round 2 Points'!Z$2</f>
        <v>0</v>
      </c>
      <c r="V77" s="36">
        <f>IF('Round 2 Data'!D77='Round 2 Points'!$K$1,D77/80*$K$2,0)</f>
        <v>4.8</v>
      </c>
      <c r="W77" s="52">
        <f t="shared" si="3"/>
        <v>27.2</v>
      </c>
    </row>
    <row r="78" spans="1:23" ht="16" thickBot="1" x14ac:dyDescent="0.25">
      <c r="A78" s="76" t="s">
        <v>57</v>
      </c>
      <c r="B78" s="36" t="str" cm="1">
        <f t="array" ref="B78:C78">_xlfn.XLOOKUP(A78,'Player List'!$A$2:$A$177,'Player List'!$B$2:$C$177)</f>
        <v>Wales</v>
      </c>
      <c r="C78" s="36" t="str">
        <v>Back Three</v>
      </c>
      <c r="D78" s="37">
        <v>59</v>
      </c>
      <c r="F78" s="37">
        <f>'Round 2 Data'!F78*'Round 2 Points'!L$2</f>
        <v>5</v>
      </c>
      <c r="G78" s="37">
        <f>'Round 2 Data'!G78*'Round 2 Points'!M$2</f>
        <v>7</v>
      </c>
      <c r="H78" s="37">
        <f>'Round 2 Data'!H78*'Round 2 Points'!N$2</f>
        <v>0</v>
      </c>
      <c r="I78" s="37">
        <f>'Round 2 Data'!I78*'Round 2 Points'!O$2</f>
        <v>4.2</v>
      </c>
      <c r="J78" s="37">
        <f>'Round 2 Data'!J78*'Round 2 Points'!P$2</f>
        <v>0</v>
      </c>
      <c r="K78" s="37">
        <f>'Round 2 Data'!K78*'Round 2 Points'!Q$2</f>
        <v>0</v>
      </c>
      <c r="L78" s="37">
        <f>'Round 2 Data'!L78*'Round 2 Points'!R$2</f>
        <v>7</v>
      </c>
      <c r="M78" s="37">
        <f>'Round 2 Data'!M78*'Round 2 Points'!S$2</f>
        <v>0</v>
      </c>
      <c r="N78" s="37">
        <f>'Round 2 Data'!N78*'Round 2 Points'!T$2</f>
        <v>0</v>
      </c>
      <c r="O78" s="37">
        <f>'Round 2 Data'!O78*'Round 2 Points'!U$2</f>
        <v>0</v>
      </c>
      <c r="P78" s="37">
        <f>'Round 2 Data'!P78*'Round 2 Points'!V$2</f>
        <v>0</v>
      </c>
      <c r="Q78" s="37">
        <f>'Round 2 Data'!Q78*'Round 2 Points'!W$2</f>
        <v>0</v>
      </c>
      <c r="R78" s="37">
        <f>'Round 2 Data'!R78*'Round 2 Points'!X$2</f>
        <v>0</v>
      </c>
      <c r="S78" s="37">
        <f>'Round 2 Data'!S78*'Round 2 Points'!Y$2</f>
        <v>0</v>
      </c>
      <c r="T78" s="38">
        <f t="shared" si="2"/>
        <v>23.2</v>
      </c>
      <c r="U78" s="37">
        <f>'Round 2 Data'!U78*'Round 2 Points'!Z$2</f>
        <v>0</v>
      </c>
      <c r="V78" s="36">
        <f>IF('Round 2 Data'!D78='Round 2 Points'!$K$1,D78/80*$K$2,0)</f>
        <v>0</v>
      </c>
      <c r="W78" s="52">
        <f t="shared" si="3"/>
        <v>23.2</v>
      </c>
    </row>
    <row r="79" spans="1:23" ht="16" thickBot="1" x14ac:dyDescent="0.25">
      <c r="A79" s="77" t="s">
        <v>58</v>
      </c>
      <c r="B79" s="36" t="str" cm="1">
        <f t="array" ref="B79:C79">_xlfn.XLOOKUP(A79,'Player List'!$A$2:$A$177,'Player List'!$B$2:$C$177)</f>
        <v>Wales</v>
      </c>
      <c r="C79" s="36" t="str">
        <v>Back Three</v>
      </c>
      <c r="D79" s="37">
        <v>28</v>
      </c>
      <c r="F79" s="37">
        <f>'Round 2 Data'!F79*'Round 2 Points'!L$2</f>
        <v>1</v>
      </c>
      <c r="G79" s="37">
        <f>'Round 2 Data'!G79*'Round 2 Points'!M$2</f>
        <v>0</v>
      </c>
      <c r="H79" s="37">
        <f>'Round 2 Data'!H79*'Round 2 Points'!N$2</f>
        <v>0</v>
      </c>
      <c r="I79" s="37">
        <f>'Round 2 Data'!I79*'Round 2 Points'!O$2</f>
        <v>9.4</v>
      </c>
      <c r="J79" s="37">
        <f>'Round 2 Data'!J79*'Round 2 Points'!P$2</f>
        <v>0</v>
      </c>
      <c r="K79" s="37">
        <f>'Round 2 Data'!K79*'Round 2 Points'!Q$2</f>
        <v>0</v>
      </c>
      <c r="L79" s="37">
        <f>'Round 2 Data'!L79*'Round 2 Points'!R$2</f>
        <v>0</v>
      </c>
      <c r="M79" s="37">
        <f>'Round 2 Data'!M79*'Round 2 Points'!S$2</f>
        <v>0</v>
      </c>
      <c r="N79" s="37">
        <f>'Round 2 Data'!N79*'Round 2 Points'!T$2</f>
        <v>0</v>
      </c>
      <c r="O79" s="37">
        <f>'Round 2 Data'!O79*'Round 2 Points'!U$2</f>
        <v>0</v>
      </c>
      <c r="P79" s="37">
        <f>'Round 2 Data'!P79*'Round 2 Points'!V$2</f>
        <v>0</v>
      </c>
      <c r="Q79" s="37">
        <f>'Round 2 Data'!Q79*'Round 2 Points'!W$2</f>
        <v>0</v>
      </c>
      <c r="R79" s="37">
        <f>'Round 2 Data'!R79*'Round 2 Points'!X$2</f>
        <v>0</v>
      </c>
      <c r="S79" s="37">
        <f>'Round 2 Data'!S79*'Round 2 Points'!Y$2</f>
        <v>0</v>
      </c>
      <c r="T79" s="38">
        <f t="shared" si="2"/>
        <v>10.4</v>
      </c>
      <c r="U79" s="37">
        <f>'Round 2 Data'!U79*'Round 2 Points'!Z$2</f>
        <v>0</v>
      </c>
      <c r="V79" s="36">
        <f>IF('Round 2 Data'!D79='Round 2 Points'!$K$1,D79/80*$K$2,0)</f>
        <v>0</v>
      </c>
      <c r="W79" s="52">
        <f t="shared" si="3"/>
        <v>10.4</v>
      </c>
    </row>
    <row r="80" spans="1:23" ht="16" thickBot="1" x14ac:dyDescent="0.25">
      <c r="A80" s="76" t="s">
        <v>59</v>
      </c>
      <c r="B80" s="36" t="str" cm="1">
        <f t="array" ref="B80:C80">_xlfn.XLOOKUP(A80,'Player List'!$A$2:$A$177,'Player List'!$B$2:$C$177)</f>
        <v>Wales</v>
      </c>
      <c r="C80" s="36" t="str">
        <v>Back Three</v>
      </c>
      <c r="D80" s="37">
        <v>80</v>
      </c>
      <c r="F80" s="37">
        <f>'Round 2 Data'!F80*'Round 2 Points'!L$2</f>
        <v>5</v>
      </c>
      <c r="G80" s="37">
        <f>'Round 2 Data'!G80*'Round 2 Points'!M$2</f>
        <v>0</v>
      </c>
      <c r="H80" s="37">
        <f>'Round 2 Data'!H80*'Round 2 Points'!N$2</f>
        <v>7</v>
      </c>
      <c r="I80" s="37">
        <f>'Round 2 Data'!I80*'Round 2 Points'!O$2</f>
        <v>18</v>
      </c>
      <c r="J80" s="37">
        <f>'Round 2 Data'!J80*'Round 2 Points'!P$2</f>
        <v>0</v>
      </c>
      <c r="K80" s="37">
        <f>'Round 2 Data'!K80*'Round 2 Points'!Q$2</f>
        <v>0</v>
      </c>
      <c r="L80" s="37">
        <f>'Round 2 Data'!L80*'Round 2 Points'!R$2</f>
        <v>0</v>
      </c>
      <c r="M80" s="37">
        <f>'Round 2 Data'!M80*'Round 2 Points'!S$2</f>
        <v>0</v>
      </c>
      <c r="N80" s="37">
        <f>'Round 2 Data'!N80*'Round 2 Points'!T$2</f>
        <v>0</v>
      </c>
      <c r="O80" s="37">
        <f>'Round 2 Data'!O80*'Round 2 Points'!U$2</f>
        <v>0</v>
      </c>
      <c r="P80" s="37">
        <f>'Round 2 Data'!P80*'Round 2 Points'!V$2</f>
        <v>0</v>
      </c>
      <c r="Q80" s="37">
        <f>'Round 2 Data'!Q80*'Round 2 Points'!W$2</f>
        <v>0</v>
      </c>
      <c r="R80" s="37">
        <f>'Round 2 Data'!R80*'Round 2 Points'!X$2</f>
        <v>0</v>
      </c>
      <c r="S80" s="37">
        <f>'Round 2 Data'!S80*'Round 2 Points'!Y$2</f>
        <v>0</v>
      </c>
      <c r="T80" s="38">
        <f t="shared" si="2"/>
        <v>30</v>
      </c>
      <c r="U80" s="37">
        <f>'Round 2 Data'!U80*'Round 2 Points'!Z$2</f>
        <v>0</v>
      </c>
      <c r="V80" s="36">
        <f>IF('Round 2 Data'!D80='Round 2 Points'!$K$1,D80/80*$K$2,0)</f>
        <v>0</v>
      </c>
      <c r="W80" s="52">
        <f t="shared" si="3"/>
        <v>30</v>
      </c>
    </row>
    <row r="81" spans="1:23" ht="16" thickBot="1" x14ac:dyDescent="0.25">
      <c r="A81" s="77" t="s">
        <v>60</v>
      </c>
      <c r="B81" s="36" t="str" cm="1">
        <f t="array" ref="B81:C81">_xlfn.XLOOKUP(A81,'Player List'!$A$2:$A$177,'Player List'!$B$2:$C$177)</f>
        <v>Wales</v>
      </c>
      <c r="C81" s="36" t="str">
        <v>Back Three</v>
      </c>
      <c r="D81" s="37">
        <v>69</v>
      </c>
      <c r="F81" s="37">
        <f>'Round 2 Data'!F81*'Round 2 Points'!L$2</f>
        <v>9</v>
      </c>
      <c r="G81" s="37">
        <f>'Round 2 Data'!G81*'Round 2 Points'!M$2</f>
        <v>0</v>
      </c>
      <c r="H81" s="37">
        <f>'Round 2 Data'!H81*'Round 2 Points'!N$2</f>
        <v>0</v>
      </c>
      <c r="I81" s="37">
        <f>'Round 2 Data'!I81*'Round 2 Points'!O$2</f>
        <v>8.8000000000000007</v>
      </c>
      <c r="J81" s="37">
        <f>'Round 2 Data'!J81*'Round 2 Points'!P$2</f>
        <v>0</v>
      </c>
      <c r="K81" s="37">
        <f>'Round 2 Data'!K81*'Round 2 Points'!Q$2</f>
        <v>0</v>
      </c>
      <c r="L81" s="37">
        <f>'Round 2 Data'!L81*'Round 2 Points'!R$2</f>
        <v>0</v>
      </c>
      <c r="M81" s="37">
        <f>'Round 2 Data'!M81*'Round 2 Points'!S$2</f>
        <v>0</v>
      </c>
      <c r="N81" s="37">
        <f>'Round 2 Data'!N81*'Round 2 Points'!T$2</f>
        <v>0</v>
      </c>
      <c r="O81" s="37">
        <f>'Round 2 Data'!O81*'Round 2 Points'!U$2</f>
        <v>0</v>
      </c>
      <c r="P81" s="37">
        <f>'Round 2 Data'!P81*'Round 2 Points'!V$2</f>
        <v>0</v>
      </c>
      <c r="Q81" s="37">
        <f>'Round 2 Data'!Q81*'Round 2 Points'!W$2</f>
        <v>0</v>
      </c>
      <c r="R81" s="37">
        <f>'Round 2 Data'!R81*'Round 2 Points'!X$2</f>
        <v>-5</v>
      </c>
      <c r="S81" s="37">
        <f>'Round 2 Data'!S81*'Round 2 Points'!Y$2</f>
        <v>0</v>
      </c>
      <c r="T81" s="38">
        <f t="shared" si="2"/>
        <v>12.8</v>
      </c>
      <c r="U81" s="37">
        <f>'Round 2 Data'!U81*'Round 2 Points'!Z$2</f>
        <v>0</v>
      </c>
      <c r="V81" s="36">
        <f>IF('Round 2 Data'!D81='Round 2 Points'!$K$1,D81/80*$K$2,0)</f>
        <v>0</v>
      </c>
      <c r="W81" s="52">
        <f t="shared" si="3"/>
        <v>12.8</v>
      </c>
    </row>
    <row r="82" spans="1:23" ht="16" thickBot="1" x14ac:dyDescent="0.25">
      <c r="A82" s="76" t="s">
        <v>61</v>
      </c>
      <c r="B82" s="36" t="str" cm="1">
        <f t="array" ref="B82:C82">_xlfn.XLOOKUP(A82,'Player List'!$A$2:$A$177,'Player List'!$B$2:$C$177)</f>
        <v>Wales</v>
      </c>
      <c r="C82" s="36" t="str">
        <v>Centre</v>
      </c>
      <c r="D82" s="37">
        <v>80</v>
      </c>
      <c r="F82" s="37">
        <f>'Round 2 Data'!F82*'Round 2 Points'!L$2</f>
        <v>7</v>
      </c>
      <c r="G82" s="37">
        <f>'Round 2 Data'!G82*'Round 2 Points'!M$2</f>
        <v>0</v>
      </c>
      <c r="H82" s="37">
        <f>'Round 2 Data'!H82*'Round 2 Points'!N$2</f>
        <v>0</v>
      </c>
      <c r="I82" s="37">
        <f>'Round 2 Data'!I82*'Round 2 Points'!O$2</f>
        <v>5.2</v>
      </c>
      <c r="J82" s="37">
        <f>'Round 2 Data'!J82*'Round 2 Points'!P$2</f>
        <v>0</v>
      </c>
      <c r="K82" s="37">
        <f>'Round 2 Data'!K82*'Round 2 Points'!Q$2</f>
        <v>0</v>
      </c>
      <c r="L82" s="37">
        <f>'Round 2 Data'!L82*'Round 2 Points'!R$2</f>
        <v>0</v>
      </c>
      <c r="M82" s="37">
        <f>'Round 2 Data'!M82*'Round 2 Points'!S$2</f>
        <v>0</v>
      </c>
      <c r="N82" s="37">
        <f>'Round 2 Data'!N82*'Round 2 Points'!T$2</f>
        <v>0</v>
      </c>
      <c r="O82" s="37">
        <f>'Round 2 Data'!O82*'Round 2 Points'!U$2</f>
        <v>0</v>
      </c>
      <c r="P82" s="37">
        <f>'Round 2 Data'!P82*'Round 2 Points'!V$2</f>
        <v>0</v>
      </c>
      <c r="Q82" s="37">
        <f>'Round 2 Data'!Q82*'Round 2 Points'!W$2</f>
        <v>0</v>
      </c>
      <c r="R82" s="37">
        <f>'Round 2 Data'!R82*'Round 2 Points'!X$2</f>
        <v>0</v>
      </c>
      <c r="S82" s="37">
        <f>'Round 2 Data'!S82*'Round 2 Points'!Y$2</f>
        <v>0</v>
      </c>
      <c r="T82" s="38">
        <f t="shared" si="2"/>
        <v>12.2</v>
      </c>
      <c r="U82" s="37">
        <f>'Round 2 Data'!U82*'Round 2 Points'!Z$2</f>
        <v>0</v>
      </c>
      <c r="V82" s="36">
        <f>IF('Round 2 Data'!D82='Round 2 Points'!$K$1,D82/80*$K$2,0)</f>
        <v>0</v>
      </c>
      <c r="W82" s="52">
        <f t="shared" si="3"/>
        <v>12.2</v>
      </c>
    </row>
    <row r="83" spans="1:23" ht="16" thickBot="1" x14ac:dyDescent="0.25">
      <c r="A83" s="77" t="s">
        <v>62</v>
      </c>
      <c r="B83" s="36" t="str" cm="1">
        <f t="array" ref="B83:C83">_xlfn.XLOOKUP(A83,'Player List'!$A$2:$A$177,'Player List'!$B$2:$C$177)</f>
        <v>Wales</v>
      </c>
      <c r="C83" s="36" t="str">
        <v>Centre</v>
      </c>
      <c r="D83" s="37">
        <v>73</v>
      </c>
      <c r="F83" s="37">
        <f>'Round 2 Data'!F83*'Round 2 Points'!L$2</f>
        <v>2</v>
      </c>
      <c r="G83" s="37">
        <f>'Round 2 Data'!G83*'Round 2 Points'!M$2</f>
        <v>7</v>
      </c>
      <c r="H83" s="37">
        <f>'Round 2 Data'!H83*'Round 2 Points'!N$2</f>
        <v>0</v>
      </c>
      <c r="I83" s="37">
        <f>'Round 2 Data'!I83*'Round 2 Points'!O$2</f>
        <v>10.200000000000001</v>
      </c>
      <c r="J83" s="37">
        <f>'Round 2 Data'!J83*'Round 2 Points'!P$2</f>
        <v>0</v>
      </c>
      <c r="K83" s="37">
        <f>'Round 2 Data'!K83*'Round 2 Points'!Q$2</f>
        <v>0</v>
      </c>
      <c r="L83" s="37">
        <f>'Round 2 Data'!L83*'Round 2 Points'!R$2</f>
        <v>0</v>
      </c>
      <c r="M83" s="37">
        <f>'Round 2 Data'!M83*'Round 2 Points'!S$2</f>
        <v>0</v>
      </c>
      <c r="N83" s="37">
        <f>'Round 2 Data'!N83*'Round 2 Points'!T$2</f>
        <v>0</v>
      </c>
      <c r="O83" s="37">
        <f>'Round 2 Data'!O83*'Round 2 Points'!U$2</f>
        <v>0</v>
      </c>
      <c r="P83" s="37">
        <f>'Round 2 Data'!P83*'Round 2 Points'!V$2</f>
        <v>0</v>
      </c>
      <c r="Q83" s="37">
        <f>'Round 2 Data'!Q83*'Round 2 Points'!W$2</f>
        <v>0</v>
      </c>
      <c r="R83" s="37">
        <f>'Round 2 Data'!R83*'Round 2 Points'!X$2</f>
        <v>0</v>
      </c>
      <c r="S83" s="37">
        <f>'Round 2 Data'!S83*'Round 2 Points'!Y$2</f>
        <v>0</v>
      </c>
      <c r="T83" s="38">
        <f t="shared" si="2"/>
        <v>19.200000000000003</v>
      </c>
      <c r="U83" s="37">
        <f>'Round 2 Data'!U83*'Round 2 Points'!Z$2</f>
        <v>0</v>
      </c>
      <c r="V83" s="36">
        <f>IF('Round 2 Data'!D83='Round 2 Points'!$K$1,D83/80*$K$2,0)</f>
        <v>0</v>
      </c>
      <c r="W83" s="52">
        <f t="shared" si="3"/>
        <v>19.200000000000003</v>
      </c>
    </row>
    <row r="84" spans="1:23" ht="16" thickBot="1" x14ac:dyDescent="0.25">
      <c r="A84" s="76" t="s">
        <v>63</v>
      </c>
      <c r="B84" s="36" t="str" cm="1">
        <f t="array" ref="B84:C84">_xlfn.XLOOKUP(A84,'Player List'!$A$2:$A$177,'Player List'!$B$2:$C$177)</f>
        <v>Wales</v>
      </c>
      <c r="C84" s="36" t="str">
        <v>Fly Half</v>
      </c>
      <c r="D84" s="37">
        <v>57</v>
      </c>
      <c r="F84" s="37">
        <f>'Round 2 Data'!F84*'Round 2 Points'!L$2</f>
        <v>6</v>
      </c>
      <c r="G84" s="37">
        <f>'Round 2 Data'!G84*'Round 2 Points'!M$2</f>
        <v>0</v>
      </c>
      <c r="H84" s="37">
        <f>'Round 2 Data'!H84*'Round 2 Points'!N$2</f>
        <v>0</v>
      </c>
      <c r="I84" s="37">
        <f>'Round 2 Data'!I84*'Round 2 Points'!O$2</f>
        <v>3.2</v>
      </c>
      <c r="J84" s="37">
        <f>'Round 2 Data'!J84*'Round 2 Points'!P$2</f>
        <v>0</v>
      </c>
      <c r="K84" s="37">
        <f>'Round 2 Data'!K84*'Round 2 Points'!Q$2</f>
        <v>0</v>
      </c>
      <c r="L84" s="37">
        <f>'Round 2 Data'!L84*'Round 2 Points'!R$2</f>
        <v>7</v>
      </c>
      <c r="M84" s="37">
        <f>'Round 2 Data'!M84*'Round 2 Points'!S$2</f>
        <v>0</v>
      </c>
      <c r="N84" s="37">
        <f>'Round 2 Data'!N84*'Round 2 Points'!T$2</f>
        <v>0</v>
      </c>
      <c r="O84" s="37">
        <f>'Round 2 Data'!O84*'Round 2 Points'!U$2</f>
        <v>2</v>
      </c>
      <c r="P84" s="37">
        <f>'Round 2 Data'!P84*'Round 2 Points'!V$2</f>
        <v>0</v>
      </c>
      <c r="Q84" s="37">
        <f>'Round 2 Data'!Q84*'Round 2 Points'!W$2</f>
        <v>0</v>
      </c>
      <c r="R84" s="37">
        <f>'Round 2 Data'!R84*'Round 2 Points'!X$2</f>
        <v>0</v>
      </c>
      <c r="S84" s="37">
        <f>'Round 2 Data'!S84*'Round 2 Points'!Y$2</f>
        <v>0</v>
      </c>
      <c r="T84" s="38">
        <f t="shared" si="2"/>
        <v>18.2</v>
      </c>
      <c r="U84" s="37">
        <f>'Round 2 Data'!U84*'Round 2 Points'!Z$2</f>
        <v>0</v>
      </c>
      <c r="V84" s="36">
        <f>IF('Round 2 Data'!D84='Round 2 Points'!$K$1,D84/80*$K$2,0)</f>
        <v>0</v>
      </c>
      <c r="W84" s="52">
        <f t="shared" si="3"/>
        <v>18.2</v>
      </c>
    </row>
    <row r="85" spans="1:23" ht="16" thickBot="1" x14ac:dyDescent="0.25">
      <c r="A85" s="77" t="s">
        <v>64</v>
      </c>
      <c r="B85" s="36" t="str" cm="1">
        <f t="array" ref="B85:C85">_xlfn.XLOOKUP(A85,'Player List'!$A$2:$A$177,'Player List'!$B$2:$C$177)</f>
        <v>Wales</v>
      </c>
      <c r="C85" s="36" t="str">
        <v>Fly Half</v>
      </c>
      <c r="D85" s="37">
        <v>23</v>
      </c>
      <c r="F85" s="37">
        <f>'Round 2 Data'!F85*'Round 2 Points'!L$2</f>
        <v>1</v>
      </c>
      <c r="G85" s="37">
        <f>'Round 2 Data'!G85*'Round 2 Points'!M$2</f>
        <v>0</v>
      </c>
      <c r="H85" s="37">
        <f>'Round 2 Data'!H85*'Round 2 Points'!N$2</f>
        <v>0</v>
      </c>
      <c r="I85" s="37">
        <f>'Round 2 Data'!I85*'Round 2 Points'!O$2</f>
        <v>3.6</v>
      </c>
      <c r="J85" s="37">
        <f>'Round 2 Data'!J85*'Round 2 Points'!P$2</f>
        <v>0</v>
      </c>
      <c r="K85" s="37">
        <f>'Round 2 Data'!K85*'Round 2 Points'!Q$2</f>
        <v>0</v>
      </c>
      <c r="L85" s="37">
        <f>'Round 2 Data'!L85*'Round 2 Points'!R$2</f>
        <v>0</v>
      </c>
      <c r="M85" s="37">
        <f>'Round 2 Data'!M85*'Round 2 Points'!S$2</f>
        <v>0</v>
      </c>
      <c r="N85" s="37">
        <f>'Round 2 Data'!N85*'Round 2 Points'!T$2</f>
        <v>0</v>
      </c>
      <c r="O85" s="37">
        <f>'Round 2 Data'!O85*'Round 2 Points'!U$2</f>
        <v>0</v>
      </c>
      <c r="P85" s="37">
        <f>'Round 2 Data'!P85*'Round 2 Points'!V$2</f>
        <v>0</v>
      </c>
      <c r="Q85" s="37">
        <f>'Round 2 Data'!Q85*'Round 2 Points'!W$2</f>
        <v>0</v>
      </c>
      <c r="R85" s="37">
        <f>'Round 2 Data'!R85*'Round 2 Points'!X$2</f>
        <v>0</v>
      </c>
      <c r="S85" s="37">
        <f>'Round 2 Data'!S85*'Round 2 Points'!Y$2</f>
        <v>0</v>
      </c>
      <c r="T85" s="38">
        <f t="shared" si="2"/>
        <v>4.5999999999999996</v>
      </c>
      <c r="U85" s="37">
        <f>'Round 2 Data'!U85*'Round 2 Points'!Z$2</f>
        <v>0</v>
      </c>
      <c r="V85" s="36">
        <f>IF('Round 2 Data'!D85='Round 2 Points'!$K$1,D85/80*$K$2,0)</f>
        <v>0</v>
      </c>
      <c r="W85" s="52">
        <f t="shared" si="3"/>
        <v>4.5999999999999996</v>
      </c>
    </row>
    <row r="86" spans="1:23" ht="16" thickBot="1" x14ac:dyDescent="0.25">
      <c r="A86" s="76" t="s">
        <v>65</v>
      </c>
      <c r="B86" s="36" t="str" cm="1">
        <f t="array" ref="B86:C86">_xlfn.XLOOKUP(A86,'Player List'!$A$2:$A$177,'Player List'!$B$2:$C$177)</f>
        <v>Wales</v>
      </c>
      <c r="C86" s="36" t="str">
        <v>Scrum Half</v>
      </c>
      <c r="D86" s="37">
        <v>23</v>
      </c>
      <c r="F86" s="37">
        <f>'Round 2 Data'!F86*'Round 2 Points'!L$2</f>
        <v>2</v>
      </c>
      <c r="G86" s="37">
        <f>'Round 2 Data'!G86*'Round 2 Points'!M$2</f>
        <v>0</v>
      </c>
      <c r="H86" s="37">
        <f>'Round 2 Data'!H86*'Round 2 Points'!N$2</f>
        <v>0</v>
      </c>
      <c r="I86" s="37">
        <f>'Round 2 Data'!I86*'Round 2 Points'!O$2</f>
        <v>0</v>
      </c>
      <c r="J86" s="37">
        <f>'Round 2 Data'!J86*'Round 2 Points'!P$2</f>
        <v>0</v>
      </c>
      <c r="K86" s="37">
        <f>'Round 2 Data'!K86*'Round 2 Points'!Q$2</f>
        <v>0</v>
      </c>
      <c r="L86" s="37">
        <f>'Round 2 Data'!L86*'Round 2 Points'!R$2</f>
        <v>0</v>
      </c>
      <c r="M86" s="37">
        <f>'Round 2 Data'!M86*'Round 2 Points'!S$2</f>
        <v>0</v>
      </c>
      <c r="N86" s="37">
        <f>'Round 2 Data'!N86*'Round 2 Points'!T$2</f>
        <v>0</v>
      </c>
      <c r="O86" s="37">
        <f>'Round 2 Data'!O86*'Round 2 Points'!U$2</f>
        <v>0</v>
      </c>
      <c r="P86" s="37">
        <f>'Round 2 Data'!P86*'Round 2 Points'!V$2</f>
        <v>0</v>
      </c>
      <c r="Q86" s="37">
        <f>'Round 2 Data'!Q86*'Round 2 Points'!W$2</f>
        <v>0</v>
      </c>
      <c r="R86" s="37">
        <f>'Round 2 Data'!R86*'Round 2 Points'!X$2</f>
        <v>-5</v>
      </c>
      <c r="S86" s="37">
        <f>'Round 2 Data'!S86*'Round 2 Points'!Y$2</f>
        <v>0</v>
      </c>
      <c r="T86" s="38">
        <f t="shared" si="2"/>
        <v>-3</v>
      </c>
      <c r="U86" s="37">
        <f>'Round 2 Data'!U86*'Round 2 Points'!Z$2</f>
        <v>0</v>
      </c>
      <c r="V86" s="36">
        <f>IF('Round 2 Data'!D86='Round 2 Points'!$K$1,D86/80*$K$2,0)</f>
        <v>0</v>
      </c>
      <c r="W86" s="52">
        <f t="shared" si="3"/>
        <v>-3</v>
      </c>
    </row>
    <row r="87" spans="1:23" ht="16" thickBot="1" x14ac:dyDescent="0.25">
      <c r="A87" s="77" t="s">
        <v>66</v>
      </c>
      <c r="B87" s="36" t="str" cm="1">
        <f t="array" ref="B87:C87">_xlfn.XLOOKUP(A87,'Player List'!$A$2:$A$177,'Player List'!$B$2:$C$177)</f>
        <v>Wales</v>
      </c>
      <c r="C87" s="36" t="str">
        <v>Scrum Half</v>
      </c>
      <c r="D87" s="37">
        <v>57</v>
      </c>
      <c r="F87" s="37">
        <f>'Round 2 Data'!F87*'Round 2 Points'!L$2</f>
        <v>4</v>
      </c>
      <c r="G87" s="37">
        <f>'Round 2 Data'!G87*'Round 2 Points'!M$2</f>
        <v>7</v>
      </c>
      <c r="H87" s="37">
        <f>'Round 2 Data'!H87*'Round 2 Points'!N$2</f>
        <v>0</v>
      </c>
      <c r="I87" s="37">
        <f>'Round 2 Data'!I87*'Round 2 Points'!O$2</f>
        <v>2.6</v>
      </c>
      <c r="J87" s="37">
        <f>'Round 2 Data'!J87*'Round 2 Points'!P$2</f>
        <v>0</v>
      </c>
      <c r="K87" s="37">
        <f>'Round 2 Data'!K87*'Round 2 Points'!Q$2</f>
        <v>0</v>
      </c>
      <c r="L87" s="37">
        <f>'Round 2 Data'!L87*'Round 2 Points'!R$2</f>
        <v>0</v>
      </c>
      <c r="M87" s="37">
        <f>'Round 2 Data'!M87*'Round 2 Points'!S$2</f>
        <v>0</v>
      </c>
      <c r="N87" s="37">
        <f>'Round 2 Data'!N87*'Round 2 Points'!T$2</f>
        <v>0</v>
      </c>
      <c r="O87" s="37">
        <f>'Round 2 Data'!O87*'Round 2 Points'!U$2</f>
        <v>0</v>
      </c>
      <c r="P87" s="37">
        <f>'Round 2 Data'!P87*'Round 2 Points'!V$2</f>
        <v>0</v>
      </c>
      <c r="Q87" s="37">
        <f>'Round 2 Data'!Q87*'Round 2 Points'!W$2</f>
        <v>0</v>
      </c>
      <c r="R87" s="37">
        <f>'Round 2 Data'!R87*'Round 2 Points'!X$2</f>
        <v>0</v>
      </c>
      <c r="S87" s="37">
        <f>'Round 2 Data'!S87*'Round 2 Points'!Y$2</f>
        <v>0</v>
      </c>
      <c r="T87" s="38">
        <f t="shared" si="2"/>
        <v>13.6</v>
      </c>
      <c r="U87" s="37">
        <f>'Round 2 Data'!U87*'Round 2 Points'!Z$2</f>
        <v>0</v>
      </c>
      <c r="V87" s="36">
        <f>IF('Round 2 Data'!D87='Round 2 Points'!$K$1,D87/80*$K$2,0)</f>
        <v>0</v>
      </c>
      <c r="W87" s="52">
        <f t="shared" si="3"/>
        <v>13.6</v>
      </c>
    </row>
    <row r="88" spans="1:23" ht="16" thickBot="1" x14ac:dyDescent="0.25">
      <c r="A88" s="76" t="s">
        <v>67</v>
      </c>
      <c r="B88" s="36" t="str" cm="1">
        <f t="array" ref="B88:C88">_xlfn.XLOOKUP(A88,'Player List'!$A$2:$A$177,'Player List'!$B$2:$C$177)</f>
        <v>Wales</v>
      </c>
      <c r="C88" s="36" t="str">
        <v>Back Row</v>
      </c>
      <c r="D88" s="37">
        <v>28</v>
      </c>
      <c r="F88" s="37">
        <f>'Round 2 Data'!F88*'Round 2 Points'!L$2</f>
        <v>8</v>
      </c>
      <c r="G88" s="37">
        <f>'Round 2 Data'!G88*'Round 2 Points'!M$2</f>
        <v>0</v>
      </c>
      <c r="H88" s="37">
        <f>'Round 2 Data'!H88*'Round 2 Points'!N$2</f>
        <v>0</v>
      </c>
      <c r="I88" s="37">
        <f>'Round 2 Data'!I88*'Round 2 Points'!O$2</f>
        <v>5</v>
      </c>
      <c r="J88" s="37">
        <f>'Round 2 Data'!J88*'Round 2 Points'!P$2</f>
        <v>0</v>
      </c>
      <c r="K88" s="37">
        <f>'Round 2 Data'!K88*'Round 2 Points'!Q$2</f>
        <v>0</v>
      </c>
      <c r="L88" s="37">
        <f>'Round 2 Data'!L88*'Round 2 Points'!R$2</f>
        <v>0</v>
      </c>
      <c r="M88" s="37">
        <f>'Round 2 Data'!M88*'Round 2 Points'!S$2</f>
        <v>0</v>
      </c>
      <c r="N88" s="37">
        <f>'Round 2 Data'!N88*'Round 2 Points'!T$2</f>
        <v>0</v>
      </c>
      <c r="O88" s="37">
        <f>'Round 2 Data'!O88*'Round 2 Points'!U$2</f>
        <v>0</v>
      </c>
      <c r="P88" s="37">
        <f>'Round 2 Data'!P88*'Round 2 Points'!V$2</f>
        <v>0</v>
      </c>
      <c r="Q88" s="37">
        <f>'Round 2 Data'!Q88*'Round 2 Points'!W$2</f>
        <v>0</v>
      </c>
      <c r="R88" s="37">
        <f>'Round 2 Data'!R88*'Round 2 Points'!X$2</f>
        <v>0</v>
      </c>
      <c r="S88" s="37">
        <f>'Round 2 Data'!S88*'Round 2 Points'!Y$2</f>
        <v>0</v>
      </c>
      <c r="T88" s="38">
        <f t="shared" si="2"/>
        <v>13</v>
      </c>
      <c r="U88" s="37">
        <f>'Round 2 Data'!U88*'Round 2 Points'!Z$2</f>
        <v>0</v>
      </c>
      <c r="V88" s="36">
        <f>IF('Round 2 Data'!D88='Round 2 Points'!$K$1,D88/80*$K$2,0)</f>
        <v>0</v>
      </c>
      <c r="W88" s="52">
        <f t="shared" si="3"/>
        <v>13</v>
      </c>
    </row>
    <row r="89" spans="1:23" ht="16" thickBot="1" x14ac:dyDescent="0.25">
      <c r="A89" s="77" t="s">
        <v>68</v>
      </c>
      <c r="B89" s="36" t="str" cm="1">
        <f t="array" ref="B89:C89">_xlfn.XLOOKUP(A89,'Player List'!$A$2:$A$177,'Player List'!$B$2:$C$177)</f>
        <v>Wales</v>
      </c>
      <c r="C89" s="36" t="str">
        <v>Back Row</v>
      </c>
      <c r="D89" s="37">
        <v>52</v>
      </c>
      <c r="F89" s="37">
        <f>'Round 2 Data'!F89*'Round 2 Points'!L$2</f>
        <v>11</v>
      </c>
      <c r="G89" s="37">
        <f>'Round 2 Data'!G89*'Round 2 Points'!M$2</f>
        <v>0</v>
      </c>
      <c r="H89" s="37">
        <f>'Round 2 Data'!H89*'Round 2 Points'!N$2</f>
        <v>0</v>
      </c>
      <c r="I89" s="37">
        <f>'Round 2 Data'!I89*'Round 2 Points'!O$2</f>
        <v>6.4</v>
      </c>
      <c r="J89" s="37">
        <f>'Round 2 Data'!J89*'Round 2 Points'!P$2</f>
        <v>0</v>
      </c>
      <c r="K89" s="37">
        <f>'Round 2 Data'!K89*'Round 2 Points'!Q$2</f>
        <v>0</v>
      </c>
      <c r="L89" s="37">
        <f>'Round 2 Data'!L89*'Round 2 Points'!R$2</f>
        <v>14</v>
      </c>
      <c r="M89" s="37">
        <f>'Round 2 Data'!M89*'Round 2 Points'!S$2</f>
        <v>0</v>
      </c>
      <c r="N89" s="37">
        <f>'Round 2 Data'!N89*'Round 2 Points'!T$2</f>
        <v>0</v>
      </c>
      <c r="O89" s="37">
        <f>'Round 2 Data'!O89*'Round 2 Points'!U$2</f>
        <v>0</v>
      </c>
      <c r="P89" s="37">
        <f>'Round 2 Data'!P89*'Round 2 Points'!V$2</f>
        <v>0</v>
      </c>
      <c r="Q89" s="37">
        <f>'Round 2 Data'!Q89*'Round 2 Points'!W$2</f>
        <v>0</v>
      </c>
      <c r="R89" s="37">
        <f>'Round 2 Data'!R89*'Round 2 Points'!X$2</f>
        <v>0</v>
      </c>
      <c r="S89" s="37">
        <f>'Round 2 Data'!S89*'Round 2 Points'!Y$2</f>
        <v>0</v>
      </c>
      <c r="T89" s="38">
        <f t="shared" si="2"/>
        <v>31.4</v>
      </c>
      <c r="U89" s="37">
        <f>'Round 2 Data'!U89*'Round 2 Points'!Z$2</f>
        <v>0</v>
      </c>
      <c r="V89" s="36">
        <f>IF('Round 2 Data'!D89='Round 2 Points'!$K$1,D89/80*$K$2,0)</f>
        <v>0</v>
      </c>
      <c r="W89" s="52">
        <f t="shared" si="3"/>
        <v>31.4</v>
      </c>
    </row>
    <row r="90" spans="1:23" ht="16" thickBot="1" x14ac:dyDescent="0.25">
      <c r="A90" s="76" t="s">
        <v>69</v>
      </c>
      <c r="B90" s="36" t="str" cm="1">
        <f t="array" ref="B90:C90">_xlfn.XLOOKUP(A90,'Player List'!$A$2:$A$177,'Player List'!$B$2:$C$177)</f>
        <v>Wales</v>
      </c>
      <c r="C90" s="36" t="str">
        <v>Back Row</v>
      </c>
      <c r="D90" s="37">
        <v>80</v>
      </c>
      <c r="F90" s="37">
        <f>'Round 2 Data'!F90*'Round 2 Points'!L$2</f>
        <v>13</v>
      </c>
      <c r="G90" s="37">
        <f>'Round 2 Data'!G90*'Round 2 Points'!M$2</f>
        <v>7</v>
      </c>
      <c r="H90" s="37">
        <f>'Round 2 Data'!H90*'Round 2 Points'!N$2</f>
        <v>0</v>
      </c>
      <c r="I90" s="37">
        <f>'Round 2 Data'!I90*'Round 2 Points'!O$2</f>
        <v>4</v>
      </c>
      <c r="J90" s="37">
        <f>'Round 2 Data'!J90*'Round 2 Points'!P$2</f>
        <v>0</v>
      </c>
      <c r="K90" s="37">
        <f>'Round 2 Data'!K90*'Round 2 Points'!Q$2</f>
        <v>0</v>
      </c>
      <c r="L90" s="37">
        <f>'Round 2 Data'!L90*'Round 2 Points'!R$2</f>
        <v>0</v>
      </c>
      <c r="M90" s="37">
        <f>'Round 2 Data'!M90*'Round 2 Points'!S$2</f>
        <v>0</v>
      </c>
      <c r="N90" s="37">
        <f>'Round 2 Data'!N90*'Round 2 Points'!T$2</f>
        <v>0</v>
      </c>
      <c r="O90" s="37">
        <f>'Round 2 Data'!O90*'Round 2 Points'!U$2</f>
        <v>0</v>
      </c>
      <c r="P90" s="37">
        <f>'Round 2 Data'!P90*'Round 2 Points'!V$2</f>
        <v>0</v>
      </c>
      <c r="Q90" s="37">
        <f>'Round 2 Data'!Q90*'Round 2 Points'!W$2</f>
        <v>0</v>
      </c>
      <c r="R90" s="37">
        <f>'Round 2 Data'!R90*'Round 2 Points'!X$2</f>
        <v>0</v>
      </c>
      <c r="S90" s="37">
        <f>'Round 2 Data'!S90*'Round 2 Points'!Y$2</f>
        <v>0</v>
      </c>
      <c r="T90" s="38">
        <f t="shared" si="2"/>
        <v>24</v>
      </c>
      <c r="U90" s="37">
        <f>'Round 2 Data'!U90*'Round 2 Points'!Z$2</f>
        <v>0</v>
      </c>
      <c r="V90" s="36">
        <f>IF('Round 2 Data'!D90='Round 2 Points'!$K$1,D90/80*$K$2,0)</f>
        <v>0</v>
      </c>
      <c r="W90" s="52">
        <f t="shared" si="3"/>
        <v>24</v>
      </c>
    </row>
    <row r="91" spans="1:23" ht="16" thickBot="1" x14ac:dyDescent="0.25">
      <c r="A91" s="77" t="s">
        <v>70</v>
      </c>
      <c r="B91" s="36" t="str" cm="1">
        <f t="array" ref="B91:C91">_xlfn.XLOOKUP(A91,'Player List'!$A$2:$A$177,'Player List'!$B$2:$C$177)</f>
        <v>Wales</v>
      </c>
      <c r="C91" s="36" t="str">
        <v>Second Row</v>
      </c>
      <c r="D91" s="37">
        <v>80</v>
      </c>
      <c r="F91" s="37">
        <f>'Round 2 Data'!F91*'Round 2 Points'!L$2</f>
        <v>7</v>
      </c>
      <c r="G91" s="37">
        <f>'Round 2 Data'!G91*'Round 2 Points'!M$2</f>
        <v>0</v>
      </c>
      <c r="H91" s="37">
        <f>'Round 2 Data'!H91*'Round 2 Points'!N$2</f>
        <v>0</v>
      </c>
      <c r="I91" s="37">
        <f>'Round 2 Data'!I91*'Round 2 Points'!O$2</f>
        <v>4.4000000000000004</v>
      </c>
      <c r="J91" s="37">
        <f>'Round 2 Data'!J91*'Round 2 Points'!P$2</f>
        <v>0</v>
      </c>
      <c r="K91" s="37">
        <f>'Round 2 Data'!K91*'Round 2 Points'!Q$2</f>
        <v>0</v>
      </c>
      <c r="L91" s="37">
        <f>'Round 2 Data'!L91*'Round 2 Points'!R$2</f>
        <v>0</v>
      </c>
      <c r="M91" s="37">
        <f>'Round 2 Data'!M91*'Round 2 Points'!S$2</f>
        <v>0</v>
      </c>
      <c r="N91" s="37">
        <f>'Round 2 Data'!N91*'Round 2 Points'!T$2</f>
        <v>0</v>
      </c>
      <c r="O91" s="37">
        <f>'Round 2 Data'!O91*'Round 2 Points'!U$2</f>
        <v>0</v>
      </c>
      <c r="P91" s="37">
        <f>'Round 2 Data'!P91*'Round 2 Points'!V$2</f>
        <v>0</v>
      </c>
      <c r="Q91" s="37">
        <f>'Round 2 Data'!Q91*'Round 2 Points'!W$2</f>
        <v>0</v>
      </c>
      <c r="R91" s="37">
        <f>'Round 2 Data'!R91*'Round 2 Points'!X$2</f>
        <v>0</v>
      </c>
      <c r="S91" s="37">
        <f>'Round 2 Data'!S91*'Round 2 Points'!Y$2</f>
        <v>0</v>
      </c>
      <c r="T91" s="38">
        <f t="shared" si="2"/>
        <v>11.4</v>
      </c>
      <c r="U91" s="37">
        <f>'Round 2 Data'!U91*'Round 2 Points'!Z$2</f>
        <v>0</v>
      </c>
      <c r="V91" s="36">
        <f>IF('Round 2 Data'!D91='Round 2 Points'!$K$1,D91/80*$K$2,0)</f>
        <v>0</v>
      </c>
      <c r="W91" s="52">
        <f t="shared" si="3"/>
        <v>11.4</v>
      </c>
    </row>
    <row r="92" spans="1:23" ht="16" thickBot="1" x14ac:dyDescent="0.25">
      <c r="A92" s="76" t="s">
        <v>71</v>
      </c>
      <c r="B92" s="36" t="str" cm="1">
        <f t="array" ref="B92:C92">_xlfn.XLOOKUP(A92,'Player List'!$A$2:$A$177,'Player List'!$B$2:$C$177)</f>
        <v>Wales</v>
      </c>
      <c r="C92" s="36" t="str">
        <v>Second Row</v>
      </c>
      <c r="D92" s="37">
        <v>14</v>
      </c>
      <c r="F92" s="37">
        <f>'Round 2 Data'!F92*'Round 2 Points'!L$2</f>
        <v>1</v>
      </c>
      <c r="G92" s="37">
        <f>'Round 2 Data'!G92*'Round 2 Points'!M$2</f>
        <v>0</v>
      </c>
      <c r="H92" s="37">
        <f>'Round 2 Data'!H92*'Round 2 Points'!N$2</f>
        <v>0</v>
      </c>
      <c r="I92" s="37">
        <f>'Round 2 Data'!I92*'Round 2 Points'!O$2</f>
        <v>0.2</v>
      </c>
      <c r="J92" s="37">
        <f>'Round 2 Data'!J92*'Round 2 Points'!P$2</f>
        <v>0</v>
      </c>
      <c r="K92" s="37">
        <f>'Round 2 Data'!K92*'Round 2 Points'!Q$2</f>
        <v>0</v>
      </c>
      <c r="L92" s="37">
        <f>'Round 2 Data'!L92*'Round 2 Points'!R$2</f>
        <v>0</v>
      </c>
      <c r="M92" s="37">
        <f>'Round 2 Data'!M92*'Round 2 Points'!S$2</f>
        <v>0</v>
      </c>
      <c r="N92" s="37">
        <f>'Round 2 Data'!N92*'Round 2 Points'!T$2</f>
        <v>0</v>
      </c>
      <c r="O92" s="37">
        <f>'Round 2 Data'!O92*'Round 2 Points'!U$2</f>
        <v>0</v>
      </c>
      <c r="P92" s="37">
        <f>'Round 2 Data'!P92*'Round 2 Points'!V$2</f>
        <v>0</v>
      </c>
      <c r="Q92" s="37">
        <f>'Round 2 Data'!Q92*'Round 2 Points'!W$2</f>
        <v>0</v>
      </c>
      <c r="R92" s="37">
        <f>'Round 2 Data'!R92*'Round 2 Points'!X$2</f>
        <v>0</v>
      </c>
      <c r="S92" s="37">
        <f>'Round 2 Data'!S92*'Round 2 Points'!Y$2</f>
        <v>0</v>
      </c>
      <c r="T92" s="38">
        <f t="shared" si="2"/>
        <v>1.2</v>
      </c>
      <c r="U92" s="37">
        <f>'Round 2 Data'!U92*'Round 2 Points'!Z$2</f>
        <v>0</v>
      </c>
      <c r="V92" s="36">
        <f>IF('Round 2 Data'!D92='Round 2 Points'!$K$1,D92/80*$K$2,0)</f>
        <v>0</v>
      </c>
      <c r="W92" s="52">
        <f t="shared" si="3"/>
        <v>1.2</v>
      </c>
    </row>
    <row r="93" spans="1:23" ht="16" thickBot="1" x14ac:dyDescent="0.25">
      <c r="A93" s="77" t="s">
        <v>72</v>
      </c>
      <c r="B93" s="36" t="str" cm="1">
        <f t="array" ref="B93:C93">_xlfn.XLOOKUP(A93,'Player List'!$A$2:$A$177,'Player List'!$B$2:$C$177)</f>
        <v>Wales</v>
      </c>
      <c r="C93" s="36" t="str">
        <v>Second Row</v>
      </c>
      <c r="D93" s="37">
        <v>66</v>
      </c>
      <c r="F93" s="37">
        <f>'Round 2 Data'!F93*'Round 2 Points'!L$2</f>
        <v>8</v>
      </c>
      <c r="G93" s="37">
        <f>'Round 2 Data'!G93*'Round 2 Points'!M$2</f>
        <v>0</v>
      </c>
      <c r="H93" s="37">
        <f>'Round 2 Data'!H93*'Round 2 Points'!N$2</f>
        <v>0</v>
      </c>
      <c r="I93" s="37">
        <f>'Round 2 Data'!I93*'Round 2 Points'!O$2</f>
        <v>6</v>
      </c>
      <c r="J93" s="37">
        <f>'Round 2 Data'!J93*'Round 2 Points'!P$2</f>
        <v>0</v>
      </c>
      <c r="K93" s="37">
        <f>'Round 2 Data'!K93*'Round 2 Points'!Q$2</f>
        <v>0</v>
      </c>
      <c r="L93" s="37">
        <f>'Round 2 Data'!L93*'Round 2 Points'!R$2</f>
        <v>0</v>
      </c>
      <c r="M93" s="37">
        <f>'Round 2 Data'!M93*'Round 2 Points'!S$2</f>
        <v>0</v>
      </c>
      <c r="N93" s="37">
        <f>'Round 2 Data'!N93*'Round 2 Points'!T$2</f>
        <v>0</v>
      </c>
      <c r="O93" s="37">
        <f>'Round 2 Data'!O93*'Round 2 Points'!U$2</f>
        <v>0</v>
      </c>
      <c r="P93" s="37">
        <f>'Round 2 Data'!P93*'Round 2 Points'!V$2</f>
        <v>0</v>
      </c>
      <c r="Q93" s="37">
        <f>'Round 2 Data'!Q93*'Round 2 Points'!W$2</f>
        <v>0</v>
      </c>
      <c r="R93" s="37">
        <f>'Round 2 Data'!R93*'Round 2 Points'!X$2</f>
        <v>0</v>
      </c>
      <c r="S93" s="37">
        <f>'Round 2 Data'!S93*'Round 2 Points'!Y$2</f>
        <v>0</v>
      </c>
      <c r="T93" s="38">
        <f t="shared" si="2"/>
        <v>14</v>
      </c>
      <c r="U93" s="37">
        <f>'Round 2 Data'!U93*'Round 2 Points'!Z$2</f>
        <v>0</v>
      </c>
      <c r="V93" s="36">
        <f>IF('Round 2 Data'!D93='Round 2 Points'!$K$1,D93/80*$K$2,0)</f>
        <v>0</v>
      </c>
      <c r="W93" s="52">
        <f t="shared" si="3"/>
        <v>14</v>
      </c>
    </row>
    <row r="94" spans="1:23" ht="16" thickBot="1" x14ac:dyDescent="0.25">
      <c r="A94" s="76" t="s">
        <v>73</v>
      </c>
      <c r="B94" s="36" t="str" cm="1">
        <f t="array" ref="B94:C94">_xlfn.XLOOKUP(A94,'Player List'!$A$2:$A$177,'Player List'!$B$2:$C$177)</f>
        <v>Wales</v>
      </c>
      <c r="C94" s="36" t="str">
        <v>Second Row</v>
      </c>
      <c r="D94" s="37">
        <v>80</v>
      </c>
      <c r="F94" s="37">
        <f>'Round 2 Data'!F94*'Round 2 Points'!L$2</f>
        <v>7</v>
      </c>
      <c r="G94" s="37">
        <f>'Round 2 Data'!G94*'Round 2 Points'!M$2</f>
        <v>0</v>
      </c>
      <c r="H94" s="37">
        <f>'Round 2 Data'!H94*'Round 2 Points'!N$2</f>
        <v>0</v>
      </c>
      <c r="I94" s="37">
        <f>'Round 2 Data'!I94*'Round 2 Points'!O$2</f>
        <v>10</v>
      </c>
      <c r="J94" s="37">
        <f>'Round 2 Data'!J94*'Round 2 Points'!P$2</f>
        <v>0</v>
      </c>
      <c r="K94" s="37">
        <f>'Round 2 Data'!K94*'Round 2 Points'!Q$2</f>
        <v>7</v>
      </c>
      <c r="L94" s="37">
        <f>'Round 2 Data'!L94*'Round 2 Points'!R$2</f>
        <v>0</v>
      </c>
      <c r="M94" s="37">
        <f>'Round 2 Data'!M94*'Round 2 Points'!S$2</f>
        <v>0</v>
      </c>
      <c r="N94" s="37">
        <f>'Round 2 Data'!N94*'Round 2 Points'!T$2</f>
        <v>0</v>
      </c>
      <c r="O94" s="37">
        <f>'Round 2 Data'!O94*'Round 2 Points'!U$2</f>
        <v>0</v>
      </c>
      <c r="P94" s="37">
        <f>'Round 2 Data'!P94*'Round 2 Points'!V$2</f>
        <v>0</v>
      </c>
      <c r="Q94" s="37">
        <f>'Round 2 Data'!Q94*'Round 2 Points'!W$2</f>
        <v>0</v>
      </c>
      <c r="R94" s="37">
        <f>'Round 2 Data'!R94*'Round 2 Points'!X$2</f>
        <v>0</v>
      </c>
      <c r="S94" s="37">
        <f>'Round 2 Data'!S94*'Round 2 Points'!Y$2</f>
        <v>0</v>
      </c>
      <c r="T94" s="38">
        <f t="shared" si="2"/>
        <v>24</v>
      </c>
      <c r="U94" s="37">
        <f>'Round 2 Data'!U94*'Round 2 Points'!Z$2</f>
        <v>0</v>
      </c>
      <c r="V94" s="36">
        <f>IF('Round 2 Data'!D94='Round 2 Points'!$K$1,D94/80*$K$2,0)</f>
        <v>0</v>
      </c>
      <c r="W94" s="52">
        <f t="shared" si="3"/>
        <v>24</v>
      </c>
    </row>
    <row r="95" spans="1:23" ht="16" thickBot="1" x14ac:dyDescent="0.25">
      <c r="A95" s="77" t="s">
        <v>74</v>
      </c>
      <c r="B95" s="36" t="str" cm="1">
        <f t="array" ref="B95:C95">_xlfn.XLOOKUP(A95,'Player List'!$A$2:$A$177,'Player List'!$B$2:$C$177)</f>
        <v>Wales</v>
      </c>
      <c r="C95" s="36" t="str">
        <v>Prop</v>
      </c>
      <c r="D95" s="37">
        <v>16</v>
      </c>
      <c r="F95" s="37">
        <f>'Round 2 Data'!F95*'Round 2 Points'!L$2</f>
        <v>1</v>
      </c>
      <c r="G95" s="37">
        <f>'Round 2 Data'!G95*'Round 2 Points'!M$2</f>
        <v>7</v>
      </c>
      <c r="H95" s="37">
        <f>'Round 2 Data'!H95*'Round 2 Points'!N$2</f>
        <v>0</v>
      </c>
      <c r="I95" s="37">
        <f>'Round 2 Data'!I95*'Round 2 Points'!O$2</f>
        <v>1.6</v>
      </c>
      <c r="J95" s="37">
        <f>'Round 2 Data'!J95*'Round 2 Points'!P$2</f>
        <v>0</v>
      </c>
      <c r="K95" s="37">
        <f>'Round 2 Data'!K95*'Round 2 Points'!Q$2</f>
        <v>0</v>
      </c>
      <c r="L95" s="37">
        <f>'Round 2 Data'!L95*'Round 2 Points'!R$2</f>
        <v>0</v>
      </c>
      <c r="M95" s="37">
        <f>'Round 2 Data'!M95*'Round 2 Points'!S$2</f>
        <v>0</v>
      </c>
      <c r="N95" s="37">
        <f>'Round 2 Data'!N95*'Round 2 Points'!T$2</f>
        <v>0</v>
      </c>
      <c r="O95" s="37">
        <f>'Round 2 Data'!O95*'Round 2 Points'!U$2</f>
        <v>0</v>
      </c>
      <c r="P95" s="37">
        <f>'Round 2 Data'!P95*'Round 2 Points'!V$2</f>
        <v>0</v>
      </c>
      <c r="Q95" s="37">
        <f>'Round 2 Data'!Q95*'Round 2 Points'!W$2</f>
        <v>0</v>
      </c>
      <c r="R95" s="37">
        <f>'Round 2 Data'!R95*'Round 2 Points'!X$2</f>
        <v>0</v>
      </c>
      <c r="S95" s="37">
        <f>'Round 2 Data'!S95*'Round 2 Points'!Y$2</f>
        <v>0</v>
      </c>
      <c r="T95" s="38">
        <f t="shared" si="2"/>
        <v>9.6</v>
      </c>
      <c r="U95" s="37">
        <f>'Round 2 Data'!U95*'Round 2 Points'!Z$2</f>
        <v>0</v>
      </c>
      <c r="V95" s="36">
        <f>IF('Round 2 Data'!D95='Round 2 Points'!$K$1,D95/80*$K$2,0)</f>
        <v>0</v>
      </c>
      <c r="W95" s="52">
        <f t="shared" si="3"/>
        <v>9.6</v>
      </c>
    </row>
    <row r="96" spans="1:23" ht="16" thickBot="1" x14ac:dyDescent="0.25">
      <c r="A96" s="76" t="s">
        <v>75</v>
      </c>
      <c r="B96" s="36" t="str" cm="1">
        <f t="array" ref="B96:C96">_xlfn.XLOOKUP(A96,'Player List'!$A$2:$A$177,'Player List'!$B$2:$C$177)</f>
        <v>Wales</v>
      </c>
      <c r="C96" s="36" t="str">
        <v>Prop</v>
      </c>
      <c r="D96" s="37">
        <v>28</v>
      </c>
      <c r="F96" s="37">
        <f>'Round 2 Data'!F96*'Round 2 Points'!L$2</f>
        <v>2</v>
      </c>
      <c r="G96" s="37">
        <f>'Round 2 Data'!G96*'Round 2 Points'!M$2</f>
        <v>0</v>
      </c>
      <c r="H96" s="37">
        <f>'Round 2 Data'!H96*'Round 2 Points'!N$2</f>
        <v>0</v>
      </c>
      <c r="I96" s="37">
        <f>'Round 2 Data'!I96*'Round 2 Points'!O$2</f>
        <v>4.6000000000000005</v>
      </c>
      <c r="J96" s="37">
        <f>'Round 2 Data'!J96*'Round 2 Points'!P$2</f>
        <v>0</v>
      </c>
      <c r="K96" s="37">
        <f>'Round 2 Data'!K96*'Round 2 Points'!Q$2</f>
        <v>0</v>
      </c>
      <c r="L96" s="37">
        <f>'Round 2 Data'!L96*'Round 2 Points'!R$2</f>
        <v>0</v>
      </c>
      <c r="M96" s="37">
        <f>'Round 2 Data'!M96*'Round 2 Points'!S$2</f>
        <v>0</v>
      </c>
      <c r="N96" s="37">
        <f>'Round 2 Data'!N96*'Round 2 Points'!T$2</f>
        <v>0</v>
      </c>
      <c r="O96" s="37">
        <f>'Round 2 Data'!O96*'Round 2 Points'!U$2</f>
        <v>0</v>
      </c>
      <c r="P96" s="37">
        <f>'Round 2 Data'!P96*'Round 2 Points'!V$2</f>
        <v>0</v>
      </c>
      <c r="Q96" s="37">
        <f>'Round 2 Data'!Q96*'Round 2 Points'!W$2</f>
        <v>0</v>
      </c>
      <c r="R96" s="37">
        <f>'Round 2 Data'!R96*'Round 2 Points'!X$2</f>
        <v>0</v>
      </c>
      <c r="S96" s="37">
        <f>'Round 2 Data'!S96*'Round 2 Points'!Y$2</f>
        <v>0</v>
      </c>
      <c r="T96" s="38">
        <f t="shared" si="2"/>
        <v>6.6000000000000005</v>
      </c>
      <c r="U96" s="37">
        <f>'Round 2 Data'!U96*'Round 2 Points'!Z$2</f>
        <v>0</v>
      </c>
      <c r="V96" s="36">
        <f>IF('Round 2 Data'!D96='Round 2 Points'!$K$1,D96/80*$K$2,0)</f>
        <v>0</v>
      </c>
      <c r="W96" s="52">
        <f t="shared" si="3"/>
        <v>6.6000000000000005</v>
      </c>
    </row>
    <row r="97" spans="1:23" ht="16" thickBot="1" x14ac:dyDescent="0.25">
      <c r="A97" s="77" t="s">
        <v>76</v>
      </c>
      <c r="B97" s="36" t="str" cm="1">
        <f t="array" ref="B97:C97">_xlfn.XLOOKUP(A97,'Player List'!$A$2:$A$177,'Player List'!$B$2:$C$177)</f>
        <v>Wales</v>
      </c>
      <c r="C97" s="36" t="str">
        <v>Prop</v>
      </c>
      <c r="D97" s="37">
        <v>52</v>
      </c>
      <c r="F97" s="37">
        <f>'Round 2 Data'!F97*'Round 2 Points'!L$2</f>
        <v>4</v>
      </c>
      <c r="G97" s="37">
        <f>'Round 2 Data'!G97*'Round 2 Points'!M$2</f>
        <v>7</v>
      </c>
      <c r="H97" s="37">
        <f>'Round 2 Data'!H97*'Round 2 Points'!N$2</f>
        <v>0</v>
      </c>
      <c r="I97" s="37">
        <f>'Round 2 Data'!I97*'Round 2 Points'!O$2</f>
        <v>3.8000000000000003</v>
      </c>
      <c r="J97" s="37">
        <f>'Round 2 Data'!J97*'Round 2 Points'!P$2</f>
        <v>0</v>
      </c>
      <c r="K97" s="37">
        <f>'Round 2 Data'!K97*'Round 2 Points'!Q$2</f>
        <v>0</v>
      </c>
      <c r="L97" s="37">
        <f>'Round 2 Data'!L97*'Round 2 Points'!R$2</f>
        <v>0</v>
      </c>
      <c r="M97" s="37">
        <f>'Round 2 Data'!M97*'Round 2 Points'!S$2</f>
        <v>0</v>
      </c>
      <c r="N97" s="37">
        <f>'Round 2 Data'!N97*'Round 2 Points'!T$2</f>
        <v>0</v>
      </c>
      <c r="O97" s="37">
        <f>'Round 2 Data'!O97*'Round 2 Points'!U$2</f>
        <v>0</v>
      </c>
      <c r="P97" s="37">
        <f>'Round 2 Data'!P97*'Round 2 Points'!V$2</f>
        <v>0</v>
      </c>
      <c r="Q97" s="37">
        <f>'Round 2 Data'!Q97*'Round 2 Points'!W$2</f>
        <v>0</v>
      </c>
      <c r="R97" s="37">
        <f>'Round 2 Data'!R97*'Round 2 Points'!X$2</f>
        <v>0</v>
      </c>
      <c r="S97" s="37">
        <f>'Round 2 Data'!S97*'Round 2 Points'!Y$2</f>
        <v>0</v>
      </c>
      <c r="T97" s="38">
        <f t="shared" si="2"/>
        <v>14.8</v>
      </c>
      <c r="U97" s="37">
        <f>'Round 2 Data'!U97*'Round 2 Points'!Z$2</f>
        <v>0</v>
      </c>
      <c r="V97" s="36">
        <f>IF('Round 2 Data'!D97='Round 2 Points'!$K$1,D97/80*$K$2,0)</f>
        <v>0</v>
      </c>
      <c r="W97" s="52">
        <f t="shared" si="3"/>
        <v>14.8</v>
      </c>
    </row>
    <row r="98" spans="1:23" ht="16" thickBot="1" x14ac:dyDescent="0.25">
      <c r="A98" s="76" t="s">
        <v>77</v>
      </c>
      <c r="B98" s="36" t="str" cm="1">
        <f t="array" ref="B98:C98">_xlfn.XLOOKUP(A98,'Player List'!$A$2:$A$177,'Player List'!$B$2:$C$177)</f>
        <v>Wales</v>
      </c>
      <c r="C98" s="36" t="str">
        <v>Prop</v>
      </c>
      <c r="D98" s="37">
        <v>64</v>
      </c>
      <c r="F98" s="37">
        <f>'Round 2 Data'!F98*'Round 2 Points'!L$2</f>
        <v>8</v>
      </c>
      <c r="G98" s="37">
        <f>'Round 2 Data'!G98*'Round 2 Points'!M$2</f>
        <v>0</v>
      </c>
      <c r="H98" s="37">
        <f>'Round 2 Data'!H98*'Round 2 Points'!N$2</f>
        <v>0</v>
      </c>
      <c r="I98" s="37">
        <f>'Round 2 Data'!I98*'Round 2 Points'!O$2</f>
        <v>4.4000000000000004</v>
      </c>
      <c r="J98" s="37">
        <f>'Round 2 Data'!J98*'Round 2 Points'!P$2</f>
        <v>0</v>
      </c>
      <c r="K98" s="37">
        <f>'Round 2 Data'!K98*'Round 2 Points'!Q$2</f>
        <v>0</v>
      </c>
      <c r="L98" s="37">
        <f>'Round 2 Data'!L98*'Round 2 Points'!R$2</f>
        <v>0</v>
      </c>
      <c r="M98" s="37">
        <f>'Round 2 Data'!M98*'Round 2 Points'!S$2</f>
        <v>0</v>
      </c>
      <c r="N98" s="37">
        <f>'Round 2 Data'!N98*'Round 2 Points'!T$2</f>
        <v>0</v>
      </c>
      <c r="O98" s="37">
        <f>'Round 2 Data'!O98*'Round 2 Points'!U$2</f>
        <v>0</v>
      </c>
      <c r="P98" s="37">
        <f>'Round 2 Data'!P98*'Round 2 Points'!V$2</f>
        <v>0</v>
      </c>
      <c r="Q98" s="37">
        <f>'Round 2 Data'!Q98*'Round 2 Points'!W$2</f>
        <v>0</v>
      </c>
      <c r="R98" s="37">
        <f>'Round 2 Data'!R98*'Round 2 Points'!X$2</f>
        <v>0</v>
      </c>
      <c r="S98" s="37">
        <f>'Round 2 Data'!S98*'Round 2 Points'!Y$2</f>
        <v>0</v>
      </c>
      <c r="T98" s="38">
        <f t="shared" si="2"/>
        <v>12.4</v>
      </c>
      <c r="U98" s="37">
        <f>'Round 2 Data'!U98*'Round 2 Points'!Z$2</f>
        <v>0</v>
      </c>
      <c r="V98" s="36">
        <f>IF('Round 2 Data'!D98='Round 2 Points'!$K$1,D98/80*$K$2,0)</f>
        <v>0</v>
      </c>
      <c r="W98" s="52">
        <f t="shared" si="3"/>
        <v>12.4</v>
      </c>
    </row>
    <row r="99" spans="1:23" ht="16" thickBot="1" x14ac:dyDescent="0.25">
      <c r="A99" s="77" t="s">
        <v>78</v>
      </c>
      <c r="B99" s="36" t="str" cm="1">
        <f t="array" ref="B99:C99">_xlfn.XLOOKUP(A99,'Player List'!$A$2:$A$177,'Player List'!$B$2:$C$177)</f>
        <v>Wales</v>
      </c>
      <c r="C99" s="36" t="str">
        <v>Hooker</v>
      </c>
      <c r="D99" s="37">
        <v>16</v>
      </c>
      <c r="F99" s="37">
        <f>'Round 2 Data'!F99*'Round 2 Points'!L$2</f>
        <v>4</v>
      </c>
      <c r="G99" s="37">
        <f>'Round 2 Data'!G99*'Round 2 Points'!M$2</f>
        <v>0</v>
      </c>
      <c r="H99" s="37">
        <f>'Round 2 Data'!H99*'Round 2 Points'!N$2</f>
        <v>0</v>
      </c>
      <c r="I99" s="37">
        <f>'Round 2 Data'!I99*'Round 2 Points'!O$2</f>
        <v>1.6</v>
      </c>
      <c r="J99" s="37">
        <f>'Round 2 Data'!J99*'Round 2 Points'!P$2</f>
        <v>0</v>
      </c>
      <c r="K99" s="37">
        <f>'Round 2 Data'!K99*'Round 2 Points'!Q$2</f>
        <v>0</v>
      </c>
      <c r="L99" s="37">
        <f>'Round 2 Data'!L99*'Round 2 Points'!R$2</f>
        <v>0</v>
      </c>
      <c r="M99" s="37">
        <f>'Round 2 Data'!M99*'Round 2 Points'!S$2</f>
        <v>0</v>
      </c>
      <c r="N99" s="37">
        <f>'Round 2 Data'!N99*'Round 2 Points'!T$2</f>
        <v>0</v>
      </c>
      <c r="O99" s="37">
        <f>'Round 2 Data'!O99*'Round 2 Points'!U$2</f>
        <v>0</v>
      </c>
      <c r="P99" s="37">
        <f>'Round 2 Data'!P99*'Round 2 Points'!V$2</f>
        <v>0</v>
      </c>
      <c r="Q99" s="37">
        <f>'Round 2 Data'!Q99*'Round 2 Points'!W$2</f>
        <v>0</v>
      </c>
      <c r="R99" s="37">
        <f>'Round 2 Data'!R99*'Round 2 Points'!X$2</f>
        <v>0</v>
      </c>
      <c r="S99" s="37">
        <f>'Round 2 Data'!S99*'Round 2 Points'!Y$2</f>
        <v>0</v>
      </c>
      <c r="T99" s="38">
        <f t="shared" si="2"/>
        <v>5.6</v>
      </c>
      <c r="U99" s="37">
        <f>'Round 2 Data'!U99*'Round 2 Points'!Z$2</f>
        <v>0</v>
      </c>
      <c r="V99" s="36">
        <f>IF('Round 2 Data'!D99='Round 2 Points'!$K$1,D99/80*$K$2,0)</f>
        <v>0</v>
      </c>
      <c r="W99" s="52">
        <f t="shared" si="3"/>
        <v>5.6</v>
      </c>
    </row>
    <row r="100" spans="1:23" ht="16" thickBot="1" x14ac:dyDescent="0.25">
      <c r="A100" s="76" t="s">
        <v>79</v>
      </c>
      <c r="B100" s="36" t="str" cm="1">
        <f t="array" ref="B100:C100">_xlfn.XLOOKUP(A100,'Player List'!$A$2:$A$177,'Player List'!$B$2:$C$177)</f>
        <v>Wales</v>
      </c>
      <c r="C100" s="36" t="str">
        <v>Hooker</v>
      </c>
      <c r="D100" s="37">
        <v>64</v>
      </c>
      <c r="F100" s="37">
        <f>'Round 2 Data'!F100*'Round 2 Points'!L$2</f>
        <v>9</v>
      </c>
      <c r="G100" s="37">
        <f>'Round 2 Data'!G100*'Round 2 Points'!M$2</f>
        <v>7</v>
      </c>
      <c r="H100" s="37">
        <f>'Round 2 Data'!H100*'Round 2 Points'!N$2</f>
        <v>0</v>
      </c>
      <c r="I100" s="37">
        <f>'Round 2 Data'!I100*'Round 2 Points'!O$2</f>
        <v>7</v>
      </c>
      <c r="J100" s="37">
        <f>'Round 2 Data'!J100*'Round 2 Points'!P$2</f>
        <v>0</v>
      </c>
      <c r="K100" s="37">
        <f>'Round 2 Data'!K100*'Round 2 Points'!Q$2</f>
        <v>0</v>
      </c>
      <c r="L100" s="37">
        <f>'Round 2 Data'!L100*'Round 2 Points'!R$2</f>
        <v>0</v>
      </c>
      <c r="M100" s="37">
        <f>'Round 2 Data'!M100*'Round 2 Points'!S$2</f>
        <v>15</v>
      </c>
      <c r="N100" s="37">
        <f>'Round 2 Data'!N100*'Round 2 Points'!T$2</f>
        <v>0</v>
      </c>
      <c r="O100" s="37">
        <f>'Round 2 Data'!O100*'Round 2 Points'!U$2</f>
        <v>0</v>
      </c>
      <c r="P100" s="37">
        <f>'Round 2 Data'!P100*'Round 2 Points'!V$2</f>
        <v>0</v>
      </c>
      <c r="Q100" s="37">
        <f>'Round 2 Data'!Q100*'Round 2 Points'!W$2</f>
        <v>0</v>
      </c>
      <c r="R100" s="37">
        <f>'Round 2 Data'!R100*'Round 2 Points'!X$2</f>
        <v>0</v>
      </c>
      <c r="S100" s="37">
        <f>'Round 2 Data'!S100*'Round 2 Points'!Y$2</f>
        <v>0</v>
      </c>
      <c r="T100" s="38">
        <f t="shared" si="2"/>
        <v>38</v>
      </c>
      <c r="U100" s="37">
        <f>'Round 2 Data'!U100*'Round 2 Points'!Z$2</f>
        <v>0</v>
      </c>
      <c r="V100" s="36">
        <f>IF('Round 2 Data'!D100='Round 2 Points'!$K$1,D100/80*$K$2,0)</f>
        <v>0</v>
      </c>
      <c r="W100" s="52">
        <f t="shared" si="3"/>
        <v>38</v>
      </c>
    </row>
    <row r="101" spans="1:23" ht="16" thickBot="1" x14ac:dyDescent="0.25">
      <c r="A101" s="76" t="s">
        <v>80</v>
      </c>
      <c r="B101" s="36" t="str" cm="1">
        <f t="array" ref="B101:C101">_xlfn.XLOOKUP(A101,'Player List'!$A$2:$A$177,'Player List'!$B$2:$C$177)</f>
        <v>England</v>
      </c>
      <c r="C101" s="36" t="str">
        <v>Back Three</v>
      </c>
      <c r="D101" s="37">
        <v>26</v>
      </c>
      <c r="F101" s="37">
        <f>'Round 2 Data'!F101*'Round 2 Points'!L$2</f>
        <v>1</v>
      </c>
      <c r="G101" s="37">
        <f>'Round 2 Data'!G101*'Round 2 Points'!M$2</f>
        <v>0</v>
      </c>
      <c r="H101" s="37">
        <f>'Round 2 Data'!H101*'Round 2 Points'!N$2</f>
        <v>0</v>
      </c>
      <c r="I101" s="37">
        <f>'Round 2 Data'!I101*'Round 2 Points'!O$2</f>
        <v>2.4000000000000004</v>
      </c>
      <c r="J101" s="37">
        <f>'Round 2 Data'!J101*'Round 2 Points'!P$2</f>
        <v>0</v>
      </c>
      <c r="K101" s="37">
        <f>'Round 2 Data'!K101*'Round 2 Points'!Q$2</f>
        <v>0</v>
      </c>
      <c r="L101" s="37">
        <f>'Round 2 Data'!L101*'Round 2 Points'!R$2</f>
        <v>0</v>
      </c>
      <c r="M101" s="37">
        <f>'Round 2 Data'!M101*'Round 2 Points'!S$2</f>
        <v>15</v>
      </c>
      <c r="N101" s="37">
        <f>'Round 2 Data'!N101*'Round 2 Points'!T$2</f>
        <v>0</v>
      </c>
      <c r="O101" s="37">
        <f>'Round 2 Data'!O101*'Round 2 Points'!U$2</f>
        <v>0</v>
      </c>
      <c r="P101" s="37">
        <f>'Round 2 Data'!P101*'Round 2 Points'!V$2</f>
        <v>0</v>
      </c>
      <c r="Q101" s="37">
        <f>'Round 2 Data'!Q101*'Round 2 Points'!W$2</f>
        <v>0</v>
      </c>
      <c r="R101" s="37">
        <f>'Round 2 Data'!R101*'Round 2 Points'!X$2</f>
        <v>0</v>
      </c>
      <c r="S101" s="37">
        <f>'Round 2 Data'!S101*'Round 2 Points'!Y$2</f>
        <v>0</v>
      </c>
      <c r="T101" s="38">
        <f t="shared" si="2"/>
        <v>18.399999999999999</v>
      </c>
      <c r="U101" s="37">
        <f>'Round 2 Data'!U101*'Round 2 Points'!Z$2</f>
        <v>0</v>
      </c>
      <c r="V101" s="36">
        <f>IF('Round 2 Data'!D101='Round 2 Points'!$K$1,D101/80*$K$2,0)</f>
        <v>2.6</v>
      </c>
      <c r="W101" s="52">
        <f t="shared" si="3"/>
        <v>21</v>
      </c>
    </row>
    <row r="102" spans="1:23" ht="16" thickBot="1" x14ac:dyDescent="0.25">
      <c r="A102" s="77" t="s">
        <v>81</v>
      </c>
      <c r="B102" s="36" t="str" cm="1">
        <f t="array" ref="B102:C102">_xlfn.XLOOKUP(A102,'Player List'!$A$2:$A$177,'Player List'!$B$2:$C$177)</f>
        <v>England</v>
      </c>
      <c r="C102" s="36" t="str">
        <v>Back Three</v>
      </c>
      <c r="D102" s="37">
        <v>54</v>
      </c>
      <c r="F102" s="37">
        <f>'Round 2 Data'!F102*'Round 2 Points'!L$2</f>
        <v>4</v>
      </c>
      <c r="G102" s="37">
        <f>'Round 2 Data'!G102*'Round 2 Points'!M$2</f>
        <v>0</v>
      </c>
      <c r="H102" s="37">
        <f>'Round 2 Data'!H102*'Round 2 Points'!N$2</f>
        <v>0</v>
      </c>
      <c r="I102" s="37">
        <f>'Round 2 Data'!I102*'Round 2 Points'!O$2</f>
        <v>3.4000000000000004</v>
      </c>
      <c r="J102" s="37">
        <f>'Round 2 Data'!J102*'Round 2 Points'!P$2</f>
        <v>0</v>
      </c>
      <c r="K102" s="37">
        <f>'Round 2 Data'!K102*'Round 2 Points'!Q$2</f>
        <v>0</v>
      </c>
      <c r="L102" s="37">
        <f>'Round 2 Data'!L102*'Round 2 Points'!R$2</f>
        <v>0</v>
      </c>
      <c r="M102" s="37">
        <f>'Round 2 Data'!M102*'Round 2 Points'!S$2</f>
        <v>0</v>
      </c>
      <c r="N102" s="37">
        <f>'Round 2 Data'!N102*'Round 2 Points'!T$2</f>
        <v>0</v>
      </c>
      <c r="O102" s="37">
        <f>'Round 2 Data'!O102*'Round 2 Points'!U$2</f>
        <v>0</v>
      </c>
      <c r="P102" s="37">
        <f>'Round 2 Data'!P102*'Round 2 Points'!V$2</f>
        <v>0</v>
      </c>
      <c r="Q102" s="37">
        <f>'Round 2 Data'!Q102*'Round 2 Points'!W$2</f>
        <v>0</v>
      </c>
      <c r="R102" s="37">
        <f>'Round 2 Data'!R102*'Round 2 Points'!X$2</f>
        <v>0</v>
      </c>
      <c r="S102" s="37">
        <f>'Round 2 Data'!S102*'Round 2 Points'!Y$2</f>
        <v>0</v>
      </c>
      <c r="T102" s="38">
        <f t="shared" si="2"/>
        <v>7.4</v>
      </c>
      <c r="U102" s="37">
        <f>'Round 2 Data'!U102*'Round 2 Points'!Z$2</f>
        <v>0</v>
      </c>
      <c r="V102" s="36">
        <f>IF('Round 2 Data'!D102='Round 2 Points'!$K$1,D102/80*$K$2,0)</f>
        <v>5.4</v>
      </c>
      <c r="W102" s="52">
        <f t="shared" si="3"/>
        <v>12.8</v>
      </c>
    </row>
    <row r="103" spans="1:23" ht="16" thickBot="1" x14ac:dyDescent="0.25">
      <c r="A103" s="76" t="s">
        <v>82</v>
      </c>
      <c r="B103" s="36" t="str" cm="1">
        <f t="array" ref="B103:C103">_xlfn.XLOOKUP(A103,'Player List'!$A$2:$A$177,'Player List'!$B$2:$C$177)</f>
        <v>England</v>
      </c>
      <c r="C103" s="36" t="str">
        <v>Back Three</v>
      </c>
      <c r="D103" s="37">
        <v>80</v>
      </c>
      <c r="F103" s="37">
        <f>'Round 2 Data'!F103*'Round 2 Points'!L$2</f>
        <v>8</v>
      </c>
      <c r="G103" s="37">
        <f>'Round 2 Data'!G103*'Round 2 Points'!M$2</f>
        <v>0</v>
      </c>
      <c r="H103" s="37">
        <f>'Round 2 Data'!H103*'Round 2 Points'!N$2</f>
        <v>7</v>
      </c>
      <c r="I103" s="37">
        <f>'Round 2 Data'!I103*'Round 2 Points'!O$2</f>
        <v>11.600000000000001</v>
      </c>
      <c r="J103" s="37">
        <f>'Round 2 Data'!J103*'Round 2 Points'!P$2</f>
        <v>0</v>
      </c>
      <c r="K103" s="37">
        <f>'Round 2 Data'!K103*'Round 2 Points'!Q$2</f>
        <v>0</v>
      </c>
      <c r="L103" s="37">
        <f>'Round 2 Data'!L103*'Round 2 Points'!R$2</f>
        <v>0</v>
      </c>
      <c r="M103" s="37">
        <f>'Round 2 Data'!M103*'Round 2 Points'!S$2</f>
        <v>0</v>
      </c>
      <c r="N103" s="37">
        <f>'Round 2 Data'!N103*'Round 2 Points'!T$2</f>
        <v>0</v>
      </c>
      <c r="O103" s="37">
        <f>'Round 2 Data'!O103*'Round 2 Points'!U$2</f>
        <v>0</v>
      </c>
      <c r="P103" s="37">
        <f>'Round 2 Data'!P103*'Round 2 Points'!V$2</f>
        <v>0</v>
      </c>
      <c r="Q103" s="37">
        <f>'Round 2 Data'!Q103*'Round 2 Points'!W$2</f>
        <v>0</v>
      </c>
      <c r="R103" s="37">
        <f>'Round 2 Data'!R103*'Round 2 Points'!X$2</f>
        <v>0</v>
      </c>
      <c r="S103" s="37">
        <f>'Round 2 Data'!S103*'Round 2 Points'!Y$2</f>
        <v>0</v>
      </c>
      <c r="T103" s="38">
        <f t="shared" si="2"/>
        <v>26.6</v>
      </c>
      <c r="U103" s="37">
        <f>'Round 2 Data'!U103*'Round 2 Points'!Z$2</f>
        <v>0</v>
      </c>
      <c r="V103" s="36">
        <f>IF('Round 2 Data'!D103='Round 2 Points'!$K$1,D103/80*$K$2,0)</f>
        <v>8</v>
      </c>
      <c r="W103" s="52">
        <f t="shared" si="3"/>
        <v>34.6</v>
      </c>
    </row>
    <row r="104" spans="1:23" ht="16" thickBot="1" x14ac:dyDescent="0.25">
      <c r="A104" s="77" t="s">
        <v>83</v>
      </c>
      <c r="B104" s="36" t="str" cm="1">
        <f t="array" ref="B104:C104">_xlfn.XLOOKUP(A104,'Player List'!$A$2:$A$177,'Player List'!$B$2:$C$177)</f>
        <v>England</v>
      </c>
      <c r="C104" s="36" t="str">
        <v>Back Three</v>
      </c>
      <c r="D104" s="37">
        <v>80</v>
      </c>
      <c r="F104" s="37">
        <f>'Round 2 Data'!F104*'Round 2 Points'!L$2</f>
        <v>3</v>
      </c>
      <c r="G104" s="37">
        <f>'Round 2 Data'!G104*'Round 2 Points'!M$2</f>
        <v>0</v>
      </c>
      <c r="H104" s="37">
        <f>'Round 2 Data'!H104*'Round 2 Points'!N$2</f>
        <v>0</v>
      </c>
      <c r="I104" s="37">
        <f>'Round 2 Data'!I104*'Round 2 Points'!O$2</f>
        <v>8</v>
      </c>
      <c r="J104" s="37">
        <f>'Round 2 Data'!J104*'Round 2 Points'!P$2</f>
        <v>0</v>
      </c>
      <c r="K104" s="37">
        <f>'Round 2 Data'!K104*'Round 2 Points'!Q$2</f>
        <v>0</v>
      </c>
      <c r="L104" s="37">
        <f>'Round 2 Data'!L104*'Round 2 Points'!R$2</f>
        <v>0</v>
      </c>
      <c r="M104" s="37">
        <f>'Round 2 Data'!M104*'Round 2 Points'!S$2</f>
        <v>0</v>
      </c>
      <c r="N104" s="37">
        <f>'Round 2 Data'!N104*'Round 2 Points'!T$2</f>
        <v>0</v>
      </c>
      <c r="O104" s="37">
        <f>'Round 2 Data'!O104*'Round 2 Points'!U$2</f>
        <v>0</v>
      </c>
      <c r="P104" s="37">
        <f>'Round 2 Data'!P104*'Round 2 Points'!V$2</f>
        <v>0</v>
      </c>
      <c r="Q104" s="37">
        <f>'Round 2 Data'!Q104*'Round 2 Points'!W$2</f>
        <v>0</v>
      </c>
      <c r="R104" s="37">
        <f>'Round 2 Data'!R104*'Round 2 Points'!X$2</f>
        <v>0</v>
      </c>
      <c r="S104" s="37">
        <f>'Round 2 Data'!S104*'Round 2 Points'!Y$2</f>
        <v>0</v>
      </c>
      <c r="T104" s="38">
        <f t="shared" si="2"/>
        <v>11</v>
      </c>
      <c r="U104" s="37">
        <f>'Round 2 Data'!U104*'Round 2 Points'!Z$2</f>
        <v>0</v>
      </c>
      <c r="V104" s="36">
        <f>IF('Round 2 Data'!D104='Round 2 Points'!$K$1,D104/80*$K$2,0)</f>
        <v>8</v>
      </c>
      <c r="W104" s="52">
        <f t="shared" si="3"/>
        <v>19</v>
      </c>
    </row>
    <row r="105" spans="1:23" ht="16" thickBot="1" x14ac:dyDescent="0.25">
      <c r="A105" s="76" t="s">
        <v>84</v>
      </c>
      <c r="B105" s="36" t="str" cm="1">
        <f t="array" ref="B105:C105">_xlfn.XLOOKUP(A105,'Player List'!$A$2:$A$177,'Player List'!$B$2:$C$177)</f>
        <v>England</v>
      </c>
      <c r="C105" s="36" t="str">
        <v>Centre</v>
      </c>
      <c r="D105" s="37">
        <v>80</v>
      </c>
      <c r="F105" s="37">
        <f>'Round 2 Data'!F105*'Round 2 Points'!L$2</f>
        <v>12</v>
      </c>
      <c r="G105" s="37">
        <f>'Round 2 Data'!G105*'Round 2 Points'!M$2</f>
        <v>0</v>
      </c>
      <c r="H105" s="37">
        <f>'Round 2 Data'!H105*'Round 2 Points'!N$2</f>
        <v>0</v>
      </c>
      <c r="I105" s="37">
        <f>'Round 2 Data'!I105*'Round 2 Points'!O$2</f>
        <v>3.8000000000000003</v>
      </c>
      <c r="J105" s="37">
        <f>'Round 2 Data'!J105*'Round 2 Points'!P$2</f>
        <v>0</v>
      </c>
      <c r="K105" s="37">
        <f>'Round 2 Data'!K105*'Round 2 Points'!Q$2</f>
        <v>0</v>
      </c>
      <c r="L105" s="37">
        <f>'Round 2 Data'!L105*'Round 2 Points'!R$2</f>
        <v>0</v>
      </c>
      <c r="M105" s="37">
        <f>'Round 2 Data'!M105*'Round 2 Points'!S$2</f>
        <v>0</v>
      </c>
      <c r="N105" s="37">
        <f>'Round 2 Data'!N105*'Round 2 Points'!T$2</f>
        <v>0</v>
      </c>
      <c r="O105" s="37">
        <f>'Round 2 Data'!O105*'Round 2 Points'!U$2</f>
        <v>4</v>
      </c>
      <c r="P105" s="37">
        <f>'Round 2 Data'!P105*'Round 2 Points'!V$2</f>
        <v>0</v>
      </c>
      <c r="Q105" s="37">
        <f>'Round 2 Data'!Q105*'Round 2 Points'!W$2</f>
        <v>0</v>
      </c>
      <c r="R105" s="37">
        <f>'Round 2 Data'!R105*'Round 2 Points'!X$2</f>
        <v>0</v>
      </c>
      <c r="S105" s="37">
        <f>'Round 2 Data'!S105*'Round 2 Points'!Y$2</f>
        <v>0</v>
      </c>
      <c r="T105" s="38">
        <f t="shared" si="2"/>
        <v>19.8</v>
      </c>
      <c r="U105" s="37">
        <f>'Round 2 Data'!U105*'Round 2 Points'!Z$2</f>
        <v>0</v>
      </c>
      <c r="V105" s="36">
        <f>IF('Round 2 Data'!D105='Round 2 Points'!$K$1,D105/80*$K$2,0)</f>
        <v>8</v>
      </c>
      <c r="W105" s="52">
        <f t="shared" si="3"/>
        <v>27.8</v>
      </c>
    </row>
    <row r="106" spans="1:23" ht="16" thickBot="1" x14ac:dyDescent="0.25">
      <c r="A106" s="77" t="s">
        <v>85</v>
      </c>
      <c r="B106" s="36" t="str" cm="1">
        <f t="array" ref="B106:C106">_xlfn.XLOOKUP(A106,'Player List'!$A$2:$A$177,'Player List'!$B$2:$C$177)</f>
        <v>England</v>
      </c>
      <c r="C106" s="36" t="str">
        <v>Centre</v>
      </c>
      <c r="D106" s="37">
        <v>80</v>
      </c>
      <c r="F106" s="37">
        <f>'Round 2 Data'!F106*'Round 2 Points'!L$2</f>
        <v>8</v>
      </c>
      <c r="G106" s="37">
        <f>'Round 2 Data'!G106*'Round 2 Points'!M$2</f>
        <v>0</v>
      </c>
      <c r="H106" s="37">
        <f>'Round 2 Data'!H106*'Round 2 Points'!N$2</f>
        <v>7</v>
      </c>
      <c r="I106" s="37">
        <f>'Round 2 Data'!I106*'Round 2 Points'!O$2</f>
        <v>16.600000000000001</v>
      </c>
      <c r="J106" s="37">
        <f>'Round 2 Data'!J106*'Round 2 Points'!P$2</f>
        <v>0</v>
      </c>
      <c r="K106" s="37">
        <f>'Round 2 Data'!K106*'Round 2 Points'!Q$2</f>
        <v>0</v>
      </c>
      <c r="L106" s="37">
        <f>'Round 2 Data'!L106*'Round 2 Points'!R$2</f>
        <v>7</v>
      </c>
      <c r="M106" s="37">
        <f>'Round 2 Data'!M106*'Round 2 Points'!S$2</f>
        <v>0</v>
      </c>
      <c r="N106" s="37">
        <f>'Round 2 Data'!N106*'Round 2 Points'!T$2</f>
        <v>0</v>
      </c>
      <c r="O106" s="37">
        <f>'Round 2 Data'!O106*'Round 2 Points'!U$2</f>
        <v>0</v>
      </c>
      <c r="P106" s="37">
        <f>'Round 2 Data'!P106*'Round 2 Points'!V$2</f>
        <v>0</v>
      </c>
      <c r="Q106" s="37">
        <f>'Round 2 Data'!Q106*'Round 2 Points'!W$2</f>
        <v>0</v>
      </c>
      <c r="R106" s="37">
        <f>'Round 2 Data'!R106*'Round 2 Points'!X$2</f>
        <v>0</v>
      </c>
      <c r="S106" s="37">
        <f>'Round 2 Data'!S106*'Round 2 Points'!Y$2</f>
        <v>0</v>
      </c>
      <c r="T106" s="38">
        <f t="shared" si="2"/>
        <v>38.6</v>
      </c>
      <c r="U106" s="37">
        <f>'Round 2 Data'!U106*'Round 2 Points'!Z$2</f>
        <v>15</v>
      </c>
      <c r="V106" s="36">
        <f>IF('Round 2 Data'!D106='Round 2 Points'!$K$1,D106/80*$K$2,0)</f>
        <v>8</v>
      </c>
      <c r="W106" s="52">
        <f t="shared" si="3"/>
        <v>61.6</v>
      </c>
    </row>
    <row r="107" spans="1:23" ht="16" thickBot="1" x14ac:dyDescent="0.25">
      <c r="A107" s="76" t="s">
        <v>86</v>
      </c>
      <c r="B107" s="36" t="str" cm="1">
        <f t="array" ref="B107:C107">_xlfn.XLOOKUP(A107,'Player List'!$A$2:$A$177,'Player List'!$B$2:$C$177)</f>
        <v>England</v>
      </c>
      <c r="C107" s="36" t="str">
        <v>Centre</v>
      </c>
      <c r="D107" s="37">
        <v>72</v>
      </c>
      <c r="F107" s="37">
        <f>'Round 2 Data'!F107*'Round 2 Points'!L$2</f>
        <v>4</v>
      </c>
      <c r="G107" s="37">
        <f>'Round 2 Data'!G107*'Round 2 Points'!M$2</f>
        <v>0</v>
      </c>
      <c r="H107" s="37">
        <f>'Round 2 Data'!H107*'Round 2 Points'!N$2</f>
        <v>0</v>
      </c>
      <c r="I107" s="37">
        <f>'Round 2 Data'!I107*'Round 2 Points'!O$2</f>
        <v>1.4000000000000001</v>
      </c>
      <c r="J107" s="37">
        <f>'Round 2 Data'!J107*'Round 2 Points'!P$2</f>
        <v>0</v>
      </c>
      <c r="K107" s="37">
        <f>'Round 2 Data'!K107*'Round 2 Points'!Q$2</f>
        <v>0</v>
      </c>
      <c r="L107" s="37">
        <f>'Round 2 Data'!L107*'Round 2 Points'!R$2</f>
        <v>0</v>
      </c>
      <c r="M107" s="37">
        <f>'Round 2 Data'!M107*'Round 2 Points'!S$2</f>
        <v>0</v>
      </c>
      <c r="N107" s="37">
        <f>'Round 2 Data'!N107*'Round 2 Points'!T$2</f>
        <v>0</v>
      </c>
      <c r="O107" s="37">
        <f>'Round 2 Data'!O107*'Round 2 Points'!U$2</f>
        <v>0</v>
      </c>
      <c r="P107" s="37">
        <f>'Round 2 Data'!P107*'Round 2 Points'!V$2</f>
        <v>0</v>
      </c>
      <c r="Q107" s="37">
        <f>'Round 2 Data'!Q107*'Round 2 Points'!W$2</f>
        <v>0</v>
      </c>
      <c r="R107" s="37">
        <f>'Round 2 Data'!R107*'Round 2 Points'!X$2</f>
        <v>0</v>
      </c>
      <c r="S107" s="37">
        <f>'Round 2 Data'!S107*'Round 2 Points'!Y$2</f>
        <v>0</v>
      </c>
      <c r="T107" s="38">
        <f t="shared" si="2"/>
        <v>5.4</v>
      </c>
      <c r="U107" s="37">
        <f>'Round 2 Data'!U107*'Round 2 Points'!Z$2</f>
        <v>0</v>
      </c>
      <c r="V107" s="36">
        <f>IF('Round 2 Data'!D107='Round 2 Points'!$K$1,D107/80*$K$2,0)</f>
        <v>7.2</v>
      </c>
      <c r="W107" s="52">
        <f t="shared" si="3"/>
        <v>12.600000000000001</v>
      </c>
    </row>
    <row r="108" spans="1:23" ht="16" thickBot="1" x14ac:dyDescent="0.25">
      <c r="A108" s="77" t="s">
        <v>87</v>
      </c>
      <c r="B108" s="36" t="str" cm="1">
        <f t="array" ref="B108:C108">_xlfn.XLOOKUP(A108,'Player List'!$A$2:$A$177,'Player List'!$B$2:$C$177)</f>
        <v>England</v>
      </c>
      <c r="C108" s="36" t="str">
        <v>Fly Half</v>
      </c>
      <c r="D108" s="37">
        <v>8</v>
      </c>
      <c r="F108" s="37">
        <f>'Round 2 Data'!F108*'Round 2 Points'!L$2</f>
        <v>4</v>
      </c>
      <c r="G108" s="37">
        <f>'Round 2 Data'!G108*'Round 2 Points'!M$2</f>
        <v>0</v>
      </c>
      <c r="H108" s="37">
        <f>'Round 2 Data'!H108*'Round 2 Points'!N$2</f>
        <v>0</v>
      </c>
      <c r="I108" s="37">
        <f>'Round 2 Data'!I108*'Round 2 Points'!O$2</f>
        <v>0</v>
      </c>
      <c r="J108" s="37">
        <f>'Round 2 Data'!J108*'Round 2 Points'!P$2</f>
        <v>0</v>
      </c>
      <c r="K108" s="37">
        <f>'Round 2 Data'!K108*'Round 2 Points'!Q$2</f>
        <v>0</v>
      </c>
      <c r="L108" s="37">
        <f>'Round 2 Data'!L108*'Round 2 Points'!R$2</f>
        <v>0</v>
      </c>
      <c r="M108" s="37">
        <f>'Round 2 Data'!M108*'Round 2 Points'!S$2</f>
        <v>0</v>
      </c>
      <c r="N108" s="37">
        <f>'Round 2 Data'!N108*'Round 2 Points'!T$2</f>
        <v>0</v>
      </c>
      <c r="O108" s="37">
        <f>'Round 2 Data'!O108*'Round 2 Points'!U$2</f>
        <v>0</v>
      </c>
      <c r="P108" s="37">
        <f>'Round 2 Data'!P108*'Round 2 Points'!V$2</f>
        <v>0</v>
      </c>
      <c r="Q108" s="37">
        <f>'Round 2 Data'!Q108*'Round 2 Points'!W$2</f>
        <v>0</v>
      </c>
      <c r="R108" s="37">
        <f>'Round 2 Data'!R108*'Round 2 Points'!X$2</f>
        <v>0</v>
      </c>
      <c r="S108" s="37">
        <f>'Round 2 Data'!S108*'Round 2 Points'!Y$2</f>
        <v>0</v>
      </c>
      <c r="T108" s="38">
        <f t="shared" si="2"/>
        <v>4</v>
      </c>
      <c r="U108" s="37">
        <f>'Round 2 Data'!U108*'Round 2 Points'!Z$2</f>
        <v>0</v>
      </c>
      <c r="V108" s="36">
        <f>IF('Round 2 Data'!D108='Round 2 Points'!$K$1,D108/80*$K$2,0)</f>
        <v>0.8</v>
      </c>
      <c r="W108" s="52">
        <f t="shared" si="3"/>
        <v>4.8</v>
      </c>
    </row>
    <row r="109" spans="1:23" ht="16" thickBot="1" x14ac:dyDescent="0.25">
      <c r="A109" s="76" t="s">
        <v>88</v>
      </c>
      <c r="B109" s="36" t="str" cm="1">
        <f t="array" ref="B109:C109">_xlfn.XLOOKUP(A109,'Player List'!$A$2:$A$177,'Player List'!$B$2:$C$177)</f>
        <v>England</v>
      </c>
      <c r="C109" s="36" t="str">
        <v>Scrum Half</v>
      </c>
      <c r="D109" s="37">
        <v>20</v>
      </c>
      <c r="F109" s="37">
        <f>'Round 2 Data'!F109*'Round 2 Points'!L$2</f>
        <v>5</v>
      </c>
      <c r="G109" s="37">
        <f>'Round 2 Data'!G109*'Round 2 Points'!M$2</f>
        <v>0</v>
      </c>
      <c r="H109" s="37">
        <f>'Round 2 Data'!H109*'Round 2 Points'!N$2</f>
        <v>0</v>
      </c>
      <c r="I109" s="37">
        <f>'Round 2 Data'!I109*'Round 2 Points'!O$2</f>
        <v>0.2</v>
      </c>
      <c r="J109" s="37">
        <f>'Round 2 Data'!J109*'Round 2 Points'!P$2</f>
        <v>0</v>
      </c>
      <c r="K109" s="37">
        <f>'Round 2 Data'!K109*'Round 2 Points'!Q$2</f>
        <v>0</v>
      </c>
      <c r="L109" s="37">
        <f>'Round 2 Data'!L109*'Round 2 Points'!R$2</f>
        <v>0</v>
      </c>
      <c r="M109" s="37">
        <f>'Round 2 Data'!M109*'Round 2 Points'!S$2</f>
        <v>0</v>
      </c>
      <c r="N109" s="37">
        <f>'Round 2 Data'!N109*'Round 2 Points'!T$2</f>
        <v>7</v>
      </c>
      <c r="O109" s="37">
        <f>'Round 2 Data'!O109*'Round 2 Points'!U$2</f>
        <v>0</v>
      </c>
      <c r="P109" s="37">
        <f>'Round 2 Data'!P109*'Round 2 Points'!V$2</f>
        <v>0</v>
      </c>
      <c r="Q109" s="37">
        <f>'Round 2 Data'!Q109*'Round 2 Points'!W$2</f>
        <v>0</v>
      </c>
      <c r="R109" s="37">
        <f>'Round 2 Data'!R109*'Round 2 Points'!X$2</f>
        <v>0</v>
      </c>
      <c r="S109" s="37">
        <f>'Round 2 Data'!S109*'Round 2 Points'!Y$2</f>
        <v>0</v>
      </c>
      <c r="T109" s="38">
        <f t="shared" si="2"/>
        <v>12.2</v>
      </c>
      <c r="U109" s="37">
        <f>'Round 2 Data'!U109*'Round 2 Points'!Z$2</f>
        <v>0</v>
      </c>
      <c r="V109" s="36">
        <f>IF('Round 2 Data'!D109='Round 2 Points'!$K$1,D109/80*$K$2,0)</f>
        <v>2</v>
      </c>
      <c r="W109" s="52">
        <f t="shared" si="3"/>
        <v>14.2</v>
      </c>
    </row>
    <row r="110" spans="1:23" ht="16" thickBot="1" x14ac:dyDescent="0.25">
      <c r="A110" s="77" t="s">
        <v>89</v>
      </c>
      <c r="B110" s="36" t="str" cm="1">
        <f t="array" ref="B110:C110">_xlfn.XLOOKUP(A110,'Player List'!$A$2:$A$177,'Player List'!$B$2:$C$177)</f>
        <v>England</v>
      </c>
      <c r="C110" s="36" t="str">
        <v>Scrum Half</v>
      </c>
      <c r="D110" s="37">
        <v>60</v>
      </c>
      <c r="F110" s="37">
        <f>'Round 2 Data'!F110*'Round 2 Points'!L$2</f>
        <v>1</v>
      </c>
      <c r="G110" s="37">
        <f>'Round 2 Data'!G110*'Round 2 Points'!M$2</f>
        <v>0</v>
      </c>
      <c r="H110" s="37">
        <f>'Round 2 Data'!H110*'Round 2 Points'!N$2</f>
        <v>7</v>
      </c>
      <c r="I110" s="37">
        <f>'Round 2 Data'!I110*'Round 2 Points'!O$2</f>
        <v>7.8000000000000007</v>
      </c>
      <c r="J110" s="37">
        <f>'Round 2 Data'!J110*'Round 2 Points'!P$2</f>
        <v>0</v>
      </c>
      <c r="K110" s="37">
        <f>'Round 2 Data'!K110*'Round 2 Points'!Q$2</f>
        <v>0</v>
      </c>
      <c r="L110" s="37">
        <f>'Round 2 Data'!L110*'Round 2 Points'!R$2</f>
        <v>0</v>
      </c>
      <c r="M110" s="37">
        <f>'Round 2 Data'!M110*'Round 2 Points'!S$2</f>
        <v>0</v>
      </c>
      <c r="N110" s="37">
        <f>'Round 2 Data'!N110*'Round 2 Points'!T$2</f>
        <v>0</v>
      </c>
      <c r="O110" s="37">
        <f>'Round 2 Data'!O110*'Round 2 Points'!U$2</f>
        <v>0</v>
      </c>
      <c r="P110" s="37">
        <f>'Round 2 Data'!P110*'Round 2 Points'!V$2</f>
        <v>0</v>
      </c>
      <c r="Q110" s="37">
        <f>'Round 2 Data'!Q110*'Round 2 Points'!W$2</f>
        <v>0</v>
      </c>
      <c r="R110" s="37">
        <f>'Round 2 Data'!R110*'Round 2 Points'!X$2</f>
        <v>0</v>
      </c>
      <c r="S110" s="37">
        <f>'Round 2 Data'!S110*'Round 2 Points'!Y$2</f>
        <v>0</v>
      </c>
      <c r="T110" s="38">
        <f t="shared" si="2"/>
        <v>15.8</v>
      </c>
      <c r="U110" s="37">
        <f>'Round 2 Data'!U110*'Round 2 Points'!Z$2</f>
        <v>0</v>
      </c>
      <c r="V110" s="36">
        <f>IF('Round 2 Data'!D110='Round 2 Points'!$K$1,D110/80*$K$2,0)</f>
        <v>6</v>
      </c>
      <c r="W110" s="52">
        <f t="shared" si="3"/>
        <v>21.8</v>
      </c>
    </row>
    <row r="111" spans="1:23" ht="16" thickBot="1" x14ac:dyDescent="0.25">
      <c r="A111" s="76" t="s">
        <v>90</v>
      </c>
      <c r="B111" s="36" t="str" cm="1">
        <f t="array" ref="B111:C111">_xlfn.XLOOKUP(A111,'Player List'!$A$2:$A$177,'Player List'!$B$2:$C$177)</f>
        <v>England</v>
      </c>
      <c r="C111" s="36" t="str">
        <v>Back Row</v>
      </c>
      <c r="D111" s="37">
        <v>65</v>
      </c>
      <c r="F111" s="37">
        <f>'Round 2 Data'!F111*'Round 2 Points'!L$2</f>
        <v>9</v>
      </c>
      <c r="G111" s="37">
        <f>'Round 2 Data'!G111*'Round 2 Points'!M$2</f>
        <v>0</v>
      </c>
      <c r="H111" s="37">
        <f>'Round 2 Data'!H111*'Round 2 Points'!N$2</f>
        <v>0</v>
      </c>
      <c r="I111" s="37">
        <f>'Round 2 Data'!I111*'Round 2 Points'!O$2</f>
        <v>14</v>
      </c>
      <c r="J111" s="37">
        <f>'Round 2 Data'!J111*'Round 2 Points'!P$2</f>
        <v>0</v>
      </c>
      <c r="K111" s="37">
        <f>'Round 2 Data'!K111*'Round 2 Points'!Q$2</f>
        <v>0</v>
      </c>
      <c r="L111" s="37">
        <f>'Round 2 Data'!L111*'Round 2 Points'!R$2</f>
        <v>14</v>
      </c>
      <c r="M111" s="37">
        <f>'Round 2 Data'!M111*'Round 2 Points'!S$2</f>
        <v>0</v>
      </c>
      <c r="N111" s="37">
        <f>'Round 2 Data'!N111*'Round 2 Points'!T$2</f>
        <v>0</v>
      </c>
      <c r="O111" s="37">
        <f>'Round 2 Data'!O111*'Round 2 Points'!U$2</f>
        <v>0</v>
      </c>
      <c r="P111" s="37">
        <f>'Round 2 Data'!P111*'Round 2 Points'!V$2</f>
        <v>0</v>
      </c>
      <c r="Q111" s="37">
        <f>'Round 2 Data'!Q111*'Round 2 Points'!W$2</f>
        <v>0</v>
      </c>
      <c r="R111" s="37">
        <f>'Round 2 Data'!R111*'Round 2 Points'!X$2</f>
        <v>0</v>
      </c>
      <c r="S111" s="37">
        <f>'Round 2 Data'!S111*'Round 2 Points'!Y$2</f>
        <v>0</v>
      </c>
      <c r="T111" s="38">
        <f t="shared" si="2"/>
        <v>37</v>
      </c>
      <c r="U111" s="37">
        <f>'Round 2 Data'!U111*'Round 2 Points'!Z$2</f>
        <v>0</v>
      </c>
      <c r="V111" s="36">
        <f>IF('Round 2 Data'!D111='Round 2 Points'!$K$1,D111/80*$K$2,0)</f>
        <v>6.5</v>
      </c>
      <c r="W111" s="52">
        <f t="shared" si="3"/>
        <v>43.5</v>
      </c>
    </row>
    <row r="112" spans="1:23" ht="16" thickBot="1" x14ac:dyDescent="0.25">
      <c r="A112" s="77" t="s">
        <v>91</v>
      </c>
      <c r="B112" s="36" t="str" cm="1">
        <f t="array" ref="B112:C112">_xlfn.XLOOKUP(A112,'Player List'!$A$2:$A$177,'Player List'!$B$2:$C$177)</f>
        <v>England</v>
      </c>
      <c r="C112" s="36" t="str">
        <v>Back Row</v>
      </c>
      <c r="D112" s="37">
        <v>27</v>
      </c>
      <c r="F112" s="37">
        <f>'Round 2 Data'!F112*'Round 2 Points'!L$2</f>
        <v>6</v>
      </c>
      <c r="G112" s="37">
        <f>'Round 2 Data'!G112*'Round 2 Points'!M$2</f>
        <v>0</v>
      </c>
      <c r="H112" s="37">
        <f>'Round 2 Data'!H112*'Round 2 Points'!N$2</f>
        <v>0</v>
      </c>
      <c r="I112" s="37">
        <f>'Round 2 Data'!I112*'Round 2 Points'!O$2</f>
        <v>2</v>
      </c>
      <c r="J112" s="37">
        <f>'Round 2 Data'!J112*'Round 2 Points'!P$2</f>
        <v>0</v>
      </c>
      <c r="K112" s="37">
        <f>'Round 2 Data'!K112*'Round 2 Points'!Q$2</f>
        <v>0</v>
      </c>
      <c r="L112" s="37">
        <f>'Round 2 Data'!L112*'Round 2 Points'!R$2</f>
        <v>0</v>
      </c>
      <c r="M112" s="37">
        <f>'Round 2 Data'!M112*'Round 2 Points'!S$2</f>
        <v>0</v>
      </c>
      <c r="N112" s="37">
        <f>'Round 2 Data'!N112*'Round 2 Points'!T$2</f>
        <v>0</v>
      </c>
      <c r="O112" s="37">
        <f>'Round 2 Data'!O112*'Round 2 Points'!U$2</f>
        <v>0</v>
      </c>
      <c r="P112" s="37">
        <f>'Round 2 Data'!P112*'Round 2 Points'!V$2</f>
        <v>0</v>
      </c>
      <c r="Q112" s="37">
        <f>'Round 2 Data'!Q112*'Round 2 Points'!W$2</f>
        <v>0</v>
      </c>
      <c r="R112" s="37">
        <f>'Round 2 Data'!R112*'Round 2 Points'!X$2</f>
        <v>0</v>
      </c>
      <c r="S112" s="37">
        <f>'Round 2 Data'!S112*'Round 2 Points'!Y$2</f>
        <v>0</v>
      </c>
      <c r="T112" s="38">
        <f t="shared" si="2"/>
        <v>8</v>
      </c>
      <c r="U112" s="37">
        <f>'Round 2 Data'!U112*'Round 2 Points'!Z$2</f>
        <v>0</v>
      </c>
      <c r="V112" s="36">
        <f>IF('Round 2 Data'!D112='Round 2 Points'!$K$1,D112/80*$K$2,0)</f>
        <v>2.7</v>
      </c>
      <c r="W112" s="52">
        <f t="shared" si="3"/>
        <v>10.7</v>
      </c>
    </row>
    <row r="113" spans="1:23" ht="16" thickBot="1" x14ac:dyDescent="0.25">
      <c r="A113" s="76" t="s">
        <v>92</v>
      </c>
      <c r="B113" s="36" t="str" cm="1">
        <f t="array" ref="B113:C113">_xlfn.XLOOKUP(A113,'Player List'!$A$2:$A$177,'Player List'!$B$2:$C$177)</f>
        <v>England</v>
      </c>
      <c r="C113" s="36" t="str">
        <v>Back Row</v>
      </c>
      <c r="D113" s="37">
        <v>80</v>
      </c>
      <c r="F113" s="37">
        <f>'Round 2 Data'!F113*'Round 2 Points'!L$2</f>
        <v>19</v>
      </c>
      <c r="G113" s="37">
        <f>'Round 2 Data'!G113*'Round 2 Points'!M$2</f>
        <v>21</v>
      </c>
      <c r="H113" s="37">
        <f>'Round 2 Data'!H113*'Round 2 Points'!N$2</f>
        <v>0</v>
      </c>
      <c r="I113" s="37">
        <f>'Round 2 Data'!I113*'Round 2 Points'!O$2</f>
        <v>5</v>
      </c>
      <c r="J113" s="37">
        <f>'Round 2 Data'!J113*'Round 2 Points'!P$2</f>
        <v>0</v>
      </c>
      <c r="K113" s="37">
        <f>'Round 2 Data'!K113*'Round 2 Points'!Q$2</f>
        <v>0</v>
      </c>
      <c r="L113" s="37">
        <f>'Round 2 Data'!L113*'Round 2 Points'!R$2</f>
        <v>7</v>
      </c>
      <c r="M113" s="37">
        <f>'Round 2 Data'!M113*'Round 2 Points'!S$2</f>
        <v>0</v>
      </c>
      <c r="N113" s="37">
        <f>'Round 2 Data'!N113*'Round 2 Points'!T$2</f>
        <v>0</v>
      </c>
      <c r="O113" s="37">
        <f>'Round 2 Data'!O113*'Round 2 Points'!U$2</f>
        <v>0</v>
      </c>
      <c r="P113" s="37">
        <f>'Round 2 Data'!P113*'Round 2 Points'!V$2</f>
        <v>0</v>
      </c>
      <c r="Q113" s="37">
        <f>'Round 2 Data'!Q113*'Round 2 Points'!W$2</f>
        <v>0</v>
      </c>
      <c r="R113" s="37">
        <f>'Round 2 Data'!R113*'Round 2 Points'!X$2</f>
        <v>0</v>
      </c>
      <c r="S113" s="37">
        <f>'Round 2 Data'!S113*'Round 2 Points'!Y$2</f>
        <v>0</v>
      </c>
      <c r="T113" s="38">
        <f t="shared" si="2"/>
        <v>52</v>
      </c>
      <c r="U113" s="37">
        <f>'Round 2 Data'!U113*'Round 2 Points'!Z$2</f>
        <v>0</v>
      </c>
      <c r="V113" s="36">
        <f>IF('Round 2 Data'!D113='Round 2 Points'!$K$1,D113/80*$K$2,0)</f>
        <v>8</v>
      </c>
      <c r="W113" s="52">
        <f t="shared" si="3"/>
        <v>60</v>
      </c>
    </row>
    <row r="114" spans="1:23" ht="16" thickBot="1" x14ac:dyDescent="0.25">
      <c r="A114" s="77" t="s">
        <v>93</v>
      </c>
      <c r="B114" s="36" t="str" cm="1">
        <f t="array" ref="B114:C114">_xlfn.XLOOKUP(A114,'Player List'!$A$2:$A$177,'Player List'!$B$2:$C$177)</f>
        <v>England</v>
      </c>
      <c r="C114" s="36" t="str">
        <v>Back Row</v>
      </c>
      <c r="D114" s="37">
        <v>53</v>
      </c>
      <c r="F114" s="37">
        <f>'Round 2 Data'!F114*'Round 2 Points'!L$2</f>
        <v>20</v>
      </c>
      <c r="G114" s="37">
        <f>'Round 2 Data'!G114*'Round 2 Points'!M$2</f>
        <v>7</v>
      </c>
      <c r="H114" s="37">
        <f>'Round 2 Data'!H114*'Round 2 Points'!N$2</f>
        <v>7</v>
      </c>
      <c r="I114" s="37">
        <f>'Round 2 Data'!I114*'Round 2 Points'!O$2</f>
        <v>5.4</v>
      </c>
      <c r="J114" s="37">
        <f>'Round 2 Data'!J114*'Round 2 Points'!P$2</f>
        <v>0</v>
      </c>
      <c r="K114" s="37">
        <f>'Round 2 Data'!K114*'Round 2 Points'!Q$2</f>
        <v>0</v>
      </c>
      <c r="L114" s="37">
        <f>'Round 2 Data'!L114*'Round 2 Points'!R$2</f>
        <v>7</v>
      </c>
      <c r="M114" s="37">
        <f>'Round 2 Data'!M114*'Round 2 Points'!S$2</f>
        <v>15</v>
      </c>
      <c r="N114" s="37">
        <f>'Round 2 Data'!N114*'Round 2 Points'!T$2</f>
        <v>0</v>
      </c>
      <c r="O114" s="37">
        <f>'Round 2 Data'!O114*'Round 2 Points'!U$2</f>
        <v>0</v>
      </c>
      <c r="P114" s="37">
        <f>'Round 2 Data'!P114*'Round 2 Points'!V$2</f>
        <v>0</v>
      </c>
      <c r="Q114" s="37">
        <f>'Round 2 Data'!Q114*'Round 2 Points'!W$2</f>
        <v>0</v>
      </c>
      <c r="R114" s="37">
        <f>'Round 2 Data'!R114*'Round 2 Points'!X$2</f>
        <v>0</v>
      </c>
      <c r="S114" s="37">
        <f>'Round 2 Data'!S114*'Round 2 Points'!Y$2</f>
        <v>0</v>
      </c>
      <c r="T114" s="38">
        <f t="shared" si="2"/>
        <v>61.4</v>
      </c>
      <c r="U114" s="37">
        <f>'Round 2 Data'!U114*'Round 2 Points'!Z$2</f>
        <v>0</v>
      </c>
      <c r="V114" s="36">
        <f>IF('Round 2 Data'!D114='Round 2 Points'!$K$1,D114/80*$K$2,0)</f>
        <v>5.3</v>
      </c>
      <c r="W114" s="52">
        <f t="shared" si="3"/>
        <v>66.7</v>
      </c>
    </row>
    <row r="115" spans="1:23" ht="16" thickBot="1" x14ac:dyDescent="0.25">
      <c r="A115" s="76" t="s">
        <v>94</v>
      </c>
      <c r="B115" s="36" t="str" cm="1">
        <f t="array" ref="B115:C115">_xlfn.XLOOKUP(A115,'Player List'!$A$2:$A$177,'Player List'!$B$2:$C$177)</f>
        <v>England</v>
      </c>
      <c r="C115" s="36" t="str">
        <v>Second Row</v>
      </c>
      <c r="D115" s="37">
        <v>80</v>
      </c>
      <c r="F115" s="37">
        <f>'Round 2 Data'!F115*'Round 2 Points'!L$2</f>
        <v>8</v>
      </c>
      <c r="G115" s="37">
        <f>'Round 2 Data'!G115*'Round 2 Points'!M$2</f>
        <v>7</v>
      </c>
      <c r="H115" s="37">
        <f>'Round 2 Data'!H115*'Round 2 Points'!N$2</f>
        <v>0</v>
      </c>
      <c r="I115" s="37">
        <f>'Round 2 Data'!I115*'Round 2 Points'!O$2</f>
        <v>7.4</v>
      </c>
      <c r="J115" s="37">
        <f>'Round 2 Data'!J115*'Round 2 Points'!P$2</f>
        <v>0</v>
      </c>
      <c r="K115" s="37">
        <f>'Round 2 Data'!K115*'Round 2 Points'!Q$2</f>
        <v>0</v>
      </c>
      <c r="L115" s="37">
        <f>'Round 2 Data'!L115*'Round 2 Points'!R$2</f>
        <v>0</v>
      </c>
      <c r="M115" s="37">
        <f>'Round 2 Data'!M115*'Round 2 Points'!S$2</f>
        <v>15</v>
      </c>
      <c r="N115" s="37">
        <f>'Round 2 Data'!N115*'Round 2 Points'!T$2</f>
        <v>0</v>
      </c>
      <c r="O115" s="37">
        <f>'Round 2 Data'!O115*'Round 2 Points'!U$2</f>
        <v>0</v>
      </c>
      <c r="P115" s="37">
        <f>'Round 2 Data'!P115*'Round 2 Points'!V$2</f>
        <v>0</v>
      </c>
      <c r="Q115" s="37">
        <f>'Round 2 Data'!Q115*'Round 2 Points'!W$2</f>
        <v>0</v>
      </c>
      <c r="R115" s="37">
        <f>'Round 2 Data'!R115*'Round 2 Points'!X$2</f>
        <v>0</v>
      </c>
      <c r="S115" s="37">
        <f>'Round 2 Data'!S115*'Round 2 Points'!Y$2</f>
        <v>0</v>
      </c>
      <c r="T115" s="38">
        <f t="shared" si="2"/>
        <v>37.4</v>
      </c>
      <c r="U115" s="37">
        <f>'Round 2 Data'!U115*'Round 2 Points'!Z$2</f>
        <v>0</v>
      </c>
      <c r="V115" s="36">
        <f>IF('Round 2 Data'!D115='Round 2 Points'!$K$1,D115/80*$K$2,0)</f>
        <v>8</v>
      </c>
      <c r="W115" s="52">
        <f t="shared" si="3"/>
        <v>45.4</v>
      </c>
    </row>
    <row r="116" spans="1:23" ht="16" thickBot="1" x14ac:dyDescent="0.25">
      <c r="A116" s="77" t="s">
        <v>95</v>
      </c>
      <c r="B116" s="36" t="str" cm="1">
        <f t="array" ref="B116:C116">_xlfn.XLOOKUP(A116,'Player List'!$A$2:$A$177,'Player List'!$B$2:$C$177)</f>
        <v>England</v>
      </c>
      <c r="C116" s="36" t="str">
        <v>Second Row</v>
      </c>
      <c r="D116" s="37">
        <v>15</v>
      </c>
      <c r="F116" s="37">
        <f>'Round 2 Data'!F116*'Round 2 Points'!L$2</f>
        <v>3</v>
      </c>
      <c r="G116" s="37">
        <f>'Round 2 Data'!G116*'Round 2 Points'!M$2</f>
        <v>0</v>
      </c>
      <c r="H116" s="37">
        <f>'Round 2 Data'!H116*'Round 2 Points'!N$2</f>
        <v>0</v>
      </c>
      <c r="I116" s="37">
        <f>'Round 2 Data'!I116*'Round 2 Points'!O$2</f>
        <v>0</v>
      </c>
      <c r="J116" s="37">
        <f>'Round 2 Data'!J116*'Round 2 Points'!P$2</f>
        <v>0</v>
      </c>
      <c r="K116" s="37">
        <f>'Round 2 Data'!K116*'Round 2 Points'!Q$2</f>
        <v>0</v>
      </c>
      <c r="L116" s="37">
        <f>'Round 2 Data'!L116*'Round 2 Points'!R$2</f>
        <v>0</v>
      </c>
      <c r="M116" s="37">
        <f>'Round 2 Data'!M116*'Round 2 Points'!S$2</f>
        <v>0</v>
      </c>
      <c r="N116" s="37">
        <f>'Round 2 Data'!N116*'Round 2 Points'!T$2</f>
        <v>0</v>
      </c>
      <c r="O116" s="37">
        <f>'Round 2 Data'!O116*'Round 2 Points'!U$2</f>
        <v>0</v>
      </c>
      <c r="P116" s="37">
        <f>'Round 2 Data'!P116*'Round 2 Points'!V$2</f>
        <v>0</v>
      </c>
      <c r="Q116" s="37">
        <f>'Round 2 Data'!Q116*'Round 2 Points'!W$2</f>
        <v>0</v>
      </c>
      <c r="R116" s="37">
        <f>'Round 2 Data'!R116*'Round 2 Points'!X$2</f>
        <v>0</v>
      </c>
      <c r="S116" s="37">
        <f>'Round 2 Data'!S116*'Round 2 Points'!Y$2</f>
        <v>0</v>
      </c>
      <c r="T116" s="38">
        <f t="shared" si="2"/>
        <v>3</v>
      </c>
      <c r="U116" s="37">
        <f>'Round 2 Data'!U116*'Round 2 Points'!Z$2</f>
        <v>0</v>
      </c>
      <c r="V116" s="36">
        <f>IF('Round 2 Data'!D116='Round 2 Points'!$K$1,D116/80*$K$2,0)</f>
        <v>1.5</v>
      </c>
      <c r="W116" s="52">
        <f t="shared" si="3"/>
        <v>4.5</v>
      </c>
    </row>
    <row r="117" spans="1:23" ht="16" thickBot="1" x14ac:dyDescent="0.25">
      <c r="A117" s="76" t="s">
        <v>96</v>
      </c>
      <c r="B117" s="36" t="str" cm="1">
        <f t="array" ref="B117:C117">_xlfn.XLOOKUP(A117,'Player List'!$A$2:$A$177,'Player List'!$B$2:$C$177)</f>
        <v>England</v>
      </c>
      <c r="C117" s="36" t="str">
        <v>Second Row</v>
      </c>
      <c r="D117" s="37">
        <v>80</v>
      </c>
      <c r="F117" s="37">
        <f>'Round 2 Data'!F117*'Round 2 Points'!L$2</f>
        <v>16</v>
      </c>
      <c r="G117" s="37">
        <f>'Round 2 Data'!G117*'Round 2 Points'!M$2</f>
        <v>7</v>
      </c>
      <c r="H117" s="37">
        <f>'Round 2 Data'!H117*'Round 2 Points'!N$2</f>
        <v>0</v>
      </c>
      <c r="I117" s="37">
        <f>'Round 2 Data'!I117*'Round 2 Points'!O$2</f>
        <v>4</v>
      </c>
      <c r="J117" s="37">
        <f>'Round 2 Data'!J117*'Round 2 Points'!P$2</f>
        <v>0</v>
      </c>
      <c r="K117" s="37">
        <f>'Round 2 Data'!K117*'Round 2 Points'!Q$2</f>
        <v>0</v>
      </c>
      <c r="L117" s="37">
        <f>'Round 2 Data'!L117*'Round 2 Points'!R$2</f>
        <v>7</v>
      </c>
      <c r="M117" s="37">
        <f>'Round 2 Data'!M117*'Round 2 Points'!S$2</f>
        <v>0</v>
      </c>
      <c r="N117" s="37">
        <f>'Round 2 Data'!N117*'Round 2 Points'!T$2</f>
        <v>0</v>
      </c>
      <c r="O117" s="37">
        <f>'Round 2 Data'!O117*'Round 2 Points'!U$2</f>
        <v>0</v>
      </c>
      <c r="P117" s="37">
        <f>'Round 2 Data'!P117*'Round 2 Points'!V$2</f>
        <v>0</v>
      </c>
      <c r="Q117" s="37">
        <f>'Round 2 Data'!Q117*'Round 2 Points'!W$2</f>
        <v>0</v>
      </c>
      <c r="R117" s="37">
        <f>'Round 2 Data'!R117*'Round 2 Points'!X$2</f>
        <v>0</v>
      </c>
      <c r="S117" s="37">
        <f>'Round 2 Data'!S117*'Round 2 Points'!Y$2</f>
        <v>0</v>
      </c>
      <c r="T117" s="38">
        <f t="shared" si="2"/>
        <v>34</v>
      </c>
      <c r="U117" s="37">
        <f>'Round 2 Data'!U117*'Round 2 Points'!Z$2</f>
        <v>0</v>
      </c>
      <c r="V117" s="36">
        <f>IF('Round 2 Data'!D117='Round 2 Points'!$K$1,D117/80*$K$2,0)</f>
        <v>8</v>
      </c>
      <c r="W117" s="52">
        <f t="shared" si="3"/>
        <v>42</v>
      </c>
    </row>
    <row r="118" spans="1:23" ht="16" thickBot="1" x14ac:dyDescent="0.25">
      <c r="A118" s="77" t="s">
        <v>97</v>
      </c>
      <c r="B118" s="36" t="str" cm="1">
        <f t="array" ref="B118:C118">_xlfn.XLOOKUP(A118,'Player List'!$A$2:$A$177,'Player List'!$B$2:$C$177)</f>
        <v>England</v>
      </c>
      <c r="C118" s="36" t="str">
        <v>Prop</v>
      </c>
      <c r="D118" s="37">
        <v>31</v>
      </c>
      <c r="F118" s="37">
        <f>'Round 2 Data'!F118*'Round 2 Points'!L$2</f>
        <v>2</v>
      </c>
      <c r="G118" s="37">
        <f>'Round 2 Data'!G118*'Round 2 Points'!M$2</f>
        <v>0</v>
      </c>
      <c r="H118" s="37">
        <f>'Round 2 Data'!H118*'Round 2 Points'!N$2</f>
        <v>0</v>
      </c>
      <c r="I118" s="37">
        <f>'Round 2 Data'!I118*'Round 2 Points'!O$2</f>
        <v>1.6</v>
      </c>
      <c r="J118" s="37">
        <f>'Round 2 Data'!J118*'Round 2 Points'!P$2</f>
        <v>0</v>
      </c>
      <c r="K118" s="37">
        <f>'Round 2 Data'!K118*'Round 2 Points'!Q$2</f>
        <v>0</v>
      </c>
      <c r="L118" s="37">
        <f>'Round 2 Data'!L118*'Round 2 Points'!R$2</f>
        <v>0</v>
      </c>
      <c r="M118" s="37">
        <f>'Round 2 Data'!M118*'Round 2 Points'!S$2</f>
        <v>0</v>
      </c>
      <c r="N118" s="37">
        <f>'Round 2 Data'!N118*'Round 2 Points'!T$2</f>
        <v>0</v>
      </c>
      <c r="O118" s="37">
        <f>'Round 2 Data'!O118*'Round 2 Points'!U$2</f>
        <v>0</v>
      </c>
      <c r="P118" s="37">
        <f>'Round 2 Data'!P118*'Round 2 Points'!V$2</f>
        <v>0</v>
      </c>
      <c r="Q118" s="37">
        <f>'Round 2 Data'!Q118*'Round 2 Points'!W$2</f>
        <v>0</v>
      </c>
      <c r="R118" s="37">
        <f>'Round 2 Data'!R118*'Round 2 Points'!X$2</f>
        <v>0</v>
      </c>
      <c r="S118" s="37">
        <f>'Round 2 Data'!S118*'Round 2 Points'!Y$2</f>
        <v>0</v>
      </c>
      <c r="T118" s="38">
        <f t="shared" si="2"/>
        <v>3.6</v>
      </c>
      <c r="U118" s="37">
        <f>'Round 2 Data'!U118*'Round 2 Points'!Z$2</f>
        <v>0</v>
      </c>
      <c r="V118" s="36">
        <f>IF('Round 2 Data'!D118='Round 2 Points'!$K$1,D118/80*$K$2,0)</f>
        <v>3.1</v>
      </c>
      <c r="W118" s="52">
        <f t="shared" si="3"/>
        <v>6.7</v>
      </c>
    </row>
    <row r="119" spans="1:23" ht="16" thickBot="1" x14ac:dyDescent="0.25">
      <c r="A119" s="76" t="s">
        <v>98</v>
      </c>
      <c r="B119" s="36" t="str" cm="1">
        <f t="array" ref="B119:C119">_xlfn.XLOOKUP(A119,'Player List'!$A$2:$A$177,'Player List'!$B$2:$C$177)</f>
        <v>England</v>
      </c>
      <c r="C119" s="36" t="str">
        <v>Prop</v>
      </c>
      <c r="D119" s="37">
        <v>54</v>
      </c>
      <c r="F119" s="37">
        <f>'Round 2 Data'!F119*'Round 2 Points'!L$2</f>
        <v>5</v>
      </c>
      <c r="G119" s="37">
        <f>'Round 2 Data'!G119*'Round 2 Points'!M$2</f>
        <v>0</v>
      </c>
      <c r="H119" s="37">
        <f>'Round 2 Data'!H119*'Round 2 Points'!N$2</f>
        <v>0</v>
      </c>
      <c r="I119" s="37">
        <f>'Round 2 Data'!I119*'Round 2 Points'!O$2</f>
        <v>4.2</v>
      </c>
      <c r="J119" s="37">
        <f>'Round 2 Data'!J119*'Round 2 Points'!P$2</f>
        <v>0</v>
      </c>
      <c r="K119" s="37">
        <f>'Round 2 Data'!K119*'Round 2 Points'!Q$2</f>
        <v>0</v>
      </c>
      <c r="L119" s="37">
        <f>'Round 2 Data'!L119*'Round 2 Points'!R$2</f>
        <v>0</v>
      </c>
      <c r="M119" s="37">
        <f>'Round 2 Data'!M119*'Round 2 Points'!S$2</f>
        <v>0</v>
      </c>
      <c r="N119" s="37">
        <f>'Round 2 Data'!N119*'Round 2 Points'!T$2</f>
        <v>7</v>
      </c>
      <c r="O119" s="37">
        <f>'Round 2 Data'!O119*'Round 2 Points'!U$2</f>
        <v>0</v>
      </c>
      <c r="P119" s="37">
        <f>'Round 2 Data'!P119*'Round 2 Points'!V$2</f>
        <v>0</v>
      </c>
      <c r="Q119" s="37">
        <f>'Round 2 Data'!Q119*'Round 2 Points'!W$2</f>
        <v>0</v>
      </c>
      <c r="R119" s="37">
        <f>'Round 2 Data'!R119*'Round 2 Points'!X$2</f>
        <v>0</v>
      </c>
      <c r="S119" s="37">
        <f>'Round 2 Data'!S119*'Round 2 Points'!Y$2</f>
        <v>0</v>
      </c>
      <c r="T119" s="38">
        <f t="shared" si="2"/>
        <v>16.2</v>
      </c>
      <c r="U119" s="37">
        <f>'Round 2 Data'!U119*'Round 2 Points'!Z$2</f>
        <v>0</v>
      </c>
      <c r="V119" s="36">
        <f>IF('Round 2 Data'!D119='Round 2 Points'!$K$1,D119/80*$K$2,0)</f>
        <v>5.4</v>
      </c>
      <c r="W119" s="52">
        <f t="shared" si="3"/>
        <v>21.6</v>
      </c>
    </row>
    <row r="120" spans="1:23" ht="16" thickBot="1" x14ac:dyDescent="0.25">
      <c r="A120" s="77" t="s">
        <v>99</v>
      </c>
      <c r="B120" s="36" t="str" cm="1">
        <f t="array" ref="B120:C120">_xlfn.XLOOKUP(A120,'Player List'!$A$2:$A$177,'Player List'!$B$2:$C$177)</f>
        <v>England</v>
      </c>
      <c r="C120" s="36" t="str">
        <v>Prop</v>
      </c>
      <c r="D120" s="37">
        <v>49</v>
      </c>
      <c r="F120" s="37">
        <f>'Round 2 Data'!F120*'Round 2 Points'!L$2</f>
        <v>11</v>
      </c>
      <c r="G120" s="37">
        <f>'Round 2 Data'!G120*'Round 2 Points'!M$2</f>
        <v>7</v>
      </c>
      <c r="H120" s="37">
        <f>'Round 2 Data'!H120*'Round 2 Points'!N$2</f>
        <v>0</v>
      </c>
      <c r="I120" s="37">
        <f>'Round 2 Data'!I120*'Round 2 Points'!O$2</f>
        <v>2.4000000000000004</v>
      </c>
      <c r="J120" s="37">
        <f>'Round 2 Data'!J120*'Round 2 Points'!P$2</f>
        <v>0</v>
      </c>
      <c r="K120" s="37">
        <f>'Round 2 Data'!K120*'Round 2 Points'!Q$2</f>
        <v>0</v>
      </c>
      <c r="L120" s="37">
        <f>'Round 2 Data'!L120*'Round 2 Points'!R$2</f>
        <v>0</v>
      </c>
      <c r="M120" s="37">
        <f>'Round 2 Data'!M120*'Round 2 Points'!S$2</f>
        <v>0</v>
      </c>
      <c r="N120" s="37">
        <f>'Round 2 Data'!N120*'Round 2 Points'!T$2</f>
        <v>0</v>
      </c>
      <c r="O120" s="37">
        <f>'Round 2 Data'!O120*'Round 2 Points'!U$2</f>
        <v>0</v>
      </c>
      <c r="P120" s="37">
        <f>'Round 2 Data'!P120*'Round 2 Points'!V$2</f>
        <v>0</v>
      </c>
      <c r="Q120" s="37">
        <f>'Round 2 Data'!Q120*'Round 2 Points'!W$2</f>
        <v>0</v>
      </c>
      <c r="R120" s="37">
        <f>'Round 2 Data'!R120*'Round 2 Points'!X$2</f>
        <v>0</v>
      </c>
      <c r="S120" s="37">
        <f>'Round 2 Data'!S120*'Round 2 Points'!Y$2</f>
        <v>0</v>
      </c>
      <c r="T120" s="38">
        <f t="shared" si="2"/>
        <v>20.399999999999999</v>
      </c>
      <c r="U120" s="37">
        <f>'Round 2 Data'!U120*'Round 2 Points'!Z$2</f>
        <v>0</v>
      </c>
      <c r="V120" s="36">
        <f>IF('Round 2 Data'!D120='Round 2 Points'!$K$1,D120/80*$K$2,0)</f>
        <v>4.9000000000000004</v>
      </c>
      <c r="W120" s="52">
        <f t="shared" si="3"/>
        <v>25.299999999999997</v>
      </c>
    </row>
    <row r="121" spans="1:23" ht="16" thickBot="1" x14ac:dyDescent="0.25">
      <c r="A121" s="76" t="s">
        <v>100</v>
      </c>
      <c r="B121" s="36" t="str" cm="1">
        <f t="array" ref="B121:C121">_xlfn.XLOOKUP(A121,'Player List'!$A$2:$A$177,'Player List'!$B$2:$C$177)</f>
        <v>England</v>
      </c>
      <c r="C121" s="36" t="str">
        <v>Prop</v>
      </c>
      <c r="D121" s="37">
        <v>26</v>
      </c>
      <c r="F121" s="37">
        <f>'Round 2 Data'!F121*'Round 2 Points'!L$2</f>
        <v>3</v>
      </c>
      <c r="G121" s="37">
        <f>'Round 2 Data'!G121*'Round 2 Points'!M$2</f>
        <v>0</v>
      </c>
      <c r="H121" s="37">
        <f>'Round 2 Data'!H121*'Round 2 Points'!N$2</f>
        <v>0</v>
      </c>
      <c r="I121" s="37">
        <f>'Round 2 Data'!I121*'Round 2 Points'!O$2</f>
        <v>0</v>
      </c>
      <c r="J121" s="37">
        <f>'Round 2 Data'!J121*'Round 2 Points'!P$2</f>
        <v>0</v>
      </c>
      <c r="K121" s="37">
        <f>'Round 2 Data'!K121*'Round 2 Points'!Q$2</f>
        <v>0</v>
      </c>
      <c r="L121" s="37">
        <f>'Round 2 Data'!L121*'Round 2 Points'!R$2</f>
        <v>0</v>
      </c>
      <c r="M121" s="37">
        <f>'Round 2 Data'!M121*'Round 2 Points'!S$2</f>
        <v>0</v>
      </c>
      <c r="N121" s="37">
        <f>'Round 2 Data'!N121*'Round 2 Points'!T$2</f>
        <v>0</v>
      </c>
      <c r="O121" s="37">
        <f>'Round 2 Data'!O121*'Round 2 Points'!U$2</f>
        <v>0</v>
      </c>
      <c r="P121" s="37">
        <f>'Round 2 Data'!P121*'Round 2 Points'!V$2</f>
        <v>0</v>
      </c>
      <c r="Q121" s="37">
        <f>'Round 2 Data'!Q121*'Round 2 Points'!W$2</f>
        <v>0</v>
      </c>
      <c r="R121" s="37">
        <f>'Round 2 Data'!R121*'Round 2 Points'!X$2</f>
        <v>0</v>
      </c>
      <c r="S121" s="37">
        <f>'Round 2 Data'!S121*'Round 2 Points'!Y$2</f>
        <v>0</v>
      </c>
      <c r="T121" s="38">
        <f t="shared" si="2"/>
        <v>3</v>
      </c>
      <c r="U121" s="37">
        <f>'Round 2 Data'!U121*'Round 2 Points'!Z$2</f>
        <v>0</v>
      </c>
      <c r="V121" s="36">
        <f>IF('Round 2 Data'!D121='Round 2 Points'!$K$1,D121/80*$K$2,0)</f>
        <v>2.6</v>
      </c>
      <c r="W121" s="52">
        <f t="shared" si="3"/>
        <v>5.6</v>
      </c>
    </row>
    <row r="122" spans="1:23" ht="16" thickBot="1" x14ac:dyDescent="0.25">
      <c r="A122" s="77" t="s">
        <v>101</v>
      </c>
      <c r="B122" s="36" t="str" cm="1">
        <f t="array" ref="B122:C122">_xlfn.XLOOKUP(A122,'Player List'!$A$2:$A$177,'Player List'!$B$2:$C$177)</f>
        <v>England</v>
      </c>
      <c r="C122" s="36" t="str">
        <v>Hooker</v>
      </c>
      <c r="D122" s="37">
        <v>73</v>
      </c>
      <c r="F122" s="37">
        <f>'Round 2 Data'!F122*'Round 2 Points'!L$2</f>
        <v>7</v>
      </c>
      <c r="G122" s="37">
        <f>'Round 2 Data'!G122*'Round 2 Points'!M$2</f>
        <v>7</v>
      </c>
      <c r="H122" s="37">
        <f>'Round 2 Data'!H122*'Round 2 Points'!N$2</f>
        <v>0</v>
      </c>
      <c r="I122" s="37">
        <f>'Round 2 Data'!I122*'Round 2 Points'!O$2</f>
        <v>1.2000000000000002</v>
      </c>
      <c r="J122" s="37">
        <f>'Round 2 Data'!J122*'Round 2 Points'!P$2</f>
        <v>0</v>
      </c>
      <c r="K122" s="37">
        <f>'Round 2 Data'!K122*'Round 2 Points'!Q$2</f>
        <v>0</v>
      </c>
      <c r="L122" s="37">
        <f>'Round 2 Data'!L122*'Round 2 Points'!R$2</f>
        <v>0</v>
      </c>
      <c r="M122" s="37">
        <f>'Round 2 Data'!M122*'Round 2 Points'!S$2</f>
        <v>15</v>
      </c>
      <c r="N122" s="37">
        <f>'Round 2 Data'!N122*'Round 2 Points'!T$2</f>
        <v>0</v>
      </c>
      <c r="O122" s="37">
        <f>'Round 2 Data'!O122*'Round 2 Points'!U$2</f>
        <v>0</v>
      </c>
      <c r="P122" s="37">
        <f>'Round 2 Data'!P122*'Round 2 Points'!V$2</f>
        <v>0</v>
      </c>
      <c r="Q122" s="37">
        <f>'Round 2 Data'!Q122*'Round 2 Points'!W$2</f>
        <v>0</v>
      </c>
      <c r="R122" s="37">
        <f>'Round 2 Data'!R122*'Round 2 Points'!X$2</f>
        <v>0</v>
      </c>
      <c r="S122" s="37">
        <f>'Round 2 Data'!S122*'Round 2 Points'!Y$2</f>
        <v>0</v>
      </c>
      <c r="T122" s="38">
        <f t="shared" si="2"/>
        <v>30.2</v>
      </c>
      <c r="U122" s="37">
        <f>'Round 2 Data'!U122*'Round 2 Points'!Z$2</f>
        <v>0</v>
      </c>
      <c r="V122" s="36">
        <f>IF('Round 2 Data'!D122='Round 2 Points'!$K$1,D122/80*$K$2,0)</f>
        <v>7.3</v>
      </c>
      <c r="W122" s="52">
        <f t="shared" si="3"/>
        <v>37.5</v>
      </c>
    </row>
    <row r="123" spans="1:23" ht="16" thickBot="1" x14ac:dyDescent="0.25">
      <c r="A123" s="76" t="s">
        <v>102</v>
      </c>
      <c r="B123" s="36" t="str" cm="1">
        <f t="array" ref="B123:C123">_xlfn.XLOOKUP(A123,'Player List'!$A$2:$A$177,'Player List'!$B$2:$C$177)</f>
        <v>England</v>
      </c>
      <c r="C123" s="36" t="str">
        <v>Hooker</v>
      </c>
      <c r="D123" s="37">
        <v>7</v>
      </c>
      <c r="F123" s="37">
        <f>'Round 2 Data'!F123*'Round 2 Points'!L$2</f>
        <v>3</v>
      </c>
      <c r="G123" s="37">
        <f>'Round 2 Data'!G123*'Round 2 Points'!M$2</f>
        <v>0</v>
      </c>
      <c r="H123" s="37">
        <f>'Round 2 Data'!H123*'Round 2 Points'!N$2</f>
        <v>0</v>
      </c>
      <c r="I123" s="37">
        <f>'Round 2 Data'!I123*'Round 2 Points'!O$2</f>
        <v>1.8</v>
      </c>
      <c r="J123" s="37">
        <f>'Round 2 Data'!J123*'Round 2 Points'!P$2</f>
        <v>0</v>
      </c>
      <c r="K123" s="37">
        <f>'Round 2 Data'!K123*'Round 2 Points'!Q$2</f>
        <v>0</v>
      </c>
      <c r="L123" s="37">
        <f>'Round 2 Data'!L123*'Round 2 Points'!R$2</f>
        <v>0</v>
      </c>
      <c r="M123" s="37">
        <f>'Round 2 Data'!M123*'Round 2 Points'!S$2</f>
        <v>0</v>
      </c>
      <c r="N123" s="37">
        <f>'Round 2 Data'!N123*'Round 2 Points'!T$2</f>
        <v>0</v>
      </c>
      <c r="O123" s="37">
        <f>'Round 2 Data'!O123*'Round 2 Points'!U$2</f>
        <v>0</v>
      </c>
      <c r="P123" s="37">
        <f>'Round 2 Data'!P123*'Round 2 Points'!V$2</f>
        <v>0</v>
      </c>
      <c r="Q123" s="37">
        <f>'Round 2 Data'!Q123*'Round 2 Points'!W$2</f>
        <v>0</v>
      </c>
      <c r="R123" s="37">
        <f>'Round 2 Data'!R123*'Round 2 Points'!X$2</f>
        <v>0</v>
      </c>
      <c r="S123" s="37">
        <f>'Round 2 Data'!S123*'Round 2 Points'!Y$2</f>
        <v>0</v>
      </c>
      <c r="T123" s="38">
        <f t="shared" si="2"/>
        <v>4.8</v>
      </c>
      <c r="U123" s="37">
        <f>'Round 2 Data'!U123*'Round 2 Points'!Z$2</f>
        <v>0</v>
      </c>
      <c r="V123" s="36">
        <f>IF('Round 2 Data'!D123='Round 2 Points'!$K$1,D123/80*$K$2,0)</f>
        <v>0.7</v>
      </c>
      <c r="W123" s="52">
        <f t="shared" si="3"/>
        <v>5.5</v>
      </c>
    </row>
    <row r="124" spans="1:23" ht="16" thickBot="1" x14ac:dyDescent="0.25">
      <c r="A124" s="76" t="s">
        <v>103</v>
      </c>
      <c r="B124" s="36" t="str" cm="1">
        <f t="array" ref="B124:C124">_xlfn.XLOOKUP(A124,'Player List'!$A$2:$A$177,'Player List'!$B$2:$C$177)</f>
        <v>Italy</v>
      </c>
      <c r="C124" s="36" t="str">
        <v>Back Three</v>
      </c>
      <c r="D124" s="37">
        <v>33</v>
      </c>
      <c r="F124" s="37">
        <f>'Round 2 Data'!F124*'Round 2 Points'!L$2</f>
        <v>0</v>
      </c>
      <c r="G124" s="37">
        <f>'Round 2 Data'!G124*'Round 2 Points'!M$2</f>
        <v>0</v>
      </c>
      <c r="H124" s="37">
        <f>'Round 2 Data'!H124*'Round 2 Points'!N$2</f>
        <v>0</v>
      </c>
      <c r="I124" s="37">
        <f>'Round 2 Data'!I124*'Round 2 Points'!O$2</f>
        <v>5.4</v>
      </c>
      <c r="J124" s="37">
        <f>'Round 2 Data'!J124*'Round 2 Points'!P$2</f>
        <v>0</v>
      </c>
      <c r="K124" s="37">
        <f>'Round 2 Data'!K124*'Round 2 Points'!Q$2</f>
        <v>0</v>
      </c>
      <c r="L124" s="37">
        <f>'Round 2 Data'!L124*'Round 2 Points'!R$2</f>
        <v>0</v>
      </c>
      <c r="M124" s="37">
        <f>'Round 2 Data'!M124*'Round 2 Points'!S$2</f>
        <v>0</v>
      </c>
      <c r="N124" s="37">
        <f>'Round 2 Data'!N124*'Round 2 Points'!T$2</f>
        <v>0</v>
      </c>
      <c r="O124" s="37">
        <f>'Round 2 Data'!O124*'Round 2 Points'!U$2</f>
        <v>0</v>
      </c>
      <c r="P124" s="37">
        <f>'Round 2 Data'!P124*'Round 2 Points'!V$2</f>
        <v>0</v>
      </c>
      <c r="Q124" s="37">
        <f>'Round 2 Data'!Q124*'Round 2 Points'!W$2</f>
        <v>0</v>
      </c>
      <c r="R124" s="37">
        <f>'Round 2 Data'!R124*'Round 2 Points'!X$2</f>
        <v>0</v>
      </c>
      <c r="S124" s="37">
        <f>'Round 2 Data'!S124*'Round 2 Points'!Y$2</f>
        <v>0</v>
      </c>
      <c r="T124" s="38">
        <f t="shared" si="2"/>
        <v>5.4</v>
      </c>
      <c r="U124" s="37">
        <f>'Round 2 Data'!U124*'Round 2 Points'!Z$2</f>
        <v>0</v>
      </c>
      <c r="V124" s="36">
        <f>IF('Round 2 Data'!D124='Round 2 Points'!$K$1,D124/80*$K$2,0)</f>
        <v>0</v>
      </c>
      <c r="W124" s="52">
        <f t="shared" si="3"/>
        <v>5.4</v>
      </c>
    </row>
    <row r="125" spans="1:23" ht="16" thickBot="1" x14ac:dyDescent="0.25">
      <c r="A125" s="77" t="s">
        <v>104</v>
      </c>
      <c r="B125" s="36" t="str" cm="1">
        <f t="array" ref="B125:C125">_xlfn.XLOOKUP(A125,'Player List'!$A$2:$A$177,'Player List'!$B$2:$C$177)</f>
        <v>Italy</v>
      </c>
      <c r="C125" s="36" t="str">
        <v>Back Three</v>
      </c>
      <c r="D125" s="37">
        <v>80</v>
      </c>
      <c r="F125" s="37">
        <f>'Round 2 Data'!F125*'Round 2 Points'!L$2</f>
        <v>2</v>
      </c>
      <c r="G125" s="37">
        <f>'Round 2 Data'!G125*'Round 2 Points'!M$2</f>
        <v>0</v>
      </c>
      <c r="H125" s="37">
        <f>'Round 2 Data'!H125*'Round 2 Points'!N$2</f>
        <v>21</v>
      </c>
      <c r="I125" s="37">
        <f>'Round 2 Data'!I125*'Round 2 Points'!O$2</f>
        <v>25.400000000000002</v>
      </c>
      <c r="J125" s="37">
        <f>'Round 2 Data'!J125*'Round 2 Points'!P$2</f>
        <v>0</v>
      </c>
      <c r="K125" s="37">
        <f>'Round 2 Data'!K125*'Round 2 Points'!Q$2</f>
        <v>0</v>
      </c>
      <c r="L125" s="37">
        <f>'Round 2 Data'!L125*'Round 2 Points'!R$2</f>
        <v>0</v>
      </c>
      <c r="M125" s="37">
        <f>'Round 2 Data'!M125*'Round 2 Points'!S$2</f>
        <v>0</v>
      </c>
      <c r="N125" s="37">
        <f>'Round 2 Data'!N125*'Round 2 Points'!T$2</f>
        <v>0</v>
      </c>
      <c r="O125" s="37">
        <f>'Round 2 Data'!O125*'Round 2 Points'!U$2</f>
        <v>0</v>
      </c>
      <c r="P125" s="37">
        <f>'Round 2 Data'!P125*'Round 2 Points'!V$2</f>
        <v>0</v>
      </c>
      <c r="Q125" s="37">
        <f>'Round 2 Data'!Q125*'Round 2 Points'!W$2</f>
        <v>0</v>
      </c>
      <c r="R125" s="37">
        <f>'Round 2 Data'!R125*'Round 2 Points'!X$2</f>
        <v>0</v>
      </c>
      <c r="S125" s="37">
        <f>'Round 2 Data'!S125*'Round 2 Points'!Y$2</f>
        <v>0</v>
      </c>
      <c r="T125" s="38">
        <f t="shared" si="2"/>
        <v>48.400000000000006</v>
      </c>
      <c r="U125" s="37">
        <f>'Round 2 Data'!U125*'Round 2 Points'!Z$2</f>
        <v>0</v>
      </c>
      <c r="V125" s="36">
        <f>IF('Round 2 Data'!D125='Round 2 Points'!$K$1,D125/80*$K$2,0)</f>
        <v>0</v>
      </c>
      <c r="W125" s="52">
        <f t="shared" si="3"/>
        <v>48.400000000000006</v>
      </c>
    </row>
    <row r="126" spans="1:23" ht="16" thickBot="1" x14ac:dyDescent="0.25">
      <c r="A126" s="76" t="s">
        <v>105</v>
      </c>
      <c r="B126" s="36" t="str" cm="1">
        <f t="array" ref="B126:C126">_xlfn.XLOOKUP(A126,'Player List'!$A$2:$A$177,'Player List'!$B$2:$C$177)</f>
        <v>Italy</v>
      </c>
      <c r="C126" s="36" t="str">
        <v>Back Three</v>
      </c>
      <c r="D126" s="37">
        <v>18</v>
      </c>
      <c r="F126" s="37">
        <f>'Round 2 Data'!F126*'Round 2 Points'!L$2</f>
        <v>1</v>
      </c>
      <c r="G126" s="37">
        <f>'Round 2 Data'!G126*'Round 2 Points'!M$2</f>
        <v>7</v>
      </c>
      <c r="H126" s="37">
        <f>'Round 2 Data'!H126*'Round 2 Points'!N$2</f>
        <v>0</v>
      </c>
      <c r="I126" s="37">
        <f>'Round 2 Data'!I126*'Round 2 Points'!O$2</f>
        <v>1.6</v>
      </c>
      <c r="J126" s="37">
        <f>'Round 2 Data'!J126*'Round 2 Points'!P$2</f>
        <v>0</v>
      </c>
      <c r="K126" s="37">
        <f>'Round 2 Data'!K126*'Round 2 Points'!Q$2</f>
        <v>0</v>
      </c>
      <c r="L126" s="37">
        <f>'Round 2 Data'!L126*'Round 2 Points'!R$2</f>
        <v>0</v>
      </c>
      <c r="M126" s="37">
        <f>'Round 2 Data'!M126*'Round 2 Points'!S$2</f>
        <v>15</v>
      </c>
      <c r="N126" s="37">
        <f>'Round 2 Data'!N126*'Round 2 Points'!T$2</f>
        <v>0</v>
      </c>
      <c r="O126" s="37">
        <f>'Round 2 Data'!O126*'Round 2 Points'!U$2</f>
        <v>0</v>
      </c>
      <c r="P126" s="37">
        <f>'Round 2 Data'!P126*'Round 2 Points'!V$2</f>
        <v>0</v>
      </c>
      <c r="Q126" s="37">
        <f>'Round 2 Data'!Q126*'Round 2 Points'!W$2</f>
        <v>0</v>
      </c>
      <c r="R126" s="37">
        <f>'Round 2 Data'!R126*'Round 2 Points'!X$2</f>
        <v>0</v>
      </c>
      <c r="S126" s="37">
        <f>'Round 2 Data'!S126*'Round 2 Points'!Y$2</f>
        <v>0</v>
      </c>
      <c r="T126" s="38">
        <f t="shared" si="2"/>
        <v>24.6</v>
      </c>
      <c r="U126" s="37">
        <f>'Round 2 Data'!U126*'Round 2 Points'!Z$2</f>
        <v>0</v>
      </c>
      <c r="V126" s="36">
        <f>IF('Round 2 Data'!D126='Round 2 Points'!$K$1,D126/80*$K$2,0)</f>
        <v>0</v>
      </c>
      <c r="W126" s="52">
        <f t="shared" si="3"/>
        <v>24.6</v>
      </c>
    </row>
    <row r="127" spans="1:23" ht="16" thickBot="1" x14ac:dyDescent="0.25">
      <c r="A127" s="77" t="s">
        <v>106</v>
      </c>
      <c r="B127" s="36" t="str" cm="1">
        <f t="array" ref="B127:C127">_xlfn.XLOOKUP(A127,'Player List'!$A$2:$A$177,'Player List'!$B$2:$C$177)</f>
        <v>Italy</v>
      </c>
      <c r="C127" s="36" t="str">
        <v>Back Three</v>
      </c>
      <c r="D127" s="37">
        <v>80</v>
      </c>
      <c r="F127" s="37">
        <f>'Round 2 Data'!F127*'Round 2 Points'!L$2</f>
        <v>7</v>
      </c>
      <c r="G127" s="37">
        <f>'Round 2 Data'!G127*'Round 2 Points'!M$2</f>
        <v>0</v>
      </c>
      <c r="H127" s="37">
        <f>'Round 2 Data'!H127*'Round 2 Points'!N$2</f>
        <v>7</v>
      </c>
      <c r="I127" s="37">
        <f>'Round 2 Data'!I127*'Round 2 Points'!O$2</f>
        <v>6.6000000000000005</v>
      </c>
      <c r="J127" s="37">
        <f>'Round 2 Data'!J127*'Round 2 Points'!P$2</f>
        <v>0</v>
      </c>
      <c r="K127" s="37">
        <f>'Round 2 Data'!K127*'Round 2 Points'!Q$2</f>
        <v>0</v>
      </c>
      <c r="L127" s="37">
        <f>'Round 2 Data'!L127*'Round 2 Points'!R$2</f>
        <v>0</v>
      </c>
      <c r="M127" s="37">
        <f>'Round 2 Data'!M127*'Round 2 Points'!S$2</f>
        <v>0</v>
      </c>
      <c r="N127" s="37">
        <f>'Round 2 Data'!N127*'Round 2 Points'!T$2</f>
        <v>0</v>
      </c>
      <c r="O127" s="37">
        <f>'Round 2 Data'!O127*'Round 2 Points'!U$2</f>
        <v>0</v>
      </c>
      <c r="P127" s="37">
        <f>'Round 2 Data'!P127*'Round 2 Points'!V$2</f>
        <v>0</v>
      </c>
      <c r="Q127" s="37">
        <f>'Round 2 Data'!Q127*'Round 2 Points'!W$2</f>
        <v>0</v>
      </c>
      <c r="R127" s="37">
        <f>'Round 2 Data'!R127*'Round 2 Points'!X$2</f>
        <v>0</v>
      </c>
      <c r="S127" s="37">
        <f>'Round 2 Data'!S127*'Round 2 Points'!Y$2</f>
        <v>0</v>
      </c>
      <c r="T127" s="38">
        <f t="shared" si="2"/>
        <v>20.6</v>
      </c>
      <c r="U127" s="37">
        <f>'Round 2 Data'!U127*'Round 2 Points'!Z$2</f>
        <v>0</v>
      </c>
      <c r="V127" s="36">
        <f>IF('Round 2 Data'!D127='Round 2 Points'!$K$1,D127/80*$K$2,0)</f>
        <v>0</v>
      </c>
      <c r="W127" s="52">
        <f t="shared" si="3"/>
        <v>20.6</v>
      </c>
    </row>
    <row r="128" spans="1:23" ht="16" thickBot="1" x14ac:dyDescent="0.25">
      <c r="A128" s="76" t="s">
        <v>107</v>
      </c>
      <c r="B128" s="36" t="str" cm="1">
        <f t="array" ref="B128:C128">_xlfn.XLOOKUP(A128,'Player List'!$A$2:$A$177,'Player List'!$B$2:$C$177)</f>
        <v>Italy</v>
      </c>
      <c r="C128" s="36" t="str">
        <v>Back Three</v>
      </c>
      <c r="D128" s="37">
        <v>80</v>
      </c>
      <c r="F128" s="37">
        <f>'Round 2 Data'!F128*'Round 2 Points'!L$2</f>
        <v>3</v>
      </c>
      <c r="G128" s="37">
        <f>'Round 2 Data'!G128*'Round 2 Points'!M$2</f>
        <v>0</v>
      </c>
      <c r="H128" s="37">
        <f>'Round 2 Data'!H128*'Round 2 Points'!N$2</f>
        <v>0</v>
      </c>
      <c r="I128" s="37">
        <f>'Round 2 Data'!I128*'Round 2 Points'!O$2</f>
        <v>7.2</v>
      </c>
      <c r="J128" s="37">
        <f>'Round 2 Data'!J128*'Round 2 Points'!P$2</f>
        <v>0</v>
      </c>
      <c r="K128" s="37">
        <f>'Round 2 Data'!K128*'Round 2 Points'!Q$2</f>
        <v>0</v>
      </c>
      <c r="L128" s="37">
        <f>'Round 2 Data'!L128*'Round 2 Points'!R$2</f>
        <v>0</v>
      </c>
      <c r="M128" s="37">
        <f>'Round 2 Data'!M128*'Round 2 Points'!S$2</f>
        <v>0</v>
      </c>
      <c r="N128" s="37">
        <f>'Round 2 Data'!N128*'Round 2 Points'!T$2</f>
        <v>0</v>
      </c>
      <c r="O128" s="37">
        <f>'Round 2 Data'!O128*'Round 2 Points'!U$2</f>
        <v>0</v>
      </c>
      <c r="P128" s="37">
        <f>'Round 2 Data'!P128*'Round 2 Points'!V$2</f>
        <v>0</v>
      </c>
      <c r="Q128" s="37">
        <f>'Round 2 Data'!Q128*'Round 2 Points'!W$2</f>
        <v>0</v>
      </c>
      <c r="R128" s="37">
        <f>'Round 2 Data'!R128*'Round 2 Points'!X$2</f>
        <v>0</v>
      </c>
      <c r="S128" s="37">
        <f>'Round 2 Data'!S128*'Round 2 Points'!Y$2</f>
        <v>0</v>
      </c>
      <c r="T128" s="38">
        <f t="shared" si="2"/>
        <v>10.199999999999999</v>
      </c>
      <c r="U128" s="37">
        <f>'Round 2 Data'!U128*'Round 2 Points'!Z$2</f>
        <v>0</v>
      </c>
      <c r="V128" s="36">
        <f>IF('Round 2 Data'!D128='Round 2 Points'!$K$1,D128/80*$K$2,0)</f>
        <v>0</v>
      </c>
      <c r="W128" s="52">
        <f t="shared" si="3"/>
        <v>10.199999999999999</v>
      </c>
    </row>
    <row r="129" spans="1:23" ht="16" thickBot="1" x14ac:dyDescent="0.25">
      <c r="A129" s="77" t="s">
        <v>108</v>
      </c>
      <c r="B129" s="36" t="str" cm="1">
        <f t="array" ref="B129:C129">_xlfn.XLOOKUP(A129,'Player List'!$A$2:$A$177,'Player List'!$B$2:$C$177)</f>
        <v>Italy</v>
      </c>
      <c r="C129" s="36" t="str">
        <v>Centre</v>
      </c>
      <c r="D129" s="37">
        <v>80</v>
      </c>
      <c r="F129" s="37">
        <f>'Round 2 Data'!F129*'Round 2 Points'!L$2</f>
        <v>4</v>
      </c>
      <c r="G129" s="37">
        <f>'Round 2 Data'!G129*'Round 2 Points'!M$2</f>
        <v>0</v>
      </c>
      <c r="H129" s="37">
        <f>'Round 2 Data'!H129*'Round 2 Points'!N$2</f>
        <v>0</v>
      </c>
      <c r="I129" s="37">
        <f>'Round 2 Data'!I129*'Round 2 Points'!O$2</f>
        <v>18.400000000000002</v>
      </c>
      <c r="J129" s="37">
        <f>'Round 2 Data'!J129*'Round 2 Points'!P$2</f>
        <v>0</v>
      </c>
      <c r="K129" s="37">
        <f>'Round 2 Data'!K129*'Round 2 Points'!Q$2</f>
        <v>0</v>
      </c>
      <c r="L129" s="37">
        <f>'Round 2 Data'!L129*'Round 2 Points'!R$2</f>
        <v>0</v>
      </c>
      <c r="M129" s="37">
        <f>'Round 2 Data'!M129*'Round 2 Points'!S$2</f>
        <v>0</v>
      </c>
      <c r="N129" s="37">
        <f>'Round 2 Data'!N129*'Round 2 Points'!T$2</f>
        <v>0</v>
      </c>
      <c r="O129" s="37">
        <f>'Round 2 Data'!O129*'Round 2 Points'!U$2</f>
        <v>0</v>
      </c>
      <c r="P129" s="37">
        <f>'Round 2 Data'!P129*'Round 2 Points'!V$2</f>
        <v>0</v>
      </c>
      <c r="Q129" s="37">
        <f>'Round 2 Data'!Q129*'Round 2 Points'!W$2</f>
        <v>0</v>
      </c>
      <c r="R129" s="37">
        <f>'Round 2 Data'!R129*'Round 2 Points'!X$2</f>
        <v>0</v>
      </c>
      <c r="S129" s="37">
        <f>'Round 2 Data'!S129*'Round 2 Points'!Y$2</f>
        <v>0</v>
      </c>
      <c r="T129" s="38">
        <f t="shared" si="2"/>
        <v>22.400000000000002</v>
      </c>
      <c r="U129" s="37">
        <f>'Round 2 Data'!U129*'Round 2 Points'!Z$2</f>
        <v>0</v>
      </c>
      <c r="V129" s="36">
        <f>IF('Round 2 Data'!D129='Round 2 Points'!$K$1,D129/80*$K$2,0)</f>
        <v>0</v>
      </c>
      <c r="W129" s="52">
        <f t="shared" si="3"/>
        <v>22.400000000000002</v>
      </c>
    </row>
    <row r="130" spans="1:23" ht="16" thickBot="1" x14ac:dyDescent="0.25">
      <c r="A130" s="76" t="s">
        <v>109</v>
      </c>
      <c r="B130" s="36" t="str" cm="1">
        <f t="array" ref="B130:C130">_xlfn.XLOOKUP(A130,'Player List'!$A$2:$A$177,'Player List'!$B$2:$C$177)</f>
        <v>Italy</v>
      </c>
      <c r="C130" s="36" t="str">
        <v>Centre</v>
      </c>
      <c r="D130" s="37">
        <v>47</v>
      </c>
      <c r="F130" s="37">
        <f>'Round 2 Data'!F130*'Round 2 Points'!L$2</f>
        <v>10</v>
      </c>
      <c r="G130" s="37">
        <f>'Round 2 Data'!G130*'Round 2 Points'!M$2</f>
        <v>0</v>
      </c>
      <c r="H130" s="37">
        <f>'Round 2 Data'!H130*'Round 2 Points'!N$2</f>
        <v>0</v>
      </c>
      <c r="I130" s="37">
        <f>'Round 2 Data'!I130*'Round 2 Points'!O$2</f>
        <v>5.4</v>
      </c>
      <c r="J130" s="37">
        <f>'Round 2 Data'!J130*'Round 2 Points'!P$2</f>
        <v>0</v>
      </c>
      <c r="K130" s="37">
        <f>'Round 2 Data'!K130*'Round 2 Points'!Q$2</f>
        <v>0</v>
      </c>
      <c r="L130" s="37">
        <f>'Round 2 Data'!L130*'Round 2 Points'!R$2</f>
        <v>0</v>
      </c>
      <c r="M130" s="37">
        <f>'Round 2 Data'!M130*'Round 2 Points'!S$2</f>
        <v>0</v>
      </c>
      <c r="N130" s="37">
        <f>'Round 2 Data'!N130*'Round 2 Points'!T$2</f>
        <v>0</v>
      </c>
      <c r="O130" s="37">
        <f>'Round 2 Data'!O130*'Round 2 Points'!U$2</f>
        <v>0</v>
      </c>
      <c r="P130" s="37">
        <f>'Round 2 Data'!P130*'Round 2 Points'!V$2</f>
        <v>0</v>
      </c>
      <c r="Q130" s="37">
        <f>'Round 2 Data'!Q130*'Round 2 Points'!W$2</f>
        <v>0</v>
      </c>
      <c r="R130" s="37">
        <f>'Round 2 Data'!R130*'Round 2 Points'!X$2</f>
        <v>0</v>
      </c>
      <c r="S130" s="37">
        <f>'Round 2 Data'!S130*'Round 2 Points'!Y$2</f>
        <v>0</v>
      </c>
      <c r="T130" s="38">
        <f t="shared" si="2"/>
        <v>15.4</v>
      </c>
      <c r="U130" s="37">
        <f>'Round 2 Data'!U130*'Round 2 Points'!Z$2</f>
        <v>0</v>
      </c>
      <c r="V130" s="36">
        <f>IF('Round 2 Data'!D130='Round 2 Points'!$K$1,D130/80*$K$2,0)</f>
        <v>0</v>
      </c>
      <c r="W130" s="52">
        <f t="shared" si="3"/>
        <v>15.4</v>
      </c>
    </row>
    <row r="131" spans="1:23" ht="16" thickBot="1" x14ac:dyDescent="0.25">
      <c r="A131" s="77" t="s">
        <v>110</v>
      </c>
      <c r="B131" s="36" t="str" cm="1">
        <f t="array" ref="B131:C131">_xlfn.XLOOKUP(A131,'Player List'!$A$2:$A$177,'Player List'!$B$2:$C$177)</f>
        <v>Italy</v>
      </c>
      <c r="C131" s="36" t="str">
        <v>Fly Half</v>
      </c>
      <c r="D131" s="37">
        <v>80</v>
      </c>
      <c r="F131" s="37">
        <f>'Round 2 Data'!F131*'Round 2 Points'!L$2</f>
        <v>13</v>
      </c>
      <c r="G131" s="37">
        <f>'Round 2 Data'!G131*'Round 2 Points'!M$2</f>
        <v>0</v>
      </c>
      <c r="H131" s="37">
        <f>'Round 2 Data'!H131*'Round 2 Points'!N$2</f>
        <v>0</v>
      </c>
      <c r="I131" s="37">
        <f>'Round 2 Data'!I131*'Round 2 Points'!O$2</f>
        <v>10.200000000000001</v>
      </c>
      <c r="J131" s="37">
        <f>'Round 2 Data'!J131*'Round 2 Points'!P$2</f>
        <v>0</v>
      </c>
      <c r="K131" s="37">
        <f>'Round 2 Data'!K131*'Round 2 Points'!Q$2</f>
        <v>0</v>
      </c>
      <c r="L131" s="37">
        <f>'Round 2 Data'!L131*'Round 2 Points'!R$2</f>
        <v>0</v>
      </c>
      <c r="M131" s="37">
        <f>'Round 2 Data'!M131*'Round 2 Points'!S$2</f>
        <v>0</v>
      </c>
      <c r="N131" s="37">
        <f>'Round 2 Data'!N131*'Round 2 Points'!T$2</f>
        <v>0</v>
      </c>
      <c r="O131" s="37">
        <f>'Round 2 Data'!O131*'Round 2 Points'!U$2</f>
        <v>4</v>
      </c>
      <c r="P131" s="37">
        <f>'Round 2 Data'!P131*'Round 2 Points'!V$2</f>
        <v>0</v>
      </c>
      <c r="Q131" s="37">
        <f>'Round 2 Data'!Q131*'Round 2 Points'!W$2</f>
        <v>0</v>
      </c>
      <c r="R131" s="37">
        <f>'Round 2 Data'!R131*'Round 2 Points'!X$2</f>
        <v>0</v>
      </c>
      <c r="S131" s="37">
        <f>'Round 2 Data'!S131*'Round 2 Points'!Y$2</f>
        <v>0</v>
      </c>
      <c r="T131" s="38">
        <f t="shared" si="2"/>
        <v>27.200000000000003</v>
      </c>
      <c r="U131" s="37">
        <f>'Round 2 Data'!U131*'Round 2 Points'!Z$2</f>
        <v>0</v>
      </c>
      <c r="V131" s="36">
        <f>IF('Round 2 Data'!D131='Round 2 Points'!$K$1,D131/80*$K$2,0)</f>
        <v>0</v>
      </c>
      <c r="W131" s="52">
        <f t="shared" si="3"/>
        <v>27.200000000000003</v>
      </c>
    </row>
    <row r="132" spans="1:23" ht="16" thickBot="1" x14ac:dyDescent="0.25">
      <c r="A132" s="76" t="s">
        <v>111</v>
      </c>
      <c r="B132" s="36" t="str" cm="1">
        <f t="array" ref="B132:C132">_xlfn.XLOOKUP(A132,'Player List'!$A$2:$A$177,'Player List'!$B$2:$C$177)</f>
        <v>Italy</v>
      </c>
      <c r="C132" s="36" t="str">
        <v>Scrum Half</v>
      </c>
      <c r="D132" s="37">
        <v>62</v>
      </c>
      <c r="F132" s="37">
        <f>'Round 2 Data'!F132*'Round 2 Points'!L$2</f>
        <v>1</v>
      </c>
      <c r="G132" s="37">
        <f>'Round 2 Data'!G132*'Round 2 Points'!M$2</f>
        <v>7</v>
      </c>
      <c r="H132" s="37">
        <f>'Round 2 Data'!H132*'Round 2 Points'!N$2</f>
        <v>0</v>
      </c>
      <c r="I132" s="37">
        <f>'Round 2 Data'!I132*'Round 2 Points'!O$2</f>
        <v>4</v>
      </c>
      <c r="J132" s="37">
        <f>'Round 2 Data'!J132*'Round 2 Points'!P$2</f>
        <v>0</v>
      </c>
      <c r="K132" s="37">
        <f>'Round 2 Data'!K132*'Round 2 Points'!Q$2</f>
        <v>0</v>
      </c>
      <c r="L132" s="37">
        <f>'Round 2 Data'!L132*'Round 2 Points'!R$2</f>
        <v>0</v>
      </c>
      <c r="M132" s="37">
        <f>'Round 2 Data'!M132*'Round 2 Points'!S$2</f>
        <v>0</v>
      </c>
      <c r="N132" s="37">
        <f>'Round 2 Data'!N132*'Round 2 Points'!T$2</f>
        <v>0</v>
      </c>
      <c r="O132" s="37">
        <f>'Round 2 Data'!O132*'Round 2 Points'!U$2</f>
        <v>0</v>
      </c>
      <c r="P132" s="37">
        <f>'Round 2 Data'!P132*'Round 2 Points'!V$2</f>
        <v>0</v>
      </c>
      <c r="Q132" s="37">
        <f>'Round 2 Data'!Q132*'Round 2 Points'!W$2</f>
        <v>0</v>
      </c>
      <c r="R132" s="37">
        <f>'Round 2 Data'!R132*'Round 2 Points'!X$2</f>
        <v>0</v>
      </c>
      <c r="S132" s="37">
        <f>'Round 2 Data'!S132*'Round 2 Points'!Y$2</f>
        <v>0</v>
      </c>
      <c r="T132" s="38">
        <f t="shared" si="2"/>
        <v>12</v>
      </c>
      <c r="U132" s="37">
        <f>'Round 2 Data'!U132*'Round 2 Points'!Z$2</f>
        <v>0</v>
      </c>
      <c r="V132" s="36">
        <f>IF('Round 2 Data'!D132='Round 2 Points'!$K$1,D132/80*$K$2,0)</f>
        <v>0</v>
      </c>
      <c r="W132" s="52">
        <f t="shared" si="3"/>
        <v>12</v>
      </c>
    </row>
    <row r="133" spans="1:23" ht="16" thickBot="1" x14ac:dyDescent="0.25">
      <c r="A133" s="77" t="s">
        <v>112</v>
      </c>
      <c r="B133" s="36" t="str" cm="1">
        <f t="array" ref="B133:C133">_xlfn.XLOOKUP(A133,'Player List'!$A$2:$A$177,'Player List'!$B$2:$C$177)</f>
        <v>Italy</v>
      </c>
      <c r="C133" s="36" t="str">
        <v>Back Row</v>
      </c>
      <c r="D133" s="37">
        <v>8</v>
      </c>
      <c r="F133" s="37">
        <f>'Round 2 Data'!F133*'Round 2 Points'!L$2</f>
        <v>0</v>
      </c>
      <c r="G133" s="37">
        <f>'Round 2 Data'!G133*'Round 2 Points'!M$2</f>
        <v>0</v>
      </c>
      <c r="H133" s="37">
        <f>'Round 2 Data'!H133*'Round 2 Points'!N$2</f>
        <v>0</v>
      </c>
      <c r="I133" s="37">
        <f>'Round 2 Data'!I133*'Round 2 Points'!O$2</f>
        <v>5.2</v>
      </c>
      <c r="J133" s="37">
        <f>'Round 2 Data'!J133*'Round 2 Points'!P$2</f>
        <v>0</v>
      </c>
      <c r="K133" s="37">
        <f>'Round 2 Data'!K133*'Round 2 Points'!Q$2</f>
        <v>0</v>
      </c>
      <c r="L133" s="37">
        <f>'Round 2 Data'!L133*'Round 2 Points'!R$2</f>
        <v>0</v>
      </c>
      <c r="M133" s="37">
        <f>'Round 2 Data'!M133*'Round 2 Points'!S$2</f>
        <v>0</v>
      </c>
      <c r="N133" s="37">
        <f>'Round 2 Data'!N133*'Round 2 Points'!T$2</f>
        <v>0</v>
      </c>
      <c r="O133" s="37">
        <f>'Round 2 Data'!O133*'Round 2 Points'!U$2</f>
        <v>0</v>
      </c>
      <c r="P133" s="37">
        <f>'Round 2 Data'!P133*'Round 2 Points'!V$2</f>
        <v>0</v>
      </c>
      <c r="Q133" s="37">
        <f>'Round 2 Data'!Q133*'Round 2 Points'!W$2</f>
        <v>0</v>
      </c>
      <c r="R133" s="37">
        <f>'Round 2 Data'!R133*'Round 2 Points'!X$2</f>
        <v>0</v>
      </c>
      <c r="S133" s="37">
        <f>'Round 2 Data'!S133*'Round 2 Points'!Y$2</f>
        <v>0</v>
      </c>
      <c r="T133" s="38">
        <f t="shared" si="2"/>
        <v>5.2</v>
      </c>
      <c r="U133" s="37">
        <f>'Round 2 Data'!U133*'Round 2 Points'!Z$2</f>
        <v>0</v>
      </c>
      <c r="V133" s="36">
        <f>IF('Round 2 Data'!D133='Round 2 Points'!$K$1,D133/80*$K$2,0)</f>
        <v>0</v>
      </c>
      <c r="W133" s="52">
        <f t="shared" si="3"/>
        <v>5.2</v>
      </c>
    </row>
    <row r="134" spans="1:23" ht="16" thickBot="1" x14ac:dyDescent="0.25">
      <c r="A134" s="76" t="s">
        <v>113</v>
      </c>
      <c r="B134" s="36" t="str" cm="1">
        <f t="array" ref="B134:C134">_xlfn.XLOOKUP(A134,'Player List'!$A$2:$A$177,'Player List'!$B$2:$C$177)</f>
        <v>Italy</v>
      </c>
      <c r="C134" s="36" t="str">
        <v>Back Row</v>
      </c>
      <c r="D134" s="37">
        <v>23</v>
      </c>
      <c r="F134" s="37">
        <f>'Round 2 Data'!F134*'Round 2 Points'!L$2</f>
        <v>0</v>
      </c>
      <c r="G134" s="37">
        <f>'Round 2 Data'!G134*'Round 2 Points'!M$2</f>
        <v>0</v>
      </c>
      <c r="H134" s="37">
        <f>'Round 2 Data'!H134*'Round 2 Points'!N$2</f>
        <v>0</v>
      </c>
      <c r="I134" s="37">
        <f>'Round 2 Data'!I134*'Round 2 Points'!O$2</f>
        <v>1</v>
      </c>
      <c r="J134" s="37">
        <f>'Round 2 Data'!J134*'Round 2 Points'!P$2</f>
        <v>0</v>
      </c>
      <c r="K134" s="37">
        <f>'Round 2 Data'!K134*'Round 2 Points'!Q$2</f>
        <v>0</v>
      </c>
      <c r="L134" s="37">
        <f>'Round 2 Data'!L134*'Round 2 Points'!R$2</f>
        <v>0</v>
      </c>
      <c r="M134" s="37">
        <f>'Round 2 Data'!M134*'Round 2 Points'!S$2</f>
        <v>0</v>
      </c>
      <c r="N134" s="37">
        <f>'Round 2 Data'!N134*'Round 2 Points'!T$2</f>
        <v>0</v>
      </c>
      <c r="O134" s="37">
        <f>'Round 2 Data'!O134*'Round 2 Points'!U$2</f>
        <v>0</v>
      </c>
      <c r="P134" s="37">
        <f>'Round 2 Data'!P134*'Round 2 Points'!V$2</f>
        <v>0</v>
      </c>
      <c r="Q134" s="37">
        <f>'Round 2 Data'!Q134*'Round 2 Points'!W$2</f>
        <v>0</v>
      </c>
      <c r="R134" s="37">
        <f>'Round 2 Data'!R134*'Round 2 Points'!X$2</f>
        <v>0</v>
      </c>
      <c r="S134" s="37">
        <f>'Round 2 Data'!S134*'Round 2 Points'!Y$2</f>
        <v>0</v>
      </c>
      <c r="T134" s="38">
        <f t="shared" si="2"/>
        <v>1</v>
      </c>
      <c r="U134" s="37">
        <f>'Round 2 Data'!U134*'Round 2 Points'!Z$2</f>
        <v>0</v>
      </c>
      <c r="V134" s="36">
        <f>IF('Round 2 Data'!D134='Round 2 Points'!$K$1,D134/80*$K$2,0)</f>
        <v>0</v>
      </c>
      <c r="W134" s="52">
        <f t="shared" si="3"/>
        <v>1</v>
      </c>
    </row>
    <row r="135" spans="1:23" ht="16" thickBot="1" x14ac:dyDescent="0.25">
      <c r="A135" s="77" t="s">
        <v>114</v>
      </c>
      <c r="B135" s="36" t="str" cm="1">
        <f t="array" ref="B135:C135">_xlfn.XLOOKUP(A135,'Player List'!$A$2:$A$177,'Player List'!$B$2:$C$177)</f>
        <v>Italy</v>
      </c>
      <c r="C135" s="36" t="str">
        <v>Back Row</v>
      </c>
      <c r="D135" s="37">
        <v>74</v>
      </c>
      <c r="F135" s="37">
        <f>'Round 2 Data'!F135*'Round 2 Points'!L$2</f>
        <v>6</v>
      </c>
      <c r="G135" s="37">
        <f>'Round 2 Data'!G135*'Round 2 Points'!M$2</f>
        <v>7</v>
      </c>
      <c r="H135" s="37">
        <f>'Round 2 Data'!H135*'Round 2 Points'!N$2</f>
        <v>7</v>
      </c>
      <c r="I135" s="37">
        <f>'Round 2 Data'!I135*'Round 2 Points'!O$2</f>
        <v>16.600000000000001</v>
      </c>
      <c r="J135" s="37">
        <f>'Round 2 Data'!J135*'Round 2 Points'!P$2</f>
        <v>0</v>
      </c>
      <c r="K135" s="37">
        <f>'Round 2 Data'!K135*'Round 2 Points'!Q$2</f>
        <v>0</v>
      </c>
      <c r="L135" s="37">
        <f>'Round 2 Data'!L135*'Round 2 Points'!R$2</f>
        <v>0</v>
      </c>
      <c r="M135" s="37">
        <f>'Round 2 Data'!M135*'Round 2 Points'!S$2</f>
        <v>0</v>
      </c>
      <c r="N135" s="37">
        <f>'Round 2 Data'!N135*'Round 2 Points'!T$2</f>
        <v>0</v>
      </c>
      <c r="O135" s="37">
        <f>'Round 2 Data'!O135*'Round 2 Points'!U$2</f>
        <v>0</v>
      </c>
      <c r="P135" s="37">
        <f>'Round 2 Data'!P135*'Round 2 Points'!V$2</f>
        <v>0</v>
      </c>
      <c r="Q135" s="37">
        <f>'Round 2 Data'!Q135*'Round 2 Points'!W$2</f>
        <v>0</v>
      </c>
      <c r="R135" s="37">
        <f>'Round 2 Data'!R135*'Round 2 Points'!X$2</f>
        <v>0</v>
      </c>
      <c r="S135" s="37">
        <f>'Round 2 Data'!S135*'Round 2 Points'!Y$2</f>
        <v>0</v>
      </c>
      <c r="T135" s="38">
        <f t="shared" si="2"/>
        <v>36.6</v>
      </c>
      <c r="U135" s="37">
        <f>'Round 2 Data'!U135*'Round 2 Points'!Z$2</f>
        <v>0</v>
      </c>
      <c r="V135" s="36">
        <f>IF('Round 2 Data'!D135='Round 2 Points'!$K$1,D135/80*$K$2,0)</f>
        <v>0</v>
      </c>
      <c r="W135" s="52">
        <f t="shared" si="3"/>
        <v>36.6</v>
      </c>
    </row>
    <row r="136" spans="1:23" ht="16" thickBot="1" x14ac:dyDescent="0.25">
      <c r="A136" s="76" t="s">
        <v>115</v>
      </c>
      <c r="B136" s="36" t="str" cm="1">
        <f t="array" ref="B136:C136">_xlfn.XLOOKUP(A136,'Player List'!$A$2:$A$177,'Player List'!$B$2:$C$177)</f>
        <v>Italy</v>
      </c>
      <c r="C136" s="36" t="str">
        <v>Back Row</v>
      </c>
      <c r="D136" s="37">
        <v>23</v>
      </c>
      <c r="F136" s="37">
        <f>'Round 2 Data'!F136*'Round 2 Points'!L$2</f>
        <v>1</v>
      </c>
      <c r="G136" s="37">
        <f>'Round 2 Data'!G136*'Round 2 Points'!M$2</f>
        <v>7</v>
      </c>
      <c r="H136" s="37">
        <f>'Round 2 Data'!H136*'Round 2 Points'!N$2</f>
        <v>0</v>
      </c>
      <c r="I136" s="37">
        <f>'Round 2 Data'!I136*'Round 2 Points'!O$2</f>
        <v>5.2</v>
      </c>
      <c r="J136" s="37">
        <f>'Round 2 Data'!J136*'Round 2 Points'!P$2</f>
        <v>0</v>
      </c>
      <c r="K136" s="37">
        <f>'Round 2 Data'!K136*'Round 2 Points'!Q$2</f>
        <v>0</v>
      </c>
      <c r="L136" s="37">
        <f>'Round 2 Data'!L136*'Round 2 Points'!R$2</f>
        <v>0</v>
      </c>
      <c r="M136" s="37">
        <f>'Round 2 Data'!M136*'Round 2 Points'!S$2</f>
        <v>0</v>
      </c>
      <c r="N136" s="37">
        <f>'Round 2 Data'!N136*'Round 2 Points'!T$2</f>
        <v>0</v>
      </c>
      <c r="O136" s="37">
        <f>'Round 2 Data'!O136*'Round 2 Points'!U$2</f>
        <v>0</v>
      </c>
      <c r="P136" s="37">
        <f>'Round 2 Data'!P136*'Round 2 Points'!V$2</f>
        <v>0</v>
      </c>
      <c r="Q136" s="37">
        <f>'Round 2 Data'!Q136*'Round 2 Points'!W$2</f>
        <v>0</v>
      </c>
      <c r="R136" s="37">
        <f>'Round 2 Data'!R136*'Round 2 Points'!X$2</f>
        <v>0</v>
      </c>
      <c r="S136" s="37">
        <f>'Round 2 Data'!S136*'Round 2 Points'!Y$2</f>
        <v>0</v>
      </c>
      <c r="T136" s="38">
        <f t="shared" si="2"/>
        <v>13.2</v>
      </c>
      <c r="U136" s="37">
        <f>'Round 2 Data'!U136*'Round 2 Points'!Z$2</f>
        <v>0</v>
      </c>
      <c r="V136" s="36">
        <f>IF('Round 2 Data'!D136='Round 2 Points'!$K$1,D136/80*$K$2,0)</f>
        <v>0</v>
      </c>
      <c r="W136" s="52">
        <f t="shared" si="3"/>
        <v>13.2</v>
      </c>
    </row>
    <row r="137" spans="1:23" ht="16" thickBot="1" x14ac:dyDescent="0.25">
      <c r="A137" s="77" t="s">
        <v>116</v>
      </c>
      <c r="B137" s="36" t="str" cm="1">
        <f t="array" ref="B137:C137">_xlfn.XLOOKUP(A137,'Player List'!$A$2:$A$177,'Player List'!$B$2:$C$177)</f>
        <v>Italy</v>
      </c>
      <c r="C137" s="36" t="str">
        <v>Second Row</v>
      </c>
      <c r="D137" s="37">
        <v>48</v>
      </c>
      <c r="F137" s="37">
        <f>'Round 2 Data'!F137*'Round 2 Points'!L$2</f>
        <v>7</v>
      </c>
      <c r="G137" s="37">
        <f>'Round 2 Data'!G137*'Round 2 Points'!M$2</f>
        <v>7</v>
      </c>
      <c r="H137" s="37">
        <f>'Round 2 Data'!H137*'Round 2 Points'!N$2</f>
        <v>0</v>
      </c>
      <c r="I137" s="37">
        <f>'Round 2 Data'!I137*'Round 2 Points'!O$2</f>
        <v>8.8000000000000007</v>
      </c>
      <c r="J137" s="37">
        <f>'Round 2 Data'!J137*'Round 2 Points'!P$2</f>
        <v>0</v>
      </c>
      <c r="K137" s="37">
        <f>'Round 2 Data'!K137*'Round 2 Points'!Q$2</f>
        <v>0</v>
      </c>
      <c r="L137" s="37">
        <f>'Round 2 Data'!L137*'Round 2 Points'!R$2</f>
        <v>0</v>
      </c>
      <c r="M137" s="37">
        <f>'Round 2 Data'!M137*'Round 2 Points'!S$2</f>
        <v>0</v>
      </c>
      <c r="N137" s="37">
        <f>'Round 2 Data'!N137*'Round 2 Points'!T$2</f>
        <v>0</v>
      </c>
      <c r="O137" s="37">
        <f>'Round 2 Data'!O137*'Round 2 Points'!U$2</f>
        <v>0</v>
      </c>
      <c r="P137" s="37">
        <f>'Round 2 Data'!P137*'Round 2 Points'!V$2</f>
        <v>0</v>
      </c>
      <c r="Q137" s="37">
        <f>'Round 2 Data'!Q137*'Round 2 Points'!W$2</f>
        <v>0</v>
      </c>
      <c r="R137" s="37">
        <f>'Round 2 Data'!R137*'Round 2 Points'!X$2</f>
        <v>-5</v>
      </c>
      <c r="S137" s="37">
        <f>'Round 2 Data'!S137*'Round 2 Points'!Y$2</f>
        <v>0</v>
      </c>
      <c r="T137" s="38">
        <f t="shared" si="2"/>
        <v>17.8</v>
      </c>
      <c r="U137" s="37">
        <f>'Round 2 Data'!U137*'Round 2 Points'!Z$2</f>
        <v>0</v>
      </c>
      <c r="V137" s="36">
        <f>IF('Round 2 Data'!D137='Round 2 Points'!$K$1,D137/80*$K$2,0)</f>
        <v>0</v>
      </c>
      <c r="W137" s="52">
        <f t="shared" si="3"/>
        <v>17.8</v>
      </c>
    </row>
    <row r="138" spans="1:23" ht="16" thickBot="1" x14ac:dyDescent="0.25">
      <c r="A138" s="76" t="s">
        <v>117</v>
      </c>
      <c r="B138" s="36" t="str" cm="1">
        <f t="array" ref="B138:C138">_xlfn.XLOOKUP(A138,'Player List'!$A$2:$A$177,'Player List'!$B$2:$C$177)</f>
        <v>Italy</v>
      </c>
      <c r="C138" s="36" t="str">
        <v>Second Row</v>
      </c>
      <c r="D138" s="37">
        <v>72</v>
      </c>
      <c r="F138" s="37">
        <f>'Round 2 Data'!F138*'Round 2 Points'!L$2</f>
        <v>6</v>
      </c>
      <c r="G138" s="37">
        <f>'Round 2 Data'!G138*'Round 2 Points'!M$2</f>
        <v>0</v>
      </c>
      <c r="H138" s="37">
        <f>'Round 2 Data'!H138*'Round 2 Points'!N$2</f>
        <v>0</v>
      </c>
      <c r="I138" s="37">
        <f>'Round 2 Data'!I138*'Round 2 Points'!O$2</f>
        <v>4.2</v>
      </c>
      <c r="J138" s="37">
        <f>'Round 2 Data'!J138*'Round 2 Points'!P$2</f>
        <v>0</v>
      </c>
      <c r="K138" s="37">
        <f>'Round 2 Data'!K138*'Round 2 Points'!Q$2</f>
        <v>0</v>
      </c>
      <c r="L138" s="37">
        <f>'Round 2 Data'!L138*'Round 2 Points'!R$2</f>
        <v>0</v>
      </c>
      <c r="M138" s="37">
        <f>'Round 2 Data'!M138*'Round 2 Points'!S$2</f>
        <v>0</v>
      </c>
      <c r="N138" s="37">
        <f>'Round 2 Data'!N138*'Round 2 Points'!T$2</f>
        <v>0</v>
      </c>
      <c r="O138" s="37">
        <f>'Round 2 Data'!O138*'Round 2 Points'!U$2</f>
        <v>0</v>
      </c>
      <c r="P138" s="37">
        <f>'Round 2 Data'!P138*'Round 2 Points'!V$2</f>
        <v>0</v>
      </c>
      <c r="Q138" s="37">
        <f>'Round 2 Data'!Q138*'Round 2 Points'!W$2</f>
        <v>0</v>
      </c>
      <c r="R138" s="37">
        <f>'Round 2 Data'!R138*'Round 2 Points'!X$2</f>
        <v>0</v>
      </c>
      <c r="S138" s="37">
        <f>'Round 2 Data'!S138*'Round 2 Points'!Y$2</f>
        <v>0</v>
      </c>
      <c r="T138" s="38">
        <f t="shared" si="2"/>
        <v>10.199999999999999</v>
      </c>
      <c r="U138" s="37">
        <f>'Round 2 Data'!U138*'Round 2 Points'!Z$2</f>
        <v>0</v>
      </c>
      <c r="V138" s="36">
        <f>IF('Round 2 Data'!D138='Round 2 Points'!$K$1,D138/80*$K$2,0)</f>
        <v>0</v>
      </c>
      <c r="W138" s="52">
        <f t="shared" si="3"/>
        <v>10.199999999999999</v>
      </c>
    </row>
    <row r="139" spans="1:23" ht="16" thickBot="1" x14ac:dyDescent="0.25">
      <c r="A139" s="77" t="s">
        <v>118</v>
      </c>
      <c r="B139" s="36" t="str" cm="1">
        <f t="array" ref="B139:C139">_xlfn.XLOOKUP(A139,'Player List'!$A$2:$A$177,'Player List'!$B$2:$C$177)</f>
        <v>Italy</v>
      </c>
      <c r="C139" s="36" t="str">
        <v>Second Row</v>
      </c>
      <c r="D139" s="37">
        <v>80</v>
      </c>
      <c r="F139" s="37">
        <f>'Round 2 Data'!F139*'Round 2 Points'!L$2</f>
        <v>7</v>
      </c>
      <c r="G139" s="37">
        <f>'Round 2 Data'!G139*'Round 2 Points'!M$2</f>
        <v>7</v>
      </c>
      <c r="H139" s="37">
        <f>'Round 2 Data'!H139*'Round 2 Points'!N$2</f>
        <v>7</v>
      </c>
      <c r="I139" s="37">
        <f>'Round 2 Data'!I139*'Round 2 Points'!O$2</f>
        <v>10.4</v>
      </c>
      <c r="J139" s="37">
        <f>'Round 2 Data'!J139*'Round 2 Points'!P$2</f>
        <v>0</v>
      </c>
      <c r="K139" s="37">
        <f>'Round 2 Data'!K139*'Round 2 Points'!Q$2</f>
        <v>0</v>
      </c>
      <c r="L139" s="37">
        <f>'Round 2 Data'!L139*'Round 2 Points'!R$2</f>
        <v>0</v>
      </c>
      <c r="M139" s="37">
        <f>'Round 2 Data'!M139*'Round 2 Points'!S$2</f>
        <v>0</v>
      </c>
      <c r="N139" s="37">
        <f>'Round 2 Data'!N139*'Round 2 Points'!T$2</f>
        <v>0</v>
      </c>
      <c r="O139" s="37">
        <f>'Round 2 Data'!O139*'Round 2 Points'!U$2</f>
        <v>0</v>
      </c>
      <c r="P139" s="37">
        <f>'Round 2 Data'!P139*'Round 2 Points'!V$2</f>
        <v>0</v>
      </c>
      <c r="Q139" s="37">
        <f>'Round 2 Data'!Q139*'Round 2 Points'!W$2</f>
        <v>0</v>
      </c>
      <c r="R139" s="37">
        <f>'Round 2 Data'!R139*'Round 2 Points'!X$2</f>
        <v>0</v>
      </c>
      <c r="S139" s="37">
        <f>'Round 2 Data'!S139*'Round 2 Points'!Y$2</f>
        <v>0</v>
      </c>
      <c r="T139" s="38">
        <f t="shared" ref="T139:T146" si="4">SUM(F139:S139)</f>
        <v>31.4</v>
      </c>
      <c r="U139" s="37">
        <f>'Round 2 Data'!U139*'Round 2 Points'!Z$2</f>
        <v>0</v>
      </c>
      <c r="V139" s="36">
        <f>IF('Round 2 Data'!D139='Round 2 Points'!$K$1,D139/80*$K$2,0)</f>
        <v>0</v>
      </c>
      <c r="W139" s="52">
        <f t="shared" ref="W139:W146" si="5">SUM(T139:V139)</f>
        <v>31.4</v>
      </c>
    </row>
    <row r="140" spans="1:23" ht="16" thickBot="1" x14ac:dyDescent="0.25">
      <c r="A140" s="76" t="s">
        <v>119</v>
      </c>
      <c r="B140" s="36" t="str" cm="1">
        <f t="array" ref="B140:C140">_xlfn.XLOOKUP(A140,'Player List'!$A$2:$A$177,'Player List'!$B$2:$C$177)</f>
        <v>Italy</v>
      </c>
      <c r="C140" s="36" t="str">
        <v>Second Row</v>
      </c>
      <c r="D140" s="37">
        <v>56</v>
      </c>
      <c r="F140" s="37">
        <f>'Round 2 Data'!F140*'Round 2 Points'!L$2</f>
        <v>9</v>
      </c>
      <c r="G140" s="37">
        <f>'Round 2 Data'!G140*'Round 2 Points'!M$2</f>
        <v>14</v>
      </c>
      <c r="H140" s="37">
        <f>'Round 2 Data'!H140*'Round 2 Points'!N$2</f>
        <v>0</v>
      </c>
      <c r="I140" s="37">
        <f>'Round 2 Data'!I140*'Round 2 Points'!O$2</f>
        <v>12.200000000000001</v>
      </c>
      <c r="J140" s="37">
        <f>'Round 2 Data'!J140*'Round 2 Points'!P$2</f>
        <v>0</v>
      </c>
      <c r="K140" s="37">
        <f>'Round 2 Data'!K140*'Round 2 Points'!Q$2</f>
        <v>0</v>
      </c>
      <c r="L140" s="37">
        <f>'Round 2 Data'!L140*'Round 2 Points'!R$2</f>
        <v>7</v>
      </c>
      <c r="M140" s="37">
        <f>'Round 2 Data'!M140*'Round 2 Points'!S$2</f>
        <v>0</v>
      </c>
      <c r="N140" s="37">
        <f>'Round 2 Data'!N140*'Round 2 Points'!T$2</f>
        <v>0</v>
      </c>
      <c r="O140" s="37">
        <f>'Round 2 Data'!O140*'Round 2 Points'!U$2</f>
        <v>0</v>
      </c>
      <c r="P140" s="37">
        <f>'Round 2 Data'!P140*'Round 2 Points'!V$2</f>
        <v>0</v>
      </c>
      <c r="Q140" s="37">
        <f>'Round 2 Data'!Q140*'Round 2 Points'!W$2</f>
        <v>0</v>
      </c>
      <c r="R140" s="37">
        <f>'Round 2 Data'!R140*'Round 2 Points'!X$2</f>
        <v>0</v>
      </c>
      <c r="S140" s="37">
        <f>'Round 2 Data'!S140*'Round 2 Points'!Y$2</f>
        <v>0</v>
      </c>
      <c r="T140" s="38">
        <f t="shared" si="4"/>
        <v>42.2</v>
      </c>
      <c r="U140" s="37">
        <f>'Round 2 Data'!U140*'Round 2 Points'!Z$2</f>
        <v>0</v>
      </c>
      <c r="V140" s="36">
        <f>IF('Round 2 Data'!D140='Round 2 Points'!$K$1,D140/80*$K$2,0)</f>
        <v>0</v>
      </c>
      <c r="W140" s="52">
        <f t="shared" si="5"/>
        <v>42.2</v>
      </c>
    </row>
    <row r="141" spans="1:23" ht="16" thickBot="1" x14ac:dyDescent="0.25">
      <c r="A141" s="77" t="s">
        <v>120</v>
      </c>
      <c r="B141" s="36" t="str" cm="1">
        <f t="array" ref="B141:C141">_xlfn.XLOOKUP(A141,'Player List'!$A$2:$A$177,'Player List'!$B$2:$C$177)</f>
        <v>Italy</v>
      </c>
      <c r="C141" s="36" t="str">
        <v>Prop</v>
      </c>
      <c r="D141" s="37">
        <v>21</v>
      </c>
      <c r="F141" s="37">
        <f>'Round 2 Data'!F141*'Round 2 Points'!L$2</f>
        <v>3</v>
      </c>
      <c r="G141" s="37">
        <f>'Round 2 Data'!G141*'Round 2 Points'!M$2</f>
        <v>0</v>
      </c>
      <c r="H141" s="37">
        <f>'Round 2 Data'!H141*'Round 2 Points'!N$2</f>
        <v>0</v>
      </c>
      <c r="I141" s="37">
        <f>'Round 2 Data'!I141*'Round 2 Points'!O$2</f>
        <v>0.8</v>
      </c>
      <c r="J141" s="37">
        <f>'Round 2 Data'!J141*'Round 2 Points'!P$2</f>
        <v>0</v>
      </c>
      <c r="K141" s="37">
        <f>'Round 2 Data'!K141*'Round 2 Points'!Q$2</f>
        <v>0</v>
      </c>
      <c r="L141" s="37">
        <f>'Round 2 Data'!L141*'Round 2 Points'!R$2</f>
        <v>0</v>
      </c>
      <c r="M141" s="37">
        <f>'Round 2 Data'!M141*'Round 2 Points'!S$2</f>
        <v>0</v>
      </c>
      <c r="N141" s="37">
        <f>'Round 2 Data'!N141*'Round 2 Points'!T$2</f>
        <v>0</v>
      </c>
      <c r="O141" s="37">
        <f>'Round 2 Data'!O141*'Round 2 Points'!U$2</f>
        <v>0</v>
      </c>
      <c r="P141" s="37">
        <f>'Round 2 Data'!P141*'Round 2 Points'!V$2</f>
        <v>0</v>
      </c>
      <c r="Q141" s="37">
        <f>'Round 2 Data'!Q141*'Round 2 Points'!W$2</f>
        <v>0</v>
      </c>
      <c r="R141" s="37">
        <f>'Round 2 Data'!R141*'Round 2 Points'!X$2</f>
        <v>-5</v>
      </c>
      <c r="S141" s="37">
        <f>'Round 2 Data'!S141*'Round 2 Points'!Y$2</f>
        <v>0</v>
      </c>
      <c r="T141" s="38">
        <f t="shared" si="4"/>
        <v>-1.2000000000000002</v>
      </c>
      <c r="U141" s="37">
        <f>'Round 2 Data'!U141*'Round 2 Points'!Z$2</f>
        <v>0</v>
      </c>
      <c r="V141" s="36">
        <f>IF('Round 2 Data'!D141='Round 2 Points'!$K$1,D141/80*$K$2,0)</f>
        <v>0</v>
      </c>
      <c r="W141" s="52">
        <f t="shared" si="5"/>
        <v>-1.2000000000000002</v>
      </c>
    </row>
    <row r="142" spans="1:23" ht="16" thickBot="1" x14ac:dyDescent="0.25">
      <c r="A142" s="76" t="s">
        <v>121</v>
      </c>
      <c r="B142" s="36" t="str" cm="1">
        <f t="array" ref="B142:C142">_xlfn.XLOOKUP(A142,'Player List'!$A$2:$A$177,'Player List'!$B$2:$C$177)</f>
        <v>Italy</v>
      </c>
      <c r="C142" s="36" t="str">
        <v>Prop</v>
      </c>
      <c r="D142" s="37">
        <v>55</v>
      </c>
      <c r="F142" s="37">
        <f>'Round 2 Data'!F142*'Round 2 Points'!L$2</f>
        <v>7</v>
      </c>
      <c r="G142" s="37">
        <f>'Round 2 Data'!G142*'Round 2 Points'!M$2</f>
        <v>21</v>
      </c>
      <c r="H142" s="37">
        <f>'Round 2 Data'!H142*'Round 2 Points'!N$2</f>
        <v>0</v>
      </c>
      <c r="I142" s="37">
        <f>'Round 2 Data'!I142*'Round 2 Points'!O$2</f>
        <v>1.4000000000000001</v>
      </c>
      <c r="J142" s="37">
        <f>'Round 2 Data'!J142*'Round 2 Points'!P$2</f>
        <v>0</v>
      </c>
      <c r="K142" s="37">
        <f>'Round 2 Data'!K142*'Round 2 Points'!Q$2</f>
        <v>0</v>
      </c>
      <c r="L142" s="37">
        <f>'Round 2 Data'!L142*'Round 2 Points'!R$2</f>
        <v>0</v>
      </c>
      <c r="M142" s="37">
        <f>'Round 2 Data'!M142*'Round 2 Points'!S$2</f>
        <v>0</v>
      </c>
      <c r="N142" s="37">
        <f>'Round 2 Data'!N142*'Round 2 Points'!T$2</f>
        <v>0</v>
      </c>
      <c r="O142" s="37">
        <f>'Round 2 Data'!O142*'Round 2 Points'!U$2</f>
        <v>0</v>
      </c>
      <c r="P142" s="37">
        <f>'Round 2 Data'!P142*'Round 2 Points'!V$2</f>
        <v>0</v>
      </c>
      <c r="Q142" s="37">
        <f>'Round 2 Data'!Q142*'Round 2 Points'!W$2</f>
        <v>0</v>
      </c>
      <c r="R142" s="37">
        <f>'Round 2 Data'!R142*'Round 2 Points'!X$2</f>
        <v>0</v>
      </c>
      <c r="S142" s="37">
        <f>'Round 2 Data'!S142*'Round 2 Points'!Y$2</f>
        <v>0</v>
      </c>
      <c r="T142" s="38">
        <f t="shared" si="4"/>
        <v>29.4</v>
      </c>
      <c r="U142" s="37">
        <f>'Round 2 Data'!U142*'Round 2 Points'!Z$2</f>
        <v>0</v>
      </c>
      <c r="V142" s="36">
        <f>IF('Round 2 Data'!D142='Round 2 Points'!$K$1,D142/80*$K$2,0)</f>
        <v>0</v>
      </c>
      <c r="W142" s="52">
        <f t="shared" si="5"/>
        <v>29.4</v>
      </c>
    </row>
    <row r="143" spans="1:23" ht="16" thickBot="1" x14ac:dyDescent="0.25">
      <c r="A143" s="77" t="s">
        <v>122</v>
      </c>
      <c r="B143" s="36" t="str" cm="1">
        <f t="array" ref="B143:C143">_xlfn.XLOOKUP(A143,'Player List'!$A$2:$A$177,'Player List'!$B$2:$C$177)</f>
        <v>Italy</v>
      </c>
      <c r="C143" s="36" t="str">
        <v>Prop</v>
      </c>
      <c r="D143" s="37">
        <v>54</v>
      </c>
      <c r="F143" s="37">
        <f>'Round 2 Data'!F143*'Round 2 Points'!L$2</f>
        <v>7</v>
      </c>
      <c r="G143" s="37">
        <f>'Round 2 Data'!G143*'Round 2 Points'!M$2</f>
        <v>0</v>
      </c>
      <c r="H143" s="37">
        <f>'Round 2 Data'!H143*'Round 2 Points'!N$2</f>
        <v>0</v>
      </c>
      <c r="I143" s="37">
        <f>'Round 2 Data'!I143*'Round 2 Points'!O$2</f>
        <v>3</v>
      </c>
      <c r="J143" s="37">
        <f>'Round 2 Data'!J143*'Round 2 Points'!P$2</f>
        <v>0</v>
      </c>
      <c r="K143" s="37">
        <f>'Round 2 Data'!K143*'Round 2 Points'!Q$2</f>
        <v>0</v>
      </c>
      <c r="L143" s="37">
        <f>'Round 2 Data'!L143*'Round 2 Points'!R$2</f>
        <v>0</v>
      </c>
      <c r="M143" s="37">
        <f>'Round 2 Data'!M143*'Round 2 Points'!S$2</f>
        <v>15</v>
      </c>
      <c r="N143" s="37">
        <f>'Round 2 Data'!N143*'Round 2 Points'!T$2</f>
        <v>0</v>
      </c>
      <c r="O143" s="37">
        <f>'Round 2 Data'!O143*'Round 2 Points'!U$2</f>
        <v>0</v>
      </c>
      <c r="P143" s="37">
        <f>'Round 2 Data'!P143*'Round 2 Points'!V$2</f>
        <v>0</v>
      </c>
      <c r="Q143" s="37">
        <f>'Round 2 Data'!Q143*'Round 2 Points'!W$2</f>
        <v>0</v>
      </c>
      <c r="R143" s="37">
        <f>'Round 2 Data'!R143*'Round 2 Points'!X$2</f>
        <v>0</v>
      </c>
      <c r="S143" s="37">
        <f>'Round 2 Data'!S143*'Round 2 Points'!Y$2</f>
        <v>0</v>
      </c>
      <c r="T143" s="38">
        <f t="shared" si="4"/>
        <v>25</v>
      </c>
      <c r="U143" s="37">
        <f>'Round 2 Data'!U143*'Round 2 Points'!Z$2</f>
        <v>0</v>
      </c>
      <c r="V143" s="36">
        <f>IF('Round 2 Data'!D143='Round 2 Points'!$K$1,D143/80*$K$2,0)</f>
        <v>0</v>
      </c>
      <c r="W143" s="52">
        <f t="shared" si="5"/>
        <v>25</v>
      </c>
    </row>
    <row r="144" spans="1:23" ht="16" thickBot="1" x14ac:dyDescent="0.25">
      <c r="A144" s="76" t="s">
        <v>123</v>
      </c>
      <c r="B144" s="36" t="str" cm="1">
        <f t="array" ref="B144:C144">_xlfn.XLOOKUP(A144,'Player List'!$A$2:$A$177,'Player List'!$B$2:$C$177)</f>
        <v>Italy</v>
      </c>
      <c r="C144" s="36" t="str">
        <v>Prop</v>
      </c>
      <c r="D144" s="37">
        <v>25</v>
      </c>
      <c r="F144" s="37">
        <f>'Round 2 Data'!F144*'Round 2 Points'!L$2</f>
        <v>1</v>
      </c>
      <c r="G144" s="37">
        <f>'Round 2 Data'!G144*'Round 2 Points'!M$2</f>
        <v>0</v>
      </c>
      <c r="H144" s="37">
        <f>'Round 2 Data'!H144*'Round 2 Points'!N$2</f>
        <v>0</v>
      </c>
      <c r="I144" s="37">
        <f>'Round 2 Data'!I144*'Round 2 Points'!O$2</f>
        <v>2.4000000000000004</v>
      </c>
      <c r="J144" s="37">
        <f>'Round 2 Data'!J144*'Round 2 Points'!P$2</f>
        <v>0</v>
      </c>
      <c r="K144" s="37">
        <f>'Round 2 Data'!K144*'Round 2 Points'!Q$2</f>
        <v>0</v>
      </c>
      <c r="L144" s="37">
        <f>'Round 2 Data'!L144*'Round 2 Points'!R$2</f>
        <v>0</v>
      </c>
      <c r="M144" s="37">
        <f>'Round 2 Data'!M144*'Round 2 Points'!S$2</f>
        <v>0</v>
      </c>
      <c r="N144" s="37">
        <f>'Round 2 Data'!N144*'Round 2 Points'!T$2</f>
        <v>0</v>
      </c>
      <c r="O144" s="37">
        <f>'Round 2 Data'!O144*'Round 2 Points'!U$2</f>
        <v>0</v>
      </c>
      <c r="P144" s="37">
        <f>'Round 2 Data'!P144*'Round 2 Points'!V$2</f>
        <v>0</v>
      </c>
      <c r="Q144" s="37">
        <f>'Round 2 Data'!Q144*'Round 2 Points'!W$2</f>
        <v>0</v>
      </c>
      <c r="R144" s="37">
        <f>'Round 2 Data'!R144*'Round 2 Points'!X$2</f>
        <v>0</v>
      </c>
      <c r="S144" s="37">
        <f>'Round 2 Data'!S144*'Round 2 Points'!Y$2</f>
        <v>0</v>
      </c>
      <c r="T144" s="38">
        <f t="shared" si="4"/>
        <v>3.4000000000000004</v>
      </c>
      <c r="U144" s="37">
        <f>'Round 2 Data'!U144*'Round 2 Points'!Z$2</f>
        <v>0</v>
      </c>
      <c r="V144" s="36">
        <f>IF('Round 2 Data'!D144='Round 2 Points'!$K$1,D144/80*$K$2,0)</f>
        <v>0</v>
      </c>
      <c r="W144" s="52">
        <f t="shared" si="5"/>
        <v>3.4000000000000004</v>
      </c>
    </row>
    <row r="145" spans="1:23" ht="16" thickBot="1" x14ac:dyDescent="0.25">
      <c r="A145" s="77" t="s">
        <v>124</v>
      </c>
      <c r="B145" s="36" t="str" cm="1">
        <f t="array" ref="B145:C145">_xlfn.XLOOKUP(A145,'Player List'!$A$2:$A$177,'Player List'!$B$2:$C$177)</f>
        <v>Italy</v>
      </c>
      <c r="C145" s="36" t="str">
        <v>Hooker</v>
      </c>
      <c r="D145" s="37">
        <v>19</v>
      </c>
      <c r="F145" s="37">
        <f>'Round 2 Data'!F145*'Round 2 Points'!L$2</f>
        <v>2</v>
      </c>
      <c r="G145" s="37">
        <f>'Round 2 Data'!G145*'Round 2 Points'!M$2</f>
        <v>7</v>
      </c>
      <c r="H145" s="37">
        <f>'Round 2 Data'!H145*'Round 2 Points'!N$2</f>
        <v>0</v>
      </c>
      <c r="I145" s="37">
        <f>'Round 2 Data'!I145*'Round 2 Points'!O$2</f>
        <v>0</v>
      </c>
      <c r="J145" s="37">
        <f>'Round 2 Data'!J145*'Round 2 Points'!P$2</f>
        <v>0</v>
      </c>
      <c r="K145" s="37">
        <f>'Round 2 Data'!K145*'Round 2 Points'!Q$2</f>
        <v>0</v>
      </c>
      <c r="L145" s="37">
        <f>'Round 2 Data'!L145*'Round 2 Points'!R$2</f>
        <v>0</v>
      </c>
      <c r="M145" s="37">
        <f>'Round 2 Data'!M145*'Round 2 Points'!S$2</f>
        <v>0</v>
      </c>
      <c r="N145" s="37">
        <f>'Round 2 Data'!N145*'Round 2 Points'!T$2</f>
        <v>0</v>
      </c>
      <c r="O145" s="37">
        <f>'Round 2 Data'!O145*'Round 2 Points'!U$2</f>
        <v>0</v>
      </c>
      <c r="P145" s="37">
        <f>'Round 2 Data'!P145*'Round 2 Points'!V$2</f>
        <v>0</v>
      </c>
      <c r="Q145" s="37">
        <f>'Round 2 Data'!Q145*'Round 2 Points'!W$2</f>
        <v>0</v>
      </c>
      <c r="R145" s="37">
        <f>'Round 2 Data'!R145*'Round 2 Points'!X$2</f>
        <v>0</v>
      </c>
      <c r="S145" s="37">
        <f>'Round 2 Data'!S145*'Round 2 Points'!Y$2</f>
        <v>0</v>
      </c>
      <c r="T145" s="38">
        <f t="shared" si="4"/>
        <v>9</v>
      </c>
      <c r="U145" s="37">
        <f>'Round 2 Data'!U145*'Round 2 Points'!Z$2</f>
        <v>0</v>
      </c>
      <c r="V145" s="36">
        <f>IF('Round 2 Data'!D145='Round 2 Points'!$K$1,D145/80*$K$2,0)</f>
        <v>0</v>
      </c>
      <c r="W145" s="52">
        <f t="shared" si="5"/>
        <v>9</v>
      </c>
    </row>
    <row r="146" spans="1:23" ht="16" thickBot="1" x14ac:dyDescent="0.25">
      <c r="A146" s="78" t="s">
        <v>125</v>
      </c>
      <c r="B146" s="75" t="str" cm="1">
        <f t="array" ref="B146:C146">_xlfn.XLOOKUP(A146,'Player List'!$A$2:$A$177,'Player List'!$B$2:$C$177)</f>
        <v>Italy</v>
      </c>
      <c r="C146" s="75" t="str">
        <v>Hooker</v>
      </c>
      <c r="D146" s="79">
        <v>61</v>
      </c>
      <c r="E146" s="48"/>
      <c r="F146" s="79">
        <f>'Round 2 Data'!F146*'Round 2 Points'!L$2</f>
        <v>13</v>
      </c>
      <c r="G146" s="79">
        <f>'Round 2 Data'!G146*'Round 2 Points'!M$2</f>
        <v>0</v>
      </c>
      <c r="H146" s="79">
        <f>'Round 2 Data'!H146*'Round 2 Points'!N$2</f>
        <v>0</v>
      </c>
      <c r="I146" s="79">
        <f>'Round 2 Data'!I146*'Round 2 Points'!O$2</f>
        <v>8.6</v>
      </c>
      <c r="J146" s="79">
        <f>'Round 2 Data'!J146*'Round 2 Points'!P$2</f>
        <v>0</v>
      </c>
      <c r="K146" s="79">
        <f>'Round 2 Data'!K146*'Round 2 Points'!Q$2</f>
        <v>0</v>
      </c>
      <c r="L146" s="79">
        <f>'Round 2 Data'!L146*'Round 2 Points'!R$2</f>
        <v>0</v>
      </c>
      <c r="M146" s="79">
        <f>'Round 2 Data'!M146*'Round 2 Points'!S$2</f>
        <v>0</v>
      </c>
      <c r="N146" s="79">
        <f>'Round 2 Data'!N146*'Round 2 Points'!T$2</f>
        <v>0</v>
      </c>
      <c r="O146" s="79">
        <f>'Round 2 Data'!O146*'Round 2 Points'!U$2</f>
        <v>0</v>
      </c>
      <c r="P146" s="79">
        <f>'Round 2 Data'!P146*'Round 2 Points'!V$2</f>
        <v>0</v>
      </c>
      <c r="Q146" s="79">
        <f>'Round 2 Data'!Q146*'Round 2 Points'!W$2</f>
        <v>0</v>
      </c>
      <c r="R146" s="79">
        <f>'Round 2 Data'!R146*'Round 2 Points'!X$2</f>
        <v>0</v>
      </c>
      <c r="S146" s="79">
        <f>'Round 2 Data'!S146*'Round 2 Points'!Y$2</f>
        <v>0</v>
      </c>
      <c r="T146" s="74">
        <f t="shared" si="4"/>
        <v>21.6</v>
      </c>
      <c r="U146" s="79">
        <f>'Round 2 Data'!U146*'Round 2 Points'!Z$2</f>
        <v>0</v>
      </c>
      <c r="V146" s="75">
        <f>IF('Round 2 Data'!D146='Round 2 Points'!$K$1,D146/80*$K$2,0)</f>
        <v>0</v>
      </c>
      <c r="W146" s="49">
        <f t="shared" si="5"/>
        <v>21.6</v>
      </c>
    </row>
  </sheetData>
  <autoFilter ref="A9:Z146" xr:uid="{CB029E7A-DA15-40AF-8A60-6FEE11FF9455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D4D-C732-48A0-9A4E-F9FD801F0FE7}">
  <sheetPr>
    <tabColor theme="9" tint="0.79998168889431442"/>
  </sheetPr>
  <dimension ref="A1:Z145"/>
  <sheetViews>
    <sheetView workbookViewId="0">
      <selection activeCell="G15" sqref="G15"/>
    </sheetView>
  </sheetViews>
  <sheetFormatPr baseColWidth="10" defaultColWidth="8.83203125" defaultRowHeight="15" x14ac:dyDescent="0.2"/>
  <cols>
    <col min="4" max="4" width="11.33203125" customWidth="1"/>
  </cols>
  <sheetData>
    <row r="1" spans="1:26" ht="31" thickBot="1" x14ac:dyDescent="0.25">
      <c r="K1" t="s">
        <v>204</v>
      </c>
      <c r="L1" s="35" t="s">
        <v>207</v>
      </c>
      <c r="M1" s="35" t="s">
        <v>1</v>
      </c>
      <c r="N1" s="35" t="s">
        <v>2</v>
      </c>
      <c r="O1" s="35" t="s">
        <v>208</v>
      </c>
      <c r="P1" s="35" t="s">
        <v>3</v>
      </c>
      <c r="Q1" s="35" t="s">
        <v>4</v>
      </c>
      <c r="R1" s="35" t="s">
        <v>5</v>
      </c>
      <c r="S1" s="35" t="s">
        <v>6</v>
      </c>
      <c r="T1" s="35" t="s">
        <v>209</v>
      </c>
      <c r="U1" s="35" t="s">
        <v>7</v>
      </c>
      <c r="V1" s="35" t="s">
        <v>8</v>
      </c>
      <c r="W1" s="35" t="s">
        <v>9</v>
      </c>
      <c r="X1" s="35" t="s">
        <v>10</v>
      </c>
      <c r="Y1" s="35" t="s">
        <v>11</v>
      </c>
      <c r="Z1" s="35" t="s">
        <v>215</v>
      </c>
    </row>
    <row r="2" spans="1:26" x14ac:dyDescent="0.2">
      <c r="B2" s="43" t="s">
        <v>191</v>
      </c>
      <c r="C2" s="50" t="s">
        <v>212</v>
      </c>
      <c r="E2" s="43" t="s">
        <v>192</v>
      </c>
      <c r="F2" s="44">
        <v>20</v>
      </c>
      <c r="G2" s="44">
        <v>34</v>
      </c>
      <c r="H2" s="50" t="s">
        <v>189</v>
      </c>
      <c r="J2" t="s">
        <v>214</v>
      </c>
      <c r="K2">
        <v>8</v>
      </c>
      <c r="L2">
        <v>1</v>
      </c>
      <c r="M2">
        <v>7</v>
      </c>
      <c r="N2">
        <v>7</v>
      </c>
      <c r="O2">
        <v>0.2</v>
      </c>
      <c r="P2">
        <v>10</v>
      </c>
      <c r="Q2">
        <v>7</v>
      </c>
      <c r="R2">
        <v>7</v>
      </c>
      <c r="S2">
        <v>15</v>
      </c>
      <c r="T2">
        <v>7</v>
      </c>
      <c r="U2">
        <v>2</v>
      </c>
      <c r="V2">
        <v>5</v>
      </c>
      <c r="W2">
        <v>7</v>
      </c>
      <c r="X2">
        <v>-5</v>
      </c>
      <c r="Y2">
        <v>-10</v>
      </c>
      <c r="Z2">
        <v>15</v>
      </c>
    </row>
    <row r="3" spans="1:26" x14ac:dyDescent="0.2">
      <c r="B3" s="51" t="s">
        <v>188</v>
      </c>
      <c r="C3" s="52" t="s">
        <v>212</v>
      </c>
      <c r="E3" s="51" t="s">
        <v>188</v>
      </c>
      <c r="F3">
        <v>10</v>
      </c>
      <c r="G3">
        <v>20</v>
      </c>
      <c r="H3" s="52" t="s">
        <v>190</v>
      </c>
    </row>
    <row r="4" spans="1:26" ht="16" thickBot="1" x14ac:dyDescent="0.25">
      <c r="B4" s="51" t="s">
        <v>189</v>
      </c>
      <c r="C4" s="52" t="s">
        <v>204</v>
      </c>
      <c r="E4" s="47" t="s">
        <v>193</v>
      </c>
      <c r="F4" s="48">
        <v>32</v>
      </c>
      <c r="G4" s="48">
        <v>21</v>
      </c>
      <c r="H4" s="49" t="s">
        <v>191</v>
      </c>
    </row>
    <row r="5" spans="1:26" x14ac:dyDescent="0.2">
      <c r="B5" s="51" t="s">
        <v>190</v>
      </c>
      <c r="C5" s="52" t="s">
        <v>204</v>
      </c>
    </row>
    <row r="6" spans="1:26" x14ac:dyDescent="0.2">
      <c r="B6" s="51" t="s">
        <v>193</v>
      </c>
      <c r="C6" s="52" t="s">
        <v>204</v>
      </c>
    </row>
    <row r="7" spans="1:26" ht="16" thickBot="1" x14ac:dyDescent="0.25">
      <c r="B7" s="47" t="s">
        <v>192</v>
      </c>
      <c r="C7" s="49" t="s">
        <v>212</v>
      </c>
    </row>
    <row r="8" spans="1:26" ht="16" thickBot="1" x14ac:dyDescent="0.25"/>
    <row r="9" spans="1:26" ht="31" thickBot="1" x14ac:dyDescent="0.25">
      <c r="A9" s="39" t="s">
        <v>0</v>
      </c>
      <c r="B9" s="40" t="s">
        <v>203</v>
      </c>
      <c r="C9" s="40" t="s">
        <v>202</v>
      </c>
      <c r="D9" s="40" t="s">
        <v>205</v>
      </c>
      <c r="E9" s="40"/>
      <c r="F9" s="41" t="s">
        <v>207</v>
      </c>
      <c r="G9" s="41" t="s">
        <v>1</v>
      </c>
      <c r="H9" s="41" t="s">
        <v>2</v>
      </c>
      <c r="I9" s="41" t="s">
        <v>208</v>
      </c>
      <c r="J9" s="41" t="s">
        <v>3</v>
      </c>
      <c r="K9" s="41" t="s">
        <v>4</v>
      </c>
      <c r="L9" s="41" t="s">
        <v>5</v>
      </c>
      <c r="M9" s="41" t="s">
        <v>6</v>
      </c>
      <c r="N9" s="41" t="s">
        <v>209</v>
      </c>
      <c r="O9" s="41" t="s">
        <v>7</v>
      </c>
      <c r="P9" s="41" t="s">
        <v>8</v>
      </c>
      <c r="Q9" s="41" t="s">
        <v>9</v>
      </c>
      <c r="R9" s="41" t="s">
        <v>10</v>
      </c>
      <c r="S9" s="41" t="s">
        <v>11</v>
      </c>
      <c r="T9" s="41" t="s">
        <v>211</v>
      </c>
      <c r="U9" s="41" t="s">
        <v>206</v>
      </c>
      <c r="V9" s="41" t="s">
        <v>216</v>
      </c>
      <c r="W9" s="42" t="s">
        <v>210</v>
      </c>
    </row>
    <row r="10" spans="1:26" x14ac:dyDescent="0.2">
      <c r="A10" s="81" t="s">
        <v>126</v>
      </c>
      <c r="B10" s="36" t="str" cm="1">
        <f t="array" ref="B10:C10">_xlfn.XLOOKUP(A10,'Player List'!$A$2:$A$177,'Player List'!$B$2:$C$177)</f>
        <v>Ireland</v>
      </c>
      <c r="C10" s="36" t="str">
        <v>Back Three</v>
      </c>
      <c r="D10" s="37">
        <v>80</v>
      </c>
      <c r="F10" s="37">
        <f>'Round 3 Data'!F10*'Round 3 Points'!L$2</f>
        <v>2</v>
      </c>
      <c r="G10" s="37">
        <f>'Round 3 Data'!G10*'Round 3 Points'!M$2</f>
        <v>0</v>
      </c>
      <c r="H10" s="37">
        <f>'Round 3 Data'!H10*'Round 3 Points'!N$2</f>
        <v>21</v>
      </c>
      <c r="I10" s="37">
        <f>'Round 3 Data'!I10*'Round 3 Points'!O$2</f>
        <v>15</v>
      </c>
      <c r="J10" s="37">
        <f>'Round 3 Data'!J10*'Round 3 Points'!P$2</f>
        <v>0</v>
      </c>
      <c r="K10" s="37">
        <f>'Round 3 Data'!K10*'Round 3 Points'!Q$2</f>
        <v>0</v>
      </c>
      <c r="L10" s="37">
        <f>'Round 3 Data'!L10*'Round 3 Points'!R$2</f>
        <v>7</v>
      </c>
      <c r="M10" s="37">
        <f>'Round 3 Data'!M10*'Round 3 Points'!S$2</f>
        <v>30</v>
      </c>
      <c r="N10" s="37">
        <f>'Round 3 Data'!N10*'Round 3 Points'!T$2</f>
        <v>0</v>
      </c>
      <c r="O10" s="37">
        <f>'Round 3 Data'!O10*'Round 3 Points'!U$2</f>
        <v>0</v>
      </c>
      <c r="P10" s="37">
        <f>'Round 3 Data'!P10*'Round 3 Points'!V$2</f>
        <v>0</v>
      </c>
      <c r="Q10" s="37">
        <f>'Round 3 Data'!Q10*'Round 3 Points'!W$2</f>
        <v>0</v>
      </c>
      <c r="R10" s="37">
        <f>'Round 3 Data'!R10*'Round 3 Points'!X$2</f>
        <v>0</v>
      </c>
      <c r="S10" s="37">
        <f>'Round 3 Data'!S10*'Round 3 Points'!Y$2</f>
        <v>0</v>
      </c>
      <c r="T10" s="38">
        <f>SUM(F10:S10)</f>
        <v>75</v>
      </c>
      <c r="U10" s="37">
        <f>'Round 3 Data'!U10*'Round 3 Points'!$Z$2</f>
        <v>15</v>
      </c>
      <c r="V10" s="36">
        <f>IF('Round 3 Data'!D10='Round 3 Points'!$K$1,D10/80*$K$2,0)</f>
        <v>8</v>
      </c>
      <c r="W10" s="52">
        <f>SUM(T10:V10)</f>
        <v>98</v>
      </c>
    </row>
    <row r="11" spans="1:26" x14ac:dyDescent="0.2">
      <c r="A11" s="81" t="s">
        <v>127</v>
      </c>
      <c r="B11" s="36" t="str" cm="1">
        <f t="array" ref="B11:C11">_xlfn.XLOOKUP(A11,'Player List'!$A$2:$A$177,'Player List'!$B$2:$C$177)</f>
        <v>Ireland</v>
      </c>
      <c r="C11" s="36" t="str">
        <v>Back Three</v>
      </c>
      <c r="D11" s="37">
        <v>80</v>
      </c>
      <c r="F11" s="37">
        <f>'Round 3 Data'!F11*'Round 3 Points'!L$2</f>
        <v>3</v>
      </c>
      <c r="G11" s="37">
        <f>'Round 3 Data'!G11*'Round 3 Points'!M$2</f>
        <v>7</v>
      </c>
      <c r="H11" s="37">
        <f>'Round 3 Data'!H11*'Round 3 Points'!N$2</f>
        <v>0</v>
      </c>
      <c r="I11" s="37">
        <f>'Round 3 Data'!I11*'Round 3 Points'!O$2</f>
        <v>24.8</v>
      </c>
      <c r="J11" s="37">
        <f>'Round 3 Data'!J11*'Round 3 Points'!P$2</f>
        <v>0</v>
      </c>
      <c r="K11" s="37">
        <f>'Round 3 Data'!K11*'Round 3 Points'!Q$2</f>
        <v>0</v>
      </c>
      <c r="L11" s="37">
        <f>'Round 3 Data'!L11*'Round 3 Points'!R$2</f>
        <v>0</v>
      </c>
      <c r="M11" s="37">
        <f>'Round 3 Data'!M11*'Round 3 Points'!S$2</f>
        <v>15</v>
      </c>
      <c r="N11" s="37">
        <f>'Round 3 Data'!N11*'Round 3 Points'!T$2</f>
        <v>0</v>
      </c>
      <c r="O11" s="37">
        <f>'Round 3 Data'!O11*'Round 3 Points'!U$2</f>
        <v>0</v>
      </c>
      <c r="P11" s="37">
        <f>'Round 3 Data'!P11*'Round 3 Points'!V$2</f>
        <v>0</v>
      </c>
      <c r="Q11" s="37">
        <f>'Round 3 Data'!Q11*'Round 3 Points'!W$2</f>
        <v>0</v>
      </c>
      <c r="R11" s="37">
        <f>'Round 3 Data'!R11*'Round 3 Points'!X$2</f>
        <v>0</v>
      </c>
      <c r="S11" s="37">
        <f>'Round 3 Data'!S11*'Round 3 Points'!Y$2</f>
        <v>0</v>
      </c>
      <c r="T11" s="38">
        <f t="shared" ref="T11:T74" si="0">SUM(F11:S11)</f>
        <v>49.8</v>
      </c>
      <c r="U11" s="37">
        <f>'Round 3 Data'!U11*'Round 3 Points'!$Z$2</f>
        <v>0</v>
      </c>
      <c r="V11" s="36">
        <f>IF('Round 3 Data'!D11='Round 3 Points'!$K$1,D11/80*$K$2,0)</f>
        <v>8</v>
      </c>
      <c r="W11" s="52">
        <f t="shared" ref="W11:W74" si="1">SUM(T11:V11)</f>
        <v>57.8</v>
      </c>
    </row>
    <row r="12" spans="1:26" x14ac:dyDescent="0.2">
      <c r="A12" s="81" t="s">
        <v>128</v>
      </c>
      <c r="B12" s="36" t="str" cm="1">
        <f t="array" ref="B12:C12">_xlfn.XLOOKUP(A12,'Player List'!$A$2:$A$177,'Player List'!$B$2:$C$177)</f>
        <v>Ireland</v>
      </c>
      <c r="C12" s="36" t="str">
        <v>Back Three</v>
      </c>
      <c r="D12" s="37">
        <v>80</v>
      </c>
      <c r="F12" s="37">
        <f>'Round 3 Data'!F12*'Round 3 Points'!L$2</f>
        <v>1</v>
      </c>
      <c r="G12" s="37">
        <f>'Round 3 Data'!G12*'Round 3 Points'!M$2</f>
        <v>14</v>
      </c>
      <c r="H12" s="37">
        <f>'Round 3 Data'!H12*'Round 3 Points'!N$2</f>
        <v>28</v>
      </c>
      <c r="I12" s="37">
        <f>'Round 3 Data'!I12*'Round 3 Points'!O$2</f>
        <v>26.200000000000003</v>
      </c>
      <c r="J12" s="37">
        <f>'Round 3 Data'!J12*'Round 3 Points'!P$2</f>
        <v>0</v>
      </c>
      <c r="K12" s="37">
        <f>'Round 3 Data'!K12*'Round 3 Points'!Q$2</f>
        <v>0</v>
      </c>
      <c r="L12" s="37">
        <f>'Round 3 Data'!L12*'Round 3 Points'!R$2</f>
        <v>0</v>
      </c>
      <c r="M12" s="37">
        <f>'Round 3 Data'!M12*'Round 3 Points'!S$2</f>
        <v>0</v>
      </c>
      <c r="N12" s="37">
        <f>'Round 3 Data'!N12*'Round 3 Points'!T$2</f>
        <v>14</v>
      </c>
      <c r="O12" s="37">
        <f>'Round 3 Data'!O12*'Round 3 Points'!U$2</f>
        <v>0</v>
      </c>
      <c r="P12" s="37">
        <f>'Round 3 Data'!P12*'Round 3 Points'!V$2</f>
        <v>0</v>
      </c>
      <c r="Q12" s="37">
        <f>'Round 3 Data'!Q12*'Round 3 Points'!W$2</f>
        <v>0</v>
      </c>
      <c r="R12" s="37">
        <f>'Round 3 Data'!R12*'Round 3 Points'!X$2</f>
        <v>0</v>
      </c>
      <c r="S12" s="37">
        <f>'Round 3 Data'!S12*'Round 3 Points'!Y$2</f>
        <v>0</v>
      </c>
      <c r="T12" s="38">
        <f t="shared" si="0"/>
        <v>83.2</v>
      </c>
      <c r="U12" s="37">
        <f>'Round 3 Data'!U12*'Round 3 Points'!$Z$2</f>
        <v>0</v>
      </c>
      <c r="V12" s="36">
        <f>IF('Round 3 Data'!D12='Round 3 Points'!$K$1,D12/80*$K$2,0)</f>
        <v>8</v>
      </c>
      <c r="W12" s="52">
        <f t="shared" si="1"/>
        <v>91.2</v>
      </c>
    </row>
    <row r="13" spans="1:26" x14ac:dyDescent="0.2">
      <c r="A13" s="81" t="s">
        <v>149</v>
      </c>
      <c r="B13" s="36" t="str" cm="1">
        <f t="array" ref="B13:C13">_xlfn.XLOOKUP(A13,'Player List'!$A$2:$A$177,'Player List'!$B$2:$C$177)</f>
        <v>Ireland</v>
      </c>
      <c r="C13" s="36" t="str">
        <v>Back Three</v>
      </c>
      <c r="D13" s="37">
        <v>8</v>
      </c>
      <c r="F13" s="37">
        <f>'Round 3 Data'!F13*'Round 3 Points'!L$2</f>
        <v>0</v>
      </c>
      <c r="G13" s="37">
        <f>'Round 3 Data'!G13*'Round 3 Points'!M$2</f>
        <v>0</v>
      </c>
      <c r="H13" s="37">
        <f>'Round 3 Data'!H13*'Round 3 Points'!N$2</f>
        <v>0</v>
      </c>
      <c r="I13" s="37">
        <f>'Round 3 Data'!I13*'Round 3 Points'!O$2</f>
        <v>0</v>
      </c>
      <c r="J13" s="37">
        <f>'Round 3 Data'!J13*'Round 3 Points'!P$2</f>
        <v>0</v>
      </c>
      <c r="K13" s="37">
        <f>'Round 3 Data'!K13*'Round 3 Points'!Q$2</f>
        <v>0</v>
      </c>
      <c r="L13" s="37">
        <f>'Round 3 Data'!L13*'Round 3 Points'!R$2</f>
        <v>0</v>
      </c>
      <c r="M13" s="37">
        <f>'Round 3 Data'!M13*'Round 3 Points'!S$2</f>
        <v>0</v>
      </c>
      <c r="N13" s="37">
        <f>'Round 3 Data'!N13*'Round 3 Points'!T$2</f>
        <v>0</v>
      </c>
      <c r="O13" s="37">
        <f>'Round 3 Data'!O13*'Round 3 Points'!U$2</f>
        <v>0</v>
      </c>
      <c r="P13" s="37">
        <f>'Round 3 Data'!P13*'Round 3 Points'!V$2</f>
        <v>0</v>
      </c>
      <c r="Q13" s="37">
        <f>'Round 3 Data'!Q13*'Round 3 Points'!W$2</f>
        <v>0</v>
      </c>
      <c r="R13" s="37">
        <f>'Round 3 Data'!R13*'Round 3 Points'!X$2</f>
        <v>0</v>
      </c>
      <c r="S13" s="37">
        <f>'Round 3 Data'!S13*'Round 3 Points'!Y$2</f>
        <v>0</v>
      </c>
      <c r="T13" s="38">
        <f t="shared" si="0"/>
        <v>0</v>
      </c>
      <c r="U13" s="37">
        <f>'Round 3 Data'!U13*'Round 3 Points'!$Z$2</f>
        <v>0</v>
      </c>
      <c r="V13" s="36">
        <f>IF('Round 3 Data'!D13='Round 3 Points'!$K$1,D13/80*$K$2,0)</f>
        <v>0.8</v>
      </c>
      <c r="W13" s="52">
        <f t="shared" si="1"/>
        <v>0.8</v>
      </c>
    </row>
    <row r="14" spans="1:26" x14ac:dyDescent="0.2">
      <c r="A14" s="81" t="s">
        <v>129</v>
      </c>
      <c r="B14" s="36" t="str" cm="1">
        <f t="array" ref="B14:C14">_xlfn.XLOOKUP(A14,'Player List'!$A$2:$A$177,'Player List'!$B$2:$C$177)</f>
        <v>Ireland</v>
      </c>
      <c r="C14" s="36" t="str">
        <v>Centre</v>
      </c>
      <c r="D14" s="37">
        <v>80</v>
      </c>
      <c r="F14" s="37">
        <f>'Round 3 Data'!F14*'Round 3 Points'!L$2</f>
        <v>7</v>
      </c>
      <c r="G14" s="37">
        <f>'Round 3 Data'!G14*'Round 3 Points'!M$2</f>
        <v>0</v>
      </c>
      <c r="H14" s="37">
        <f>'Round 3 Data'!H14*'Round 3 Points'!N$2</f>
        <v>7</v>
      </c>
      <c r="I14" s="37">
        <f>'Round 3 Data'!I14*'Round 3 Points'!O$2</f>
        <v>21.400000000000002</v>
      </c>
      <c r="J14" s="37">
        <f>'Round 3 Data'!J14*'Round 3 Points'!P$2</f>
        <v>0</v>
      </c>
      <c r="K14" s="37">
        <f>'Round 3 Data'!K14*'Round 3 Points'!Q$2</f>
        <v>0</v>
      </c>
      <c r="L14" s="37">
        <f>'Round 3 Data'!L14*'Round 3 Points'!R$2</f>
        <v>7</v>
      </c>
      <c r="M14" s="37">
        <f>'Round 3 Data'!M14*'Round 3 Points'!S$2</f>
        <v>15</v>
      </c>
      <c r="N14" s="37">
        <f>'Round 3 Data'!N14*'Round 3 Points'!T$2</f>
        <v>7</v>
      </c>
      <c r="O14" s="37">
        <f>'Round 3 Data'!O14*'Round 3 Points'!U$2</f>
        <v>0</v>
      </c>
      <c r="P14" s="37">
        <f>'Round 3 Data'!P14*'Round 3 Points'!V$2</f>
        <v>0</v>
      </c>
      <c r="Q14" s="37">
        <f>'Round 3 Data'!Q14*'Round 3 Points'!W$2</f>
        <v>0</v>
      </c>
      <c r="R14" s="37">
        <f>'Round 3 Data'!R14*'Round 3 Points'!X$2</f>
        <v>0</v>
      </c>
      <c r="S14" s="37">
        <f>'Round 3 Data'!S14*'Round 3 Points'!Y$2</f>
        <v>0</v>
      </c>
      <c r="T14" s="38">
        <f t="shared" si="0"/>
        <v>64.400000000000006</v>
      </c>
      <c r="U14" s="37">
        <f>'Round 3 Data'!U14*'Round 3 Points'!$Z$2</f>
        <v>0</v>
      </c>
      <c r="V14" s="36">
        <f>IF('Round 3 Data'!D14='Round 3 Points'!$K$1,D14/80*$K$2,0)</f>
        <v>8</v>
      </c>
      <c r="W14" s="52">
        <f t="shared" si="1"/>
        <v>72.400000000000006</v>
      </c>
    </row>
    <row r="15" spans="1:26" x14ac:dyDescent="0.2">
      <c r="A15" s="81" t="s">
        <v>130</v>
      </c>
      <c r="B15" s="36" t="str" cm="1">
        <f t="array" ref="B15:C15">_xlfn.XLOOKUP(A15,'Player List'!$A$2:$A$177,'Player List'!$B$2:$C$177)</f>
        <v>Ireland</v>
      </c>
      <c r="C15" s="36" t="str">
        <v>Centre</v>
      </c>
      <c r="D15" s="37">
        <v>72</v>
      </c>
      <c r="F15" s="37">
        <f>'Round 3 Data'!F15*'Round 3 Points'!L$2</f>
        <v>14</v>
      </c>
      <c r="G15" s="37">
        <f>'Round 3 Data'!G15*'Round 3 Points'!M$2</f>
        <v>0</v>
      </c>
      <c r="H15" s="37">
        <f>'Round 3 Data'!H15*'Round 3 Points'!N$2</f>
        <v>0</v>
      </c>
      <c r="I15" s="37">
        <f>'Round 3 Data'!I15*'Round 3 Points'!O$2</f>
        <v>13.8</v>
      </c>
      <c r="J15" s="37">
        <f>'Round 3 Data'!J15*'Round 3 Points'!P$2</f>
        <v>0</v>
      </c>
      <c r="K15" s="37">
        <f>'Round 3 Data'!K15*'Round 3 Points'!Q$2</f>
        <v>0</v>
      </c>
      <c r="L15" s="37">
        <f>'Round 3 Data'!L15*'Round 3 Points'!R$2</f>
        <v>0</v>
      </c>
      <c r="M15" s="37">
        <f>'Round 3 Data'!M15*'Round 3 Points'!S$2</f>
        <v>0</v>
      </c>
      <c r="N15" s="37">
        <f>'Round 3 Data'!N15*'Round 3 Points'!T$2</f>
        <v>7</v>
      </c>
      <c r="O15" s="37">
        <f>'Round 3 Data'!O15*'Round 3 Points'!U$2</f>
        <v>0</v>
      </c>
      <c r="P15" s="37">
        <f>'Round 3 Data'!P15*'Round 3 Points'!V$2</f>
        <v>0</v>
      </c>
      <c r="Q15" s="37">
        <f>'Round 3 Data'!Q15*'Round 3 Points'!W$2</f>
        <v>0</v>
      </c>
      <c r="R15" s="37">
        <f>'Round 3 Data'!R15*'Round 3 Points'!X$2</f>
        <v>0</v>
      </c>
      <c r="S15" s="37">
        <f>'Round 3 Data'!S15*'Round 3 Points'!Y$2</f>
        <v>0</v>
      </c>
      <c r="T15" s="38">
        <f t="shared" si="0"/>
        <v>34.799999999999997</v>
      </c>
      <c r="U15" s="37">
        <f>'Round 3 Data'!U15*'Round 3 Points'!$Z$2</f>
        <v>0</v>
      </c>
      <c r="V15" s="36">
        <f>IF('Round 3 Data'!D15='Round 3 Points'!$K$1,D15/80*$K$2,0)</f>
        <v>7.2</v>
      </c>
      <c r="W15" s="52">
        <f t="shared" si="1"/>
        <v>42</v>
      </c>
    </row>
    <row r="16" spans="1:26" x14ac:dyDescent="0.2">
      <c r="A16" s="81" t="s">
        <v>132</v>
      </c>
      <c r="B16" s="36" t="str" cm="1">
        <f t="array" ref="B16:C16">_xlfn.XLOOKUP(A16,'Player List'!$A$2:$A$177,'Player List'!$B$2:$C$177)</f>
        <v>Ireland</v>
      </c>
      <c r="C16" s="36" t="str">
        <v>Fly Half</v>
      </c>
      <c r="D16" s="37">
        <v>78</v>
      </c>
      <c r="F16" s="37">
        <f>'Round 3 Data'!F16*'Round 3 Points'!L$2</f>
        <v>4</v>
      </c>
      <c r="G16" s="37">
        <f>'Round 3 Data'!G16*'Round 3 Points'!M$2</f>
        <v>0</v>
      </c>
      <c r="H16" s="37">
        <f>'Round 3 Data'!H16*'Round 3 Points'!N$2</f>
        <v>0</v>
      </c>
      <c r="I16" s="37">
        <f>'Round 3 Data'!I16*'Round 3 Points'!O$2</f>
        <v>2.4000000000000004</v>
      </c>
      <c r="J16" s="37">
        <f>'Round 3 Data'!J16*'Round 3 Points'!P$2</f>
        <v>0</v>
      </c>
      <c r="K16" s="37">
        <f>'Round 3 Data'!K16*'Round 3 Points'!Q$2</f>
        <v>0</v>
      </c>
      <c r="L16" s="37">
        <f>'Round 3 Data'!L16*'Round 3 Points'!R$2</f>
        <v>0</v>
      </c>
      <c r="M16" s="37">
        <f>'Round 3 Data'!M16*'Round 3 Points'!S$2</f>
        <v>0</v>
      </c>
      <c r="N16" s="37">
        <f>'Round 3 Data'!N16*'Round 3 Points'!T$2</f>
        <v>0</v>
      </c>
      <c r="O16" s="37">
        <f>'Round 3 Data'!O16*'Round 3 Points'!U$2</f>
        <v>6</v>
      </c>
      <c r="P16" s="37">
        <f>'Round 3 Data'!P16*'Round 3 Points'!V$2</f>
        <v>5</v>
      </c>
      <c r="Q16" s="37">
        <f>'Round 3 Data'!Q16*'Round 3 Points'!W$2</f>
        <v>0</v>
      </c>
      <c r="R16" s="37">
        <f>'Round 3 Data'!R16*'Round 3 Points'!X$2</f>
        <v>0</v>
      </c>
      <c r="S16" s="37">
        <f>'Round 3 Data'!S16*'Round 3 Points'!Y$2</f>
        <v>0</v>
      </c>
      <c r="T16" s="38">
        <f t="shared" si="0"/>
        <v>17.399999999999999</v>
      </c>
      <c r="U16" s="37">
        <f>'Round 3 Data'!U16*'Round 3 Points'!$Z$2</f>
        <v>0</v>
      </c>
      <c r="V16" s="36">
        <f>IF('Round 3 Data'!D16='Round 3 Points'!$K$1,D16/80*$K$2,0)</f>
        <v>7.8</v>
      </c>
      <c r="W16" s="52">
        <f t="shared" si="1"/>
        <v>25.2</v>
      </c>
    </row>
    <row r="17" spans="1:23" x14ac:dyDescent="0.2">
      <c r="A17" s="81" t="s">
        <v>150</v>
      </c>
      <c r="B17" s="36" t="str" cm="1">
        <f t="array" ref="B17:C17">_xlfn.XLOOKUP(A17,'Player List'!$A$2:$A$177,'Player List'!$B$2:$C$177)</f>
        <v>Ireland</v>
      </c>
      <c r="C17" s="36" t="str">
        <v>Fly Half</v>
      </c>
      <c r="D17" s="37">
        <v>2</v>
      </c>
      <c r="F17" s="37">
        <f>'Round 3 Data'!F17*'Round 3 Points'!L$2</f>
        <v>2</v>
      </c>
      <c r="G17" s="37">
        <f>'Round 3 Data'!G17*'Round 3 Points'!M$2</f>
        <v>0</v>
      </c>
      <c r="H17" s="37">
        <f>'Round 3 Data'!H17*'Round 3 Points'!N$2</f>
        <v>0</v>
      </c>
      <c r="I17" s="37">
        <f>'Round 3 Data'!I17*'Round 3 Points'!O$2</f>
        <v>0</v>
      </c>
      <c r="J17" s="37">
        <f>'Round 3 Data'!J17*'Round 3 Points'!P$2</f>
        <v>0</v>
      </c>
      <c r="K17" s="37">
        <f>'Round 3 Data'!K17*'Round 3 Points'!Q$2</f>
        <v>0</v>
      </c>
      <c r="L17" s="37">
        <f>'Round 3 Data'!L17*'Round 3 Points'!R$2</f>
        <v>0</v>
      </c>
      <c r="M17" s="37">
        <f>'Round 3 Data'!M17*'Round 3 Points'!S$2</f>
        <v>0</v>
      </c>
      <c r="N17" s="37">
        <f>'Round 3 Data'!N17*'Round 3 Points'!T$2</f>
        <v>0</v>
      </c>
      <c r="O17" s="37">
        <f>'Round 3 Data'!O17*'Round 3 Points'!U$2</f>
        <v>0</v>
      </c>
      <c r="P17" s="37">
        <f>'Round 3 Data'!P17*'Round 3 Points'!V$2</f>
        <v>0</v>
      </c>
      <c r="Q17" s="37">
        <f>'Round 3 Data'!Q17*'Round 3 Points'!W$2</f>
        <v>0</v>
      </c>
      <c r="R17" s="37">
        <f>'Round 3 Data'!R17*'Round 3 Points'!X$2</f>
        <v>0</v>
      </c>
      <c r="S17" s="37">
        <f>'Round 3 Data'!S17*'Round 3 Points'!Y$2</f>
        <v>0</v>
      </c>
      <c r="T17" s="38">
        <f t="shared" si="0"/>
        <v>2</v>
      </c>
      <c r="U17" s="37">
        <f>'Round 3 Data'!U17*'Round 3 Points'!$Z$2</f>
        <v>0</v>
      </c>
      <c r="V17" s="36">
        <f>IF('Round 3 Data'!D17='Round 3 Points'!$K$1,D17/80*$K$2,0)</f>
        <v>0.2</v>
      </c>
      <c r="W17" s="52">
        <f t="shared" si="1"/>
        <v>2.2000000000000002</v>
      </c>
    </row>
    <row r="18" spans="1:23" x14ac:dyDescent="0.2">
      <c r="A18" s="81" t="s">
        <v>134</v>
      </c>
      <c r="B18" s="36" t="str" cm="1">
        <f t="array" ref="B18:C18">_xlfn.XLOOKUP(A18,'Player List'!$A$2:$A$177,'Player List'!$B$2:$C$177)</f>
        <v>Ireland</v>
      </c>
      <c r="C18" s="36" t="str">
        <v>Scrum Half</v>
      </c>
      <c r="D18" s="37">
        <v>65</v>
      </c>
      <c r="F18" s="37">
        <f>'Round 3 Data'!F18*'Round 3 Points'!L$2</f>
        <v>2</v>
      </c>
      <c r="G18" s="37">
        <f>'Round 3 Data'!G18*'Round 3 Points'!M$2</f>
        <v>0</v>
      </c>
      <c r="H18" s="37">
        <f>'Round 3 Data'!H18*'Round 3 Points'!N$2</f>
        <v>0</v>
      </c>
      <c r="I18" s="37">
        <f>'Round 3 Data'!I18*'Round 3 Points'!O$2</f>
        <v>0.8</v>
      </c>
      <c r="J18" s="37">
        <f>'Round 3 Data'!J18*'Round 3 Points'!P$2</f>
        <v>0</v>
      </c>
      <c r="K18" s="37">
        <f>'Round 3 Data'!K18*'Round 3 Points'!Q$2</f>
        <v>0</v>
      </c>
      <c r="L18" s="37">
        <f>'Round 3 Data'!L18*'Round 3 Points'!R$2</f>
        <v>0</v>
      </c>
      <c r="M18" s="37">
        <f>'Round 3 Data'!M18*'Round 3 Points'!S$2</f>
        <v>0</v>
      </c>
      <c r="N18" s="37">
        <f>'Round 3 Data'!N18*'Round 3 Points'!T$2</f>
        <v>0</v>
      </c>
      <c r="O18" s="37">
        <f>'Round 3 Data'!O18*'Round 3 Points'!U$2</f>
        <v>0</v>
      </c>
      <c r="P18" s="37">
        <f>'Round 3 Data'!P18*'Round 3 Points'!V$2</f>
        <v>0</v>
      </c>
      <c r="Q18" s="37">
        <f>'Round 3 Data'!Q18*'Round 3 Points'!W$2</f>
        <v>0</v>
      </c>
      <c r="R18" s="37">
        <f>'Round 3 Data'!R18*'Round 3 Points'!X$2</f>
        <v>0</v>
      </c>
      <c r="S18" s="37">
        <f>'Round 3 Data'!S18*'Round 3 Points'!Y$2</f>
        <v>0</v>
      </c>
      <c r="T18" s="38">
        <f t="shared" si="0"/>
        <v>2.8</v>
      </c>
      <c r="U18" s="37">
        <f>'Round 3 Data'!U18*'Round 3 Points'!$Z$2</f>
        <v>0</v>
      </c>
      <c r="V18" s="36">
        <f>IF('Round 3 Data'!D18='Round 3 Points'!$K$1,D18/80*$K$2,0)</f>
        <v>6.5</v>
      </c>
      <c r="W18" s="52">
        <f t="shared" si="1"/>
        <v>9.3000000000000007</v>
      </c>
    </row>
    <row r="19" spans="1:23" x14ac:dyDescent="0.2">
      <c r="A19" s="81" t="s">
        <v>135</v>
      </c>
      <c r="B19" s="36" t="str" cm="1">
        <f t="array" ref="B19:C19">_xlfn.XLOOKUP(A19,'Player List'!$A$2:$A$177,'Player List'!$B$2:$C$177)</f>
        <v>Ireland</v>
      </c>
      <c r="C19" s="36" t="str">
        <v>Scrum Half</v>
      </c>
      <c r="D19" s="37">
        <v>15</v>
      </c>
      <c r="F19" s="37">
        <f>'Round 3 Data'!F19*'Round 3 Points'!L$2</f>
        <v>1</v>
      </c>
      <c r="G19" s="37">
        <f>'Round 3 Data'!G19*'Round 3 Points'!M$2</f>
        <v>0</v>
      </c>
      <c r="H19" s="37">
        <f>'Round 3 Data'!H19*'Round 3 Points'!N$2</f>
        <v>0</v>
      </c>
      <c r="I19" s="37">
        <f>'Round 3 Data'!I19*'Round 3 Points'!O$2</f>
        <v>1.2000000000000002</v>
      </c>
      <c r="J19" s="37">
        <f>'Round 3 Data'!J19*'Round 3 Points'!P$2</f>
        <v>0</v>
      </c>
      <c r="K19" s="37">
        <f>'Round 3 Data'!K19*'Round 3 Points'!Q$2</f>
        <v>0</v>
      </c>
      <c r="L19" s="37">
        <f>'Round 3 Data'!L19*'Round 3 Points'!R$2</f>
        <v>0</v>
      </c>
      <c r="M19" s="37">
        <f>'Round 3 Data'!M19*'Round 3 Points'!S$2</f>
        <v>0</v>
      </c>
      <c r="N19" s="37">
        <f>'Round 3 Data'!N19*'Round 3 Points'!T$2</f>
        <v>7</v>
      </c>
      <c r="O19" s="37">
        <f>'Round 3 Data'!O19*'Round 3 Points'!U$2</f>
        <v>0</v>
      </c>
      <c r="P19" s="37">
        <f>'Round 3 Data'!P19*'Round 3 Points'!V$2</f>
        <v>0</v>
      </c>
      <c r="Q19" s="37">
        <f>'Round 3 Data'!Q19*'Round 3 Points'!W$2</f>
        <v>0</v>
      </c>
      <c r="R19" s="37">
        <f>'Round 3 Data'!R19*'Round 3 Points'!X$2</f>
        <v>0</v>
      </c>
      <c r="S19" s="37">
        <f>'Round 3 Data'!S19*'Round 3 Points'!Y$2</f>
        <v>0</v>
      </c>
      <c r="T19" s="38">
        <f t="shared" si="0"/>
        <v>9.1999999999999993</v>
      </c>
      <c r="U19" s="37">
        <f>'Round 3 Data'!U19*'Round 3 Points'!$Z$2</f>
        <v>0</v>
      </c>
      <c r="V19" s="36">
        <f>IF('Round 3 Data'!D19='Round 3 Points'!$K$1,D19/80*$K$2,0)</f>
        <v>1.5</v>
      </c>
      <c r="W19" s="52">
        <f t="shared" si="1"/>
        <v>10.7</v>
      </c>
    </row>
    <row r="20" spans="1:23" x14ac:dyDescent="0.2">
      <c r="A20" s="81" t="s">
        <v>136</v>
      </c>
      <c r="B20" s="36" t="str" cm="1">
        <f t="array" ref="B20:C20">_xlfn.XLOOKUP(A20,'Player List'!$A$2:$A$177,'Player List'!$B$2:$C$177)</f>
        <v>Ireland</v>
      </c>
      <c r="C20" s="36" t="str">
        <v>Back Row</v>
      </c>
      <c r="D20" s="37">
        <v>56</v>
      </c>
      <c r="F20" s="37">
        <f>'Round 3 Data'!F20*'Round 3 Points'!L$2</f>
        <v>4</v>
      </c>
      <c r="G20" s="37">
        <f>'Round 3 Data'!G20*'Round 3 Points'!M$2</f>
        <v>0</v>
      </c>
      <c r="H20" s="37">
        <f>'Round 3 Data'!H20*'Round 3 Points'!N$2</f>
        <v>0</v>
      </c>
      <c r="I20" s="37">
        <f>'Round 3 Data'!I20*'Round 3 Points'!O$2</f>
        <v>8.4</v>
      </c>
      <c r="J20" s="37">
        <f>'Round 3 Data'!J20*'Round 3 Points'!P$2</f>
        <v>0</v>
      </c>
      <c r="K20" s="37">
        <f>'Round 3 Data'!K20*'Round 3 Points'!Q$2</f>
        <v>0</v>
      </c>
      <c r="L20" s="37">
        <f>'Round 3 Data'!L20*'Round 3 Points'!R$2</f>
        <v>0</v>
      </c>
      <c r="M20" s="37">
        <f>'Round 3 Data'!M20*'Round 3 Points'!S$2</f>
        <v>0</v>
      </c>
      <c r="N20" s="37">
        <f>'Round 3 Data'!N20*'Round 3 Points'!T$2</f>
        <v>0</v>
      </c>
      <c r="O20" s="37">
        <f>'Round 3 Data'!O20*'Round 3 Points'!U$2</f>
        <v>0</v>
      </c>
      <c r="P20" s="37">
        <f>'Round 3 Data'!P20*'Round 3 Points'!V$2</f>
        <v>0</v>
      </c>
      <c r="Q20" s="37">
        <f>'Round 3 Data'!Q20*'Round 3 Points'!W$2</f>
        <v>0</v>
      </c>
      <c r="R20" s="37">
        <f>'Round 3 Data'!R20*'Round 3 Points'!X$2</f>
        <v>0</v>
      </c>
      <c r="S20" s="37">
        <f>'Round 3 Data'!S20*'Round 3 Points'!Y$2</f>
        <v>0</v>
      </c>
      <c r="T20" s="38">
        <f t="shared" si="0"/>
        <v>12.4</v>
      </c>
      <c r="U20" s="37">
        <f>'Round 3 Data'!U20*'Round 3 Points'!$Z$2</f>
        <v>0</v>
      </c>
      <c r="V20" s="36">
        <f>IF('Round 3 Data'!D20='Round 3 Points'!$K$1,D20/80*$K$2,0)</f>
        <v>5.6</v>
      </c>
      <c r="W20" s="52">
        <f t="shared" si="1"/>
        <v>18</v>
      </c>
    </row>
    <row r="21" spans="1:23" x14ac:dyDescent="0.2">
      <c r="A21" s="81" t="s">
        <v>137</v>
      </c>
      <c r="B21" s="36" t="str" cm="1">
        <f t="array" ref="B21:C21">_xlfn.XLOOKUP(A21,'Player List'!$A$2:$A$177,'Player List'!$B$2:$C$177)</f>
        <v>Ireland</v>
      </c>
      <c r="C21" s="36" t="str">
        <v>Back Row</v>
      </c>
      <c r="D21" s="37">
        <v>80</v>
      </c>
      <c r="F21" s="37">
        <f>'Round 3 Data'!F21*'Round 3 Points'!L$2</f>
        <v>10</v>
      </c>
      <c r="G21" s="37">
        <f>'Round 3 Data'!G21*'Round 3 Points'!M$2</f>
        <v>7</v>
      </c>
      <c r="H21" s="37">
        <f>'Round 3 Data'!H21*'Round 3 Points'!N$2</f>
        <v>0</v>
      </c>
      <c r="I21" s="37">
        <f>'Round 3 Data'!I21*'Round 3 Points'!O$2</f>
        <v>8.6</v>
      </c>
      <c r="J21" s="37">
        <f>'Round 3 Data'!J21*'Round 3 Points'!P$2</f>
        <v>0</v>
      </c>
      <c r="K21" s="37">
        <f>'Round 3 Data'!K21*'Round 3 Points'!Q$2</f>
        <v>0</v>
      </c>
      <c r="L21" s="37">
        <f>'Round 3 Data'!L21*'Round 3 Points'!R$2</f>
        <v>7</v>
      </c>
      <c r="M21" s="37">
        <f>'Round 3 Data'!M21*'Round 3 Points'!S$2</f>
        <v>0</v>
      </c>
      <c r="N21" s="37">
        <f>'Round 3 Data'!N21*'Round 3 Points'!T$2</f>
        <v>0</v>
      </c>
      <c r="O21" s="37">
        <f>'Round 3 Data'!O21*'Round 3 Points'!U$2</f>
        <v>0</v>
      </c>
      <c r="P21" s="37">
        <f>'Round 3 Data'!P21*'Round 3 Points'!V$2</f>
        <v>0</v>
      </c>
      <c r="Q21" s="37">
        <f>'Round 3 Data'!Q21*'Round 3 Points'!W$2</f>
        <v>0</v>
      </c>
      <c r="R21" s="37">
        <f>'Round 3 Data'!R21*'Round 3 Points'!X$2</f>
        <v>0</v>
      </c>
      <c r="S21" s="37">
        <f>'Round 3 Data'!S21*'Round 3 Points'!Y$2</f>
        <v>0</v>
      </c>
      <c r="T21" s="38">
        <f t="shared" si="0"/>
        <v>32.6</v>
      </c>
      <c r="U21" s="37">
        <f>'Round 3 Data'!U21*'Round 3 Points'!$Z$2</f>
        <v>0</v>
      </c>
      <c r="V21" s="36">
        <f>IF('Round 3 Data'!D21='Round 3 Points'!$K$1,D21/80*$K$2,0)</f>
        <v>8</v>
      </c>
      <c r="W21" s="52">
        <f t="shared" si="1"/>
        <v>40.6</v>
      </c>
    </row>
    <row r="22" spans="1:23" x14ac:dyDescent="0.2">
      <c r="A22" s="81" t="s">
        <v>138</v>
      </c>
      <c r="B22" s="36" t="str" cm="1">
        <f t="array" ref="B22:C22">_xlfn.XLOOKUP(A22,'Player List'!$A$2:$A$177,'Player List'!$B$2:$C$177)</f>
        <v>Ireland</v>
      </c>
      <c r="C22" s="36" t="str">
        <v>Back Row</v>
      </c>
      <c r="D22" s="37">
        <v>24</v>
      </c>
      <c r="F22" s="37">
        <f>'Round 3 Data'!F22*'Round 3 Points'!L$2</f>
        <v>4</v>
      </c>
      <c r="G22" s="37">
        <f>'Round 3 Data'!G22*'Round 3 Points'!M$2</f>
        <v>7</v>
      </c>
      <c r="H22" s="37">
        <f>'Round 3 Data'!H22*'Round 3 Points'!N$2</f>
        <v>0</v>
      </c>
      <c r="I22" s="37">
        <f>'Round 3 Data'!I22*'Round 3 Points'!O$2</f>
        <v>0.8</v>
      </c>
      <c r="J22" s="37">
        <f>'Round 3 Data'!J22*'Round 3 Points'!P$2</f>
        <v>0</v>
      </c>
      <c r="K22" s="37">
        <f>'Round 3 Data'!K22*'Round 3 Points'!Q$2</f>
        <v>0</v>
      </c>
      <c r="L22" s="37">
        <f>'Round 3 Data'!L22*'Round 3 Points'!R$2</f>
        <v>0</v>
      </c>
      <c r="M22" s="37">
        <f>'Round 3 Data'!M22*'Round 3 Points'!S$2</f>
        <v>0</v>
      </c>
      <c r="N22" s="37">
        <f>'Round 3 Data'!N22*'Round 3 Points'!T$2</f>
        <v>0</v>
      </c>
      <c r="O22" s="37">
        <f>'Round 3 Data'!O22*'Round 3 Points'!U$2</f>
        <v>0</v>
      </c>
      <c r="P22" s="37">
        <f>'Round 3 Data'!P22*'Round 3 Points'!V$2</f>
        <v>0</v>
      </c>
      <c r="Q22" s="37">
        <f>'Round 3 Data'!Q22*'Round 3 Points'!W$2</f>
        <v>0</v>
      </c>
      <c r="R22" s="37">
        <f>'Round 3 Data'!R22*'Round 3 Points'!X$2</f>
        <v>0</v>
      </c>
      <c r="S22" s="37">
        <f>'Round 3 Data'!S22*'Round 3 Points'!Y$2</f>
        <v>0</v>
      </c>
      <c r="T22" s="38">
        <f t="shared" si="0"/>
        <v>11.8</v>
      </c>
      <c r="U22" s="37">
        <f>'Round 3 Data'!U22*'Round 3 Points'!$Z$2</f>
        <v>0</v>
      </c>
      <c r="V22" s="36">
        <f>IF('Round 3 Data'!D22='Round 3 Points'!$K$1,D22/80*$K$2,0)</f>
        <v>2.4</v>
      </c>
      <c r="W22" s="52">
        <f t="shared" si="1"/>
        <v>14.200000000000001</v>
      </c>
    </row>
    <row r="23" spans="1:23" x14ac:dyDescent="0.2">
      <c r="A23" s="81" t="s">
        <v>139</v>
      </c>
      <c r="B23" s="36" t="str" cm="1">
        <f t="array" ref="B23:C23">_xlfn.XLOOKUP(A23,'Player List'!$A$2:$A$177,'Player List'!$B$2:$C$177)</f>
        <v>Ireland</v>
      </c>
      <c r="C23" s="36" t="str">
        <v>Back Row</v>
      </c>
      <c r="D23" s="37">
        <v>80</v>
      </c>
      <c r="F23" s="37">
        <f>'Round 3 Data'!F23*'Round 3 Points'!L$2</f>
        <v>12</v>
      </c>
      <c r="G23" s="37">
        <f>'Round 3 Data'!G23*'Round 3 Points'!M$2</f>
        <v>0</v>
      </c>
      <c r="H23" s="37">
        <f>'Round 3 Data'!H23*'Round 3 Points'!N$2</f>
        <v>7</v>
      </c>
      <c r="I23" s="37">
        <f>'Round 3 Data'!I23*'Round 3 Points'!O$2</f>
        <v>10.4</v>
      </c>
      <c r="J23" s="37">
        <f>'Round 3 Data'!J23*'Round 3 Points'!P$2</f>
        <v>0</v>
      </c>
      <c r="K23" s="37">
        <f>'Round 3 Data'!K23*'Round 3 Points'!Q$2</f>
        <v>0</v>
      </c>
      <c r="L23" s="37">
        <f>'Round 3 Data'!L23*'Round 3 Points'!R$2</f>
        <v>0</v>
      </c>
      <c r="M23" s="37">
        <f>'Round 3 Data'!M23*'Round 3 Points'!S$2</f>
        <v>0</v>
      </c>
      <c r="N23" s="37">
        <f>'Round 3 Data'!N23*'Round 3 Points'!T$2</f>
        <v>0</v>
      </c>
      <c r="O23" s="37">
        <f>'Round 3 Data'!O23*'Round 3 Points'!U$2</f>
        <v>0</v>
      </c>
      <c r="P23" s="37">
        <f>'Round 3 Data'!P23*'Round 3 Points'!V$2</f>
        <v>0</v>
      </c>
      <c r="Q23" s="37">
        <f>'Round 3 Data'!Q23*'Round 3 Points'!W$2</f>
        <v>0</v>
      </c>
      <c r="R23" s="37">
        <f>'Round 3 Data'!R23*'Round 3 Points'!X$2</f>
        <v>0</v>
      </c>
      <c r="S23" s="37">
        <f>'Round 3 Data'!S23*'Round 3 Points'!Y$2</f>
        <v>0</v>
      </c>
      <c r="T23" s="38">
        <f t="shared" si="0"/>
        <v>29.4</v>
      </c>
      <c r="U23" s="37">
        <f>'Round 3 Data'!U23*'Round 3 Points'!$Z$2</f>
        <v>0</v>
      </c>
      <c r="V23" s="36">
        <f>IF('Round 3 Data'!D23='Round 3 Points'!$K$1,D23/80*$K$2,0)</f>
        <v>8</v>
      </c>
      <c r="W23" s="52">
        <f t="shared" si="1"/>
        <v>37.4</v>
      </c>
    </row>
    <row r="24" spans="1:23" x14ac:dyDescent="0.2">
      <c r="A24" s="81" t="s">
        <v>151</v>
      </c>
      <c r="B24" s="36" t="str" cm="1">
        <f t="array" ref="B24:C24">_xlfn.XLOOKUP(A24,'Player List'!$A$2:$A$177,'Player List'!$B$2:$C$177)</f>
        <v>Ireland</v>
      </c>
      <c r="C24" s="36" t="str">
        <v>Second Row</v>
      </c>
      <c r="D24" s="37">
        <v>28</v>
      </c>
      <c r="F24" s="37">
        <f>'Round 3 Data'!F24*'Round 3 Points'!L$2</f>
        <v>1</v>
      </c>
      <c r="G24" s="37">
        <f>'Round 3 Data'!G24*'Round 3 Points'!M$2</f>
        <v>7</v>
      </c>
      <c r="H24" s="37">
        <f>'Round 3 Data'!H24*'Round 3 Points'!N$2</f>
        <v>0</v>
      </c>
      <c r="I24" s="37">
        <f>'Round 3 Data'!I24*'Round 3 Points'!O$2</f>
        <v>1.6</v>
      </c>
      <c r="J24" s="37">
        <f>'Round 3 Data'!J24*'Round 3 Points'!P$2</f>
        <v>0</v>
      </c>
      <c r="K24" s="37">
        <f>'Round 3 Data'!K24*'Round 3 Points'!Q$2</f>
        <v>7</v>
      </c>
      <c r="L24" s="37">
        <f>'Round 3 Data'!L24*'Round 3 Points'!R$2</f>
        <v>7</v>
      </c>
      <c r="M24" s="37">
        <f>'Round 3 Data'!M24*'Round 3 Points'!S$2</f>
        <v>0</v>
      </c>
      <c r="N24" s="37">
        <f>'Round 3 Data'!N24*'Round 3 Points'!T$2</f>
        <v>0</v>
      </c>
      <c r="O24" s="37">
        <f>'Round 3 Data'!O24*'Round 3 Points'!U$2</f>
        <v>0</v>
      </c>
      <c r="P24" s="37">
        <f>'Round 3 Data'!P24*'Round 3 Points'!V$2</f>
        <v>0</v>
      </c>
      <c r="Q24" s="37">
        <f>'Round 3 Data'!Q24*'Round 3 Points'!W$2</f>
        <v>0</v>
      </c>
      <c r="R24" s="37">
        <f>'Round 3 Data'!R24*'Round 3 Points'!X$2</f>
        <v>0</v>
      </c>
      <c r="S24" s="37">
        <f>'Round 3 Data'!S24*'Round 3 Points'!Y$2</f>
        <v>0</v>
      </c>
      <c r="T24" s="38">
        <f t="shared" si="0"/>
        <v>23.6</v>
      </c>
      <c r="U24" s="37">
        <f>'Round 3 Data'!U24*'Round 3 Points'!$Z$2</f>
        <v>0</v>
      </c>
      <c r="V24" s="36">
        <f>IF('Round 3 Data'!D24='Round 3 Points'!$K$1,D24/80*$K$2,0)</f>
        <v>2.8</v>
      </c>
      <c r="W24" s="52">
        <f t="shared" si="1"/>
        <v>26.400000000000002</v>
      </c>
    </row>
    <row r="25" spans="1:23" x14ac:dyDescent="0.2">
      <c r="A25" s="81" t="s">
        <v>141</v>
      </c>
      <c r="B25" s="36" t="str" cm="1">
        <f t="array" ref="B25:C25">_xlfn.XLOOKUP(A25,'Player List'!$A$2:$A$177,'Player List'!$B$2:$C$177)</f>
        <v>Ireland</v>
      </c>
      <c r="C25" s="36" t="str">
        <v>Second Row</v>
      </c>
      <c r="D25" s="37">
        <v>52</v>
      </c>
      <c r="F25" s="37">
        <f>'Round 3 Data'!F25*'Round 3 Points'!L$2</f>
        <v>7</v>
      </c>
      <c r="G25" s="37">
        <f>'Round 3 Data'!G25*'Round 3 Points'!M$2</f>
        <v>0</v>
      </c>
      <c r="H25" s="37">
        <f>'Round 3 Data'!H25*'Round 3 Points'!N$2</f>
        <v>0</v>
      </c>
      <c r="I25" s="37">
        <f>'Round 3 Data'!I25*'Round 3 Points'!O$2</f>
        <v>2.6</v>
      </c>
      <c r="J25" s="37">
        <f>'Round 3 Data'!J25*'Round 3 Points'!P$2</f>
        <v>0</v>
      </c>
      <c r="K25" s="37">
        <f>'Round 3 Data'!K25*'Round 3 Points'!Q$2</f>
        <v>0</v>
      </c>
      <c r="L25" s="37">
        <f>'Round 3 Data'!L25*'Round 3 Points'!R$2</f>
        <v>0</v>
      </c>
      <c r="M25" s="37">
        <f>'Round 3 Data'!M25*'Round 3 Points'!S$2</f>
        <v>0</v>
      </c>
      <c r="N25" s="37">
        <f>'Round 3 Data'!N25*'Round 3 Points'!T$2</f>
        <v>0</v>
      </c>
      <c r="O25" s="37">
        <f>'Round 3 Data'!O25*'Round 3 Points'!U$2</f>
        <v>0</v>
      </c>
      <c r="P25" s="37">
        <f>'Round 3 Data'!P25*'Round 3 Points'!V$2</f>
        <v>0</v>
      </c>
      <c r="Q25" s="37">
        <f>'Round 3 Data'!Q25*'Round 3 Points'!W$2</f>
        <v>0</v>
      </c>
      <c r="R25" s="37">
        <f>'Round 3 Data'!R25*'Round 3 Points'!X$2</f>
        <v>0</v>
      </c>
      <c r="S25" s="37">
        <f>'Round 3 Data'!S25*'Round 3 Points'!Y$2</f>
        <v>0</v>
      </c>
      <c r="T25" s="38">
        <f t="shared" si="0"/>
        <v>9.6</v>
      </c>
      <c r="U25" s="37">
        <f>'Round 3 Data'!U25*'Round 3 Points'!$Z$2</f>
        <v>0</v>
      </c>
      <c r="V25" s="36">
        <f>IF('Round 3 Data'!D25='Round 3 Points'!$K$1,D25/80*$K$2,0)</f>
        <v>5.2</v>
      </c>
      <c r="W25" s="52">
        <f t="shared" si="1"/>
        <v>14.8</v>
      </c>
    </row>
    <row r="26" spans="1:23" x14ac:dyDescent="0.2">
      <c r="A26" s="81" t="s">
        <v>142</v>
      </c>
      <c r="B26" s="36" t="str" cm="1">
        <f t="array" ref="B26:C26">_xlfn.XLOOKUP(A26,'Player List'!$A$2:$A$177,'Player List'!$B$2:$C$177)</f>
        <v>Ireland</v>
      </c>
      <c r="C26" s="36" t="str">
        <v>Second Row</v>
      </c>
      <c r="D26" s="37">
        <v>80</v>
      </c>
      <c r="F26" s="37">
        <f>'Round 3 Data'!F26*'Round 3 Points'!L$2</f>
        <v>9</v>
      </c>
      <c r="G26" s="37">
        <f>'Round 3 Data'!G26*'Round 3 Points'!M$2</f>
        <v>7</v>
      </c>
      <c r="H26" s="37">
        <f>'Round 3 Data'!H26*'Round 3 Points'!N$2</f>
        <v>0</v>
      </c>
      <c r="I26" s="37">
        <f>'Round 3 Data'!I26*'Round 3 Points'!O$2</f>
        <v>10.600000000000001</v>
      </c>
      <c r="J26" s="37">
        <f>'Round 3 Data'!J26*'Round 3 Points'!P$2</f>
        <v>0</v>
      </c>
      <c r="K26" s="37">
        <f>'Round 3 Data'!K26*'Round 3 Points'!Q$2</f>
        <v>0</v>
      </c>
      <c r="L26" s="37">
        <f>'Round 3 Data'!L26*'Round 3 Points'!R$2</f>
        <v>0</v>
      </c>
      <c r="M26" s="37">
        <f>'Round 3 Data'!M26*'Round 3 Points'!S$2</f>
        <v>15</v>
      </c>
      <c r="N26" s="37">
        <f>'Round 3 Data'!N26*'Round 3 Points'!T$2</f>
        <v>0</v>
      </c>
      <c r="O26" s="37">
        <f>'Round 3 Data'!O26*'Round 3 Points'!U$2</f>
        <v>0</v>
      </c>
      <c r="P26" s="37">
        <f>'Round 3 Data'!P26*'Round 3 Points'!V$2</f>
        <v>0</v>
      </c>
      <c r="Q26" s="37">
        <f>'Round 3 Data'!Q26*'Round 3 Points'!W$2</f>
        <v>0</v>
      </c>
      <c r="R26" s="37">
        <f>'Round 3 Data'!R26*'Round 3 Points'!X$2</f>
        <v>0</v>
      </c>
      <c r="S26" s="37">
        <f>'Round 3 Data'!S26*'Round 3 Points'!Y$2</f>
        <v>0</v>
      </c>
      <c r="T26" s="38">
        <f t="shared" si="0"/>
        <v>41.6</v>
      </c>
      <c r="U26" s="37">
        <f>'Round 3 Data'!U26*'Round 3 Points'!$Z$2</f>
        <v>0</v>
      </c>
      <c r="V26" s="36">
        <f>IF('Round 3 Data'!D26='Round 3 Points'!$K$1,D26/80*$K$2,0)</f>
        <v>8</v>
      </c>
      <c r="W26" s="52">
        <f t="shared" si="1"/>
        <v>49.6</v>
      </c>
    </row>
    <row r="27" spans="1:23" x14ac:dyDescent="0.2">
      <c r="A27" s="81" t="s">
        <v>143</v>
      </c>
      <c r="B27" s="36" t="str" cm="1">
        <f t="array" ref="B27:C27">_xlfn.XLOOKUP(A27,'Player List'!$A$2:$A$177,'Player List'!$B$2:$C$177)</f>
        <v>Ireland</v>
      </c>
      <c r="C27" s="36" t="str">
        <v>Prop</v>
      </c>
      <c r="D27" s="37">
        <v>37</v>
      </c>
      <c r="F27" s="37">
        <f>'Round 3 Data'!F27*'Round 3 Points'!L$2</f>
        <v>2</v>
      </c>
      <c r="G27" s="37">
        <f>'Round 3 Data'!G27*'Round 3 Points'!M$2</f>
        <v>7</v>
      </c>
      <c r="H27" s="37">
        <f>'Round 3 Data'!H27*'Round 3 Points'!N$2</f>
        <v>0</v>
      </c>
      <c r="I27" s="37">
        <f>'Round 3 Data'!I27*'Round 3 Points'!O$2</f>
        <v>0.2</v>
      </c>
      <c r="J27" s="37">
        <f>'Round 3 Data'!J27*'Round 3 Points'!P$2</f>
        <v>0</v>
      </c>
      <c r="K27" s="37">
        <f>'Round 3 Data'!K27*'Round 3 Points'!Q$2</f>
        <v>0</v>
      </c>
      <c r="L27" s="37">
        <f>'Round 3 Data'!L27*'Round 3 Points'!R$2</f>
        <v>0</v>
      </c>
      <c r="M27" s="37">
        <f>'Round 3 Data'!M27*'Round 3 Points'!S$2</f>
        <v>0</v>
      </c>
      <c r="N27" s="37">
        <f>'Round 3 Data'!N27*'Round 3 Points'!T$2</f>
        <v>0</v>
      </c>
      <c r="O27" s="37">
        <f>'Round 3 Data'!O27*'Round 3 Points'!U$2</f>
        <v>0</v>
      </c>
      <c r="P27" s="37">
        <f>'Round 3 Data'!P27*'Round 3 Points'!V$2</f>
        <v>0</v>
      </c>
      <c r="Q27" s="37">
        <f>'Round 3 Data'!Q27*'Round 3 Points'!W$2</f>
        <v>0</v>
      </c>
      <c r="R27" s="37">
        <f>'Round 3 Data'!R27*'Round 3 Points'!X$2</f>
        <v>0</v>
      </c>
      <c r="S27" s="37">
        <f>'Round 3 Data'!S27*'Round 3 Points'!Y$2</f>
        <v>0</v>
      </c>
      <c r="T27" s="38">
        <f t="shared" si="0"/>
        <v>9.1999999999999993</v>
      </c>
      <c r="U27" s="37">
        <f>'Round 3 Data'!U27*'Round 3 Points'!$Z$2</f>
        <v>0</v>
      </c>
      <c r="V27" s="36">
        <f>IF('Round 3 Data'!D27='Round 3 Points'!$K$1,D27/80*$K$2,0)</f>
        <v>3.7</v>
      </c>
      <c r="W27" s="52">
        <f t="shared" si="1"/>
        <v>12.899999999999999</v>
      </c>
    </row>
    <row r="28" spans="1:23" x14ac:dyDescent="0.2">
      <c r="A28" s="81" t="s">
        <v>144</v>
      </c>
      <c r="B28" s="36" t="str" cm="1">
        <f t="array" ref="B28:C28">_xlfn.XLOOKUP(A28,'Player List'!$A$2:$A$177,'Player List'!$B$2:$C$177)</f>
        <v>Ireland</v>
      </c>
      <c r="C28" s="36" t="str">
        <v>Prop</v>
      </c>
      <c r="D28" s="37">
        <v>15</v>
      </c>
      <c r="F28" s="37">
        <f>'Round 3 Data'!F28*'Round 3 Points'!L$2</f>
        <v>0</v>
      </c>
      <c r="G28" s="37">
        <f>'Round 3 Data'!G28*'Round 3 Points'!M$2</f>
        <v>7</v>
      </c>
      <c r="H28" s="37">
        <f>'Round 3 Data'!H28*'Round 3 Points'!N$2</f>
        <v>0</v>
      </c>
      <c r="I28" s="37">
        <f>'Round 3 Data'!I28*'Round 3 Points'!O$2</f>
        <v>1.4000000000000001</v>
      </c>
      <c r="J28" s="37">
        <f>'Round 3 Data'!J28*'Round 3 Points'!P$2</f>
        <v>0</v>
      </c>
      <c r="K28" s="37">
        <f>'Round 3 Data'!K28*'Round 3 Points'!Q$2</f>
        <v>0</v>
      </c>
      <c r="L28" s="37">
        <f>'Round 3 Data'!L28*'Round 3 Points'!R$2</f>
        <v>0</v>
      </c>
      <c r="M28" s="37">
        <f>'Round 3 Data'!M28*'Round 3 Points'!S$2</f>
        <v>0</v>
      </c>
      <c r="N28" s="37">
        <f>'Round 3 Data'!N28*'Round 3 Points'!T$2</f>
        <v>0</v>
      </c>
      <c r="O28" s="37">
        <f>'Round 3 Data'!O28*'Round 3 Points'!U$2</f>
        <v>0</v>
      </c>
      <c r="P28" s="37">
        <f>'Round 3 Data'!P28*'Round 3 Points'!V$2</f>
        <v>0</v>
      </c>
      <c r="Q28" s="37">
        <f>'Round 3 Data'!Q28*'Round 3 Points'!W$2</f>
        <v>0</v>
      </c>
      <c r="R28" s="37">
        <f>'Round 3 Data'!R28*'Round 3 Points'!X$2</f>
        <v>0</v>
      </c>
      <c r="S28" s="37">
        <f>'Round 3 Data'!S28*'Round 3 Points'!Y$2</f>
        <v>0</v>
      </c>
      <c r="T28" s="38">
        <f t="shared" si="0"/>
        <v>8.4</v>
      </c>
      <c r="U28" s="37">
        <f>'Round 3 Data'!U28*'Round 3 Points'!$Z$2</f>
        <v>0</v>
      </c>
      <c r="V28" s="36">
        <f>IF('Round 3 Data'!D28='Round 3 Points'!$K$1,D28/80*$K$2,0)</f>
        <v>1.5</v>
      </c>
      <c r="W28" s="52">
        <f t="shared" si="1"/>
        <v>9.9</v>
      </c>
    </row>
    <row r="29" spans="1:23" x14ac:dyDescent="0.2">
      <c r="A29" s="81" t="s">
        <v>145</v>
      </c>
      <c r="B29" s="36" t="str" cm="1">
        <f t="array" ref="B29:C29">_xlfn.XLOOKUP(A29,'Player List'!$A$2:$A$177,'Player List'!$B$2:$C$177)</f>
        <v>Ireland</v>
      </c>
      <c r="C29" s="36" t="str">
        <v>Prop</v>
      </c>
      <c r="D29" s="37">
        <v>43</v>
      </c>
      <c r="F29" s="37">
        <f>'Round 3 Data'!F29*'Round 3 Points'!L$2</f>
        <v>6</v>
      </c>
      <c r="G29" s="37">
        <f>'Round 3 Data'!G29*'Round 3 Points'!M$2</f>
        <v>0</v>
      </c>
      <c r="H29" s="37">
        <f>'Round 3 Data'!H29*'Round 3 Points'!N$2</f>
        <v>0</v>
      </c>
      <c r="I29" s="37">
        <f>'Round 3 Data'!I29*'Round 3 Points'!O$2</f>
        <v>4.8000000000000007</v>
      </c>
      <c r="J29" s="37">
        <f>'Round 3 Data'!J29*'Round 3 Points'!P$2</f>
        <v>0</v>
      </c>
      <c r="K29" s="37">
        <f>'Round 3 Data'!K29*'Round 3 Points'!Q$2</f>
        <v>0</v>
      </c>
      <c r="L29" s="37">
        <f>'Round 3 Data'!L29*'Round 3 Points'!R$2</f>
        <v>7</v>
      </c>
      <c r="M29" s="37">
        <f>'Round 3 Data'!M29*'Round 3 Points'!S$2</f>
        <v>0</v>
      </c>
      <c r="N29" s="37">
        <f>'Round 3 Data'!N29*'Round 3 Points'!T$2</f>
        <v>0</v>
      </c>
      <c r="O29" s="37">
        <f>'Round 3 Data'!O29*'Round 3 Points'!U$2</f>
        <v>0</v>
      </c>
      <c r="P29" s="37">
        <f>'Round 3 Data'!P29*'Round 3 Points'!V$2</f>
        <v>0</v>
      </c>
      <c r="Q29" s="37">
        <f>'Round 3 Data'!Q29*'Round 3 Points'!W$2</f>
        <v>0</v>
      </c>
      <c r="R29" s="37">
        <f>'Round 3 Data'!R29*'Round 3 Points'!X$2</f>
        <v>0</v>
      </c>
      <c r="S29" s="37">
        <f>'Round 3 Data'!S29*'Round 3 Points'!Y$2</f>
        <v>0</v>
      </c>
      <c r="T29" s="38">
        <f t="shared" si="0"/>
        <v>17.8</v>
      </c>
      <c r="U29" s="37">
        <f>'Round 3 Data'!U29*'Round 3 Points'!$Z$2</f>
        <v>0</v>
      </c>
      <c r="V29" s="36">
        <f>IF('Round 3 Data'!D29='Round 3 Points'!$K$1,D29/80*$K$2,0)</f>
        <v>4.3</v>
      </c>
      <c r="W29" s="52">
        <f t="shared" si="1"/>
        <v>22.1</v>
      </c>
    </row>
    <row r="30" spans="1:23" x14ac:dyDescent="0.2">
      <c r="A30" s="81" t="s">
        <v>146</v>
      </c>
      <c r="B30" s="36" t="str" cm="1">
        <f t="array" ref="B30:C30">_xlfn.XLOOKUP(A30,'Player List'!$A$2:$A$177,'Player List'!$B$2:$C$177)</f>
        <v>Ireland</v>
      </c>
      <c r="C30" s="36" t="str">
        <v>Prop</v>
      </c>
      <c r="D30" s="37">
        <v>65</v>
      </c>
      <c r="F30" s="37">
        <f>'Round 3 Data'!F30*'Round 3 Points'!L$2</f>
        <v>3</v>
      </c>
      <c r="G30" s="37">
        <f>'Round 3 Data'!G30*'Round 3 Points'!M$2</f>
        <v>0</v>
      </c>
      <c r="H30" s="37">
        <f>'Round 3 Data'!H30*'Round 3 Points'!N$2</f>
        <v>0</v>
      </c>
      <c r="I30" s="37">
        <f>'Round 3 Data'!I30*'Round 3 Points'!O$2</f>
        <v>2</v>
      </c>
      <c r="J30" s="37">
        <f>'Round 3 Data'!J30*'Round 3 Points'!P$2</f>
        <v>0</v>
      </c>
      <c r="K30" s="37">
        <f>'Round 3 Data'!K30*'Round 3 Points'!Q$2</f>
        <v>0</v>
      </c>
      <c r="L30" s="37">
        <f>'Round 3 Data'!L30*'Round 3 Points'!R$2</f>
        <v>7</v>
      </c>
      <c r="M30" s="37">
        <f>'Round 3 Data'!M30*'Round 3 Points'!S$2</f>
        <v>0</v>
      </c>
      <c r="N30" s="37">
        <f>'Round 3 Data'!N30*'Round 3 Points'!T$2</f>
        <v>0</v>
      </c>
      <c r="O30" s="37">
        <f>'Round 3 Data'!O30*'Round 3 Points'!U$2</f>
        <v>0</v>
      </c>
      <c r="P30" s="37">
        <f>'Round 3 Data'!P30*'Round 3 Points'!V$2</f>
        <v>0</v>
      </c>
      <c r="Q30" s="37">
        <f>'Round 3 Data'!Q30*'Round 3 Points'!W$2</f>
        <v>0</v>
      </c>
      <c r="R30" s="37">
        <f>'Round 3 Data'!R30*'Round 3 Points'!X$2</f>
        <v>0</v>
      </c>
      <c r="S30" s="37">
        <f>'Round 3 Data'!S30*'Round 3 Points'!Y$2</f>
        <v>0</v>
      </c>
      <c r="T30" s="38">
        <f t="shared" si="0"/>
        <v>12</v>
      </c>
      <c r="U30" s="37">
        <f>'Round 3 Data'!U30*'Round 3 Points'!$Z$2</f>
        <v>0</v>
      </c>
      <c r="V30" s="36">
        <f>IF('Round 3 Data'!D30='Round 3 Points'!$K$1,D30/80*$K$2,0)</f>
        <v>6.5</v>
      </c>
      <c r="W30" s="52">
        <f t="shared" si="1"/>
        <v>18.5</v>
      </c>
    </row>
    <row r="31" spans="1:23" x14ac:dyDescent="0.2">
      <c r="A31" s="81" t="s">
        <v>148</v>
      </c>
      <c r="B31" s="36" t="str" cm="1">
        <f t="array" ref="B31:C31">_xlfn.XLOOKUP(A31,'Player List'!$A$2:$A$177,'Player List'!$B$2:$C$177)</f>
        <v>Ireland</v>
      </c>
      <c r="C31" s="36" t="str">
        <v>Hooker</v>
      </c>
      <c r="D31" s="37">
        <v>56</v>
      </c>
      <c r="F31" s="37">
        <f>'Round 3 Data'!F31*'Round 3 Points'!L$2</f>
        <v>9</v>
      </c>
      <c r="G31" s="37">
        <f>'Round 3 Data'!G31*'Round 3 Points'!M$2</f>
        <v>0</v>
      </c>
      <c r="H31" s="37">
        <f>'Round 3 Data'!H31*'Round 3 Points'!N$2</f>
        <v>0</v>
      </c>
      <c r="I31" s="37">
        <f>'Round 3 Data'!I31*'Round 3 Points'!O$2</f>
        <v>4.6000000000000005</v>
      </c>
      <c r="J31" s="37">
        <f>'Round 3 Data'!J31*'Round 3 Points'!P$2</f>
        <v>0</v>
      </c>
      <c r="K31" s="37">
        <f>'Round 3 Data'!K31*'Round 3 Points'!Q$2</f>
        <v>0</v>
      </c>
      <c r="L31" s="37">
        <f>'Round 3 Data'!L31*'Round 3 Points'!R$2</f>
        <v>7</v>
      </c>
      <c r="M31" s="37">
        <f>'Round 3 Data'!M31*'Round 3 Points'!S$2</f>
        <v>0</v>
      </c>
      <c r="N31" s="37">
        <f>'Round 3 Data'!N31*'Round 3 Points'!T$2</f>
        <v>0</v>
      </c>
      <c r="O31" s="37">
        <f>'Round 3 Data'!O31*'Round 3 Points'!U$2</f>
        <v>0</v>
      </c>
      <c r="P31" s="37">
        <f>'Round 3 Data'!P31*'Round 3 Points'!V$2</f>
        <v>0</v>
      </c>
      <c r="Q31" s="37">
        <f>'Round 3 Data'!Q31*'Round 3 Points'!W$2</f>
        <v>0</v>
      </c>
      <c r="R31" s="37">
        <f>'Round 3 Data'!R31*'Round 3 Points'!X$2</f>
        <v>0</v>
      </c>
      <c r="S31" s="37">
        <f>'Round 3 Data'!S31*'Round 3 Points'!Y$2</f>
        <v>0</v>
      </c>
      <c r="T31" s="38">
        <f t="shared" si="0"/>
        <v>20.6</v>
      </c>
      <c r="U31" s="37">
        <f>'Round 3 Data'!U31*'Round 3 Points'!$Z$2</f>
        <v>0</v>
      </c>
      <c r="V31" s="36">
        <f>IF('Round 3 Data'!D31='Round 3 Points'!$K$1,D31/80*$K$2,0)</f>
        <v>5.6</v>
      </c>
      <c r="W31" s="52">
        <f t="shared" si="1"/>
        <v>26.200000000000003</v>
      </c>
    </row>
    <row r="32" spans="1:23" x14ac:dyDescent="0.2">
      <c r="A32" s="81" t="s">
        <v>152</v>
      </c>
      <c r="B32" s="36" t="str" cm="1">
        <f t="array" ref="B32:C32">_xlfn.XLOOKUP(A32,'Player List'!$A$2:$A$177,'Player List'!$B$2:$C$177)</f>
        <v>Ireland</v>
      </c>
      <c r="C32" s="36" t="str">
        <v>Hooker</v>
      </c>
      <c r="D32" s="37">
        <v>24</v>
      </c>
      <c r="F32" s="37">
        <f>'Round 3 Data'!F32*'Round 3 Points'!L$2</f>
        <v>2</v>
      </c>
      <c r="G32" s="37">
        <f>'Round 3 Data'!G32*'Round 3 Points'!M$2</f>
        <v>14</v>
      </c>
      <c r="H32" s="37">
        <f>'Round 3 Data'!H32*'Round 3 Points'!N$2</f>
        <v>0</v>
      </c>
      <c r="I32" s="37">
        <f>'Round 3 Data'!I32*'Round 3 Points'!O$2</f>
        <v>1</v>
      </c>
      <c r="J32" s="37">
        <f>'Round 3 Data'!J32*'Round 3 Points'!P$2</f>
        <v>0</v>
      </c>
      <c r="K32" s="37">
        <f>'Round 3 Data'!K32*'Round 3 Points'!Q$2</f>
        <v>0</v>
      </c>
      <c r="L32" s="37">
        <f>'Round 3 Data'!L32*'Round 3 Points'!R$2</f>
        <v>0</v>
      </c>
      <c r="M32" s="37">
        <f>'Round 3 Data'!M32*'Round 3 Points'!S$2</f>
        <v>0</v>
      </c>
      <c r="N32" s="37">
        <f>'Round 3 Data'!N32*'Round 3 Points'!T$2</f>
        <v>0</v>
      </c>
      <c r="O32" s="37">
        <f>'Round 3 Data'!O32*'Round 3 Points'!U$2</f>
        <v>0</v>
      </c>
      <c r="P32" s="37">
        <f>'Round 3 Data'!P32*'Round 3 Points'!V$2</f>
        <v>0</v>
      </c>
      <c r="Q32" s="37">
        <f>'Round 3 Data'!Q32*'Round 3 Points'!W$2</f>
        <v>0</v>
      </c>
      <c r="R32" s="37">
        <f>'Round 3 Data'!R32*'Round 3 Points'!X$2</f>
        <v>0</v>
      </c>
      <c r="S32" s="37">
        <f>'Round 3 Data'!S32*'Round 3 Points'!Y$2</f>
        <v>0</v>
      </c>
      <c r="T32" s="38">
        <f t="shared" si="0"/>
        <v>17</v>
      </c>
      <c r="U32" s="37">
        <f>'Round 3 Data'!U32*'Round 3 Points'!$Z$2</f>
        <v>0</v>
      </c>
      <c r="V32" s="36">
        <f>IF('Round 3 Data'!D32='Round 3 Points'!$K$1,D32/80*$K$2,0)</f>
        <v>2.4</v>
      </c>
      <c r="W32" s="52">
        <f t="shared" si="1"/>
        <v>19.399999999999999</v>
      </c>
    </row>
    <row r="33" spans="1:23" x14ac:dyDescent="0.2">
      <c r="A33" s="81" t="s">
        <v>103</v>
      </c>
      <c r="B33" s="36" t="str" cm="1">
        <f t="array" ref="B33:C33">_xlfn.XLOOKUP(A33,'Player List'!$A$2:$A$177,'Player List'!$B$2:$C$177)</f>
        <v>Italy</v>
      </c>
      <c r="C33" s="36" t="str">
        <v>Back Three</v>
      </c>
      <c r="D33" s="37">
        <v>80</v>
      </c>
      <c r="F33" s="37">
        <f>'Round 3 Data'!F33*'Round 3 Points'!L$2</f>
        <v>3</v>
      </c>
      <c r="G33" s="37">
        <f>'Round 3 Data'!G33*'Round 3 Points'!M$2</f>
        <v>0</v>
      </c>
      <c r="H33" s="37">
        <f>'Round 3 Data'!H33*'Round 3 Points'!N$2</f>
        <v>7</v>
      </c>
      <c r="I33" s="37">
        <f>'Round 3 Data'!I33*'Round 3 Points'!O$2</f>
        <v>35.200000000000003</v>
      </c>
      <c r="J33" s="37">
        <f>'Round 3 Data'!J33*'Round 3 Points'!P$2</f>
        <v>0</v>
      </c>
      <c r="K33" s="37">
        <f>'Round 3 Data'!K33*'Round 3 Points'!Q$2</f>
        <v>0</v>
      </c>
      <c r="L33" s="37">
        <f>'Round 3 Data'!L33*'Round 3 Points'!R$2</f>
        <v>0</v>
      </c>
      <c r="M33" s="37">
        <f>'Round 3 Data'!M33*'Round 3 Points'!S$2</f>
        <v>15</v>
      </c>
      <c r="N33" s="37">
        <f>'Round 3 Data'!N33*'Round 3 Points'!T$2</f>
        <v>0</v>
      </c>
      <c r="O33" s="37">
        <f>'Round 3 Data'!O33*'Round 3 Points'!U$2</f>
        <v>0</v>
      </c>
      <c r="P33" s="37">
        <f>'Round 3 Data'!P33*'Round 3 Points'!V$2</f>
        <v>0</v>
      </c>
      <c r="Q33" s="37">
        <f>'Round 3 Data'!Q33*'Round 3 Points'!W$2</f>
        <v>0</v>
      </c>
      <c r="R33" s="37">
        <f>'Round 3 Data'!R33*'Round 3 Points'!X$2</f>
        <v>0</v>
      </c>
      <c r="S33" s="37">
        <f>'Round 3 Data'!S33*'Round 3 Points'!Y$2</f>
        <v>0</v>
      </c>
      <c r="T33" s="38">
        <f t="shared" si="0"/>
        <v>60.2</v>
      </c>
      <c r="U33" s="37">
        <f>'Round 3 Data'!U33*'Round 3 Points'!$Z$2</f>
        <v>0</v>
      </c>
      <c r="V33" s="36">
        <f>IF('Round 3 Data'!D33='Round 3 Points'!$K$1,D33/80*$K$2,0)</f>
        <v>0</v>
      </c>
      <c r="W33" s="52">
        <f t="shared" si="1"/>
        <v>60.2</v>
      </c>
    </row>
    <row r="34" spans="1:23" x14ac:dyDescent="0.2">
      <c r="A34" s="81" t="s">
        <v>104</v>
      </c>
      <c r="B34" s="36" t="str" cm="1">
        <f t="array" ref="B34:C34">_xlfn.XLOOKUP(A34,'Player List'!$A$2:$A$177,'Player List'!$B$2:$C$177)</f>
        <v>Italy</v>
      </c>
      <c r="C34" s="36" t="str">
        <v>Back Three</v>
      </c>
      <c r="D34" s="37">
        <v>80</v>
      </c>
      <c r="F34" s="37">
        <f>'Round 3 Data'!F34*'Round 3 Points'!L$2</f>
        <v>3</v>
      </c>
      <c r="G34" s="37">
        <f>'Round 3 Data'!G34*'Round 3 Points'!M$2</f>
        <v>7</v>
      </c>
      <c r="H34" s="37">
        <f>'Round 3 Data'!H34*'Round 3 Points'!N$2</f>
        <v>7</v>
      </c>
      <c r="I34" s="37">
        <f>'Round 3 Data'!I34*'Round 3 Points'!O$2</f>
        <v>12</v>
      </c>
      <c r="J34" s="37">
        <f>'Round 3 Data'!J34*'Round 3 Points'!P$2</f>
        <v>0</v>
      </c>
      <c r="K34" s="37">
        <f>'Round 3 Data'!K34*'Round 3 Points'!Q$2</f>
        <v>0</v>
      </c>
      <c r="L34" s="37">
        <f>'Round 3 Data'!L34*'Round 3 Points'!R$2</f>
        <v>7</v>
      </c>
      <c r="M34" s="37">
        <f>'Round 3 Data'!M34*'Round 3 Points'!S$2</f>
        <v>0</v>
      </c>
      <c r="N34" s="37">
        <f>'Round 3 Data'!N34*'Round 3 Points'!T$2</f>
        <v>0</v>
      </c>
      <c r="O34" s="37">
        <f>'Round 3 Data'!O34*'Round 3 Points'!U$2</f>
        <v>0</v>
      </c>
      <c r="P34" s="37">
        <f>'Round 3 Data'!P34*'Round 3 Points'!V$2</f>
        <v>0</v>
      </c>
      <c r="Q34" s="37">
        <f>'Round 3 Data'!Q34*'Round 3 Points'!W$2</f>
        <v>0</v>
      </c>
      <c r="R34" s="37">
        <f>'Round 3 Data'!R34*'Round 3 Points'!X$2</f>
        <v>0</v>
      </c>
      <c r="S34" s="37">
        <f>'Round 3 Data'!S34*'Round 3 Points'!Y$2</f>
        <v>0</v>
      </c>
      <c r="T34" s="38">
        <f t="shared" si="0"/>
        <v>36</v>
      </c>
      <c r="U34" s="37">
        <f>'Round 3 Data'!U34*'Round 3 Points'!$Z$2</f>
        <v>0</v>
      </c>
      <c r="V34" s="36">
        <f>IF('Round 3 Data'!D34='Round 3 Points'!$K$1,D34/80*$K$2,0)</f>
        <v>0</v>
      </c>
      <c r="W34" s="52">
        <f t="shared" si="1"/>
        <v>36</v>
      </c>
    </row>
    <row r="35" spans="1:23" x14ac:dyDescent="0.2">
      <c r="A35" s="81" t="s">
        <v>105</v>
      </c>
      <c r="B35" s="36" t="str" cm="1">
        <f t="array" ref="B35:C35">_xlfn.XLOOKUP(A35,'Player List'!$A$2:$A$177,'Player List'!$B$2:$C$177)</f>
        <v>Italy</v>
      </c>
      <c r="C35" s="36" t="str">
        <v>Back Three</v>
      </c>
      <c r="D35" s="37">
        <v>13</v>
      </c>
      <c r="F35" s="37">
        <f>'Round 3 Data'!F35*'Round 3 Points'!L$2</f>
        <v>0</v>
      </c>
      <c r="G35" s="37">
        <f>'Round 3 Data'!G35*'Round 3 Points'!M$2</f>
        <v>0</v>
      </c>
      <c r="H35" s="37">
        <f>'Round 3 Data'!H35*'Round 3 Points'!N$2</f>
        <v>0</v>
      </c>
      <c r="I35" s="37">
        <f>'Round 3 Data'!I35*'Round 3 Points'!O$2</f>
        <v>0</v>
      </c>
      <c r="J35" s="37">
        <f>'Round 3 Data'!J35*'Round 3 Points'!P$2</f>
        <v>0</v>
      </c>
      <c r="K35" s="37">
        <f>'Round 3 Data'!K35*'Round 3 Points'!Q$2</f>
        <v>0</v>
      </c>
      <c r="L35" s="37">
        <f>'Round 3 Data'!L35*'Round 3 Points'!R$2</f>
        <v>0</v>
      </c>
      <c r="M35" s="37">
        <f>'Round 3 Data'!M35*'Round 3 Points'!S$2</f>
        <v>0</v>
      </c>
      <c r="N35" s="37">
        <f>'Round 3 Data'!N35*'Round 3 Points'!T$2</f>
        <v>0</v>
      </c>
      <c r="O35" s="37">
        <f>'Round 3 Data'!O35*'Round 3 Points'!U$2</f>
        <v>0</v>
      </c>
      <c r="P35" s="37">
        <f>'Round 3 Data'!P35*'Round 3 Points'!V$2</f>
        <v>0</v>
      </c>
      <c r="Q35" s="37">
        <f>'Round 3 Data'!Q35*'Round 3 Points'!W$2</f>
        <v>0</v>
      </c>
      <c r="R35" s="37">
        <f>'Round 3 Data'!R35*'Round 3 Points'!X$2</f>
        <v>0</v>
      </c>
      <c r="S35" s="37">
        <f>'Round 3 Data'!S35*'Round 3 Points'!Y$2</f>
        <v>0</v>
      </c>
      <c r="T35" s="38">
        <f t="shared" si="0"/>
        <v>0</v>
      </c>
      <c r="U35" s="37">
        <f>'Round 3 Data'!U35*'Round 3 Points'!$Z$2</f>
        <v>0</v>
      </c>
      <c r="V35" s="36">
        <f>IF('Round 3 Data'!D35='Round 3 Points'!$K$1,D35/80*$K$2,0)</f>
        <v>0</v>
      </c>
      <c r="W35" s="52">
        <f t="shared" si="1"/>
        <v>0</v>
      </c>
    </row>
    <row r="36" spans="1:23" x14ac:dyDescent="0.2">
      <c r="A36" s="81" t="s">
        <v>106</v>
      </c>
      <c r="B36" s="36" t="str" cm="1">
        <f t="array" ref="B36:C36">_xlfn.XLOOKUP(A36,'Player List'!$A$2:$A$177,'Player List'!$B$2:$C$177)</f>
        <v>Italy</v>
      </c>
      <c r="C36" s="36" t="str">
        <v>Back Three</v>
      </c>
      <c r="D36" s="37">
        <v>78</v>
      </c>
      <c r="F36" s="37">
        <f>'Round 3 Data'!F36*'Round 3 Points'!L$2</f>
        <v>12</v>
      </c>
      <c r="G36" s="37">
        <f>'Round 3 Data'!G36*'Round 3 Points'!M$2</f>
        <v>0</v>
      </c>
      <c r="H36" s="37">
        <f>'Round 3 Data'!H36*'Round 3 Points'!N$2</f>
        <v>7</v>
      </c>
      <c r="I36" s="37">
        <f>'Round 3 Data'!I36*'Round 3 Points'!O$2</f>
        <v>14.4</v>
      </c>
      <c r="J36" s="37">
        <f>'Round 3 Data'!J36*'Round 3 Points'!P$2</f>
        <v>0</v>
      </c>
      <c r="K36" s="37">
        <f>'Round 3 Data'!K36*'Round 3 Points'!Q$2</f>
        <v>0</v>
      </c>
      <c r="L36" s="37">
        <f>'Round 3 Data'!L36*'Round 3 Points'!R$2</f>
        <v>0</v>
      </c>
      <c r="M36" s="37">
        <f>'Round 3 Data'!M36*'Round 3 Points'!S$2</f>
        <v>0</v>
      </c>
      <c r="N36" s="37">
        <f>'Round 3 Data'!N36*'Round 3 Points'!T$2</f>
        <v>0</v>
      </c>
      <c r="O36" s="37">
        <f>'Round 3 Data'!O36*'Round 3 Points'!U$2</f>
        <v>0</v>
      </c>
      <c r="P36" s="37">
        <f>'Round 3 Data'!P36*'Round 3 Points'!V$2</f>
        <v>0</v>
      </c>
      <c r="Q36" s="37">
        <f>'Round 3 Data'!Q36*'Round 3 Points'!W$2</f>
        <v>0</v>
      </c>
      <c r="R36" s="37">
        <f>'Round 3 Data'!R36*'Round 3 Points'!X$2</f>
        <v>0</v>
      </c>
      <c r="S36" s="37">
        <f>'Round 3 Data'!S36*'Round 3 Points'!Y$2</f>
        <v>0</v>
      </c>
      <c r="T36" s="38">
        <f t="shared" si="0"/>
        <v>33.4</v>
      </c>
      <c r="U36" s="37">
        <f>'Round 3 Data'!U36*'Round 3 Points'!$Z$2</f>
        <v>0</v>
      </c>
      <c r="V36" s="36">
        <f>IF('Round 3 Data'!D36='Round 3 Points'!$K$1,D36/80*$K$2,0)</f>
        <v>0</v>
      </c>
      <c r="W36" s="52">
        <f t="shared" si="1"/>
        <v>33.4</v>
      </c>
    </row>
    <row r="37" spans="1:23" x14ac:dyDescent="0.2">
      <c r="A37" s="81" t="s">
        <v>107</v>
      </c>
      <c r="B37" s="36" t="str" cm="1">
        <f t="array" ref="B37:C37">_xlfn.XLOOKUP(A37,'Player List'!$A$2:$A$177,'Player List'!$B$2:$C$177)</f>
        <v>Italy</v>
      </c>
      <c r="C37" s="36" t="str">
        <v>Back Three</v>
      </c>
      <c r="D37" s="37">
        <v>80</v>
      </c>
      <c r="F37" s="37">
        <f>'Round 3 Data'!F37*'Round 3 Points'!L$2</f>
        <v>0</v>
      </c>
      <c r="G37" s="37">
        <f>'Round 3 Data'!G37*'Round 3 Points'!M$2</f>
        <v>0</v>
      </c>
      <c r="H37" s="37">
        <f>'Round 3 Data'!H37*'Round 3 Points'!N$2</f>
        <v>0</v>
      </c>
      <c r="I37" s="37">
        <f>'Round 3 Data'!I37*'Round 3 Points'!O$2</f>
        <v>10.200000000000001</v>
      </c>
      <c r="J37" s="37">
        <f>'Round 3 Data'!J37*'Round 3 Points'!P$2</f>
        <v>0</v>
      </c>
      <c r="K37" s="37">
        <f>'Round 3 Data'!K37*'Round 3 Points'!Q$2</f>
        <v>0</v>
      </c>
      <c r="L37" s="37">
        <f>'Round 3 Data'!L37*'Round 3 Points'!R$2</f>
        <v>0</v>
      </c>
      <c r="M37" s="37">
        <f>'Round 3 Data'!M37*'Round 3 Points'!S$2</f>
        <v>0</v>
      </c>
      <c r="N37" s="37">
        <f>'Round 3 Data'!N37*'Round 3 Points'!T$2</f>
        <v>0</v>
      </c>
      <c r="O37" s="37">
        <f>'Round 3 Data'!O37*'Round 3 Points'!U$2</f>
        <v>0</v>
      </c>
      <c r="P37" s="37">
        <f>'Round 3 Data'!P37*'Round 3 Points'!V$2</f>
        <v>0</v>
      </c>
      <c r="Q37" s="37">
        <f>'Round 3 Data'!Q37*'Round 3 Points'!W$2</f>
        <v>0</v>
      </c>
      <c r="R37" s="37">
        <f>'Round 3 Data'!R37*'Round 3 Points'!X$2</f>
        <v>0</v>
      </c>
      <c r="S37" s="37">
        <f>'Round 3 Data'!S37*'Round 3 Points'!Y$2</f>
        <v>0</v>
      </c>
      <c r="T37" s="38">
        <f t="shared" si="0"/>
        <v>10.200000000000001</v>
      </c>
      <c r="U37" s="37">
        <f>'Round 3 Data'!U37*'Round 3 Points'!$Z$2</f>
        <v>0</v>
      </c>
      <c r="V37" s="36">
        <f>IF('Round 3 Data'!D37='Round 3 Points'!$K$1,D37/80*$K$2,0)</f>
        <v>0</v>
      </c>
      <c r="W37" s="52">
        <f t="shared" si="1"/>
        <v>10.200000000000001</v>
      </c>
    </row>
    <row r="38" spans="1:23" x14ac:dyDescent="0.2">
      <c r="A38" s="81" t="s">
        <v>108</v>
      </c>
      <c r="B38" s="36" t="str" cm="1">
        <f t="array" ref="B38:C38">_xlfn.XLOOKUP(A38,'Player List'!$A$2:$A$177,'Player List'!$B$2:$C$177)</f>
        <v>Italy</v>
      </c>
      <c r="C38" s="36" t="str">
        <v>Centre</v>
      </c>
      <c r="D38" s="37">
        <v>80</v>
      </c>
      <c r="F38" s="37">
        <f>'Round 3 Data'!F38*'Round 3 Points'!L$2</f>
        <v>8</v>
      </c>
      <c r="G38" s="37">
        <f>'Round 3 Data'!G38*'Round 3 Points'!M$2</f>
        <v>7</v>
      </c>
      <c r="H38" s="37">
        <f>'Round 3 Data'!H38*'Round 3 Points'!N$2</f>
        <v>0</v>
      </c>
      <c r="I38" s="37">
        <f>'Round 3 Data'!I38*'Round 3 Points'!O$2</f>
        <v>5.2</v>
      </c>
      <c r="J38" s="37">
        <f>'Round 3 Data'!J38*'Round 3 Points'!P$2</f>
        <v>0</v>
      </c>
      <c r="K38" s="37">
        <f>'Round 3 Data'!K38*'Round 3 Points'!Q$2</f>
        <v>0</v>
      </c>
      <c r="L38" s="37">
        <f>'Round 3 Data'!L38*'Round 3 Points'!R$2</f>
        <v>0</v>
      </c>
      <c r="M38" s="37">
        <f>'Round 3 Data'!M38*'Round 3 Points'!S$2</f>
        <v>0</v>
      </c>
      <c r="N38" s="37">
        <f>'Round 3 Data'!N38*'Round 3 Points'!T$2</f>
        <v>0</v>
      </c>
      <c r="O38" s="37">
        <f>'Round 3 Data'!O38*'Round 3 Points'!U$2</f>
        <v>0</v>
      </c>
      <c r="P38" s="37">
        <f>'Round 3 Data'!P38*'Round 3 Points'!V$2</f>
        <v>0</v>
      </c>
      <c r="Q38" s="37">
        <f>'Round 3 Data'!Q38*'Round 3 Points'!W$2</f>
        <v>0</v>
      </c>
      <c r="R38" s="37">
        <f>'Round 3 Data'!R38*'Round 3 Points'!X$2</f>
        <v>0</v>
      </c>
      <c r="S38" s="37">
        <f>'Round 3 Data'!S38*'Round 3 Points'!Y$2</f>
        <v>0</v>
      </c>
      <c r="T38" s="38">
        <f t="shared" si="0"/>
        <v>20.2</v>
      </c>
      <c r="U38" s="37">
        <f>'Round 3 Data'!U38*'Round 3 Points'!$Z$2</f>
        <v>0</v>
      </c>
      <c r="V38" s="36">
        <f>IF('Round 3 Data'!D38='Round 3 Points'!$K$1,D38/80*$K$2,0)</f>
        <v>0</v>
      </c>
      <c r="W38" s="52">
        <f t="shared" si="1"/>
        <v>20.2</v>
      </c>
    </row>
    <row r="39" spans="1:23" x14ac:dyDescent="0.2">
      <c r="A39" s="81" t="s">
        <v>109</v>
      </c>
      <c r="B39" s="36" t="str" cm="1">
        <f t="array" ref="B39:C39">_xlfn.XLOOKUP(A39,'Player List'!$A$2:$A$177,'Player List'!$B$2:$C$177)</f>
        <v>Italy</v>
      </c>
      <c r="C39" s="36" t="str">
        <v>Centre</v>
      </c>
      <c r="D39" s="37">
        <v>2</v>
      </c>
      <c r="F39" s="37">
        <f>'Round 3 Data'!F39*'Round 3 Points'!L$2</f>
        <v>1</v>
      </c>
      <c r="G39" s="37">
        <f>'Round 3 Data'!G39*'Round 3 Points'!M$2</f>
        <v>0</v>
      </c>
      <c r="H39" s="37">
        <f>'Round 3 Data'!H39*'Round 3 Points'!N$2</f>
        <v>0</v>
      </c>
      <c r="I39" s="37">
        <f>'Round 3 Data'!I39*'Round 3 Points'!O$2</f>
        <v>0</v>
      </c>
      <c r="J39" s="37">
        <f>'Round 3 Data'!J39*'Round 3 Points'!P$2</f>
        <v>0</v>
      </c>
      <c r="K39" s="37">
        <f>'Round 3 Data'!K39*'Round 3 Points'!Q$2</f>
        <v>0</v>
      </c>
      <c r="L39" s="37">
        <f>'Round 3 Data'!L39*'Round 3 Points'!R$2</f>
        <v>0</v>
      </c>
      <c r="M39" s="37">
        <f>'Round 3 Data'!M39*'Round 3 Points'!S$2</f>
        <v>0</v>
      </c>
      <c r="N39" s="37">
        <f>'Round 3 Data'!N39*'Round 3 Points'!T$2</f>
        <v>0</v>
      </c>
      <c r="O39" s="37">
        <f>'Round 3 Data'!O39*'Round 3 Points'!U$2</f>
        <v>0</v>
      </c>
      <c r="P39" s="37">
        <f>'Round 3 Data'!P39*'Round 3 Points'!V$2</f>
        <v>0</v>
      </c>
      <c r="Q39" s="37">
        <f>'Round 3 Data'!Q39*'Round 3 Points'!W$2</f>
        <v>0</v>
      </c>
      <c r="R39" s="37">
        <f>'Round 3 Data'!R39*'Round 3 Points'!X$2</f>
        <v>0</v>
      </c>
      <c r="S39" s="37">
        <f>'Round 3 Data'!S39*'Round 3 Points'!Y$2</f>
        <v>0</v>
      </c>
      <c r="T39" s="38">
        <f t="shared" si="0"/>
        <v>1</v>
      </c>
      <c r="U39" s="37">
        <f>'Round 3 Data'!U39*'Round 3 Points'!$Z$2</f>
        <v>0</v>
      </c>
      <c r="V39" s="36">
        <f>IF('Round 3 Data'!D39='Round 3 Points'!$K$1,D39/80*$K$2,0)</f>
        <v>0</v>
      </c>
      <c r="W39" s="52">
        <f t="shared" si="1"/>
        <v>1</v>
      </c>
    </row>
    <row r="40" spans="1:23" x14ac:dyDescent="0.2">
      <c r="A40" s="81" t="s">
        <v>110</v>
      </c>
      <c r="B40" s="36" t="str" cm="1">
        <f t="array" ref="B40:C40">_xlfn.XLOOKUP(A40,'Player List'!$A$2:$A$177,'Player List'!$B$2:$C$177)</f>
        <v>Italy</v>
      </c>
      <c r="C40" s="36" t="str">
        <v>Fly Half</v>
      </c>
      <c r="D40" s="37">
        <v>8</v>
      </c>
      <c r="F40" s="37">
        <f>'Round 3 Data'!F40*'Round 3 Points'!L$2</f>
        <v>1</v>
      </c>
      <c r="G40" s="37">
        <f>'Round 3 Data'!G40*'Round 3 Points'!M$2</f>
        <v>0</v>
      </c>
      <c r="H40" s="37">
        <f>'Round 3 Data'!H40*'Round 3 Points'!N$2</f>
        <v>0</v>
      </c>
      <c r="I40" s="37">
        <f>'Round 3 Data'!I40*'Round 3 Points'!O$2</f>
        <v>2.8000000000000003</v>
      </c>
      <c r="J40" s="37">
        <f>'Round 3 Data'!J40*'Round 3 Points'!P$2</f>
        <v>0</v>
      </c>
      <c r="K40" s="37">
        <f>'Round 3 Data'!K40*'Round 3 Points'!Q$2</f>
        <v>0</v>
      </c>
      <c r="L40" s="37">
        <f>'Round 3 Data'!L40*'Round 3 Points'!R$2</f>
        <v>0</v>
      </c>
      <c r="M40" s="37">
        <f>'Round 3 Data'!M40*'Round 3 Points'!S$2</f>
        <v>0</v>
      </c>
      <c r="N40" s="37">
        <f>'Round 3 Data'!N40*'Round 3 Points'!T$2</f>
        <v>0</v>
      </c>
      <c r="O40" s="37">
        <f>'Round 3 Data'!O40*'Round 3 Points'!U$2</f>
        <v>0</v>
      </c>
      <c r="P40" s="37">
        <f>'Round 3 Data'!P40*'Round 3 Points'!V$2</f>
        <v>0</v>
      </c>
      <c r="Q40" s="37">
        <f>'Round 3 Data'!Q40*'Round 3 Points'!W$2</f>
        <v>0</v>
      </c>
      <c r="R40" s="37">
        <f>'Round 3 Data'!R40*'Round 3 Points'!X$2</f>
        <v>0</v>
      </c>
      <c r="S40" s="37">
        <f>'Round 3 Data'!S40*'Round 3 Points'!Y$2</f>
        <v>0</v>
      </c>
      <c r="T40" s="38">
        <f t="shared" si="0"/>
        <v>3.8000000000000003</v>
      </c>
      <c r="U40" s="37">
        <f>'Round 3 Data'!U40*'Round 3 Points'!$Z$2</f>
        <v>0</v>
      </c>
      <c r="V40" s="36">
        <f>IF('Round 3 Data'!D40='Round 3 Points'!$K$1,D40/80*$K$2,0)</f>
        <v>0</v>
      </c>
      <c r="W40" s="52">
        <f t="shared" si="1"/>
        <v>3.8000000000000003</v>
      </c>
    </row>
    <row r="41" spans="1:23" x14ac:dyDescent="0.2">
      <c r="A41" s="81" t="s">
        <v>153</v>
      </c>
      <c r="B41" s="36" t="str" cm="1">
        <f t="array" ref="B41:C41">_xlfn.XLOOKUP(A41,'Player List'!$A$2:$A$177,'Player List'!$B$2:$C$177)</f>
        <v>Italy</v>
      </c>
      <c r="C41" s="36" t="str">
        <v>Fly Half</v>
      </c>
      <c r="D41" s="37">
        <v>72</v>
      </c>
      <c r="F41" s="37">
        <f>'Round 3 Data'!F41*'Round 3 Points'!L$2</f>
        <v>5</v>
      </c>
      <c r="G41" s="37">
        <f>'Round 3 Data'!G41*'Round 3 Points'!M$2</f>
        <v>0</v>
      </c>
      <c r="H41" s="37">
        <f>'Round 3 Data'!H41*'Round 3 Points'!N$2</f>
        <v>0</v>
      </c>
      <c r="I41" s="37">
        <f>'Round 3 Data'!I41*'Round 3 Points'!O$2</f>
        <v>8.4</v>
      </c>
      <c r="J41" s="37">
        <f>'Round 3 Data'!J41*'Round 3 Points'!P$2</f>
        <v>0</v>
      </c>
      <c r="K41" s="37">
        <f>'Round 3 Data'!K41*'Round 3 Points'!Q$2</f>
        <v>0</v>
      </c>
      <c r="L41" s="37">
        <f>'Round 3 Data'!L41*'Round 3 Points'!R$2</f>
        <v>0</v>
      </c>
      <c r="M41" s="37">
        <f>'Round 3 Data'!M41*'Round 3 Points'!S$2</f>
        <v>0</v>
      </c>
      <c r="N41" s="37">
        <f>'Round 3 Data'!N41*'Round 3 Points'!T$2</f>
        <v>0</v>
      </c>
      <c r="O41" s="37">
        <f>'Round 3 Data'!O41*'Round 3 Points'!U$2</f>
        <v>4</v>
      </c>
      <c r="P41" s="37">
        <f>'Round 3 Data'!P41*'Round 3 Points'!V$2</f>
        <v>10</v>
      </c>
      <c r="Q41" s="37">
        <f>'Round 3 Data'!Q41*'Round 3 Points'!W$2</f>
        <v>0</v>
      </c>
      <c r="R41" s="37">
        <f>'Round 3 Data'!R41*'Round 3 Points'!X$2</f>
        <v>0</v>
      </c>
      <c r="S41" s="37">
        <f>'Round 3 Data'!S41*'Round 3 Points'!Y$2</f>
        <v>0</v>
      </c>
      <c r="T41" s="38">
        <f t="shared" si="0"/>
        <v>27.4</v>
      </c>
      <c r="U41" s="37">
        <f>'Round 3 Data'!U41*'Round 3 Points'!$Z$2</f>
        <v>0</v>
      </c>
      <c r="V41" s="36">
        <f>IF('Round 3 Data'!D41='Round 3 Points'!$K$1,D41/80*$K$2,0)</f>
        <v>0</v>
      </c>
      <c r="W41" s="52">
        <f t="shared" si="1"/>
        <v>27.4</v>
      </c>
    </row>
    <row r="42" spans="1:23" x14ac:dyDescent="0.2">
      <c r="A42" s="81" t="s">
        <v>111</v>
      </c>
      <c r="B42" s="36" t="str" cm="1">
        <f t="array" ref="B42:C42">_xlfn.XLOOKUP(A42,'Player List'!$A$2:$A$177,'Player List'!$B$2:$C$177)</f>
        <v>Italy</v>
      </c>
      <c r="C42" s="36" t="str">
        <v>Scrum Half</v>
      </c>
      <c r="D42" s="37">
        <v>67</v>
      </c>
      <c r="F42" s="37">
        <f>'Round 3 Data'!F42*'Round 3 Points'!L$2</f>
        <v>1</v>
      </c>
      <c r="G42" s="37">
        <f>'Round 3 Data'!G42*'Round 3 Points'!M$2</f>
        <v>7</v>
      </c>
      <c r="H42" s="37">
        <f>'Round 3 Data'!H42*'Round 3 Points'!N$2</f>
        <v>0</v>
      </c>
      <c r="I42" s="37">
        <f>'Round 3 Data'!I42*'Round 3 Points'!O$2</f>
        <v>2.4000000000000004</v>
      </c>
      <c r="J42" s="37">
        <f>'Round 3 Data'!J42*'Round 3 Points'!P$2</f>
        <v>0</v>
      </c>
      <c r="K42" s="37">
        <f>'Round 3 Data'!K42*'Round 3 Points'!Q$2</f>
        <v>0</v>
      </c>
      <c r="L42" s="37">
        <f>'Round 3 Data'!L42*'Round 3 Points'!R$2</f>
        <v>0</v>
      </c>
      <c r="M42" s="37">
        <f>'Round 3 Data'!M42*'Round 3 Points'!S$2</f>
        <v>15</v>
      </c>
      <c r="N42" s="37">
        <f>'Round 3 Data'!N42*'Round 3 Points'!T$2</f>
        <v>0</v>
      </c>
      <c r="O42" s="37">
        <f>'Round 3 Data'!O42*'Round 3 Points'!U$2</f>
        <v>0</v>
      </c>
      <c r="P42" s="37">
        <f>'Round 3 Data'!P42*'Round 3 Points'!V$2</f>
        <v>0</v>
      </c>
      <c r="Q42" s="37">
        <f>'Round 3 Data'!Q42*'Round 3 Points'!W$2</f>
        <v>0</v>
      </c>
      <c r="R42" s="37">
        <f>'Round 3 Data'!R42*'Round 3 Points'!X$2</f>
        <v>0</v>
      </c>
      <c r="S42" s="37">
        <f>'Round 3 Data'!S42*'Round 3 Points'!Y$2</f>
        <v>0</v>
      </c>
      <c r="T42" s="38">
        <f t="shared" si="0"/>
        <v>25.4</v>
      </c>
      <c r="U42" s="37">
        <f>'Round 3 Data'!U42*'Round 3 Points'!$Z$2</f>
        <v>0</v>
      </c>
      <c r="V42" s="36">
        <f>IF('Round 3 Data'!D42='Round 3 Points'!$K$1,D42/80*$K$2,0)</f>
        <v>0</v>
      </c>
      <c r="W42" s="52">
        <f t="shared" si="1"/>
        <v>25.4</v>
      </c>
    </row>
    <row r="43" spans="1:23" x14ac:dyDescent="0.2">
      <c r="A43" s="81" t="s">
        <v>112</v>
      </c>
      <c r="B43" s="36" t="str" cm="1">
        <f t="array" ref="B43:C43">_xlfn.XLOOKUP(A43,'Player List'!$A$2:$A$177,'Player List'!$B$2:$C$177)</f>
        <v>Italy</v>
      </c>
      <c r="C43" s="36" t="str">
        <v>Back Row</v>
      </c>
      <c r="D43" s="37">
        <v>15</v>
      </c>
      <c r="F43" s="37">
        <f>'Round 3 Data'!F43*'Round 3 Points'!L$2</f>
        <v>4</v>
      </c>
      <c r="G43" s="37">
        <f>'Round 3 Data'!G43*'Round 3 Points'!M$2</f>
        <v>7</v>
      </c>
      <c r="H43" s="37">
        <f>'Round 3 Data'!H43*'Round 3 Points'!N$2</f>
        <v>0</v>
      </c>
      <c r="I43" s="37">
        <f>'Round 3 Data'!I43*'Round 3 Points'!O$2</f>
        <v>0</v>
      </c>
      <c r="J43" s="37">
        <f>'Round 3 Data'!J43*'Round 3 Points'!P$2</f>
        <v>0</v>
      </c>
      <c r="K43" s="37">
        <f>'Round 3 Data'!K43*'Round 3 Points'!Q$2</f>
        <v>0</v>
      </c>
      <c r="L43" s="37">
        <f>'Round 3 Data'!L43*'Round 3 Points'!R$2</f>
        <v>0</v>
      </c>
      <c r="M43" s="37">
        <f>'Round 3 Data'!M43*'Round 3 Points'!S$2</f>
        <v>0</v>
      </c>
      <c r="N43" s="37">
        <f>'Round 3 Data'!N43*'Round 3 Points'!T$2</f>
        <v>0</v>
      </c>
      <c r="O43" s="37">
        <f>'Round 3 Data'!O43*'Round 3 Points'!U$2</f>
        <v>0</v>
      </c>
      <c r="P43" s="37">
        <f>'Round 3 Data'!P43*'Round 3 Points'!V$2</f>
        <v>0</v>
      </c>
      <c r="Q43" s="37">
        <f>'Round 3 Data'!Q43*'Round 3 Points'!W$2</f>
        <v>0</v>
      </c>
      <c r="R43" s="37">
        <f>'Round 3 Data'!R43*'Round 3 Points'!X$2</f>
        <v>0</v>
      </c>
      <c r="S43" s="37">
        <f>'Round 3 Data'!S43*'Round 3 Points'!Y$2</f>
        <v>0</v>
      </c>
      <c r="T43" s="38">
        <f t="shared" si="0"/>
        <v>11</v>
      </c>
      <c r="U43" s="37">
        <f>'Round 3 Data'!U43*'Round 3 Points'!$Z$2</f>
        <v>0</v>
      </c>
      <c r="V43" s="36">
        <f>IF('Round 3 Data'!D43='Round 3 Points'!$K$1,D43/80*$K$2,0)</f>
        <v>0</v>
      </c>
      <c r="W43" s="52">
        <f t="shared" si="1"/>
        <v>11</v>
      </c>
    </row>
    <row r="44" spans="1:23" x14ac:dyDescent="0.2">
      <c r="A44" s="81" t="s">
        <v>113</v>
      </c>
      <c r="B44" s="36" t="str" cm="1">
        <f t="array" ref="B44:C44">_xlfn.XLOOKUP(A44,'Player List'!$A$2:$A$177,'Player List'!$B$2:$C$177)</f>
        <v>Italy</v>
      </c>
      <c r="C44" s="36" t="str">
        <v>Back Row</v>
      </c>
      <c r="D44" s="37">
        <v>80</v>
      </c>
      <c r="F44" s="37">
        <f>'Round 3 Data'!F44*'Round 3 Points'!L$2</f>
        <v>12</v>
      </c>
      <c r="G44" s="37">
        <f>'Round 3 Data'!G44*'Round 3 Points'!M$2</f>
        <v>14</v>
      </c>
      <c r="H44" s="37">
        <f>'Round 3 Data'!H44*'Round 3 Points'!N$2</f>
        <v>0</v>
      </c>
      <c r="I44" s="37">
        <f>'Round 3 Data'!I44*'Round 3 Points'!O$2</f>
        <v>3.8000000000000003</v>
      </c>
      <c r="J44" s="37">
        <f>'Round 3 Data'!J44*'Round 3 Points'!P$2</f>
        <v>0</v>
      </c>
      <c r="K44" s="37">
        <f>'Round 3 Data'!K44*'Round 3 Points'!Q$2</f>
        <v>0</v>
      </c>
      <c r="L44" s="37">
        <f>'Round 3 Data'!L44*'Round 3 Points'!R$2</f>
        <v>0</v>
      </c>
      <c r="M44" s="37">
        <f>'Round 3 Data'!M44*'Round 3 Points'!S$2</f>
        <v>0</v>
      </c>
      <c r="N44" s="37">
        <f>'Round 3 Data'!N44*'Round 3 Points'!T$2</f>
        <v>0</v>
      </c>
      <c r="O44" s="37">
        <f>'Round 3 Data'!O44*'Round 3 Points'!U$2</f>
        <v>0</v>
      </c>
      <c r="P44" s="37">
        <f>'Round 3 Data'!P44*'Round 3 Points'!V$2</f>
        <v>0</v>
      </c>
      <c r="Q44" s="37">
        <f>'Round 3 Data'!Q44*'Round 3 Points'!W$2</f>
        <v>0</v>
      </c>
      <c r="R44" s="37">
        <f>'Round 3 Data'!R44*'Round 3 Points'!X$2</f>
        <v>0</v>
      </c>
      <c r="S44" s="37">
        <f>'Round 3 Data'!S44*'Round 3 Points'!Y$2</f>
        <v>0</v>
      </c>
      <c r="T44" s="38">
        <f t="shared" si="0"/>
        <v>29.8</v>
      </c>
      <c r="U44" s="37">
        <f>'Round 3 Data'!U44*'Round 3 Points'!$Z$2</f>
        <v>0</v>
      </c>
      <c r="V44" s="36">
        <f>IF('Round 3 Data'!D44='Round 3 Points'!$K$1,D44/80*$K$2,0)</f>
        <v>0</v>
      </c>
      <c r="W44" s="52">
        <f t="shared" si="1"/>
        <v>29.8</v>
      </c>
    </row>
    <row r="45" spans="1:23" x14ac:dyDescent="0.2">
      <c r="A45" s="81" t="s">
        <v>114</v>
      </c>
      <c r="B45" s="36" t="str" cm="1">
        <f t="array" ref="B45:C45">_xlfn.XLOOKUP(A45,'Player List'!$A$2:$A$177,'Player List'!$B$2:$C$177)</f>
        <v>Italy</v>
      </c>
      <c r="C45" s="36" t="str">
        <v>Back Row</v>
      </c>
      <c r="D45" s="37">
        <v>80</v>
      </c>
      <c r="F45" s="37">
        <f>'Round 3 Data'!F45*'Round 3 Points'!L$2</f>
        <v>11</v>
      </c>
      <c r="G45" s="37">
        <f>'Round 3 Data'!G45*'Round 3 Points'!M$2</f>
        <v>7</v>
      </c>
      <c r="H45" s="37">
        <f>'Round 3 Data'!H45*'Round 3 Points'!N$2</f>
        <v>0</v>
      </c>
      <c r="I45" s="37">
        <f>'Round 3 Data'!I45*'Round 3 Points'!O$2</f>
        <v>10.8</v>
      </c>
      <c r="J45" s="37">
        <f>'Round 3 Data'!J45*'Round 3 Points'!P$2</f>
        <v>0</v>
      </c>
      <c r="K45" s="37">
        <f>'Round 3 Data'!K45*'Round 3 Points'!Q$2</f>
        <v>0</v>
      </c>
      <c r="L45" s="37">
        <f>'Round 3 Data'!L45*'Round 3 Points'!R$2</f>
        <v>0</v>
      </c>
      <c r="M45" s="37">
        <f>'Round 3 Data'!M45*'Round 3 Points'!S$2</f>
        <v>0</v>
      </c>
      <c r="N45" s="37">
        <f>'Round 3 Data'!N45*'Round 3 Points'!T$2</f>
        <v>0</v>
      </c>
      <c r="O45" s="37">
        <f>'Round 3 Data'!O45*'Round 3 Points'!U$2</f>
        <v>0</v>
      </c>
      <c r="P45" s="37">
        <f>'Round 3 Data'!P45*'Round 3 Points'!V$2</f>
        <v>0</v>
      </c>
      <c r="Q45" s="37">
        <f>'Round 3 Data'!Q45*'Round 3 Points'!W$2</f>
        <v>0</v>
      </c>
      <c r="R45" s="37">
        <f>'Round 3 Data'!R45*'Round 3 Points'!X$2</f>
        <v>0</v>
      </c>
      <c r="S45" s="37">
        <f>'Round 3 Data'!S45*'Round 3 Points'!Y$2</f>
        <v>0</v>
      </c>
      <c r="T45" s="38">
        <f t="shared" si="0"/>
        <v>28.8</v>
      </c>
      <c r="U45" s="37">
        <f>'Round 3 Data'!U45*'Round 3 Points'!$Z$2</f>
        <v>0</v>
      </c>
      <c r="V45" s="36">
        <f>IF('Round 3 Data'!D45='Round 3 Points'!$K$1,D45/80*$K$2,0)</f>
        <v>0</v>
      </c>
      <c r="W45" s="52">
        <f t="shared" si="1"/>
        <v>28.8</v>
      </c>
    </row>
    <row r="46" spans="1:23" x14ac:dyDescent="0.2">
      <c r="A46" s="81" t="s">
        <v>154</v>
      </c>
      <c r="B46" s="36" t="str" cm="1">
        <f t="array" ref="B46:C46">_xlfn.XLOOKUP(A46,'Player List'!$A$2:$A$177,'Player List'!$B$2:$C$177)</f>
        <v>Italy</v>
      </c>
      <c r="C46" s="36" t="str">
        <v>Back Row</v>
      </c>
      <c r="D46" s="37">
        <v>15</v>
      </c>
      <c r="F46" s="37">
        <f>'Round 3 Data'!F46*'Round 3 Points'!L$2</f>
        <v>4</v>
      </c>
      <c r="G46" s="37">
        <f>'Round 3 Data'!G46*'Round 3 Points'!M$2</f>
        <v>0</v>
      </c>
      <c r="H46" s="37">
        <f>'Round 3 Data'!H46*'Round 3 Points'!N$2</f>
        <v>7</v>
      </c>
      <c r="I46" s="37">
        <f>'Round 3 Data'!I46*'Round 3 Points'!O$2</f>
        <v>6.6000000000000005</v>
      </c>
      <c r="J46" s="37">
        <f>'Round 3 Data'!J46*'Round 3 Points'!P$2</f>
        <v>0</v>
      </c>
      <c r="K46" s="37">
        <f>'Round 3 Data'!K46*'Round 3 Points'!Q$2</f>
        <v>0</v>
      </c>
      <c r="L46" s="37">
        <f>'Round 3 Data'!L46*'Round 3 Points'!R$2</f>
        <v>0</v>
      </c>
      <c r="M46" s="37">
        <f>'Round 3 Data'!M46*'Round 3 Points'!S$2</f>
        <v>0</v>
      </c>
      <c r="N46" s="37">
        <f>'Round 3 Data'!N46*'Round 3 Points'!T$2</f>
        <v>0</v>
      </c>
      <c r="O46" s="37">
        <f>'Round 3 Data'!O46*'Round 3 Points'!U$2</f>
        <v>0</v>
      </c>
      <c r="P46" s="37">
        <f>'Round 3 Data'!P46*'Round 3 Points'!V$2</f>
        <v>0</v>
      </c>
      <c r="Q46" s="37">
        <f>'Round 3 Data'!Q46*'Round 3 Points'!W$2</f>
        <v>0</v>
      </c>
      <c r="R46" s="37">
        <f>'Round 3 Data'!R46*'Round 3 Points'!X$2</f>
        <v>0</v>
      </c>
      <c r="S46" s="37">
        <f>'Round 3 Data'!S46*'Round 3 Points'!Y$2</f>
        <v>0</v>
      </c>
      <c r="T46" s="38">
        <f t="shared" si="0"/>
        <v>17.600000000000001</v>
      </c>
      <c r="U46" s="37">
        <f>'Round 3 Data'!U46*'Round 3 Points'!$Z$2</f>
        <v>0</v>
      </c>
      <c r="V46" s="36">
        <f>IF('Round 3 Data'!D46='Round 3 Points'!$K$1,D46/80*$K$2,0)</f>
        <v>0</v>
      </c>
      <c r="W46" s="52">
        <f t="shared" si="1"/>
        <v>17.600000000000001</v>
      </c>
    </row>
    <row r="47" spans="1:23" x14ac:dyDescent="0.2">
      <c r="A47" s="81" t="s">
        <v>117</v>
      </c>
      <c r="B47" s="36" t="str" cm="1">
        <f t="array" ref="B47:C47">_xlfn.XLOOKUP(A47,'Player List'!$A$2:$A$177,'Player List'!$B$2:$C$177)</f>
        <v>Italy</v>
      </c>
      <c r="C47" s="36" t="str">
        <v>Second Row</v>
      </c>
      <c r="D47" s="37">
        <v>65</v>
      </c>
      <c r="F47" s="37">
        <f>'Round 3 Data'!F47*'Round 3 Points'!L$2</f>
        <v>12</v>
      </c>
      <c r="G47" s="37">
        <f>'Round 3 Data'!G47*'Round 3 Points'!M$2</f>
        <v>7</v>
      </c>
      <c r="H47" s="37">
        <f>'Round 3 Data'!H47*'Round 3 Points'!N$2</f>
        <v>0</v>
      </c>
      <c r="I47" s="37">
        <f>'Round 3 Data'!I47*'Round 3 Points'!O$2</f>
        <v>3.2</v>
      </c>
      <c r="J47" s="37">
        <f>'Round 3 Data'!J47*'Round 3 Points'!P$2</f>
        <v>0</v>
      </c>
      <c r="K47" s="37">
        <f>'Round 3 Data'!K47*'Round 3 Points'!Q$2</f>
        <v>0</v>
      </c>
      <c r="L47" s="37">
        <f>'Round 3 Data'!L47*'Round 3 Points'!R$2</f>
        <v>0</v>
      </c>
      <c r="M47" s="37">
        <f>'Round 3 Data'!M47*'Round 3 Points'!S$2</f>
        <v>0</v>
      </c>
      <c r="N47" s="37">
        <f>'Round 3 Data'!N47*'Round 3 Points'!T$2</f>
        <v>0</v>
      </c>
      <c r="O47" s="37">
        <f>'Round 3 Data'!O47*'Round 3 Points'!U$2</f>
        <v>0</v>
      </c>
      <c r="P47" s="37">
        <f>'Round 3 Data'!P47*'Round 3 Points'!V$2</f>
        <v>0</v>
      </c>
      <c r="Q47" s="37">
        <f>'Round 3 Data'!Q47*'Round 3 Points'!W$2</f>
        <v>0</v>
      </c>
      <c r="R47" s="37">
        <f>'Round 3 Data'!R47*'Round 3 Points'!X$2</f>
        <v>0</v>
      </c>
      <c r="S47" s="37">
        <f>'Round 3 Data'!S47*'Round 3 Points'!Y$2</f>
        <v>0</v>
      </c>
      <c r="T47" s="38">
        <f t="shared" si="0"/>
        <v>22.2</v>
      </c>
      <c r="U47" s="37">
        <f>'Round 3 Data'!U47*'Round 3 Points'!$Z$2</f>
        <v>0</v>
      </c>
      <c r="V47" s="36">
        <f>IF('Round 3 Data'!D47='Round 3 Points'!$K$1,D47/80*$K$2,0)</f>
        <v>0</v>
      </c>
      <c r="W47" s="52">
        <f t="shared" si="1"/>
        <v>22.2</v>
      </c>
    </row>
    <row r="48" spans="1:23" x14ac:dyDescent="0.2">
      <c r="A48" s="81" t="s">
        <v>116</v>
      </c>
      <c r="B48" s="36" t="str" cm="1">
        <f t="array" ref="B48:C48">_xlfn.XLOOKUP(A48,'Player List'!$A$2:$A$177,'Player List'!$B$2:$C$177)</f>
        <v>Italy</v>
      </c>
      <c r="C48" s="36" t="str">
        <v>Second Row</v>
      </c>
      <c r="D48" s="37">
        <v>65</v>
      </c>
      <c r="F48" s="37">
        <f>'Round 3 Data'!F48*'Round 3 Points'!L$2</f>
        <v>13</v>
      </c>
      <c r="G48" s="37">
        <f>'Round 3 Data'!G48*'Round 3 Points'!M$2</f>
        <v>14</v>
      </c>
      <c r="H48" s="37">
        <f>'Round 3 Data'!H48*'Round 3 Points'!N$2</f>
        <v>14</v>
      </c>
      <c r="I48" s="37">
        <f>'Round 3 Data'!I48*'Round 3 Points'!O$2</f>
        <v>20.400000000000002</v>
      </c>
      <c r="J48" s="37">
        <f>'Round 3 Data'!J48*'Round 3 Points'!P$2</f>
        <v>0</v>
      </c>
      <c r="K48" s="37">
        <f>'Round 3 Data'!K48*'Round 3 Points'!Q$2</f>
        <v>0</v>
      </c>
      <c r="L48" s="37">
        <f>'Round 3 Data'!L48*'Round 3 Points'!R$2</f>
        <v>0</v>
      </c>
      <c r="M48" s="37">
        <f>'Round 3 Data'!M48*'Round 3 Points'!S$2</f>
        <v>0</v>
      </c>
      <c r="N48" s="37">
        <f>'Round 3 Data'!N48*'Round 3 Points'!T$2</f>
        <v>0</v>
      </c>
      <c r="O48" s="37">
        <f>'Round 3 Data'!O48*'Round 3 Points'!U$2</f>
        <v>0</v>
      </c>
      <c r="P48" s="37">
        <f>'Round 3 Data'!P48*'Round 3 Points'!V$2</f>
        <v>0</v>
      </c>
      <c r="Q48" s="37">
        <f>'Round 3 Data'!Q48*'Round 3 Points'!W$2</f>
        <v>0</v>
      </c>
      <c r="R48" s="37">
        <f>'Round 3 Data'!R48*'Round 3 Points'!X$2</f>
        <v>0</v>
      </c>
      <c r="S48" s="37">
        <f>'Round 3 Data'!S48*'Round 3 Points'!Y$2</f>
        <v>0</v>
      </c>
      <c r="T48" s="38">
        <f t="shared" si="0"/>
        <v>61.400000000000006</v>
      </c>
      <c r="U48" s="37">
        <f>'Round 3 Data'!U48*'Round 3 Points'!$Z$2</f>
        <v>0</v>
      </c>
      <c r="V48" s="36">
        <f>IF('Round 3 Data'!D48='Round 3 Points'!$K$1,D48/80*$K$2,0)</f>
        <v>0</v>
      </c>
      <c r="W48" s="52">
        <f t="shared" si="1"/>
        <v>61.400000000000006</v>
      </c>
    </row>
    <row r="49" spans="1:23" x14ac:dyDescent="0.2">
      <c r="A49" s="81" t="s">
        <v>118</v>
      </c>
      <c r="B49" s="36" t="str" cm="1">
        <f t="array" ref="B49:C49">_xlfn.XLOOKUP(A49,'Player List'!$A$2:$A$177,'Player List'!$B$2:$C$177)</f>
        <v>Italy</v>
      </c>
      <c r="C49" s="36" t="str">
        <v>Second Row</v>
      </c>
      <c r="D49" s="37">
        <v>80</v>
      </c>
      <c r="F49" s="37">
        <f>'Round 3 Data'!F49*'Round 3 Points'!L$2</f>
        <v>9</v>
      </c>
      <c r="G49" s="37">
        <f>'Round 3 Data'!G49*'Round 3 Points'!M$2</f>
        <v>7</v>
      </c>
      <c r="H49" s="37">
        <f>'Round 3 Data'!H49*'Round 3 Points'!N$2</f>
        <v>0</v>
      </c>
      <c r="I49" s="37">
        <f>'Round 3 Data'!I49*'Round 3 Points'!O$2</f>
        <v>1</v>
      </c>
      <c r="J49" s="37">
        <f>'Round 3 Data'!J49*'Round 3 Points'!P$2</f>
        <v>0</v>
      </c>
      <c r="K49" s="37">
        <f>'Round 3 Data'!K49*'Round 3 Points'!Q$2</f>
        <v>7</v>
      </c>
      <c r="L49" s="37">
        <f>'Round 3 Data'!L49*'Round 3 Points'!R$2</f>
        <v>0</v>
      </c>
      <c r="M49" s="37">
        <f>'Round 3 Data'!M49*'Round 3 Points'!S$2</f>
        <v>0</v>
      </c>
      <c r="N49" s="37">
        <f>'Round 3 Data'!N49*'Round 3 Points'!T$2</f>
        <v>0</v>
      </c>
      <c r="O49" s="37">
        <f>'Round 3 Data'!O49*'Round 3 Points'!U$2</f>
        <v>0</v>
      </c>
      <c r="P49" s="37">
        <f>'Round 3 Data'!P49*'Round 3 Points'!V$2</f>
        <v>0</v>
      </c>
      <c r="Q49" s="37">
        <f>'Round 3 Data'!Q49*'Round 3 Points'!W$2</f>
        <v>0</v>
      </c>
      <c r="R49" s="37">
        <f>'Round 3 Data'!R49*'Round 3 Points'!X$2</f>
        <v>0</v>
      </c>
      <c r="S49" s="37">
        <f>'Round 3 Data'!S49*'Round 3 Points'!Y$2</f>
        <v>0</v>
      </c>
      <c r="T49" s="38">
        <f t="shared" si="0"/>
        <v>24</v>
      </c>
      <c r="U49" s="37">
        <f>'Round 3 Data'!U49*'Round 3 Points'!$Z$2</f>
        <v>0</v>
      </c>
      <c r="V49" s="36">
        <f>IF('Round 3 Data'!D49='Round 3 Points'!$K$1,D49/80*$K$2,0)</f>
        <v>0</v>
      </c>
      <c r="W49" s="52">
        <f t="shared" si="1"/>
        <v>24</v>
      </c>
    </row>
    <row r="50" spans="1:23" x14ac:dyDescent="0.2">
      <c r="A50" s="81" t="s">
        <v>120</v>
      </c>
      <c r="B50" s="36" t="str" cm="1">
        <f t="array" ref="B50:C50">_xlfn.XLOOKUP(A50,'Player List'!$A$2:$A$177,'Player List'!$B$2:$C$177)</f>
        <v>Italy</v>
      </c>
      <c r="C50" s="36" t="str">
        <v>Prop</v>
      </c>
      <c r="D50" s="37">
        <v>47</v>
      </c>
      <c r="F50" s="37">
        <f>'Round 3 Data'!F50*'Round 3 Points'!L$2</f>
        <v>8</v>
      </c>
      <c r="G50" s="37">
        <f>'Round 3 Data'!G50*'Round 3 Points'!M$2</f>
        <v>0</v>
      </c>
      <c r="H50" s="37">
        <f>'Round 3 Data'!H50*'Round 3 Points'!N$2</f>
        <v>0</v>
      </c>
      <c r="I50" s="37">
        <f>'Round 3 Data'!I50*'Round 3 Points'!O$2</f>
        <v>1.2000000000000002</v>
      </c>
      <c r="J50" s="37">
        <f>'Round 3 Data'!J50*'Round 3 Points'!P$2</f>
        <v>0</v>
      </c>
      <c r="K50" s="37">
        <f>'Round 3 Data'!K50*'Round 3 Points'!Q$2</f>
        <v>0</v>
      </c>
      <c r="L50" s="37">
        <f>'Round 3 Data'!L50*'Round 3 Points'!R$2</f>
        <v>0</v>
      </c>
      <c r="M50" s="37">
        <f>'Round 3 Data'!M50*'Round 3 Points'!S$2</f>
        <v>0</v>
      </c>
      <c r="N50" s="37">
        <f>'Round 3 Data'!N50*'Round 3 Points'!T$2</f>
        <v>0</v>
      </c>
      <c r="O50" s="37">
        <f>'Round 3 Data'!O50*'Round 3 Points'!U$2</f>
        <v>0</v>
      </c>
      <c r="P50" s="37">
        <f>'Round 3 Data'!P50*'Round 3 Points'!V$2</f>
        <v>0</v>
      </c>
      <c r="Q50" s="37">
        <f>'Round 3 Data'!Q50*'Round 3 Points'!W$2</f>
        <v>0</v>
      </c>
      <c r="R50" s="37">
        <f>'Round 3 Data'!R50*'Round 3 Points'!X$2</f>
        <v>0</v>
      </c>
      <c r="S50" s="37">
        <f>'Round 3 Data'!S50*'Round 3 Points'!Y$2</f>
        <v>0</v>
      </c>
      <c r="T50" s="38">
        <f t="shared" si="0"/>
        <v>9.1999999999999993</v>
      </c>
      <c r="U50" s="37">
        <f>'Round 3 Data'!U50*'Round 3 Points'!$Z$2</f>
        <v>0</v>
      </c>
      <c r="V50" s="36">
        <f>IF('Round 3 Data'!D50='Round 3 Points'!$K$1,D50/80*$K$2,0)</f>
        <v>0</v>
      </c>
      <c r="W50" s="52">
        <f t="shared" si="1"/>
        <v>9.1999999999999993</v>
      </c>
    </row>
    <row r="51" spans="1:23" x14ac:dyDescent="0.2">
      <c r="A51" s="81" t="s">
        <v>121</v>
      </c>
      <c r="B51" s="36" t="str" cm="1">
        <f t="array" ref="B51:C51">_xlfn.XLOOKUP(A51,'Player List'!$A$2:$A$177,'Player List'!$B$2:$C$177)</f>
        <v>Italy</v>
      </c>
      <c r="C51" s="36" t="str">
        <v>Prop</v>
      </c>
      <c r="D51" s="37">
        <v>60</v>
      </c>
      <c r="F51" s="37">
        <f>'Round 3 Data'!F51*'Round 3 Points'!L$2</f>
        <v>10</v>
      </c>
      <c r="G51" s="37">
        <f>'Round 3 Data'!G51*'Round 3 Points'!M$2</f>
        <v>21</v>
      </c>
      <c r="H51" s="37">
        <f>'Round 3 Data'!H51*'Round 3 Points'!N$2</f>
        <v>0</v>
      </c>
      <c r="I51" s="37">
        <f>'Round 3 Data'!I51*'Round 3 Points'!O$2</f>
        <v>5.6000000000000005</v>
      </c>
      <c r="J51" s="37">
        <f>'Round 3 Data'!J51*'Round 3 Points'!P$2</f>
        <v>0</v>
      </c>
      <c r="K51" s="37">
        <f>'Round 3 Data'!K51*'Round 3 Points'!Q$2</f>
        <v>0</v>
      </c>
      <c r="L51" s="37">
        <f>'Round 3 Data'!L51*'Round 3 Points'!R$2</f>
        <v>0</v>
      </c>
      <c r="M51" s="37">
        <f>'Round 3 Data'!M51*'Round 3 Points'!S$2</f>
        <v>0</v>
      </c>
      <c r="N51" s="37">
        <f>'Round 3 Data'!N51*'Round 3 Points'!T$2</f>
        <v>0</v>
      </c>
      <c r="O51" s="37">
        <f>'Round 3 Data'!O51*'Round 3 Points'!U$2</f>
        <v>0</v>
      </c>
      <c r="P51" s="37">
        <f>'Round 3 Data'!P51*'Round 3 Points'!V$2</f>
        <v>0</v>
      </c>
      <c r="Q51" s="37">
        <f>'Round 3 Data'!Q51*'Round 3 Points'!W$2</f>
        <v>0</v>
      </c>
      <c r="R51" s="37">
        <f>'Round 3 Data'!R51*'Round 3 Points'!X$2</f>
        <v>0</v>
      </c>
      <c r="S51" s="37">
        <f>'Round 3 Data'!S51*'Round 3 Points'!Y$2</f>
        <v>0</v>
      </c>
      <c r="T51" s="38">
        <f t="shared" si="0"/>
        <v>36.6</v>
      </c>
      <c r="U51" s="37">
        <f>'Round 3 Data'!U51*'Round 3 Points'!$Z$2</f>
        <v>0</v>
      </c>
      <c r="V51" s="36">
        <f>IF('Round 3 Data'!D51='Round 3 Points'!$K$1,D51/80*$K$2,0)</f>
        <v>0</v>
      </c>
      <c r="W51" s="52">
        <f t="shared" si="1"/>
        <v>36.6</v>
      </c>
    </row>
    <row r="52" spans="1:23" x14ac:dyDescent="0.2">
      <c r="A52" s="81" t="s">
        <v>122</v>
      </c>
      <c r="B52" s="36" t="str" cm="1">
        <f t="array" ref="B52:C52">_xlfn.XLOOKUP(A52,'Player List'!$A$2:$A$177,'Player List'!$B$2:$C$177)</f>
        <v>Italy</v>
      </c>
      <c r="C52" s="36" t="str">
        <v>Prop</v>
      </c>
      <c r="D52" s="37">
        <v>33</v>
      </c>
      <c r="F52" s="37">
        <f>'Round 3 Data'!F52*'Round 3 Points'!L$2</f>
        <v>9</v>
      </c>
      <c r="G52" s="37">
        <f>'Round 3 Data'!G52*'Round 3 Points'!M$2</f>
        <v>7</v>
      </c>
      <c r="H52" s="37">
        <f>'Round 3 Data'!H52*'Round 3 Points'!N$2</f>
        <v>0</v>
      </c>
      <c r="I52" s="37">
        <f>'Round 3 Data'!I52*'Round 3 Points'!O$2</f>
        <v>0</v>
      </c>
      <c r="J52" s="37">
        <f>'Round 3 Data'!J52*'Round 3 Points'!P$2</f>
        <v>0</v>
      </c>
      <c r="K52" s="37">
        <f>'Round 3 Data'!K52*'Round 3 Points'!Q$2</f>
        <v>0</v>
      </c>
      <c r="L52" s="37">
        <f>'Round 3 Data'!L52*'Round 3 Points'!R$2</f>
        <v>0</v>
      </c>
      <c r="M52" s="37">
        <f>'Round 3 Data'!M52*'Round 3 Points'!S$2</f>
        <v>0</v>
      </c>
      <c r="N52" s="37">
        <f>'Round 3 Data'!N52*'Round 3 Points'!T$2</f>
        <v>0</v>
      </c>
      <c r="O52" s="37">
        <f>'Round 3 Data'!O52*'Round 3 Points'!U$2</f>
        <v>0</v>
      </c>
      <c r="P52" s="37">
        <f>'Round 3 Data'!P52*'Round 3 Points'!V$2</f>
        <v>0</v>
      </c>
      <c r="Q52" s="37">
        <f>'Round 3 Data'!Q52*'Round 3 Points'!W$2</f>
        <v>0</v>
      </c>
      <c r="R52" s="37">
        <f>'Round 3 Data'!R52*'Round 3 Points'!X$2</f>
        <v>0</v>
      </c>
      <c r="S52" s="37">
        <f>'Round 3 Data'!S52*'Round 3 Points'!Y$2</f>
        <v>0</v>
      </c>
      <c r="T52" s="38">
        <f t="shared" si="0"/>
        <v>16</v>
      </c>
      <c r="U52" s="37">
        <f>'Round 3 Data'!U52*'Round 3 Points'!$Z$2</f>
        <v>0</v>
      </c>
      <c r="V52" s="36">
        <f>IF('Round 3 Data'!D52='Round 3 Points'!$K$1,D52/80*$K$2,0)</f>
        <v>0</v>
      </c>
      <c r="W52" s="52">
        <f t="shared" si="1"/>
        <v>16</v>
      </c>
    </row>
    <row r="53" spans="1:23" x14ac:dyDescent="0.2">
      <c r="A53" s="81" t="s">
        <v>123</v>
      </c>
      <c r="B53" s="36" t="str" cm="1">
        <f t="array" ref="B53:C53">_xlfn.XLOOKUP(A53,'Player List'!$A$2:$A$177,'Player List'!$B$2:$C$177)</f>
        <v>Italy</v>
      </c>
      <c r="C53" s="36" t="str">
        <v>Prop</v>
      </c>
      <c r="D53" s="37">
        <v>20</v>
      </c>
      <c r="F53" s="37">
        <f>'Round 3 Data'!F53*'Round 3 Points'!L$2</f>
        <v>5</v>
      </c>
      <c r="G53" s="37">
        <f>'Round 3 Data'!G53*'Round 3 Points'!M$2</f>
        <v>7</v>
      </c>
      <c r="H53" s="37">
        <f>'Round 3 Data'!H53*'Round 3 Points'!N$2</f>
        <v>0</v>
      </c>
      <c r="I53" s="37">
        <f>'Round 3 Data'!I53*'Round 3 Points'!O$2</f>
        <v>0.2</v>
      </c>
      <c r="J53" s="37">
        <f>'Round 3 Data'!J53*'Round 3 Points'!P$2</f>
        <v>0</v>
      </c>
      <c r="K53" s="37">
        <f>'Round 3 Data'!K53*'Round 3 Points'!Q$2</f>
        <v>0</v>
      </c>
      <c r="L53" s="37">
        <f>'Round 3 Data'!L53*'Round 3 Points'!R$2</f>
        <v>0</v>
      </c>
      <c r="M53" s="37">
        <f>'Round 3 Data'!M53*'Round 3 Points'!S$2</f>
        <v>0</v>
      </c>
      <c r="N53" s="37">
        <f>'Round 3 Data'!N53*'Round 3 Points'!T$2</f>
        <v>0</v>
      </c>
      <c r="O53" s="37">
        <f>'Round 3 Data'!O53*'Round 3 Points'!U$2</f>
        <v>0</v>
      </c>
      <c r="P53" s="37">
        <f>'Round 3 Data'!P53*'Round 3 Points'!V$2</f>
        <v>0</v>
      </c>
      <c r="Q53" s="37">
        <f>'Round 3 Data'!Q53*'Round 3 Points'!W$2</f>
        <v>0</v>
      </c>
      <c r="R53" s="37">
        <f>'Round 3 Data'!R53*'Round 3 Points'!X$2</f>
        <v>0</v>
      </c>
      <c r="S53" s="37">
        <f>'Round 3 Data'!S53*'Round 3 Points'!Y$2</f>
        <v>0</v>
      </c>
      <c r="T53" s="38">
        <f t="shared" si="0"/>
        <v>12.2</v>
      </c>
      <c r="U53" s="37">
        <f>'Round 3 Data'!U53*'Round 3 Points'!$Z$2</f>
        <v>0</v>
      </c>
      <c r="V53" s="36">
        <f>IF('Round 3 Data'!D53='Round 3 Points'!$K$1,D53/80*$K$2,0)</f>
        <v>0</v>
      </c>
      <c r="W53" s="52">
        <f t="shared" si="1"/>
        <v>12.2</v>
      </c>
    </row>
    <row r="54" spans="1:23" x14ac:dyDescent="0.2">
      <c r="A54" s="81" t="s">
        <v>124</v>
      </c>
      <c r="B54" s="36" t="str" cm="1">
        <f t="array" ref="B54:C54">_xlfn.XLOOKUP(A54,'Player List'!$A$2:$A$177,'Player List'!$B$2:$C$177)</f>
        <v>Italy</v>
      </c>
      <c r="C54" s="36" t="str">
        <v>Hooker</v>
      </c>
      <c r="D54" s="37">
        <v>29</v>
      </c>
      <c r="F54" s="37">
        <f>'Round 3 Data'!F54*'Round 3 Points'!L$2</f>
        <v>11</v>
      </c>
      <c r="G54" s="37">
        <f>'Round 3 Data'!G54*'Round 3 Points'!M$2</f>
        <v>7</v>
      </c>
      <c r="H54" s="37">
        <f>'Round 3 Data'!H54*'Round 3 Points'!N$2</f>
        <v>0</v>
      </c>
      <c r="I54" s="37">
        <f>'Round 3 Data'!I54*'Round 3 Points'!O$2</f>
        <v>1.2000000000000002</v>
      </c>
      <c r="J54" s="37">
        <f>'Round 3 Data'!J54*'Round 3 Points'!P$2</f>
        <v>0</v>
      </c>
      <c r="K54" s="37">
        <f>'Round 3 Data'!K54*'Round 3 Points'!Q$2</f>
        <v>0</v>
      </c>
      <c r="L54" s="37">
        <f>'Round 3 Data'!L54*'Round 3 Points'!R$2</f>
        <v>0</v>
      </c>
      <c r="M54" s="37">
        <f>'Round 3 Data'!M54*'Round 3 Points'!S$2</f>
        <v>0</v>
      </c>
      <c r="N54" s="37">
        <f>'Round 3 Data'!N54*'Round 3 Points'!T$2</f>
        <v>0</v>
      </c>
      <c r="O54" s="37">
        <f>'Round 3 Data'!O54*'Round 3 Points'!U$2</f>
        <v>0</v>
      </c>
      <c r="P54" s="37">
        <f>'Round 3 Data'!P54*'Round 3 Points'!V$2</f>
        <v>0</v>
      </c>
      <c r="Q54" s="37">
        <f>'Round 3 Data'!Q54*'Round 3 Points'!W$2</f>
        <v>0</v>
      </c>
      <c r="R54" s="37">
        <f>'Round 3 Data'!R54*'Round 3 Points'!X$2</f>
        <v>0</v>
      </c>
      <c r="S54" s="37">
        <f>'Round 3 Data'!S54*'Round 3 Points'!Y$2</f>
        <v>0</v>
      </c>
      <c r="T54" s="38">
        <f t="shared" si="0"/>
        <v>19.2</v>
      </c>
      <c r="U54" s="37">
        <f>'Round 3 Data'!U54*'Round 3 Points'!$Z$2</f>
        <v>0</v>
      </c>
      <c r="V54" s="36">
        <f>IF('Round 3 Data'!D54='Round 3 Points'!$K$1,D54/80*$K$2,0)</f>
        <v>0</v>
      </c>
      <c r="W54" s="52">
        <f t="shared" si="1"/>
        <v>19.2</v>
      </c>
    </row>
    <row r="55" spans="1:23" x14ac:dyDescent="0.2">
      <c r="A55" s="81" t="s">
        <v>125</v>
      </c>
      <c r="B55" s="36" t="str" cm="1">
        <f t="array" ref="B55:C55">_xlfn.XLOOKUP(A55,'Player List'!$A$2:$A$177,'Player List'!$B$2:$C$177)</f>
        <v>Italy</v>
      </c>
      <c r="C55" s="36" t="str">
        <v>Hooker</v>
      </c>
      <c r="D55" s="37">
        <v>51</v>
      </c>
      <c r="F55" s="37">
        <f>'Round 3 Data'!F55*'Round 3 Points'!L$2</f>
        <v>7</v>
      </c>
      <c r="G55" s="37">
        <f>'Round 3 Data'!G55*'Round 3 Points'!M$2</f>
        <v>7</v>
      </c>
      <c r="H55" s="37">
        <f>'Round 3 Data'!H55*'Round 3 Points'!N$2</f>
        <v>0</v>
      </c>
      <c r="I55" s="37">
        <f>'Round 3 Data'!I55*'Round 3 Points'!O$2</f>
        <v>4.4000000000000004</v>
      </c>
      <c r="J55" s="37">
        <f>'Round 3 Data'!J55*'Round 3 Points'!P$2</f>
        <v>0</v>
      </c>
      <c r="K55" s="37">
        <f>'Round 3 Data'!K55*'Round 3 Points'!Q$2</f>
        <v>0</v>
      </c>
      <c r="L55" s="37">
        <f>'Round 3 Data'!L55*'Round 3 Points'!R$2</f>
        <v>0</v>
      </c>
      <c r="M55" s="37">
        <f>'Round 3 Data'!M55*'Round 3 Points'!S$2</f>
        <v>0</v>
      </c>
      <c r="N55" s="37">
        <f>'Round 3 Data'!N55*'Round 3 Points'!T$2</f>
        <v>0</v>
      </c>
      <c r="O55" s="37">
        <f>'Round 3 Data'!O55*'Round 3 Points'!U$2</f>
        <v>0</v>
      </c>
      <c r="P55" s="37">
        <f>'Round 3 Data'!P55*'Round 3 Points'!V$2</f>
        <v>0</v>
      </c>
      <c r="Q55" s="37">
        <f>'Round 3 Data'!Q55*'Round 3 Points'!W$2</f>
        <v>0</v>
      </c>
      <c r="R55" s="37">
        <f>'Round 3 Data'!R55*'Round 3 Points'!X$2</f>
        <v>0</v>
      </c>
      <c r="S55" s="37">
        <f>'Round 3 Data'!S55*'Round 3 Points'!Y$2</f>
        <v>0</v>
      </c>
      <c r="T55" s="38">
        <f t="shared" si="0"/>
        <v>18.399999999999999</v>
      </c>
      <c r="U55" s="37">
        <f>'Round 3 Data'!U55*'Round 3 Points'!$Z$2</f>
        <v>0</v>
      </c>
      <c r="V55" s="36">
        <f>IF('Round 3 Data'!D55='Round 3 Points'!$K$1,D55/80*$K$2,0)</f>
        <v>0</v>
      </c>
      <c r="W55" s="52">
        <f t="shared" si="1"/>
        <v>18.399999999999999</v>
      </c>
    </row>
    <row r="56" spans="1:23" x14ac:dyDescent="0.2">
      <c r="A56" s="81" t="s">
        <v>57</v>
      </c>
      <c r="B56" s="36" t="str" cm="1">
        <f t="array" ref="B56:C56">_xlfn.XLOOKUP(A56,'Player List'!$A$2:$A$177,'Player List'!$B$2:$C$177)</f>
        <v>Wales</v>
      </c>
      <c r="C56" s="36" t="str">
        <v>Back Three</v>
      </c>
      <c r="D56" s="37">
        <v>54</v>
      </c>
      <c r="F56" s="37">
        <f>'Round 3 Data'!F56*'Round 3 Points'!L$2</f>
        <v>6</v>
      </c>
      <c r="G56" s="37">
        <f>'Round 3 Data'!G56*'Round 3 Points'!M$2</f>
        <v>0</v>
      </c>
      <c r="H56" s="37">
        <f>'Round 3 Data'!H56*'Round 3 Points'!N$2</f>
        <v>0</v>
      </c>
      <c r="I56" s="37">
        <f>'Round 3 Data'!I56*'Round 3 Points'!O$2</f>
        <v>3.4000000000000004</v>
      </c>
      <c r="J56" s="37">
        <f>'Round 3 Data'!J56*'Round 3 Points'!P$2</f>
        <v>0</v>
      </c>
      <c r="K56" s="37">
        <f>'Round 3 Data'!K56*'Round 3 Points'!Q$2</f>
        <v>0</v>
      </c>
      <c r="L56" s="37">
        <f>'Round 3 Data'!L56*'Round 3 Points'!R$2</f>
        <v>0</v>
      </c>
      <c r="M56" s="37">
        <f>'Round 3 Data'!M56*'Round 3 Points'!S$2</f>
        <v>0</v>
      </c>
      <c r="N56" s="37">
        <f>'Round 3 Data'!N56*'Round 3 Points'!T$2</f>
        <v>0</v>
      </c>
      <c r="O56" s="37">
        <f>'Round 3 Data'!O56*'Round 3 Points'!U$2</f>
        <v>0</v>
      </c>
      <c r="P56" s="37">
        <f>'Round 3 Data'!P56*'Round 3 Points'!V$2</f>
        <v>0</v>
      </c>
      <c r="Q56" s="37">
        <f>'Round 3 Data'!Q56*'Round 3 Points'!W$2</f>
        <v>0</v>
      </c>
      <c r="R56" s="37">
        <f>'Round 3 Data'!R56*'Round 3 Points'!X$2</f>
        <v>0</v>
      </c>
      <c r="S56" s="37">
        <f>'Round 3 Data'!S56*'Round 3 Points'!Y$2</f>
        <v>0</v>
      </c>
      <c r="T56" s="38">
        <f t="shared" si="0"/>
        <v>9.4</v>
      </c>
      <c r="U56" s="37">
        <f>'Round 3 Data'!U56*'Round 3 Points'!$Z$2</f>
        <v>0</v>
      </c>
      <c r="V56" s="36">
        <f>IF('Round 3 Data'!D56='Round 3 Points'!$K$1,D56/80*$K$2,0)</f>
        <v>0</v>
      </c>
      <c r="W56" s="52">
        <f t="shared" si="1"/>
        <v>9.4</v>
      </c>
    </row>
    <row r="57" spans="1:23" x14ac:dyDescent="0.2">
      <c r="A57" s="81" t="s">
        <v>155</v>
      </c>
      <c r="B57" s="36" t="str" cm="1">
        <f t="array" ref="B57:C57">_xlfn.XLOOKUP(A57,'Player List'!$A$2:$A$177,'Player List'!$B$2:$C$177)</f>
        <v>Wales</v>
      </c>
      <c r="C57" s="36" t="str">
        <v>Back Three</v>
      </c>
      <c r="D57" s="37">
        <v>80</v>
      </c>
      <c r="F57" s="37">
        <f>'Round 3 Data'!F57*'Round 3 Points'!L$2</f>
        <v>3</v>
      </c>
      <c r="G57" s="37">
        <f>'Round 3 Data'!G57*'Round 3 Points'!M$2</f>
        <v>0</v>
      </c>
      <c r="H57" s="37">
        <f>'Round 3 Data'!H57*'Round 3 Points'!N$2</f>
        <v>0</v>
      </c>
      <c r="I57" s="37">
        <f>'Round 3 Data'!I57*'Round 3 Points'!O$2</f>
        <v>12</v>
      </c>
      <c r="J57" s="37">
        <f>'Round 3 Data'!J57*'Round 3 Points'!P$2</f>
        <v>0</v>
      </c>
      <c r="K57" s="37">
        <f>'Round 3 Data'!K57*'Round 3 Points'!Q$2</f>
        <v>0</v>
      </c>
      <c r="L57" s="37">
        <f>'Round 3 Data'!L57*'Round 3 Points'!R$2</f>
        <v>0</v>
      </c>
      <c r="M57" s="37">
        <f>'Round 3 Data'!M57*'Round 3 Points'!S$2</f>
        <v>0</v>
      </c>
      <c r="N57" s="37">
        <f>'Round 3 Data'!N57*'Round 3 Points'!T$2</f>
        <v>0</v>
      </c>
      <c r="O57" s="37">
        <f>'Round 3 Data'!O57*'Round 3 Points'!U$2</f>
        <v>2</v>
      </c>
      <c r="P57" s="37">
        <f>'Round 3 Data'!P57*'Round 3 Points'!V$2</f>
        <v>5</v>
      </c>
      <c r="Q57" s="37">
        <f>'Round 3 Data'!Q57*'Round 3 Points'!W$2</f>
        <v>0</v>
      </c>
      <c r="R57" s="37">
        <f>'Round 3 Data'!R57*'Round 3 Points'!X$2</f>
        <v>0</v>
      </c>
      <c r="S57" s="37">
        <f>'Round 3 Data'!S57*'Round 3 Points'!Y$2</f>
        <v>0</v>
      </c>
      <c r="T57" s="38">
        <f t="shared" si="0"/>
        <v>22</v>
      </c>
      <c r="U57" s="37">
        <f>'Round 3 Data'!U57*'Round 3 Points'!$Z$2</f>
        <v>0</v>
      </c>
      <c r="V57" s="36">
        <f>IF('Round 3 Data'!D57='Round 3 Points'!$K$1,D57/80*$K$2,0)</f>
        <v>0</v>
      </c>
      <c r="W57" s="52">
        <f t="shared" si="1"/>
        <v>22</v>
      </c>
    </row>
    <row r="58" spans="1:23" x14ac:dyDescent="0.2">
      <c r="A58" s="81" t="s">
        <v>156</v>
      </c>
      <c r="B58" s="36" t="str" cm="1">
        <f t="array" ref="B58:C58">_xlfn.XLOOKUP(A58,'Player List'!$A$2:$A$177,'Player List'!$B$2:$C$177)</f>
        <v>Wales</v>
      </c>
      <c r="C58" s="36" t="str">
        <v>Back Three</v>
      </c>
      <c r="D58" s="37">
        <v>80</v>
      </c>
      <c r="F58" s="37">
        <f>'Round 3 Data'!F58*'Round 3 Points'!L$2</f>
        <v>2</v>
      </c>
      <c r="G58" s="37">
        <f>'Round 3 Data'!G58*'Round 3 Points'!M$2</f>
        <v>14</v>
      </c>
      <c r="H58" s="37">
        <f>'Round 3 Data'!H58*'Round 3 Points'!N$2</f>
        <v>21</v>
      </c>
      <c r="I58" s="37">
        <f>'Round 3 Data'!I58*'Round 3 Points'!O$2</f>
        <v>25</v>
      </c>
      <c r="J58" s="37">
        <f>'Round 3 Data'!J58*'Round 3 Points'!P$2</f>
        <v>0</v>
      </c>
      <c r="K58" s="37">
        <f>'Round 3 Data'!K58*'Round 3 Points'!Q$2</f>
        <v>0</v>
      </c>
      <c r="L58" s="37">
        <f>'Round 3 Data'!L58*'Round 3 Points'!R$2</f>
        <v>0</v>
      </c>
      <c r="M58" s="37">
        <f>'Round 3 Data'!M58*'Round 3 Points'!S$2</f>
        <v>15</v>
      </c>
      <c r="N58" s="37">
        <f>'Round 3 Data'!N58*'Round 3 Points'!T$2</f>
        <v>0</v>
      </c>
      <c r="O58" s="37">
        <f>'Round 3 Data'!O58*'Round 3 Points'!U$2</f>
        <v>0</v>
      </c>
      <c r="P58" s="37">
        <f>'Round 3 Data'!P58*'Round 3 Points'!V$2</f>
        <v>0</v>
      </c>
      <c r="Q58" s="37">
        <f>'Round 3 Data'!Q58*'Round 3 Points'!W$2</f>
        <v>0</v>
      </c>
      <c r="R58" s="37">
        <f>'Round 3 Data'!R58*'Round 3 Points'!X$2</f>
        <v>0</v>
      </c>
      <c r="S58" s="37">
        <f>'Round 3 Data'!S58*'Round 3 Points'!Y$2</f>
        <v>0</v>
      </c>
      <c r="T58" s="38">
        <f t="shared" si="0"/>
        <v>77</v>
      </c>
      <c r="U58" s="37">
        <f>'Round 3 Data'!U58*'Round 3 Points'!$Z$2</f>
        <v>0</v>
      </c>
      <c r="V58" s="36">
        <f>IF('Round 3 Data'!D58='Round 3 Points'!$K$1,D58/80*$K$2,0)</f>
        <v>0</v>
      </c>
      <c r="W58" s="52">
        <f t="shared" si="1"/>
        <v>77</v>
      </c>
    </row>
    <row r="59" spans="1:23" x14ac:dyDescent="0.2">
      <c r="A59" s="81" t="s">
        <v>157</v>
      </c>
      <c r="B59" s="36" t="str" cm="1">
        <f t="array" ref="B59:C59">_xlfn.XLOOKUP(A59,'Player List'!$A$2:$A$177,'Player List'!$B$2:$C$177)</f>
        <v>Wales</v>
      </c>
      <c r="C59" s="36" t="str">
        <v>Centre</v>
      </c>
      <c r="D59" s="37">
        <v>80</v>
      </c>
      <c r="F59" s="37">
        <f>'Round 3 Data'!F59*'Round 3 Points'!L$2</f>
        <v>8</v>
      </c>
      <c r="G59" s="37">
        <f>'Round 3 Data'!G59*'Round 3 Points'!M$2</f>
        <v>0</v>
      </c>
      <c r="H59" s="37">
        <f>'Round 3 Data'!H59*'Round 3 Points'!N$2</f>
        <v>0</v>
      </c>
      <c r="I59" s="37">
        <f>'Round 3 Data'!I59*'Round 3 Points'!O$2</f>
        <v>9.6000000000000014</v>
      </c>
      <c r="J59" s="37">
        <f>'Round 3 Data'!J59*'Round 3 Points'!P$2</f>
        <v>0</v>
      </c>
      <c r="K59" s="37">
        <f>'Round 3 Data'!K59*'Round 3 Points'!Q$2</f>
        <v>0</v>
      </c>
      <c r="L59" s="37">
        <f>'Round 3 Data'!L59*'Round 3 Points'!R$2</f>
        <v>0</v>
      </c>
      <c r="M59" s="37">
        <f>'Round 3 Data'!M59*'Round 3 Points'!S$2</f>
        <v>0</v>
      </c>
      <c r="N59" s="37">
        <f>'Round 3 Data'!N59*'Round 3 Points'!T$2</f>
        <v>0</v>
      </c>
      <c r="O59" s="37">
        <f>'Round 3 Data'!O59*'Round 3 Points'!U$2</f>
        <v>0</v>
      </c>
      <c r="P59" s="37">
        <f>'Round 3 Data'!P59*'Round 3 Points'!V$2</f>
        <v>0</v>
      </c>
      <c r="Q59" s="37">
        <f>'Round 3 Data'!Q59*'Round 3 Points'!W$2</f>
        <v>0</v>
      </c>
      <c r="R59" s="37">
        <f>'Round 3 Data'!R59*'Round 3 Points'!X$2</f>
        <v>0</v>
      </c>
      <c r="S59" s="37">
        <f>'Round 3 Data'!S59*'Round 3 Points'!Y$2</f>
        <v>0</v>
      </c>
      <c r="T59" s="38">
        <f t="shared" si="0"/>
        <v>17.600000000000001</v>
      </c>
      <c r="U59" s="37">
        <f>'Round 3 Data'!U59*'Round 3 Points'!$Z$2</f>
        <v>0</v>
      </c>
      <c r="V59" s="36">
        <f>IF('Round 3 Data'!D59='Round 3 Points'!$K$1,D59/80*$K$2,0)</f>
        <v>0</v>
      </c>
      <c r="W59" s="52">
        <f t="shared" si="1"/>
        <v>17.600000000000001</v>
      </c>
    </row>
    <row r="60" spans="1:23" x14ac:dyDescent="0.2">
      <c r="A60" s="81" t="s">
        <v>61</v>
      </c>
      <c r="B60" s="36" t="str" cm="1">
        <f t="array" ref="B60:C60">_xlfn.XLOOKUP(A60,'Player List'!$A$2:$A$177,'Player List'!$B$2:$C$177)</f>
        <v>Wales</v>
      </c>
      <c r="C60" s="36" t="str">
        <v>Centre</v>
      </c>
      <c r="D60" s="37">
        <v>80</v>
      </c>
      <c r="F60" s="37">
        <f>'Round 3 Data'!F60*'Round 3 Points'!L$2</f>
        <v>6</v>
      </c>
      <c r="G60" s="37">
        <f>'Round 3 Data'!G60*'Round 3 Points'!M$2</f>
        <v>0</v>
      </c>
      <c r="H60" s="37">
        <f>'Round 3 Data'!H60*'Round 3 Points'!N$2</f>
        <v>0</v>
      </c>
      <c r="I60" s="37">
        <f>'Round 3 Data'!I60*'Round 3 Points'!O$2</f>
        <v>15.8</v>
      </c>
      <c r="J60" s="37">
        <f>'Round 3 Data'!J60*'Round 3 Points'!P$2</f>
        <v>0</v>
      </c>
      <c r="K60" s="37">
        <f>'Round 3 Data'!K60*'Round 3 Points'!Q$2</f>
        <v>0</v>
      </c>
      <c r="L60" s="37">
        <f>'Round 3 Data'!L60*'Round 3 Points'!R$2</f>
        <v>0</v>
      </c>
      <c r="M60" s="37">
        <f>'Round 3 Data'!M60*'Round 3 Points'!S$2</f>
        <v>0</v>
      </c>
      <c r="N60" s="37">
        <f>'Round 3 Data'!N60*'Round 3 Points'!T$2</f>
        <v>0</v>
      </c>
      <c r="O60" s="37">
        <f>'Round 3 Data'!O60*'Round 3 Points'!U$2</f>
        <v>0</v>
      </c>
      <c r="P60" s="37">
        <f>'Round 3 Data'!P60*'Round 3 Points'!V$2</f>
        <v>0</v>
      </c>
      <c r="Q60" s="37">
        <f>'Round 3 Data'!Q60*'Round 3 Points'!W$2</f>
        <v>0</v>
      </c>
      <c r="R60" s="37">
        <f>'Round 3 Data'!R60*'Round 3 Points'!X$2</f>
        <v>0</v>
      </c>
      <c r="S60" s="37">
        <f>'Round 3 Data'!S60*'Round 3 Points'!Y$2</f>
        <v>0</v>
      </c>
      <c r="T60" s="38">
        <f t="shared" si="0"/>
        <v>21.8</v>
      </c>
      <c r="U60" s="37">
        <f>'Round 3 Data'!U60*'Round 3 Points'!$Z$2</f>
        <v>0</v>
      </c>
      <c r="V60" s="36">
        <f>IF('Round 3 Data'!D60='Round 3 Points'!$K$1,D60/80*$K$2,0)</f>
        <v>0</v>
      </c>
      <c r="W60" s="52">
        <f t="shared" si="1"/>
        <v>21.8</v>
      </c>
    </row>
    <row r="61" spans="1:23" x14ac:dyDescent="0.2">
      <c r="A61" s="81" t="s">
        <v>158</v>
      </c>
      <c r="B61" s="36" t="str" cm="1">
        <f t="array" ref="B61:C61">_xlfn.XLOOKUP(A61,'Player List'!$A$2:$A$177,'Player List'!$B$2:$C$177)</f>
        <v>Wales</v>
      </c>
      <c r="C61" s="36" t="str">
        <v>Centre</v>
      </c>
      <c r="D61" s="37">
        <v>26</v>
      </c>
      <c r="F61" s="37">
        <f>'Round 3 Data'!F61*'Round 3 Points'!L$2</f>
        <v>5</v>
      </c>
      <c r="G61" s="37">
        <f>'Round 3 Data'!G61*'Round 3 Points'!M$2</f>
        <v>0</v>
      </c>
      <c r="H61" s="37">
        <f>'Round 3 Data'!H61*'Round 3 Points'!N$2</f>
        <v>0</v>
      </c>
      <c r="I61" s="37">
        <f>'Round 3 Data'!I61*'Round 3 Points'!O$2</f>
        <v>5.8000000000000007</v>
      </c>
      <c r="J61" s="37">
        <f>'Round 3 Data'!J61*'Round 3 Points'!P$2</f>
        <v>0</v>
      </c>
      <c r="K61" s="37">
        <f>'Round 3 Data'!K61*'Round 3 Points'!Q$2</f>
        <v>0</v>
      </c>
      <c r="L61" s="37">
        <f>'Round 3 Data'!L61*'Round 3 Points'!R$2</f>
        <v>0</v>
      </c>
      <c r="M61" s="37">
        <f>'Round 3 Data'!M61*'Round 3 Points'!S$2</f>
        <v>0</v>
      </c>
      <c r="N61" s="37">
        <f>'Round 3 Data'!N61*'Round 3 Points'!T$2</f>
        <v>0</v>
      </c>
      <c r="O61" s="37">
        <f>'Round 3 Data'!O61*'Round 3 Points'!U$2</f>
        <v>0</v>
      </c>
      <c r="P61" s="37">
        <f>'Round 3 Data'!P61*'Round 3 Points'!V$2</f>
        <v>0</v>
      </c>
      <c r="Q61" s="37">
        <f>'Round 3 Data'!Q61*'Round 3 Points'!W$2</f>
        <v>0</v>
      </c>
      <c r="R61" s="37">
        <f>'Round 3 Data'!R61*'Round 3 Points'!X$2</f>
        <v>0</v>
      </c>
      <c r="S61" s="37">
        <f>'Round 3 Data'!S61*'Round 3 Points'!Y$2</f>
        <v>0</v>
      </c>
      <c r="T61" s="38">
        <f t="shared" si="0"/>
        <v>10.8</v>
      </c>
      <c r="U61" s="37">
        <f>'Round 3 Data'!U61*'Round 3 Points'!$Z$2</f>
        <v>0</v>
      </c>
      <c r="V61" s="36">
        <f>IF('Round 3 Data'!D61='Round 3 Points'!$K$1,D61/80*$K$2,0)</f>
        <v>0</v>
      </c>
      <c r="W61" s="52">
        <f t="shared" si="1"/>
        <v>10.8</v>
      </c>
    </row>
    <row r="62" spans="1:23" x14ac:dyDescent="0.2">
      <c r="A62" s="81" t="s">
        <v>63</v>
      </c>
      <c r="B62" s="36" t="str" cm="1">
        <f t="array" ref="B62:C62">_xlfn.XLOOKUP(A62,'Player List'!$A$2:$A$177,'Player List'!$B$2:$C$177)</f>
        <v>Wales</v>
      </c>
      <c r="C62" s="36" t="str">
        <v>Fly Half</v>
      </c>
      <c r="D62" s="37">
        <v>26</v>
      </c>
      <c r="F62" s="37">
        <f>'Round 3 Data'!F62*'Round 3 Points'!L$2</f>
        <v>4</v>
      </c>
      <c r="G62" s="37">
        <f>'Round 3 Data'!G62*'Round 3 Points'!M$2</f>
        <v>0</v>
      </c>
      <c r="H62" s="37">
        <f>'Round 3 Data'!H62*'Round 3 Points'!N$2</f>
        <v>0</v>
      </c>
      <c r="I62" s="37">
        <f>'Round 3 Data'!I62*'Round 3 Points'!O$2</f>
        <v>0</v>
      </c>
      <c r="J62" s="37">
        <f>'Round 3 Data'!J62*'Round 3 Points'!P$2</f>
        <v>0</v>
      </c>
      <c r="K62" s="37">
        <f>'Round 3 Data'!K62*'Round 3 Points'!Q$2</f>
        <v>0</v>
      </c>
      <c r="L62" s="37">
        <f>'Round 3 Data'!L62*'Round 3 Points'!R$2</f>
        <v>0</v>
      </c>
      <c r="M62" s="37">
        <f>'Round 3 Data'!M62*'Round 3 Points'!S$2</f>
        <v>0</v>
      </c>
      <c r="N62" s="37">
        <f>'Round 3 Data'!N62*'Round 3 Points'!T$2</f>
        <v>0</v>
      </c>
      <c r="O62" s="37">
        <f>'Round 3 Data'!O62*'Round 3 Points'!U$2</f>
        <v>0</v>
      </c>
      <c r="P62" s="37">
        <f>'Round 3 Data'!P62*'Round 3 Points'!V$2</f>
        <v>0</v>
      </c>
      <c r="Q62" s="37">
        <f>'Round 3 Data'!Q62*'Round 3 Points'!W$2</f>
        <v>0</v>
      </c>
      <c r="R62" s="37">
        <f>'Round 3 Data'!R62*'Round 3 Points'!X$2</f>
        <v>0</v>
      </c>
      <c r="S62" s="37">
        <f>'Round 3 Data'!S62*'Round 3 Points'!Y$2</f>
        <v>0</v>
      </c>
      <c r="T62" s="38">
        <f t="shared" si="0"/>
        <v>4</v>
      </c>
      <c r="U62" s="37">
        <f>'Round 3 Data'!U62*'Round 3 Points'!$Z$2</f>
        <v>0</v>
      </c>
      <c r="V62" s="36">
        <f>IF('Round 3 Data'!D62='Round 3 Points'!$K$1,D62/80*$K$2,0)</f>
        <v>0</v>
      </c>
      <c r="W62" s="52">
        <f t="shared" si="1"/>
        <v>4</v>
      </c>
    </row>
    <row r="63" spans="1:23" x14ac:dyDescent="0.2">
      <c r="A63" s="81" t="s">
        <v>159</v>
      </c>
      <c r="B63" s="36" t="str" cm="1">
        <f t="array" ref="B63:C63">_xlfn.XLOOKUP(A63,'Player List'!$A$2:$A$177,'Player List'!$B$2:$C$177)</f>
        <v>Wales</v>
      </c>
      <c r="C63" s="36" t="str">
        <v>Fly Half</v>
      </c>
      <c r="D63" s="37">
        <v>54</v>
      </c>
      <c r="F63" s="37">
        <f>'Round 3 Data'!F63*'Round 3 Points'!L$2</f>
        <v>6</v>
      </c>
      <c r="G63" s="37">
        <f>'Round 3 Data'!G63*'Round 3 Points'!M$2</f>
        <v>0</v>
      </c>
      <c r="H63" s="37">
        <f>'Round 3 Data'!H63*'Round 3 Points'!N$2</f>
        <v>0</v>
      </c>
      <c r="I63" s="37">
        <f>'Round 3 Data'!I63*'Round 3 Points'!O$2</f>
        <v>4.8000000000000007</v>
      </c>
      <c r="J63" s="37">
        <f>'Round 3 Data'!J63*'Round 3 Points'!P$2</f>
        <v>0</v>
      </c>
      <c r="K63" s="37">
        <f>'Round 3 Data'!K63*'Round 3 Points'!Q$2</f>
        <v>0</v>
      </c>
      <c r="L63" s="37">
        <f>'Round 3 Data'!L63*'Round 3 Points'!R$2</f>
        <v>0</v>
      </c>
      <c r="M63" s="37">
        <f>'Round 3 Data'!M63*'Round 3 Points'!S$2</f>
        <v>0</v>
      </c>
      <c r="N63" s="37">
        <f>'Round 3 Data'!N63*'Round 3 Points'!T$2</f>
        <v>0</v>
      </c>
      <c r="O63" s="37">
        <f>'Round 3 Data'!O63*'Round 3 Points'!U$2</f>
        <v>0</v>
      </c>
      <c r="P63" s="37">
        <f>'Round 3 Data'!P63*'Round 3 Points'!V$2</f>
        <v>0</v>
      </c>
      <c r="Q63" s="37">
        <f>'Round 3 Data'!Q63*'Round 3 Points'!W$2</f>
        <v>0</v>
      </c>
      <c r="R63" s="37">
        <f>'Round 3 Data'!R63*'Round 3 Points'!X$2</f>
        <v>0</v>
      </c>
      <c r="S63" s="37">
        <f>'Round 3 Data'!S63*'Round 3 Points'!Y$2</f>
        <v>0</v>
      </c>
      <c r="T63" s="38">
        <f t="shared" si="0"/>
        <v>10.8</v>
      </c>
      <c r="U63" s="37">
        <f>'Round 3 Data'!U63*'Round 3 Points'!$Z$2</f>
        <v>0</v>
      </c>
      <c r="V63" s="36">
        <f>IF('Round 3 Data'!D63='Round 3 Points'!$K$1,D63/80*$K$2,0)</f>
        <v>0</v>
      </c>
      <c r="W63" s="52">
        <f t="shared" si="1"/>
        <v>10.8</v>
      </c>
    </row>
    <row r="64" spans="1:23" x14ac:dyDescent="0.2">
      <c r="A64" s="81" t="s">
        <v>160</v>
      </c>
      <c r="B64" s="36" t="str" cm="1">
        <f t="array" ref="B64:C64">_xlfn.XLOOKUP(A64,'Player List'!$A$2:$A$177,'Player List'!$B$2:$C$177)</f>
        <v>Wales</v>
      </c>
      <c r="C64" s="36" t="str">
        <v>Scrum Half</v>
      </c>
      <c r="D64" s="37">
        <v>11</v>
      </c>
      <c r="F64" s="37">
        <f>'Round 3 Data'!F64*'Round 3 Points'!L$2</f>
        <v>4</v>
      </c>
      <c r="G64" s="37">
        <f>'Round 3 Data'!G64*'Round 3 Points'!M$2</f>
        <v>0</v>
      </c>
      <c r="H64" s="37">
        <f>'Round 3 Data'!H64*'Round 3 Points'!N$2</f>
        <v>0</v>
      </c>
      <c r="I64" s="37">
        <f>'Round 3 Data'!I64*'Round 3 Points'!O$2</f>
        <v>0</v>
      </c>
      <c r="J64" s="37">
        <f>'Round 3 Data'!J64*'Round 3 Points'!P$2</f>
        <v>0</v>
      </c>
      <c r="K64" s="37">
        <f>'Round 3 Data'!K64*'Round 3 Points'!Q$2</f>
        <v>0</v>
      </c>
      <c r="L64" s="37">
        <f>'Round 3 Data'!L64*'Round 3 Points'!R$2</f>
        <v>0</v>
      </c>
      <c r="M64" s="37">
        <f>'Round 3 Data'!M64*'Round 3 Points'!S$2</f>
        <v>0</v>
      </c>
      <c r="N64" s="37">
        <f>'Round 3 Data'!N64*'Round 3 Points'!T$2</f>
        <v>0</v>
      </c>
      <c r="O64" s="37">
        <f>'Round 3 Data'!O64*'Round 3 Points'!U$2</f>
        <v>0</v>
      </c>
      <c r="P64" s="37">
        <f>'Round 3 Data'!P64*'Round 3 Points'!V$2</f>
        <v>0</v>
      </c>
      <c r="Q64" s="37">
        <f>'Round 3 Data'!Q64*'Round 3 Points'!W$2</f>
        <v>0</v>
      </c>
      <c r="R64" s="37">
        <f>'Round 3 Data'!R64*'Round 3 Points'!X$2</f>
        <v>0</v>
      </c>
      <c r="S64" s="37">
        <f>'Round 3 Data'!S64*'Round 3 Points'!Y$2</f>
        <v>0</v>
      </c>
      <c r="T64" s="38">
        <f t="shared" si="0"/>
        <v>4</v>
      </c>
      <c r="U64" s="37">
        <f>'Round 3 Data'!U64*'Round 3 Points'!$Z$2</f>
        <v>0</v>
      </c>
      <c r="V64" s="36">
        <f>IF('Round 3 Data'!D64='Round 3 Points'!$K$1,D64/80*$K$2,0)</f>
        <v>0</v>
      </c>
      <c r="W64" s="52">
        <f t="shared" si="1"/>
        <v>4</v>
      </c>
    </row>
    <row r="65" spans="1:23" x14ac:dyDescent="0.2">
      <c r="A65" s="81" t="s">
        <v>66</v>
      </c>
      <c r="B65" s="36" t="str" cm="1">
        <f t="array" ref="B65:C65">_xlfn.XLOOKUP(A65,'Player List'!$A$2:$A$177,'Player List'!$B$2:$C$177)</f>
        <v>Wales</v>
      </c>
      <c r="C65" s="36" t="str">
        <v>Scrum Half</v>
      </c>
      <c r="D65" s="37">
        <v>69</v>
      </c>
      <c r="F65" s="37">
        <f>'Round 3 Data'!F65*'Round 3 Points'!L$2</f>
        <v>2</v>
      </c>
      <c r="G65" s="37">
        <f>'Round 3 Data'!G65*'Round 3 Points'!M$2</f>
        <v>0</v>
      </c>
      <c r="H65" s="37">
        <f>'Round 3 Data'!H65*'Round 3 Points'!N$2</f>
        <v>0</v>
      </c>
      <c r="I65" s="37">
        <f>'Round 3 Data'!I65*'Round 3 Points'!O$2</f>
        <v>5.2</v>
      </c>
      <c r="J65" s="37">
        <f>'Round 3 Data'!J65*'Round 3 Points'!P$2</f>
        <v>0</v>
      </c>
      <c r="K65" s="37">
        <f>'Round 3 Data'!K65*'Round 3 Points'!Q$2</f>
        <v>0</v>
      </c>
      <c r="L65" s="37">
        <f>'Round 3 Data'!L65*'Round 3 Points'!R$2</f>
        <v>0</v>
      </c>
      <c r="M65" s="37">
        <f>'Round 3 Data'!M65*'Round 3 Points'!S$2</f>
        <v>0</v>
      </c>
      <c r="N65" s="37">
        <f>'Round 3 Data'!N65*'Round 3 Points'!T$2</f>
        <v>0</v>
      </c>
      <c r="O65" s="37">
        <f>'Round 3 Data'!O65*'Round 3 Points'!U$2</f>
        <v>0</v>
      </c>
      <c r="P65" s="37">
        <f>'Round 3 Data'!P65*'Round 3 Points'!V$2</f>
        <v>0</v>
      </c>
      <c r="Q65" s="37">
        <f>'Round 3 Data'!Q65*'Round 3 Points'!W$2</f>
        <v>0</v>
      </c>
      <c r="R65" s="37">
        <f>'Round 3 Data'!R65*'Round 3 Points'!X$2</f>
        <v>0</v>
      </c>
      <c r="S65" s="37">
        <f>'Round 3 Data'!S65*'Round 3 Points'!Y$2</f>
        <v>0</v>
      </c>
      <c r="T65" s="38">
        <f t="shared" si="0"/>
        <v>7.2</v>
      </c>
      <c r="U65" s="37">
        <f>'Round 3 Data'!U65*'Round 3 Points'!$Z$2</f>
        <v>0</v>
      </c>
      <c r="V65" s="36">
        <f>IF('Round 3 Data'!D65='Round 3 Points'!$K$1,D65/80*$K$2,0)</f>
        <v>0</v>
      </c>
      <c r="W65" s="52">
        <f t="shared" si="1"/>
        <v>7.2</v>
      </c>
    </row>
    <row r="66" spans="1:23" x14ac:dyDescent="0.2">
      <c r="A66" s="81" t="s">
        <v>67</v>
      </c>
      <c r="B66" s="36" t="str" cm="1">
        <f t="array" ref="B66:C66">_xlfn.XLOOKUP(A66,'Player List'!$A$2:$A$177,'Player List'!$B$2:$C$177)</f>
        <v>Wales</v>
      </c>
      <c r="C66" s="36" t="str">
        <v>Back Row</v>
      </c>
      <c r="D66" s="37">
        <v>80</v>
      </c>
      <c r="F66" s="37">
        <f>'Round 3 Data'!F66*'Round 3 Points'!L$2</f>
        <v>11</v>
      </c>
      <c r="G66" s="37">
        <f>'Round 3 Data'!G66*'Round 3 Points'!M$2</f>
        <v>0</v>
      </c>
      <c r="H66" s="37">
        <f>'Round 3 Data'!H66*'Round 3 Points'!N$2</f>
        <v>0</v>
      </c>
      <c r="I66" s="37">
        <f>'Round 3 Data'!I66*'Round 3 Points'!O$2</f>
        <v>11</v>
      </c>
      <c r="J66" s="37">
        <f>'Round 3 Data'!J66*'Round 3 Points'!P$2</f>
        <v>0</v>
      </c>
      <c r="K66" s="37">
        <f>'Round 3 Data'!K66*'Round 3 Points'!Q$2</f>
        <v>0</v>
      </c>
      <c r="L66" s="37">
        <f>'Round 3 Data'!L66*'Round 3 Points'!R$2</f>
        <v>14</v>
      </c>
      <c r="M66" s="37">
        <f>'Round 3 Data'!M66*'Round 3 Points'!S$2</f>
        <v>0</v>
      </c>
      <c r="N66" s="37">
        <f>'Round 3 Data'!N66*'Round 3 Points'!T$2</f>
        <v>0</v>
      </c>
      <c r="O66" s="37">
        <f>'Round 3 Data'!O66*'Round 3 Points'!U$2</f>
        <v>0</v>
      </c>
      <c r="P66" s="37">
        <f>'Round 3 Data'!P66*'Round 3 Points'!V$2</f>
        <v>0</v>
      </c>
      <c r="Q66" s="37">
        <f>'Round 3 Data'!Q66*'Round 3 Points'!W$2</f>
        <v>0</v>
      </c>
      <c r="R66" s="37">
        <f>'Round 3 Data'!R66*'Round 3 Points'!X$2</f>
        <v>0</v>
      </c>
      <c r="S66" s="37">
        <f>'Round 3 Data'!S66*'Round 3 Points'!Y$2</f>
        <v>0</v>
      </c>
      <c r="T66" s="38">
        <f t="shared" si="0"/>
        <v>36</v>
      </c>
      <c r="U66" s="37">
        <f>'Round 3 Data'!U66*'Round 3 Points'!$Z$2</f>
        <v>0</v>
      </c>
      <c r="V66" s="36">
        <f>IF('Round 3 Data'!D66='Round 3 Points'!$K$1,D66/80*$K$2,0)</f>
        <v>0</v>
      </c>
      <c r="W66" s="52">
        <f t="shared" si="1"/>
        <v>36</v>
      </c>
    </row>
    <row r="67" spans="1:23" x14ac:dyDescent="0.2">
      <c r="A67" s="81" t="s">
        <v>69</v>
      </c>
      <c r="B67" s="36" t="str" cm="1">
        <f t="array" ref="B67:C67">_xlfn.XLOOKUP(A67,'Player List'!$A$2:$A$177,'Player List'!$B$2:$C$177)</f>
        <v>Wales</v>
      </c>
      <c r="C67" s="36" t="str">
        <v>Back Row</v>
      </c>
      <c r="D67" s="37">
        <v>17</v>
      </c>
      <c r="F67" s="37">
        <f>'Round 3 Data'!F67*'Round 3 Points'!L$2</f>
        <v>3</v>
      </c>
      <c r="G67" s="37">
        <f>'Round 3 Data'!G67*'Round 3 Points'!M$2</f>
        <v>0</v>
      </c>
      <c r="H67" s="37">
        <f>'Round 3 Data'!H67*'Round 3 Points'!N$2</f>
        <v>0</v>
      </c>
      <c r="I67" s="37">
        <f>'Round 3 Data'!I67*'Round 3 Points'!O$2</f>
        <v>5</v>
      </c>
      <c r="J67" s="37">
        <f>'Round 3 Data'!J67*'Round 3 Points'!P$2</f>
        <v>0</v>
      </c>
      <c r="K67" s="37">
        <f>'Round 3 Data'!K67*'Round 3 Points'!Q$2</f>
        <v>0</v>
      </c>
      <c r="L67" s="37">
        <f>'Round 3 Data'!L67*'Round 3 Points'!R$2</f>
        <v>0</v>
      </c>
      <c r="M67" s="37">
        <f>'Round 3 Data'!M67*'Round 3 Points'!S$2</f>
        <v>0</v>
      </c>
      <c r="N67" s="37">
        <f>'Round 3 Data'!N67*'Round 3 Points'!T$2</f>
        <v>0</v>
      </c>
      <c r="O67" s="37">
        <f>'Round 3 Data'!O67*'Round 3 Points'!U$2</f>
        <v>0</v>
      </c>
      <c r="P67" s="37">
        <f>'Round 3 Data'!P67*'Round 3 Points'!V$2</f>
        <v>0</v>
      </c>
      <c r="Q67" s="37">
        <f>'Round 3 Data'!Q67*'Round 3 Points'!W$2</f>
        <v>0</v>
      </c>
      <c r="R67" s="37">
        <f>'Round 3 Data'!R67*'Round 3 Points'!X$2</f>
        <v>0</v>
      </c>
      <c r="S67" s="37">
        <f>'Round 3 Data'!S67*'Round 3 Points'!Y$2</f>
        <v>0</v>
      </c>
      <c r="T67" s="38">
        <f t="shared" si="0"/>
        <v>8</v>
      </c>
      <c r="U67" s="37">
        <f>'Round 3 Data'!U67*'Round 3 Points'!$Z$2</f>
        <v>0</v>
      </c>
      <c r="V67" s="36">
        <f>IF('Round 3 Data'!D67='Round 3 Points'!$K$1,D67/80*$K$2,0)</f>
        <v>0</v>
      </c>
      <c r="W67" s="52">
        <f t="shared" si="1"/>
        <v>8</v>
      </c>
    </row>
    <row r="68" spans="1:23" x14ac:dyDescent="0.2">
      <c r="A68" s="81" t="s">
        <v>161</v>
      </c>
      <c r="B68" s="36" t="str" cm="1">
        <f t="array" ref="B68:C68">_xlfn.XLOOKUP(A68,'Player List'!$A$2:$A$177,'Player List'!$B$2:$C$177)</f>
        <v>Wales</v>
      </c>
      <c r="C68" s="36" t="str">
        <v>Back Row</v>
      </c>
      <c r="D68" s="37">
        <v>80</v>
      </c>
      <c r="F68" s="37">
        <f>'Round 3 Data'!F68*'Round 3 Points'!L$2</f>
        <v>15</v>
      </c>
      <c r="G68" s="37">
        <f>'Round 3 Data'!G68*'Round 3 Points'!M$2</f>
        <v>14</v>
      </c>
      <c r="H68" s="37">
        <f>'Round 3 Data'!H68*'Round 3 Points'!N$2</f>
        <v>0</v>
      </c>
      <c r="I68" s="37">
        <f>'Round 3 Data'!I68*'Round 3 Points'!O$2</f>
        <v>6.2</v>
      </c>
      <c r="J68" s="37">
        <f>'Round 3 Data'!J68*'Round 3 Points'!P$2</f>
        <v>0</v>
      </c>
      <c r="K68" s="37">
        <f>'Round 3 Data'!K68*'Round 3 Points'!Q$2</f>
        <v>0</v>
      </c>
      <c r="L68" s="37">
        <f>'Round 3 Data'!L68*'Round 3 Points'!R$2</f>
        <v>7</v>
      </c>
      <c r="M68" s="37">
        <f>'Round 3 Data'!M68*'Round 3 Points'!S$2</f>
        <v>0</v>
      </c>
      <c r="N68" s="37">
        <f>'Round 3 Data'!N68*'Round 3 Points'!T$2</f>
        <v>0</v>
      </c>
      <c r="O68" s="37">
        <f>'Round 3 Data'!O68*'Round 3 Points'!U$2</f>
        <v>0</v>
      </c>
      <c r="P68" s="37">
        <f>'Round 3 Data'!P68*'Round 3 Points'!V$2</f>
        <v>0</v>
      </c>
      <c r="Q68" s="37">
        <f>'Round 3 Data'!Q68*'Round 3 Points'!W$2</f>
        <v>0</v>
      </c>
      <c r="R68" s="37">
        <f>'Round 3 Data'!R68*'Round 3 Points'!X$2</f>
        <v>0</v>
      </c>
      <c r="S68" s="37">
        <f>'Round 3 Data'!S68*'Round 3 Points'!Y$2</f>
        <v>0</v>
      </c>
      <c r="T68" s="38">
        <f t="shared" si="0"/>
        <v>42.2</v>
      </c>
      <c r="U68" s="37">
        <f>'Round 3 Data'!U68*'Round 3 Points'!$Z$2</f>
        <v>0</v>
      </c>
      <c r="V68" s="36">
        <f>IF('Round 3 Data'!D68='Round 3 Points'!$K$1,D68/80*$K$2,0)</f>
        <v>0</v>
      </c>
      <c r="W68" s="52">
        <f t="shared" si="1"/>
        <v>42.2</v>
      </c>
    </row>
    <row r="69" spans="1:23" x14ac:dyDescent="0.2">
      <c r="A69" s="81" t="s">
        <v>70</v>
      </c>
      <c r="B69" s="36" t="str" cm="1">
        <f t="array" ref="B69:C69">_xlfn.XLOOKUP(A69,'Player List'!$A$2:$A$177,'Player List'!$B$2:$C$177)</f>
        <v>Wales</v>
      </c>
      <c r="C69" s="36" t="str">
        <v>Second Row</v>
      </c>
      <c r="D69" s="37">
        <v>80</v>
      </c>
      <c r="F69" s="37">
        <f>'Round 3 Data'!F69*'Round 3 Points'!L$2</f>
        <v>13</v>
      </c>
      <c r="G69" s="37">
        <f>'Round 3 Data'!G69*'Round 3 Points'!M$2</f>
        <v>7</v>
      </c>
      <c r="H69" s="37">
        <f>'Round 3 Data'!H69*'Round 3 Points'!N$2</f>
        <v>0</v>
      </c>
      <c r="I69" s="37">
        <f>'Round 3 Data'!I69*'Round 3 Points'!O$2</f>
        <v>4.8000000000000007</v>
      </c>
      <c r="J69" s="37">
        <f>'Round 3 Data'!J69*'Round 3 Points'!P$2</f>
        <v>0</v>
      </c>
      <c r="K69" s="37">
        <f>'Round 3 Data'!K69*'Round 3 Points'!Q$2</f>
        <v>0</v>
      </c>
      <c r="L69" s="37">
        <f>'Round 3 Data'!L69*'Round 3 Points'!R$2</f>
        <v>7</v>
      </c>
      <c r="M69" s="37">
        <f>'Round 3 Data'!M69*'Round 3 Points'!S$2</f>
        <v>0</v>
      </c>
      <c r="N69" s="37">
        <f>'Round 3 Data'!N69*'Round 3 Points'!T$2</f>
        <v>0</v>
      </c>
      <c r="O69" s="37">
        <f>'Round 3 Data'!O69*'Round 3 Points'!U$2</f>
        <v>0</v>
      </c>
      <c r="P69" s="37">
        <f>'Round 3 Data'!P69*'Round 3 Points'!V$2</f>
        <v>0</v>
      </c>
      <c r="Q69" s="37">
        <f>'Round 3 Data'!Q69*'Round 3 Points'!W$2</f>
        <v>0</v>
      </c>
      <c r="R69" s="37">
        <f>'Round 3 Data'!R69*'Round 3 Points'!X$2</f>
        <v>0</v>
      </c>
      <c r="S69" s="37">
        <f>'Round 3 Data'!S69*'Round 3 Points'!Y$2</f>
        <v>0</v>
      </c>
      <c r="T69" s="38">
        <f t="shared" si="0"/>
        <v>31.8</v>
      </c>
      <c r="U69" s="37">
        <f>'Round 3 Data'!U69*'Round 3 Points'!$Z$2</f>
        <v>0</v>
      </c>
      <c r="V69" s="36">
        <f>IF('Round 3 Data'!D69='Round 3 Points'!$K$1,D69/80*$K$2,0)</f>
        <v>0</v>
      </c>
      <c r="W69" s="52">
        <f t="shared" si="1"/>
        <v>31.8</v>
      </c>
    </row>
    <row r="70" spans="1:23" x14ac:dyDescent="0.2">
      <c r="A70" s="81" t="s">
        <v>72</v>
      </c>
      <c r="B70" s="36" t="str" cm="1">
        <f t="array" ref="B70:C70">_xlfn.XLOOKUP(A70,'Player List'!$A$2:$A$177,'Player List'!$B$2:$C$177)</f>
        <v>Wales</v>
      </c>
      <c r="C70" s="36" t="str">
        <v>Second Row</v>
      </c>
      <c r="D70" s="37">
        <v>17</v>
      </c>
      <c r="F70" s="37">
        <f>'Round 3 Data'!F70*'Round 3 Points'!L$2</f>
        <v>4</v>
      </c>
      <c r="G70" s="37">
        <f>'Round 3 Data'!G70*'Round 3 Points'!M$2</f>
        <v>0</v>
      </c>
      <c r="H70" s="37">
        <f>'Round 3 Data'!H70*'Round 3 Points'!N$2</f>
        <v>0</v>
      </c>
      <c r="I70" s="37">
        <f>'Round 3 Data'!I70*'Round 3 Points'!O$2</f>
        <v>1.6</v>
      </c>
      <c r="J70" s="37">
        <f>'Round 3 Data'!J70*'Round 3 Points'!P$2</f>
        <v>0</v>
      </c>
      <c r="K70" s="37">
        <f>'Round 3 Data'!K70*'Round 3 Points'!Q$2</f>
        <v>0</v>
      </c>
      <c r="L70" s="37">
        <f>'Round 3 Data'!L70*'Round 3 Points'!R$2</f>
        <v>0</v>
      </c>
      <c r="M70" s="37">
        <f>'Round 3 Data'!M70*'Round 3 Points'!S$2</f>
        <v>0</v>
      </c>
      <c r="N70" s="37">
        <f>'Round 3 Data'!N70*'Round 3 Points'!T$2</f>
        <v>0</v>
      </c>
      <c r="O70" s="37">
        <f>'Round 3 Data'!O70*'Round 3 Points'!U$2</f>
        <v>0</v>
      </c>
      <c r="P70" s="37">
        <f>'Round 3 Data'!P70*'Round 3 Points'!V$2</f>
        <v>0</v>
      </c>
      <c r="Q70" s="37">
        <f>'Round 3 Data'!Q70*'Round 3 Points'!W$2</f>
        <v>0</v>
      </c>
      <c r="R70" s="37">
        <f>'Round 3 Data'!R70*'Round 3 Points'!X$2</f>
        <v>0</v>
      </c>
      <c r="S70" s="37">
        <f>'Round 3 Data'!S70*'Round 3 Points'!Y$2</f>
        <v>0</v>
      </c>
      <c r="T70" s="38">
        <f t="shared" si="0"/>
        <v>5.6</v>
      </c>
      <c r="U70" s="37">
        <f>'Round 3 Data'!U70*'Round 3 Points'!$Z$2</f>
        <v>0</v>
      </c>
      <c r="V70" s="36">
        <f>IF('Round 3 Data'!D70='Round 3 Points'!$K$1,D70/80*$K$2,0)</f>
        <v>0</v>
      </c>
      <c r="W70" s="52">
        <f t="shared" si="1"/>
        <v>5.6</v>
      </c>
    </row>
    <row r="71" spans="1:23" x14ac:dyDescent="0.2">
      <c r="A71" s="81" t="s">
        <v>162</v>
      </c>
      <c r="B71" s="36" t="str" cm="1">
        <f t="array" ref="B71:C71">_xlfn.XLOOKUP(A71,'Player List'!$A$2:$A$177,'Player List'!$B$2:$C$177)</f>
        <v>Wales</v>
      </c>
      <c r="C71" s="36" t="str">
        <v>Second Row</v>
      </c>
      <c r="D71" s="37">
        <v>63</v>
      </c>
      <c r="F71" s="37">
        <f>'Round 3 Data'!F71*'Round 3 Points'!L$2</f>
        <v>9</v>
      </c>
      <c r="G71" s="37">
        <f>'Round 3 Data'!G71*'Round 3 Points'!M$2</f>
        <v>7</v>
      </c>
      <c r="H71" s="37">
        <f>'Round 3 Data'!H71*'Round 3 Points'!N$2</f>
        <v>0</v>
      </c>
      <c r="I71" s="37">
        <f>'Round 3 Data'!I71*'Round 3 Points'!O$2</f>
        <v>2.4000000000000004</v>
      </c>
      <c r="J71" s="37">
        <f>'Round 3 Data'!J71*'Round 3 Points'!P$2</f>
        <v>0</v>
      </c>
      <c r="K71" s="37">
        <f>'Round 3 Data'!K71*'Round 3 Points'!Q$2</f>
        <v>7</v>
      </c>
      <c r="L71" s="37">
        <f>'Round 3 Data'!L71*'Round 3 Points'!R$2</f>
        <v>7</v>
      </c>
      <c r="M71" s="37">
        <f>'Round 3 Data'!M71*'Round 3 Points'!S$2</f>
        <v>0</v>
      </c>
      <c r="N71" s="37">
        <f>'Round 3 Data'!N71*'Round 3 Points'!T$2</f>
        <v>0</v>
      </c>
      <c r="O71" s="37">
        <f>'Round 3 Data'!O71*'Round 3 Points'!U$2</f>
        <v>0</v>
      </c>
      <c r="P71" s="37">
        <f>'Round 3 Data'!P71*'Round 3 Points'!V$2</f>
        <v>0</v>
      </c>
      <c r="Q71" s="37">
        <f>'Round 3 Data'!Q71*'Round 3 Points'!W$2</f>
        <v>0</v>
      </c>
      <c r="R71" s="37">
        <f>'Round 3 Data'!R71*'Round 3 Points'!X$2</f>
        <v>0</v>
      </c>
      <c r="S71" s="37">
        <f>'Round 3 Data'!S71*'Round 3 Points'!Y$2</f>
        <v>0</v>
      </c>
      <c r="T71" s="38">
        <f t="shared" si="0"/>
        <v>32.4</v>
      </c>
      <c r="U71" s="37">
        <f>'Round 3 Data'!U71*'Round 3 Points'!$Z$2</f>
        <v>0</v>
      </c>
      <c r="V71" s="36">
        <f>IF('Round 3 Data'!D71='Round 3 Points'!$K$1,D71/80*$K$2,0)</f>
        <v>0</v>
      </c>
      <c r="W71" s="52">
        <f t="shared" si="1"/>
        <v>32.4</v>
      </c>
    </row>
    <row r="72" spans="1:23" x14ac:dyDescent="0.2">
      <c r="A72" s="81" t="s">
        <v>73</v>
      </c>
      <c r="B72" s="36" t="str" cm="1">
        <f t="array" ref="B72:C72">_xlfn.XLOOKUP(A72,'Player List'!$A$2:$A$177,'Player List'!$B$2:$C$177)</f>
        <v>Wales</v>
      </c>
      <c r="C72" s="36" t="str">
        <v>Second Row</v>
      </c>
      <c r="D72" s="37">
        <v>63</v>
      </c>
      <c r="F72" s="37">
        <f>'Round 3 Data'!F72*'Round 3 Points'!L$2</f>
        <v>13</v>
      </c>
      <c r="G72" s="37">
        <f>'Round 3 Data'!G72*'Round 3 Points'!M$2</f>
        <v>7</v>
      </c>
      <c r="H72" s="37">
        <f>'Round 3 Data'!H72*'Round 3 Points'!N$2</f>
        <v>0</v>
      </c>
      <c r="I72" s="37">
        <f>'Round 3 Data'!I72*'Round 3 Points'!O$2</f>
        <v>5.6000000000000005</v>
      </c>
      <c r="J72" s="37">
        <f>'Round 3 Data'!J72*'Round 3 Points'!P$2</f>
        <v>0</v>
      </c>
      <c r="K72" s="37">
        <f>'Round 3 Data'!K72*'Round 3 Points'!Q$2</f>
        <v>0</v>
      </c>
      <c r="L72" s="37">
        <f>'Round 3 Data'!L72*'Round 3 Points'!R$2</f>
        <v>0</v>
      </c>
      <c r="M72" s="37">
        <f>'Round 3 Data'!M72*'Round 3 Points'!S$2</f>
        <v>0</v>
      </c>
      <c r="N72" s="37">
        <f>'Round 3 Data'!N72*'Round 3 Points'!T$2</f>
        <v>0</v>
      </c>
      <c r="O72" s="37">
        <f>'Round 3 Data'!O72*'Round 3 Points'!U$2</f>
        <v>0</v>
      </c>
      <c r="P72" s="37">
        <f>'Round 3 Data'!P72*'Round 3 Points'!V$2</f>
        <v>0</v>
      </c>
      <c r="Q72" s="37">
        <f>'Round 3 Data'!Q72*'Round 3 Points'!W$2</f>
        <v>0</v>
      </c>
      <c r="R72" s="37">
        <f>'Round 3 Data'!R72*'Round 3 Points'!X$2</f>
        <v>0</v>
      </c>
      <c r="S72" s="37">
        <f>'Round 3 Data'!S72*'Round 3 Points'!Y$2</f>
        <v>0</v>
      </c>
      <c r="T72" s="38">
        <f t="shared" si="0"/>
        <v>25.6</v>
      </c>
      <c r="U72" s="37">
        <f>'Round 3 Data'!U72*'Round 3 Points'!$Z$2</f>
        <v>0</v>
      </c>
      <c r="V72" s="36">
        <f>IF('Round 3 Data'!D72='Round 3 Points'!$K$1,D72/80*$K$2,0)</f>
        <v>0</v>
      </c>
      <c r="W72" s="52">
        <f t="shared" si="1"/>
        <v>25.6</v>
      </c>
    </row>
    <row r="73" spans="1:23" x14ac:dyDescent="0.2">
      <c r="A73" s="81" t="s">
        <v>75</v>
      </c>
      <c r="B73" s="36" t="str" cm="1">
        <f t="array" ref="B73:C73">_xlfn.XLOOKUP(A73,'Player List'!$A$2:$A$177,'Player List'!$B$2:$C$177)</f>
        <v>Wales</v>
      </c>
      <c r="C73" s="36" t="str">
        <v>Prop</v>
      </c>
      <c r="D73" s="37">
        <v>24</v>
      </c>
      <c r="F73" s="37">
        <f>'Round 3 Data'!F73*'Round 3 Points'!L$2</f>
        <v>3</v>
      </c>
      <c r="G73" s="37">
        <f>'Round 3 Data'!G73*'Round 3 Points'!M$2</f>
        <v>0</v>
      </c>
      <c r="H73" s="37">
        <f>'Round 3 Data'!H73*'Round 3 Points'!N$2</f>
        <v>0</v>
      </c>
      <c r="I73" s="37">
        <f>'Round 3 Data'!I73*'Round 3 Points'!O$2</f>
        <v>4.8000000000000007</v>
      </c>
      <c r="J73" s="37">
        <f>'Round 3 Data'!J73*'Round 3 Points'!P$2</f>
        <v>0</v>
      </c>
      <c r="K73" s="37">
        <f>'Round 3 Data'!K73*'Round 3 Points'!Q$2</f>
        <v>0</v>
      </c>
      <c r="L73" s="37">
        <f>'Round 3 Data'!L73*'Round 3 Points'!R$2</f>
        <v>0</v>
      </c>
      <c r="M73" s="37">
        <f>'Round 3 Data'!M73*'Round 3 Points'!S$2</f>
        <v>0</v>
      </c>
      <c r="N73" s="37">
        <f>'Round 3 Data'!N73*'Round 3 Points'!T$2</f>
        <v>0</v>
      </c>
      <c r="O73" s="37">
        <f>'Round 3 Data'!O73*'Round 3 Points'!U$2</f>
        <v>0</v>
      </c>
      <c r="P73" s="37">
        <f>'Round 3 Data'!P73*'Round 3 Points'!V$2</f>
        <v>0</v>
      </c>
      <c r="Q73" s="37">
        <f>'Round 3 Data'!Q73*'Round 3 Points'!W$2</f>
        <v>0</v>
      </c>
      <c r="R73" s="37">
        <f>'Round 3 Data'!R73*'Round 3 Points'!X$2</f>
        <v>0</v>
      </c>
      <c r="S73" s="37">
        <f>'Round 3 Data'!S73*'Round 3 Points'!Y$2</f>
        <v>0</v>
      </c>
      <c r="T73" s="38">
        <f t="shared" si="0"/>
        <v>7.8000000000000007</v>
      </c>
      <c r="U73" s="37">
        <f>'Round 3 Data'!U73*'Round 3 Points'!$Z$2</f>
        <v>0</v>
      </c>
      <c r="V73" s="36">
        <f>IF('Round 3 Data'!D73='Round 3 Points'!$K$1,D73/80*$K$2,0)</f>
        <v>0</v>
      </c>
      <c r="W73" s="52">
        <f t="shared" si="1"/>
        <v>7.8000000000000007</v>
      </c>
    </row>
    <row r="74" spans="1:23" x14ac:dyDescent="0.2">
      <c r="A74" s="81" t="s">
        <v>163</v>
      </c>
      <c r="B74" s="36" t="str" cm="1">
        <f t="array" ref="B74:C74">_xlfn.XLOOKUP(A74,'Player List'!$A$2:$A$177,'Player List'!$B$2:$C$177)</f>
        <v>Wales</v>
      </c>
      <c r="C74" s="36" t="str">
        <v>Prop</v>
      </c>
      <c r="D74" s="37">
        <v>56</v>
      </c>
      <c r="F74" s="37">
        <f>'Round 3 Data'!F74*'Round 3 Points'!L$2</f>
        <v>11</v>
      </c>
      <c r="G74" s="37">
        <f>'Round 3 Data'!G74*'Round 3 Points'!M$2</f>
        <v>0</v>
      </c>
      <c r="H74" s="37">
        <f>'Round 3 Data'!H74*'Round 3 Points'!N$2</f>
        <v>0</v>
      </c>
      <c r="I74" s="37">
        <f>'Round 3 Data'!I74*'Round 3 Points'!O$2</f>
        <v>1.4000000000000001</v>
      </c>
      <c r="J74" s="37">
        <f>'Round 3 Data'!J74*'Round 3 Points'!P$2</f>
        <v>0</v>
      </c>
      <c r="K74" s="37">
        <f>'Round 3 Data'!K74*'Round 3 Points'!Q$2</f>
        <v>0</v>
      </c>
      <c r="L74" s="37">
        <f>'Round 3 Data'!L74*'Round 3 Points'!R$2</f>
        <v>0</v>
      </c>
      <c r="M74" s="37">
        <f>'Round 3 Data'!M74*'Round 3 Points'!S$2</f>
        <v>0</v>
      </c>
      <c r="N74" s="37">
        <f>'Round 3 Data'!N74*'Round 3 Points'!T$2</f>
        <v>0</v>
      </c>
      <c r="O74" s="37">
        <f>'Round 3 Data'!O74*'Round 3 Points'!U$2</f>
        <v>0</v>
      </c>
      <c r="P74" s="37">
        <f>'Round 3 Data'!P74*'Round 3 Points'!V$2</f>
        <v>0</v>
      </c>
      <c r="Q74" s="37">
        <f>'Round 3 Data'!Q74*'Round 3 Points'!W$2</f>
        <v>0</v>
      </c>
      <c r="R74" s="37">
        <f>'Round 3 Data'!R74*'Round 3 Points'!X$2</f>
        <v>0</v>
      </c>
      <c r="S74" s="37">
        <f>'Round 3 Data'!S74*'Round 3 Points'!Y$2</f>
        <v>0</v>
      </c>
      <c r="T74" s="38">
        <f t="shared" si="0"/>
        <v>12.4</v>
      </c>
      <c r="U74" s="37">
        <f>'Round 3 Data'!U74*'Round 3 Points'!$Z$2</f>
        <v>0</v>
      </c>
      <c r="V74" s="36">
        <f>IF('Round 3 Data'!D74='Round 3 Points'!$K$1,D74/80*$K$2,0)</f>
        <v>0</v>
      </c>
      <c r="W74" s="52">
        <f t="shared" si="1"/>
        <v>12.4</v>
      </c>
    </row>
    <row r="75" spans="1:23" x14ac:dyDescent="0.2">
      <c r="A75" s="81" t="s">
        <v>77</v>
      </c>
      <c r="B75" s="36" t="str" cm="1">
        <f t="array" ref="B75:C75">_xlfn.XLOOKUP(A75,'Player List'!$A$2:$A$177,'Player List'!$B$2:$C$177)</f>
        <v>Wales</v>
      </c>
      <c r="C75" s="36" t="str">
        <v>Prop</v>
      </c>
      <c r="D75" s="37">
        <v>24</v>
      </c>
      <c r="F75" s="37">
        <f>'Round 3 Data'!F75*'Round 3 Points'!L$2</f>
        <v>2</v>
      </c>
      <c r="G75" s="37">
        <f>'Round 3 Data'!G75*'Round 3 Points'!M$2</f>
        <v>0</v>
      </c>
      <c r="H75" s="37">
        <f>'Round 3 Data'!H75*'Round 3 Points'!N$2</f>
        <v>0</v>
      </c>
      <c r="I75" s="37">
        <f>'Round 3 Data'!I75*'Round 3 Points'!O$2</f>
        <v>0.60000000000000009</v>
      </c>
      <c r="J75" s="37">
        <f>'Round 3 Data'!J75*'Round 3 Points'!P$2</f>
        <v>0</v>
      </c>
      <c r="K75" s="37">
        <f>'Round 3 Data'!K75*'Round 3 Points'!Q$2</f>
        <v>0</v>
      </c>
      <c r="L75" s="37">
        <f>'Round 3 Data'!L75*'Round 3 Points'!R$2</f>
        <v>0</v>
      </c>
      <c r="M75" s="37">
        <f>'Round 3 Data'!M75*'Round 3 Points'!S$2</f>
        <v>0</v>
      </c>
      <c r="N75" s="37">
        <f>'Round 3 Data'!N75*'Round 3 Points'!T$2</f>
        <v>0</v>
      </c>
      <c r="O75" s="37">
        <f>'Round 3 Data'!O75*'Round 3 Points'!U$2</f>
        <v>0</v>
      </c>
      <c r="P75" s="37">
        <f>'Round 3 Data'!P75*'Round 3 Points'!V$2</f>
        <v>0</v>
      </c>
      <c r="Q75" s="37">
        <f>'Round 3 Data'!Q75*'Round 3 Points'!W$2</f>
        <v>0</v>
      </c>
      <c r="R75" s="37">
        <f>'Round 3 Data'!R75*'Round 3 Points'!X$2</f>
        <v>0</v>
      </c>
      <c r="S75" s="37">
        <f>'Round 3 Data'!S75*'Round 3 Points'!Y$2</f>
        <v>0</v>
      </c>
      <c r="T75" s="38">
        <f t="shared" ref="T75:T138" si="2">SUM(F75:S75)</f>
        <v>2.6</v>
      </c>
      <c r="U75" s="37">
        <f>'Round 3 Data'!U75*'Round 3 Points'!$Z$2</f>
        <v>0</v>
      </c>
      <c r="V75" s="36">
        <f>IF('Round 3 Data'!D75='Round 3 Points'!$K$1,D75/80*$K$2,0)</f>
        <v>0</v>
      </c>
      <c r="W75" s="52">
        <f t="shared" ref="W75:W138" si="3">SUM(T75:V75)</f>
        <v>2.6</v>
      </c>
    </row>
    <row r="76" spans="1:23" x14ac:dyDescent="0.2">
      <c r="A76" s="81" t="s">
        <v>164</v>
      </c>
      <c r="B76" s="36" t="str" cm="1">
        <f t="array" ref="B76:C76">_xlfn.XLOOKUP(A76,'Player List'!$A$2:$A$177,'Player List'!$B$2:$C$177)</f>
        <v>Wales</v>
      </c>
      <c r="C76" s="36" t="str">
        <v>Prop</v>
      </c>
      <c r="D76" s="37">
        <v>56</v>
      </c>
      <c r="F76" s="37">
        <f>'Round 3 Data'!F76*'Round 3 Points'!L$2</f>
        <v>11</v>
      </c>
      <c r="G76" s="37">
        <f>'Round 3 Data'!G76*'Round 3 Points'!M$2</f>
        <v>0</v>
      </c>
      <c r="H76" s="37">
        <f>'Round 3 Data'!H76*'Round 3 Points'!N$2</f>
        <v>7</v>
      </c>
      <c r="I76" s="37">
        <f>'Round 3 Data'!I76*'Round 3 Points'!O$2</f>
        <v>5.8000000000000007</v>
      </c>
      <c r="J76" s="37">
        <f>'Round 3 Data'!J76*'Round 3 Points'!P$2</f>
        <v>0</v>
      </c>
      <c r="K76" s="37">
        <f>'Round 3 Data'!K76*'Round 3 Points'!Q$2</f>
        <v>0</v>
      </c>
      <c r="L76" s="37">
        <f>'Round 3 Data'!L76*'Round 3 Points'!R$2</f>
        <v>0</v>
      </c>
      <c r="M76" s="37">
        <f>'Round 3 Data'!M76*'Round 3 Points'!S$2</f>
        <v>0</v>
      </c>
      <c r="N76" s="37">
        <f>'Round 3 Data'!N76*'Round 3 Points'!T$2</f>
        <v>0</v>
      </c>
      <c r="O76" s="37">
        <f>'Round 3 Data'!O76*'Round 3 Points'!U$2</f>
        <v>0</v>
      </c>
      <c r="P76" s="37">
        <f>'Round 3 Data'!P76*'Round 3 Points'!V$2</f>
        <v>0</v>
      </c>
      <c r="Q76" s="37">
        <f>'Round 3 Data'!Q76*'Round 3 Points'!W$2</f>
        <v>0</v>
      </c>
      <c r="R76" s="37">
        <f>'Round 3 Data'!R76*'Round 3 Points'!X$2</f>
        <v>0</v>
      </c>
      <c r="S76" s="37">
        <f>'Round 3 Data'!S76*'Round 3 Points'!Y$2</f>
        <v>0</v>
      </c>
      <c r="T76" s="38">
        <f t="shared" si="2"/>
        <v>23.8</v>
      </c>
      <c r="U76" s="37">
        <f>'Round 3 Data'!U76*'Round 3 Points'!$Z$2</f>
        <v>0</v>
      </c>
      <c r="V76" s="36">
        <f>IF('Round 3 Data'!D76='Round 3 Points'!$K$1,D76/80*$K$2,0)</f>
        <v>0</v>
      </c>
      <c r="W76" s="52">
        <f t="shared" si="3"/>
        <v>23.8</v>
      </c>
    </row>
    <row r="77" spans="1:23" x14ac:dyDescent="0.2">
      <c r="A77" s="81" t="s">
        <v>79</v>
      </c>
      <c r="B77" s="36" t="str" cm="1">
        <f t="array" ref="B77:C77">_xlfn.XLOOKUP(A77,'Player List'!$A$2:$A$177,'Player List'!$B$2:$C$177)</f>
        <v>Wales</v>
      </c>
      <c r="C77" s="36" t="str">
        <v>Hooker</v>
      </c>
      <c r="D77" s="37">
        <v>69</v>
      </c>
      <c r="F77" s="37">
        <f>'Round 3 Data'!F77*'Round 3 Points'!L$2</f>
        <v>8</v>
      </c>
      <c r="G77" s="37">
        <f>'Round 3 Data'!G77*'Round 3 Points'!M$2</f>
        <v>7</v>
      </c>
      <c r="H77" s="37">
        <f>'Round 3 Data'!H77*'Round 3 Points'!N$2</f>
        <v>0</v>
      </c>
      <c r="I77" s="37">
        <f>'Round 3 Data'!I77*'Round 3 Points'!O$2</f>
        <v>5.8000000000000007</v>
      </c>
      <c r="J77" s="37">
        <f>'Round 3 Data'!J77*'Round 3 Points'!P$2</f>
        <v>0</v>
      </c>
      <c r="K77" s="37">
        <f>'Round 3 Data'!K77*'Round 3 Points'!Q$2</f>
        <v>0</v>
      </c>
      <c r="L77" s="37">
        <f>'Round 3 Data'!L77*'Round 3 Points'!R$2</f>
        <v>0</v>
      </c>
      <c r="M77" s="37">
        <f>'Round 3 Data'!M77*'Round 3 Points'!S$2</f>
        <v>0</v>
      </c>
      <c r="N77" s="37">
        <f>'Round 3 Data'!N77*'Round 3 Points'!T$2</f>
        <v>0</v>
      </c>
      <c r="O77" s="37">
        <f>'Round 3 Data'!O77*'Round 3 Points'!U$2</f>
        <v>0</v>
      </c>
      <c r="P77" s="37">
        <f>'Round 3 Data'!P77*'Round 3 Points'!V$2</f>
        <v>0</v>
      </c>
      <c r="Q77" s="37">
        <f>'Round 3 Data'!Q77*'Round 3 Points'!W$2</f>
        <v>0</v>
      </c>
      <c r="R77" s="37">
        <f>'Round 3 Data'!R77*'Round 3 Points'!X$2</f>
        <v>0</v>
      </c>
      <c r="S77" s="37">
        <f>'Round 3 Data'!S77*'Round 3 Points'!Y$2</f>
        <v>0</v>
      </c>
      <c r="T77" s="38">
        <f t="shared" si="2"/>
        <v>20.8</v>
      </c>
      <c r="U77" s="37">
        <f>'Round 3 Data'!U77*'Round 3 Points'!$Z$2</f>
        <v>0</v>
      </c>
      <c r="V77" s="36">
        <f>IF('Round 3 Data'!D77='Round 3 Points'!$K$1,D77/80*$K$2,0)</f>
        <v>0</v>
      </c>
      <c r="W77" s="52">
        <f t="shared" si="3"/>
        <v>20.8</v>
      </c>
    </row>
    <row r="78" spans="1:23" x14ac:dyDescent="0.2">
      <c r="A78" s="81" t="s">
        <v>165</v>
      </c>
      <c r="B78" s="36" t="str" cm="1">
        <f t="array" ref="B78:C78">_xlfn.XLOOKUP(A78,'Player List'!$A$2:$A$177,'Player List'!$B$2:$C$177)</f>
        <v>Wales</v>
      </c>
      <c r="C78" s="36" t="str">
        <v>Hooker</v>
      </c>
      <c r="D78" s="37">
        <v>11</v>
      </c>
      <c r="F78" s="37">
        <f>'Round 3 Data'!F78*'Round 3 Points'!L$2</f>
        <v>3</v>
      </c>
      <c r="G78" s="37">
        <f>'Round 3 Data'!G78*'Round 3 Points'!M$2</f>
        <v>0</v>
      </c>
      <c r="H78" s="37">
        <f>'Round 3 Data'!H78*'Round 3 Points'!N$2</f>
        <v>0</v>
      </c>
      <c r="I78" s="37">
        <f>'Round 3 Data'!I78*'Round 3 Points'!O$2</f>
        <v>1</v>
      </c>
      <c r="J78" s="37">
        <f>'Round 3 Data'!J78*'Round 3 Points'!P$2</f>
        <v>0</v>
      </c>
      <c r="K78" s="37">
        <f>'Round 3 Data'!K78*'Round 3 Points'!Q$2</f>
        <v>0</v>
      </c>
      <c r="L78" s="37">
        <f>'Round 3 Data'!L78*'Round 3 Points'!R$2</f>
        <v>0</v>
      </c>
      <c r="M78" s="37">
        <f>'Round 3 Data'!M78*'Round 3 Points'!S$2</f>
        <v>0</v>
      </c>
      <c r="N78" s="37">
        <f>'Round 3 Data'!N78*'Round 3 Points'!T$2</f>
        <v>0</v>
      </c>
      <c r="O78" s="37">
        <f>'Round 3 Data'!O78*'Round 3 Points'!U$2</f>
        <v>0</v>
      </c>
      <c r="P78" s="37">
        <f>'Round 3 Data'!P78*'Round 3 Points'!V$2</f>
        <v>0</v>
      </c>
      <c r="Q78" s="37">
        <f>'Round 3 Data'!Q78*'Round 3 Points'!W$2</f>
        <v>0</v>
      </c>
      <c r="R78" s="37">
        <f>'Round 3 Data'!R78*'Round 3 Points'!X$2</f>
        <v>0</v>
      </c>
      <c r="S78" s="37">
        <f>'Round 3 Data'!S78*'Round 3 Points'!Y$2</f>
        <v>0</v>
      </c>
      <c r="T78" s="38">
        <f t="shared" si="2"/>
        <v>4</v>
      </c>
      <c r="U78" s="37">
        <f>'Round 3 Data'!U78*'Round 3 Points'!$Z$2</f>
        <v>0</v>
      </c>
      <c r="V78" s="36">
        <f>IF('Round 3 Data'!D78='Round 3 Points'!$K$1,D78/80*$K$2,0)</f>
        <v>0</v>
      </c>
      <c r="W78" s="52">
        <f t="shared" si="3"/>
        <v>4</v>
      </c>
    </row>
    <row r="79" spans="1:23" x14ac:dyDescent="0.2">
      <c r="A79" s="81" t="s">
        <v>80</v>
      </c>
      <c r="B79" s="36" t="str" cm="1">
        <f t="array" ref="B79:C79">_xlfn.XLOOKUP(A79,'Player List'!$A$2:$A$177,'Player List'!$B$2:$C$177)</f>
        <v>England</v>
      </c>
      <c r="C79" s="36" t="str">
        <v>Back Three</v>
      </c>
      <c r="D79" s="37">
        <v>1</v>
      </c>
      <c r="F79" s="37">
        <f>'Round 3 Data'!F79*'Round 3 Points'!L$2</f>
        <v>0</v>
      </c>
      <c r="G79" s="37">
        <f>'Round 3 Data'!G79*'Round 3 Points'!M$2</f>
        <v>0</v>
      </c>
      <c r="H79" s="37">
        <f>'Round 3 Data'!H79*'Round 3 Points'!N$2</f>
        <v>0</v>
      </c>
      <c r="I79" s="37">
        <f>'Round 3 Data'!I79*'Round 3 Points'!O$2</f>
        <v>2.4000000000000004</v>
      </c>
      <c r="J79" s="37">
        <f>'Round 3 Data'!J79*'Round 3 Points'!P$2</f>
        <v>0</v>
      </c>
      <c r="K79" s="37">
        <f>'Round 3 Data'!K79*'Round 3 Points'!Q$2</f>
        <v>0</v>
      </c>
      <c r="L79" s="37">
        <f>'Round 3 Data'!L79*'Round 3 Points'!R$2</f>
        <v>0</v>
      </c>
      <c r="M79" s="37">
        <f>'Round 3 Data'!M79*'Round 3 Points'!S$2</f>
        <v>0</v>
      </c>
      <c r="N79" s="37">
        <f>'Round 3 Data'!N79*'Round 3 Points'!T$2</f>
        <v>0</v>
      </c>
      <c r="O79" s="37">
        <f>'Round 3 Data'!O79*'Round 3 Points'!U$2</f>
        <v>0</v>
      </c>
      <c r="P79" s="37">
        <f>'Round 3 Data'!P79*'Round 3 Points'!V$2</f>
        <v>0</v>
      </c>
      <c r="Q79" s="37">
        <f>'Round 3 Data'!Q79*'Round 3 Points'!W$2</f>
        <v>0</v>
      </c>
      <c r="R79" s="37">
        <f>'Round 3 Data'!R79*'Round 3 Points'!X$2</f>
        <v>0</v>
      </c>
      <c r="S79" s="37">
        <f>'Round 3 Data'!S79*'Round 3 Points'!Y$2</f>
        <v>0</v>
      </c>
      <c r="T79" s="38">
        <f t="shared" si="2"/>
        <v>2.4000000000000004</v>
      </c>
      <c r="U79" s="37">
        <f>'Round 3 Data'!U79*'Round 3 Points'!$Z$2</f>
        <v>0</v>
      </c>
      <c r="V79" s="36">
        <f>IF('Round 3 Data'!D79='Round 3 Points'!$K$1,D79/80*$K$2,0)</f>
        <v>0.1</v>
      </c>
      <c r="W79" s="52">
        <f t="shared" si="3"/>
        <v>2.5000000000000004</v>
      </c>
    </row>
    <row r="80" spans="1:23" x14ac:dyDescent="0.2">
      <c r="A80" s="81" t="s">
        <v>82</v>
      </c>
      <c r="B80" s="36" t="str" cm="1">
        <f t="array" ref="B80:C80">_xlfn.XLOOKUP(A80,'Player List'!$A$2:$A$177,'Player List'!$B$2:$C$177)</f>
        <v>England</v>
      </c>
      <c r="C80" s="36" t="str">
        <v>Back Three</v>
      </c>
      <c r="D80" s="37">
        <v>80</v>
      </c>
      <c r="F80" s="37">
        <f>'Round 3 Data'!F80*'Round 3 Points'!L$2</f>
        <v>11</v>
      </c>
      <c r="G80" s="37">
        <f>'Round 3 Data'!G80*'Round 3 Points'!M$2</f>
        <v>7</v>
      </c>
      <c r="H80" s="37">
        <f>'Round 3 Data'!H80*'Round 3 Points'!N$2</f>
        <v>7</v>
      </c>
      <c r="I80" s="37">
        <f>'Round 3 Data'!I80*'Round 3 Points'!O$2</f>
        <v>13.200000000000001</v>
      </c>
      <c r="J80" s="37">
        <f>'Round 3 Data'!J80*'Round 3 Points'!P$2</f>
        <v>0</v>
      </c>
      <c r="K80" s="37">
        <f>'Round 3 Data'!K80*'Round 3 Points'!Q$2</f>
        <v>0</v>
      </c>
      <c r="L80" s="37">
        <f>'Round 3 Data'!L80*'Round 3 Points'!R$2</f>
        <v>0</v>
      </c>
      <c r="M80" s="37">
        <f>'Round 3 Data'!M80*'Round 3 Points'!S$2</f>
        <v>0</v>
      </c>
      <c r="N80" s="37">
        <f>'Round 3 Data'!N80*'Round 3 Points'!T$2</f>
        <v>0</v>
      </c>
      <c r="O80" s="37">
        <f>'Round 3 Data'!O80*'Round 3 Points'!U$2</f>
        <v>0</v>
      </c>
      <c r="P80" s="37">
        <f>'Round 3 Data'!P80*'Round 3 Points'!V$2</f>
        <v>0</v>
      </c>
      <c r="Q80" s="37">
        <f>'Round 3 Data'!Q80*'Round 3 Points'!W$2</f>
        <v>0</v>
      </c>
      <c r="R80" s="37">
        <f>'Round 3 Data'!R80*'Round 3 Points'!X$2</f>
        <v>0</v>
      </c>
      <c r="S80" s="37">
        <f>'Round 3 Data'!S80*'Round 3 Points'!Y$2</f>
        <v>0</v>
      </c>
      <c r="T80" s="38">
        <f t="shared" si="2"/>
        <v>38.200000000000003</v>
      </c>
      <c r="U80" s="37">
        <f>'Round 3 Data'!U80*'Round 3 Points'!$Z$2</f>
        <v>0</v>
      </c>
      <c r="V80" s="36">
        <f>IF('Round 3 Data'!D80='Round 3 Points'!$K$1,D80/80*$K$2,0)</f>
        <v>8</v>
      </c>
      <c r="W80" s="52">
        <f t="shared" si="3"/>
        <v>46.2</v>
      </c>
    </row>
    <row r="81" spans="1:23" x14ac:dyDescent="0.2">
      <c r="A81" s="81" t="s">
        <v>83</v>
      </c>
      <c r="B81" s="36" t="str" cm="1">
        <f t="array" ref="B81:C81">_xlfn.XLOOKUP(A81,'Player List'!$A$2:$A$177,'Player List'!$B$2:$C$177)</f>
        <v>England</v>
      </c>
      <c r="C81" s="36" t="str">
        <v>Back Three</v>
      </c>
      <c r="D81" s="37">
        <v>80</v>
      </c>
      <c r="F81" s="37">
        <f>'Round 3 Data'!F81*'Round 3 Points'!L$2</f>
        <v>3</v>
      </c>
      <c r="G81" s="37">
        <f>'Round 3 Data'!G81*'Round 3 Points'!M$2</f>
        <v>7</v>
      </c>
      <c r="H81" s="37">
        <f>'Round 3 Data'!H81*'Round 3 Points'!N$2</f>
        <v>0</v>
      </c>
      <c r="I81" s="37">
        <f>'Round 3 Data'!I81*'Round 3 Points'!O$2</f>
        <v>18.8</v>
      </c>
      <c r="J81" s="37">
        <f>'Round 3 Data'!J81*'Round 3 Points'!P$2</f>
        <v>0</v>
      </c>
      <c r="K81" s="37">
        <f>'Round 3 Data'!K81*'Round 3 Points'!Q$2</f>
        <v>0</v>
      </c>
      <c r="L81" s="37">
        <f>'Round 3 Data'!L81*'Round 3 Points'!R$2</f>
        <v>0</v>
      </c>
      <c r="M81" s="37">
        <f>'Round 3 Data'!M81*'Round 3 Points'!S$2</f>
        <v>0</v>
      </c>
      <c r="N81" s="37">
        <f>'Round 3 Data'!N81*'Round 3 Points'!T$2</f>
        <v>7</v>
      </c>
      <c r="O81" s="37">
        <f>'Round 3 Data'!O81*'Round 3 Points'!U$2</f>
        <v>0</v>
      </c>
      <c r="P81" s="37">
        <f>'Round 3 Data'!P81*'Round 3 Points'!V$2</f>
        <v>0</v>
      </c>
      <c r="Q81" s="37">
        <f>'Round 3 Data'!Q81*'Round 3 Points'!W$2</f>
        <v>0</v>
      </c>
      <c r="R81" s="37">
        <f>'Round 3 Data'!R81*'Round 3 Points'!X$2</f>
        <v>0</v>
      </c>
      <c r="S81" s="37">
        <f>'Round 3 Data'!S81*'Round 3 Points'!Y$2</f>
        <v>0</v>
      </c>
      <c r="T81" s="38">
        <f t="shared" si="2"/>
        <v>35.799999999999997</v>
      </c>
      <c r="U81" s="37">
        <f>'Round 3 Data'!U81*'Round 3 Points'!$Z$2</f>
        <v>15</v>
      </c>
      <c r="V81" s="36">
        <f>IF('Round 3 Data'!D81='Round 3 Points'!$K$1,D81/80*$K$2,0)</f>
        <v>8</v>
      </c>
      <c r="W81" s="52">
        <f t="shared" si="3"/>
        <v>58.8</v>
      </c>
    </row>
    <row r="82" spans="1:23" x14ac:dyDescent="0.2">
      <c r="A82" s="81" t="s">
        <v>166</v>
      </c>
      <c r="B82" s="36" t="str" cm="1">
        <f t="array" ref="B82:C82">_xlfn.XLOOKUP(A82,'Player List'!$A$2:$A$177,'Player List'!$B$2:$C$177)</f>
        <v>England</v>
      </c>
      <c r="C82" s="36" t="str">
        <v>Back Three</v>
      </c>
      <c r="D82" s="37">
        <v>80</v>
      </c>
      <c r="F82" s="37">
        <f>'Round 3 Data'!F82*'Round 3 Points'!L$2</f>
        <v>3</v>
      </c>
      <c r="G82" s="37">
        <f>'Round 3 Data'!G82*'Round 3 Points'!M$2</f>
        <v>7</v>
      </c>
      <c r="H82" s="37">
        <f>'Round 3 Data'!H82*'Round 3 Points'!N$2</f>
        <v>14</v>
      </c>
      <c r="I82" s="37">
        <f>'Round 3 Data'!I82*'Round 3 Points'!O$2</f>
        <v>11.600000000000001</v>
      </c>
      <c r="J82" s="37">
        <f>'Round 3 Data'!J82*'Round 3 Points'!P$2</f>
        <v>0</v>
      </c>
      <c r="K82" s="37">
        <f>'Round 3 Data'!K82*'Round 3 Points'!Q$2</f>
        <v>0</v>
      </c>
      <c r="L82" s="37">
        <f>'Round 3 Data'!L82*'Round 3 Points'!R$2</f>
        <v>0</v>
      </c>
      <c r="M82" s="37">
        <f>'Round 3 Data'!M82*'Round 3 Points'!S$2</f>
        <v>15</v>
      </c>
      <c r="N82" s="37">
        <f>'Round 3 Data'!N82*'Round 3 Points'!T$2</f>
        <v>0</v>
      </c>
      <c r="O82" s="37">
        <f>'Round 3 Data'!O82*'Round 3 Points'!U$2</f>
        <v>0</v>
      </c>
      <c r="P82" s="37">
        <f>'Round 3 Data'!P82*'Round 3 Points'!V$2</f>
        <v>0</v>
      </c>
      <c r="Q82" s="37">
        <f>'Round 3 Data'!Q82*'Round 3 Points'!W$2</f>
        <v>0</v>
      </c>
      <c r="R82" s="37">
        <f>'Round 3 Data'!R82*'Round 3 Points'!X$2</f>
        <v>0</v>
      </c>
      <c r="S82" s="37">
        <f>'Round 3 Data'!S82*'Round 3 Points'!Y$2</f>
        <v>0</v>
      </c>
      <c r="T82" s="38">
        <f t="shared" si="2"/>
        <v>50.6</v>
      </c>
      <c r="U82" s="37">
        <f>'Round 3 Data'!U82*'Round 3 Points'!$Z$2</f>
        <v>0</v>
      </c>
      <c r="V82" s="36">
        <f>IF('Round 3 Data'!D82='Round 3 Points'!$K$1,D82/80*$K$2,0)</f>
        <v>8</v>
      </c>
      <c r="W82" s="52">
        <f t="shared" si="3"/>
        <v>58.6</v>
      </c>
    </row>
    <row r="83" spans="1:23" x14ac:dyDescent="0.2">
      <c r="A83" s="81" t="s">
        <v>84</v>
      </c>
      <c r="B83" s="36" t="str" cm="1">
        <f t="array" ref="B83:C83">_xlfn.XLOOKUP(A83,'Player List'!$A$2:$A$177,'Player List'!$B$2:$C$177)</f>
        <v>England</v>
      </c>
      <c r="C83" s="36" t="str">
        <v>Centre</v>
      </c>
      <c r="D83" s="37">
        <v>80</v>
      </c>
      <c r="F83" s="37">
        <f>'Round 3 Data'!F83*'Round 3 Points'!L$2</f>
        <v>17</v>
      </c>
      <c r="G83" s="37">
        <f>'Round 3 Data'!G83*'Round 3 Points'!M$2</f>
        <v>0</v>
      </c>
      <c r="H83" s="37">
        <f>'Round 3 Data'!H83*'Round 3 Points'!N$2</f>
        <v>0</v>
      </c>
      <c r="I83" s="37">
        <f>'Round 3 Data'!I83*'Round 3 Points'!O$2</f>
        <v>4.6000000000000005</v>
      </c>
      <c r="J83" s="37">
        <f>'Round 3 Data'!J83*'Round 3 Points'!P$2</f>
        <v>0</v>
      </c>
      <c r="K83" s="37">
        <f>'Round 3 Data'!K83*'Round 3 Points'!Q$2</f>
        <v>0</v>
      </c>
      <c r="L83" s="37">
        <f>'Round 3 Data'!L83*'Round 3 Points'!R$2</f>
        <v>14</v>
      </c>
      <c r="M83" s="37">
        <f>'Round 3 Data'!M83*'Round 3 Points'!S$2</f>
        <v>0</v>
      </c>
      <c r="N83" s="37">
        <f>'Round 3 Data'!N83*'Round 3 Points'!T$2</f>
        <v>0</v>
      </c>
      <c r="O83" s="37">
        <f>'Round 3 Data'!O83*'Round 3 Points'!U$2</f>
        <v>2</v>
      </c>
      <c r="P83" s="37">
        <f>'Round 3 Data'!P83*'Round 3 Points'!V$2</f>
        <v>5</v>
      </c>
      <c r="Q83" s="37">
        <f>'Round 3 Data'!Q83*'Round 3 Points'!W$2</f>
        <v>0</v>
      </c>
      <c r="R83" s="37">
        <f>'Round 3 Data'!R83*'Round 3 Points'!X$2</f>
        <v>0</v>
      </c>
      <c r="S83" s="37">
        <f>'Round 3 Data'!S83*'Round 3 Points'!Y$2</f>
        <v>0</v>
      </c>
      <c r="T83" s="38">
        <f t="shared" si="2"/>
        <v>42.6</v>
      </c>
      <c r="U83" s="37">
        <f>'Round 3 Data'!U83*'Round 3 Points'!$Z$2</f>
        <v>0</v>
      </c>
      <c r="V83" s="36">
        <f>IF('Round 3 Data'!D83='Round 3 Points'!$K$1,D83/80*$K$2,0)</f>
        <v>8</v>
      </c>
      <c r="W83" s="52">
        <f t="shared" si="3"/>
        <v>50.6</v>
      </c>
    </row>
    <row r="84" spans="1:23" x14ac:dyDescent="0.2">
      <c r="A84" s="81" t="s">
        <v>85</v>
      </c>
      <c r="B84" s="36" t="str" cm="1">
        <f t="array" ref="B84:C84">_xlfn.XLOOKUP(A84,'Player List'!$A$2:$A$177,'Player List'!$B$2:$C$177)</f>
        <v>England</v>
      </c>
      <c r="C84" s="36" t="str">
        <v>Centre</v>
      </c>
      <c r="D84" s="37">
        <v>80</v>
      </c>
      <c r="F84" s="37">
        <f>'Round 3 Data'!F84*'Round 3 Points'!L$2</f>
        <v>7</v>
      </c>
      <c r="G84" s="37">
        <f>'Round 3 Data'!G84*'Round 3 Points'!M$2</f>
        <v>14</v>
      </c>
      <c r="H84" s="37">
        <f>'Round 3 Data'!H84*'Round 3 Points'!N$2</f>
        <v>7</v>
      </c>
      <c r="I84" s="37">
        <f>'Round 3 Data'!I84*'Round 3 Points'!O$2</f>
        <v>17.2</v>
      </c>
      <c r="J84" s="37">
        <f>'Round 3 Data'!J84*'Round 3 Points'!P$2</f>
        <v>0</v>
      </c>
      <c r="K84" s="37">
        <f>'Round 3 Data'!K84*'Round 3 Points'!Q$2</f>
        <v>0</v>
      </c>
      <c r="L84" s="37">
        <f>'Round 3 Data'!L84*'Round 3 Points'!R$2</f>
        <v>7</v>
      </c>
      <c r="M84" s="37">
        <f>'Round 3 Data'!M84*'Round 3 Points'!S$2</f>
        <v>15</v>
      </c>
      <c r="N84" s="37">
        <f>'Round 3 Data'!N84*'Round 3 Points'!T$2</f>
        <v>0</v>
      </c>
      <c r="O84" s="37">
        <f>'Round 3 Data'!O84*'Round 3 Points'!U$2</f>
        <v>0</v>
      </c>
      <c r="P84" s="37">
        <f>'Round 3 Data'!P84*'Round 3 Points'!V$2</f>
        <v>0</v>
      </c>
      <c r="Q84" s="37">
        <f>'Round 3 Data'!Q84*'Round 3 Points'!W$2</f>
        <v>0</v>
      </c>
      <c r="R84" s="37">
        <f>'Round 3 Data'!R84*'Round 3 Points'!X$2</f>
        <v>0</v>
      </c>
      <c r="S84" s="37">
        <f>'Round 3 Data'!S84*'Round 3 Points'!Y$2</f>
        <v>0</v>
      </c>
      <c r="T84" s="38">
        <f t="shared" si="2"/>
        <v>67.2</v>
      </c>
      <c r="U84" s="37">
        <f>'Round 3 Data'!U84*'Round 3 Points'!$Z$2</f>
        <v>0</v>
      </c>
      <c r="V84" s="36">
        <f>IF('Round 3 Data'!D84='Round 3 Points'!$K$1,D84/80*$K$2,0)</f>
        <v>8</v>
      </c>
      <c r="W84" s="52">
        <f t="shared" si="3"/>
        <v>75.2</v>
      </c>
    </row>
    <row r="85" spans="1:23" x14ac:dyDescent="0.2">
      <c r="A85" s="81" t="s">
        <v>86</v>
      </c>
      <c r="B85" s="36" t="str" cm="1">
        <f t="array" ref="B85:C85">_xlfn.XLOOKUP(A85,'Player List'!$A$2:$A$177,'Player List'!$B$2:$C$177)</f>
        <v>England</v>
      </c>
      <c r="C85" s="36" t="str">
        <v>Centre</v>
      </c>
      <c r="D85" s="37">
        <v>80</v>
      </c>
      <c r="F85" s="37">
        <f>'Round 3 Data'!F85*'Round 3 Points'!L$2</f>
        <v>5</v>
      </c>
      <c r="G85" s="37">
        <f>'Round 3 Data'!G85*'Round 3 Points'!M$2</f>
        <v>0</v>
      </c>
      <c r="H85" s="37">
        <f>'Round 3 Data'!H85*'Round 3 Points'!N$2</f>
        <v>21</v>
      </c>
      <c r="I85" s="37">
        <f>'Round 3 Data'!I85*'Round 3 Points'!O$2</f>
        <v>8.2000000000000011</v>
      </c>
      <c r="J85" s="37">
        <f>'Round 3 Data'!J85*'Round 3 Points'!P$2</f>
        <v>0</v>
      </c>
      <c r="K85" s="37">
        <f>'Round 3 Data'!K85*'Round 3 Points'!Q$2</f>
        <v>0</v>
      </c>
      <c r="L85" s="37">
        <f>'Round 3 Data'!L85*'Round 3 Points'!R$2</f>
        <v>0</v>
      </c>
      <c r="M85" s="37">
        <f>'Round 3 Data'!M85*'Round 3 Points'!S$2</f>
        <v>0</v>
      </c>
      <c r="N85" s="37">
        <f>'Round 3 Data'!N85*'Round 3 Points'!T$2</f>
        <v>0</v>
      </c>
      <c r="O85" s="37">
        <f>'Round 3 Data'!O85*'Round 3 Points'!U$2</f>
        <v>0</v>
      </c>
      <c r="P85" s="37">
        <f>'Round 3 Data'!P85*'Round 3 Points'!V$2</f>
        <v>0</v>
      </c>
      <c r="Q85" s="37">
        <f>'Round 3 Data'!Q85*'Round 3 Points'!W$2</f>
        <v>0</v>
      </c>
      <c r="R85" s="37">
        <f>'Round 3 Data'!R85*'Round 3 Points'!X$2</f>
        <v>0</v>
      </c>
      <c r="S85" s="37">
        <f>'Round 3 Data'!S85*'Round 3 Points'!Y$2</f>
        <v>0</v>
      </c>
      <c r="T85" s="38">
        <f t="shared" si="2"/>
        <v>34.200000000000003</v>
      </c>
      <c r="U85" s="37">
        <f>'Round 3 Data'!U85*'Round 3 Points'!$Z$2</f>
        <v>0</v>
      </c>
      <c r="V85" s="36">
        <f>IF('Round 3 Data'!D85='Round 3 Points'!$K$1,D85/80*$K$2,0)</f>
        <v>8</v>
      </c>
      <c r="W85" s="52">
        <f t="shared" si="3"/>
        <v>42.2</v>
      </c>
    </row>
    <row r="86" spans="1:23" x14ac:dyDescent="0.2">
      <c r="A86" s="81" t="s">
        <v>87</v>
      </c>
      <c r="B86" s="36" t="str" cm="1">
        <f t="array" ref="B86:C86">_xlfn.XLOOKUP(A86,'Player List'!$A$2:$A$177,'Player List'!$B$2:$C$177)</f>
        <v>England</v>
      </c>
      <c r="C86" s="36" t="str">
        <v>Fly Half</v>
      </c>
      <c r="D86" s="37">
        <v>1</v>
      </c>
      <c r="F86" s="37">
        <f>'Round 3 Data'!F86*'Round 3 Points'!L$2</f>
        <v>0</v>
      </c>
      <c r="G86" s="37">
        <f>'Round 3 Data'!G86*'Round 3 Points'!M$2</f>
        <v>0</v>
      </c>
      <c r="H86" s="37">
        <f>'Round 3 Data'!H86*'Round 3 Points'!N$2</f>
        <v>0</v>
      </c>
      <c r="I86" s="37">
        <f>'Round 3 Data'!I86*'Round 3 Points'!O$2</f>
        <v>1.4000000000000001</v>
      </c>
      <c r="J86" s="37">
        <f>'Round 3 Data'!J86*'Round 3 Points'!P$2</f>
        <v>0</v>
      </c>
      <c r="K86" s="37">
        <f>'Round 3 Data'!K86*'Round 3 Points'!Q$2</f>
        <v>0</v>
      </c>
      <c r="L86" s="37">
        <f>'Round 3 Data'!L86*'Round 3 Points'!R$2</f>
        <v>0</v>
      </c>
      <c r="M86" s="37">
        <f>'Round 3 Data'!M86*'Round 3 Points'!S$2</f>
        <v>0</v>
      </c>
      <c r="N86" s="37">
        <f>'Round 3 Data'!N86*'Round 3 Points'!T$2</f>
        <v>0</v>
      </c>
      <c r="O86" s="37">
        <f>'Round 3 Data'!O86*'Round 3 Points'!U$2</f>
        <v>0</v>
      </c>
      <c r="P86" s="37">
        <f>'Round 3 Data'!P86*'Round 3 Points'!V$2</f>
        <v>0</v>
      </c>
      <c r="Q86" s="37">
        <f>'Round 3 Data'!Q86*'Round 3 Points'!W$2</f>
        <v>0</v>
      </c>
      <c r="R86" s="37">
        <f>'Round 3 Data'!R86*'Round 3 Points'!X$2</f>
        <v>0</v>
      </c>
      <c r="S86" s="37">
        <f>'Round 3 Data'!S86*'Round 3 Points'!Y$2</f>
        <v>0</v>
      </c>
      <c r="T86" s="38">
        <f t="shared" si="2"/>
        <v>1.4000000000000001</v>
      </c>
      <c r="U86" s="37">
        <f>'Round 3 Data'!U86*'Round 3 Points'!$Z$2</f>
        <v>0</v>
      </c>
      <c r="V86" s="36">
        <f>IF('Round 3 Data'!D86='Round 3 Points'!$K$1,D86/80*$K$2,0)</f>
        <v>0.1</v>
      </c>
      <c r="W86" s="52">
        <f t="shared" si="3"/>
        <v>1.5000000000000002</v>
      </c>
    </row>
    <row r="87" spans="1:23" x14ac:dyDescent="0.2">
      <c r="A87" s="81" t="s">
        <v>88</v>
      </c>
      <c r="B87" s="36" t="str" cm="1">
        <f t="array" ref="B87:C87">_xlfn.XLOOKUP(A87,'Player List'!$A$2:$A$177,'Player List'!$B$2:$C$177)</f>
        <v>England</v>
      </c>
      <c r="C87" s="36" t="str">
        <v>Scrum Half</v>
      </c>
      <c r="D87" s="37">
        <v>8</v>
      </c>
      <c r="F87" s="37">
        <f>'Round 3 Data'!F87*'Round 3 Points'!L$2</f>
        <v>1</v>
      </c>
      <c r="G87" s="37">
        <f>'Round 3 Data'!G87*'Round 3 Points'!M$2</f>
        <v>0</v>
      </c>
      <c r="H87" s="37">
        <f>'Round 3 Data'!H87*'Round 3 Points'!N$2</f>
        <v>0</v>
      </c>
      <c r="I87" s="37">
        <f>'Round 3 Data'!I87*'Round 3 Points'!O$2</f>
        <v>0</v>
      </c>
      <c r="J87" s="37">
        <f>'Round 3 Data'!J87*'Round 3 Points'!P$2</f>
        <v>0</v>
      </c>
      <c r="K87" s="37">
        <f>'Round 3 Data'!K87*'Round 3 Points'!Q$2</f>
        <v>0</v>
      </c>
      <c r="L87" s="37">
        <f>'Round 3 Data'!L87*'Round 3 Points'!R$2</f>
        <v>0</v>
      </c>
      <c r="M87" s="37">
        <f>'Round 3 Data'!M87*'Round 3 Points'!S$2</f>
        <v>0</v>
      </c>
      <c r="N87" s="37">
        <f>'Round 3 Data'!N87*'Round 3 Points'!T$2</f>
        <v>0</v>
      </c>
      <c r="O87" s="37">
        <f>'Round 3 Data'!O87*'Round 3 Points'!U$2</f>
        <v>0</v>
      </c>
      <c r="P87" s="37">
        <f>'Round 3 Data'!P87*'Round 3 Points'!V$2</f>
        <v>0</v>
      </c>
      <c r="Q87" s="37">
        <f>'Round 3 Data'!Q87*'Round 3 Points'!W$2</f>
        <v>0</v>
      </c>
      <c r="R87" s="37">
        <f>'Round 3 Data'!R87*'Round 3 Points'!X$2</f>
        <v>0</v>
      </c>
      <c r="S87" s="37">
        <f>'Round 3 Data'!S87*'Round 3 Points'!Y$2</f>
        <v>0</v>
      </c>
      <c r="T87" s="38">
        <f t="shared" si="2"/>
        <v>1</v>
      </c>
      <c r="U87" s="37">
        <f>'Round 3 Data'!U87*'Round 3 Points'!$Z$2</f>
        <v>0</v>
      </c>
      <c r="V87" s="36">
        <f>IF('Round 3 Data'!D87='Round 3 Points'!$K$1,D87/80*$K$2,0)</f>
        <v>0.8</v>
      </c>
      <c r="W87" s="52">
        <f t="shared" si="3"/>
        <v>1.8</v>
      </c>
    </row>
    <row r="88" spans="1:23" x14ac:dyDescent="0.2">
      <c r="A88" s="81" t="s">
        <v>89</v>
      </c>
      <c r="B88" s="36" t="str" cm="1">
        <f t="array" ref="B88:C88">_xlfn.XLOOKUP(A88,'Player List'!$A$2:$A$177,'Player List'!$B$2:$C$177)</f>
        <v>England</v>
      </c>
      <c r="C88" s="36" t="str">
        <v>Scrum Half</v>
      </c>
      <c r="D88" s="37">
        <v>72</v>
      </c>
      <c r="F88" s="37">
        <f>'Round 3 Data'!F88*'Round 3 Points'!L$2</f>
        <v>7</v>
      </c>
      <c r="G88" s="37">
        <f>'Round 3 Data'!G88*'Round 3 Points'!M$2</f>
        <v>0</v>
      </c>
      <c r="H88" s="37">
        <f>'Round 3 Data'!H88*'Round 3 Points'!N$2</f>
        <v>0</v>
      </c>
      <c r="I88" s="37">
        <f>'Round 3 Data'!I88*'Round 3 Points'!O$2</f>
        <v>1.2000000000000002</v>
      </c>
      <c r="J88" s="37">
        <f>'Round 3 Data'!J88*'Round 3 Points'!P$2</f>
        <v>0</v>
      </c>
      <c r="K88" s="37">
        <f>'Round 3 Data'!K88*'Round 3 Points'!Q$2</f>
        <v>0</v>
      </c>
      <c r="L88" s="37">
        <f>'Round 3 Data'!L88*'Round 3 Points'!R$2</f>
        <v>0</v>
      </c>
      <c r="M88" s="37">
        <f>'Round 3 Data'!M88*'Round 3 Points'!S$2</f>
        <v>0</v>
      </c>
      <c r="N88" s="37">
        <f>'Round 3 Data'!N88*'Round 3 Points'!T$2</f>
        <v>0</v>
      </c>
      <c r="O88" s="37">
        <f>'Round 3 Data'!O88*'Round 3 Points'!U$2</f>
        <v>0</v>
      </c>
      <c r="P88" s="37">
        <f>'Round 3 Data'!P88*'Round 3 Points'!V$2</f>
        <v>0</v>
      </c>
      <c r="Q88" s="37">
        <f>'Round 3 Data'!Q88*'Round 3 Points'!W$2</f>
        <v>0</v>
      </c>
      <c r="R88" s="37">
        <f>'Round 3 Data'!R88*'Round 3 Points'!X$2</f>
        <v>0</v>
      </c>
      <c r="S88" s="37">
        <f>'Round 3 Data'!S88*'Round 3 Points'!Y$2</f>
        <v>0</v>
      </c>
      <c r="T88" s="38">
        <f t="shared" si="2"/>
        <v>8.1999999999999993</v>
      </c>
      <c r="U88" s="37">
        <f>'Round 3 Data'!U88*'Round 3 Points'!$Z$2</f>
        <v>0</v>
      </c>
      <c r="V88" s="36">
        <f>IF('Round 3 Data'!D88='Round 3 Points'!$K$1,D88/80*$K$2,0)</f>
        <v>7.2</v>
      </c>
      <c r="W88" s="52">
        <f t="shared" si="3"/>
        <v>15.399999999999999</v>
      </c>
    </row>
    <row r="89" spans="1:23" x14ac:dyDescent="0.2">
      <c r="A89" s="81" t="s">
        <v>167</v>
      </c>
      <c r="B89" s="36" t="str" cm="1">
        <f t="array" ref="B89:C89">_xlfn.XLOOKUP(A89,'Player List'!$A$2:$A$177,'Player List'!$B$2:$C$177)</f>
        <v>England</v>
      </c>
      <c r="C89" s="36" t="str">
        <v>Back Row</v>
      </c>
      <c r="D89" s="37">
        <v>21</v>
      </c>
      <c r="F89" s="37">
        <f>'Round 3 Data'!F89*'Round 3 Points'!L$2</f>
        <v>4</v>
      </c>
      <c r="G89" s="37">
        <f>'Round 3 Data'!G89*'Round 3 Points'!M$2</f>
        <v>7</v>
      </c>
      <c r="H89" s="37">
        <f>'Round 3 Data'!H89*'Round 3 Points'!N$2</f>
        <v>0</v>
      </c>
      <c r="I89" s="37">
        <f>'Round 3 Data'!I89*'Round 3 Points'!O$2</f>
        <v>3.2</v>
      </c>
      <c r="J89" s="37">
        <f>'Round 3 Data'!J89*'Round 3 Points'!P$2</f>
        <v>0</v>
      </c>
      <c r="K89" s="37">
        <f>'Round 3 Data'!K89*'Round 3 Points'!Q$2</f>
        <v>0</v>
      </c>
      <c r="L89" s="37">
        <f>'Round 3 Data'!L89*'Round 3 Points'!R$2</f>
        <v>7</v>
      </c>
      <c r="M89" s="37">
        <f>'Round 3 Data'!M89*'Round 3 Points'!S$2</f>
        <v>0</v>
      </c>
      <c r="N89" s="37">
        <f>'Round 3 Data'!N89*'Round 3 Points'!T$2</f>
        <v>0</v>
      </c>
      <c r="O89" s="37">
        <f>'Round 3 Data'!O89*'Round 3 Points'!U$2</f>
        <v>0</v>
      </c>
      <c r="P89" s="37">
        <f>'Round 3 Data'!P89*'Round 3 Points'!V$2</f>
        <v>0</v>
      </c>
      <c r="Q89" s="37">
        <f>'Round 3 Data'!Q89*'Round 3 Points'!W$2</f>
        <v>0</v>
      </c>
      <c r="R89" s="37">
        <f>'Round 3 Data'!R89*'Round 3 Points'!X$2</f>
        <v>0</v>
      </c>
      <c r="S89" s="37">
        <f>'Round 3 Data'!S89*'Round 3 Points'!Y$2</f>
        <v>0</v>
      </c>
      <c r="T89" s="38">
        <f t="shared" si="2"/>
        <v>21.2</v>
      </c>
      <c r="U89" s="37">
        <f>'Round 3 Data'!U89*'Round 3 Points'!$Z$2</f>
        <v>0</v>
      </c>
      <c r="V89" s="36">
        <f>IF('Round 3 Data'!D89='Round 3 Points'!$K$1,D89/80*$K$2,0)</f>
        <v>2.1</v>
      </c>
      <c r="W89" s="52">
        <f t="shared" si="3"/>
        <v>23.3</v>
      </c>
    </row>
    <row r="90" spans="1:23" x14ac:dyDescent="0.2">
      <c r="A90" s="81" t="s">
        <v>90</v>
      </c>
      <c r="B90" s="36" t="str" cm="1">
        <f t="array" ref="B90:C90">_xlfn.XLOOKUP(A90,'Player List'!$A$2:$A$177,'Player List'!$B$2:$C$177)</f>
        <v>England</v>
      </c>
      <c r="C90" s="36" t="str">
        <v>Back Row</v>
      </c>
      <c r="D90" s="37">
        <v>69</v>
      </c>
      <c r="F90" s="37">
        <f>'Round 3 Data'!F90*'Round 3 Points'!L$2</f>
        <v>6</v>
      </c>
      <c r="G90" s="37">
        <f>'Round 3 Data'!G90*'Round 3 Points'!M$2</f>
        <v>0</v>
      </c>
      <c r="H90" s="37">
        <f>'Round 3 Data'!H90*'Round 3 Points'!N$2</f>
        <v>7</v>
      </c>
      <c r="I90" s="37">
        <f>'Round 3 Data'!I90*'Round 3 Points'!O$2</f>
        <v>11.200000000000001</v>
      </c>
      <c r="J90" s="37">
        <f>'Round 3 Data'!J90*'Round 3 Points'!P$2</f>
        <v>0</v>
      </c>
      <c r="K90" s="37">
        <f>'Round 3 Data'!K90*'Round 3 Points'!Q$2</f>
        <v>0</v>
      </c>
      <c r="L90" s="37">
        <f>'Round 3 Data'!L90*'Round 3 Points'!R$2</f>
        <v>0</v>
      </c>
      <c r="M90" s="37">
        <f>'Round 3 Data'!M90*'Round 3 Points'!S$2</f>
        <v>0</v>
      </c>
      <c r="N90" s="37">
        <f>'Round 3 Data'!N90*'Round 3 Points'!T$2</f>
        <v>7</v>
      </c>
      <c r="O90" s="37">
        <f>'Round 3 Data'!O90*'Round 3 Points'!U$2</f>
        <v>0</v>
      </c>
      <c r="P90" s="37">
        <f>'Round 3 Data'!P90*'Round 3 Points'!V$2</f>
        <v>0</v>
      </c>
      <c r="Q90" s="37">
        <f>'Round 3 Data'!Q90*'Round 3 Points'!W$2</f>
        <v>0</v>
      </c>
      <c r="R90" s="37">
        <f>'Round 3 Data'!R90*'Round 3 Points'!X$2</f>
        <v>0</v>
      </c>
      <c r="S90" s="37">
        <f>'Round 3 Data'!S90*'Round 3 Points'!Y$2</f>
        <v>0</v>
      </c>
      <c r="T90" s="38">
        <f t="shared" si="2"/>
        <v>31.200000000000003</v>
      </c>
      <c r="U90" s="37">
        <f>'Round 3 Data'!U90*'Round 3 Points'!$Z$2</f>
        <v>0</v>
      </c>
      <c r="V90" s="36">
        <f>IF('Round 3 Data'!D90='Round 3 Points'!$K$1,D90/80*$K$2,0)</f>
        <v>6.9</v>
      </c>
      <c r="W90" s="52">
        <f t="shared" si="3"/>
        <v>38.1</v>
      </c>
    </row>
    <row r="91" spans="1:23" x14ac:dyDescent="0.2">
      <c r="A91" s="81" t="s">
        <v>92</v>
      </c>
      <c r="B91" s="36" t="str" cm="1">
        <f t="array" ref="B91:C91">_xlfn.XLOOKUP(A91,'Player List'!$A$2:$A$177,'Player List'!$B$2:$C$177)</f>
        <v>England</v>
      </c>
      <c r="C91" s="36" t="str">
        <v>Back Row</v>
      </c>
      <c r="D91" s="37">
        <v>80</v>
      </c>
      <c r="F91" s="37">
        <f>'Round 3 Data'!F91*'Round 3 Points'!L$2</f>
        <v>13</v>
      </c>
      <c r="G91" s="37">
        <f>'Round 3 Data'!G91*'Round 3 Points'!M$2</f>
        <v>14</v>
      </c>
      <c r="H91" s="37">
        <f>'Round 3 Data'!H91*'Round 3 Points'!N$2</f>
        <v>0</v>
      </c>
      <c r="I91" s="37">
        <f>'Round 3 Data'!I91*'Round 3 Points'!O$2</f>
        <v>5</v>
      </c>
      <c r="J91" s="37">
        <f>'Round 3 Data'!J91*'Round 3 Points'!P$2</f>
        <v>0</v>
      </c>
      <c r="K91" s="37">
        <f>'Round 3 Data'!K91*'Round 3 Points'!Q$2</f>
        <v>0</v>
      </c>
      <c r="L91" s="37">
        <f>'Round 3 Data'!L91*'Round 3 Points'!R$2</f>
        <v>7</v>
      </c>
      <c r="M91" s="37">
        <f>'Round 3 Data'!M91*'Round 3 Points'!S$2</f>
        <v>0</v>
      </c>
      <c r="N91" s="37">
        <f>'Round 3 Data'!N91*'Round 3 Points'!T$2</f>
        <v>0</v>
      </c>
      <c r="O91" s="37">
        <f>'Round 3 Data'!O91*'Round 3 Points'!U$2</f>
        <v>0</v>
      </c>
      <c r="P91" s="37">
        <f>'Round 3 Data'!P91*'Round 3 Points'!V$2</f>
        <v>0</v>
      </c>
      <c r="Q91" s="37">
        <f>'Round 3 Data'!Q91*'Round 3 Points'!W$2</f>
        <v>0</v>
      </c>
      <c r="R91" s="37">
        <f>'Round 3 Data'!R91*'Round 3 Points'!X$2</f>
        <v>0</v>
      </c>
      <c r="S91" s="37">
        <f>'Round 3 Data'!S91*'Round 3 Points'!Y$2</f>
        <v>0</v>
      </c>
      <c r="T91" s="38">
        <f t="shared" si="2"/>
        <v>39</v>
      </c>
      <c r="U91" s="37">
        <f>'Round 3 Data'!U91*'Round 3 Points'!$Z$2</f>
        <v>0</v>
      </c>
      <c r="V91" s="36">
        <f>IF('Round 3 Data'!D91='Round 3 Points'!$K$1,D91/80*$K$2,0)</f>
        <v>8</v>
      </c>
      <c r="W91" s="52">
        <f t="shared" si="3"/>
        <v>47</v>
      </c>
    </row>
    <row r="92" spans="1:23" x14ac:dyDescent="0.2">
      <c r="A92" s="81" t="s">
        <v>93</v>
      </c>
      <c r="B92" s="36" t="str" cm="1">
        <f t="array" ref="B92:C92">_xlfn.XLOOKUP(A92,'Player List'!$A$2:$A$177,'Player List'!$B$2:$C$177)</f>
        <v>England</v>
      </c>
      <c r="C92" s="36" t="str">
        <v>Back Row</v>
      </c>
      <c r="D92" s="37">
        <v>59</v>
      </c>
      <c r="F92" s="37">
        <f>'Round 3 Data'!F92*'Round 3 Points'!L$2</f>
        <v>7</v>
      </c>
      <c r="G92" s="37">
        <f>'Round 3 Data'!G92*'Round 3 Points'!M$2</f>
        <v>14</v>
      </c>
      <c r="H92" s="37">
        <f>'Round 3 Data'!H92*'Round 3 Points'!N$2</f>
        <v>0</v>
      </c>
      <c r="I92" s="37">
        <f>'Round 3 Data'!I92*'Round 3 Points'!O$2</f>
        <v>2.2000000000000002</v>
      </c>
      <c r="J92" s="37">
        <f>'Round 3 Data'!J92*'Round 3 Points'!P$2</f>
        <v>0</v>
      </c>
      <c r="K92" s="37">
        <f>'Round 3 Data'!K92*'Round 3 Points'!Q$2</f>
        <v>0</v>
      </c>
      <c r="L92" s="37">
        <f>'Round 3 Data'!L92*'Round 3 Points'!R$2</f>
        <v>7</v>
      </c>
      <c r="M92" s="37">
        <f>'Round 3 Data'!M92*'Round 3 Points'!S$2</f>
        <v>0</v>
      </c>
      <c r="N92" s="37">
        <f>'Round 3 Data'!N92*'Round 3 Points'!T$2</f>
        <v>0</v>
      </c>
      <c r="O92" s="37">
        <f>'Round 3 Data'!O92*'Round 3 Points'!U$2</f>
        <v>0</v>
      </c>
      <c r="P92" s="37">
        <f>'Round 3 Data'!P92*'Round 3 Points'!V$2</f>
        <v>0</v>
      </c>
      <c r="Q92" s="37">
        <f>'Round 3 Data'!Q92*'Round 3 Points'!W$2</f>
        <v>0</v>
      </c>
      <c r="R92" s="37">
        <f>'Round 3 Data'!R92*'Round 3 Points'!X$2</f>
        <v>0</v>
      </c>
      <c r="S92" s="37">
        <f>'Round 3 Data'!S92*'Round 3 Points'!Y$2</f>
        <v>0</v>
      </c>
      <c r="T92" s="38">
        <f t="shared" si="2"/>
        <v>30.2</v>
      </c>
      <c r="U92" s="37">
        <f>'Round 3 Data'!U92*'Round 3 Points'!$Z$2</f>
        <v>0</v>
      </c>
      <c r="V92" s="36">
        <f>IF('Round 3 Data'!D92='Round 3 Points'!$K$1,D92/80*$K$2,0)</f>
        <v>5.9</v>
      </c>
      <c r="W92" s="52">
        <f t="shared" si="3"/>
        <v>36.1</v>
      </c>
    </row>
    <row r="93" spans="1:23" x14ac:dyDescent="0.2">
      <c r="A93" s="81" t="s">
        <v>94</v>
      </c>
      <c r="B93" s="36" t="str" cm="1">
        <f t="array" ref="B93:C93">_xlfn.XLOOKUP(A93,'Player List'!$A$2:$A$177,'Player List'!$B$2:$C$177)</f>
        <v>England</v>
      </c>
      <c r="C93" s="36" t="str">
        <v>Second Row</v>
      </c>
      <c r="D93" s="37">
        <v>80</v>
      </c>
      <c r="F93" s="37">
        <f>'Round 3 Data'!F93*'Round 3 Points'!L$2</f>
        <v>9</v>
      </c>
      <c r="G93" s="37">
        <f>'Round 3 Data'!G93*'Round 3 Points'!M$2</f>
        <v>21</v>
      </c>
      <c r="H93" s="37">
        <f>'Round 3 Data'!H93*'Round 3 Points'!N$2</f>
        <v>0</v>
      </c>
      <c r="I93" s="37">
        <f>'Round 3 Data'!I93*'Round 3 Points'!O$2</f>
        <v>1</v>
      </c>
      <c r="J93" s="37">
        <f>'Round 3 Data'!J93*'Round 3 Points'!P$2</f>
        <v>0</v>
      </c>
      <c r="K93" s="37">
        <f>'Round 3 Data'!K93*'Round 3 Points'!Q$2</f>
        <v>0</v>
      </c>
      <c r="L93" s="37">
        <f>'Round 3 Data'!L93*'Round 3 Points'!R$2</f>
        <v>0</v>
      </c>
      <c r="M93" s="37">
        <f>'Round 3 Data'!M93*'Round 3 Points'!S$2</f>
        <v>0</v>
      </c>
      <c r="N93" s="37">
        <f>'Round 3 Data'!N93*'Round 3 Points'!T$2</f>
        <v>0</v>
      </c>
      <c r="O93" s="37">
        <f>'Round 3 Data'!O93*'Round 3 Points'!U$2</f>
        <v>0</v>
      </c>
      <c r="P93" s="37">
        <f>'Round 3 Data'!P93*'Round 3 Points'!V$2</f>
        <v>0</v>
      </c>
      <c r="Q93" s="37">
        <f>'Round 3 Data'!Q93*'Round 3 Points'!W$2</f>
        <v>0</v>
      </c>
      <c r="R93" s="37">
        <f>'Round 3 Data'!R93*'Round 3 Points'!X$2</f>
        <v>0</v>
      </c>
      <c r="S93" s="37">
        <f>'Round 3 Data'!S93*'Round 3 Points'!Y$2</f>
        <v>0</v>
      </c>
      <c r="T93" s="38">
        <f t="shared" si="2"/>
        <v>31</v>
      </c>
      <c r="U93" s="37">
        <f>'Round 3 Data'!U93*'Round 3 Points'!$Z$2</f>
        <v>0</v>
      </c>
      <c r="V93" s="36">
        <f>IF('Round 3 Data'!D93='Round 3 Points'!$K$1,D93/80*$K$2,0)</f>
        <v>8</v>
      </c>
      <c r="W93" s="52">
        <f t="shared" si="3"/>
        <v>39</v>
      </c>
    </row>
    <row r="94" spans="1:23" x14ac:dyDescent="0.2">
      <c r="A94" s="81" t="s">
        <v>96</v>
      </c>
      <c r="B94" s="36" t="str" cm="1">
        <f t="array" ref="B94:C94">_xlfn.XLOOKUP(A94,'Player List'!$A$2:$A$177,'Player List'!$B$2:$C$177)</f>
        <v>England</v>
      </c>
      <c r="C94" s="36" t="str">
        <v>Second Row</v>
      </c>
      <c r="D94" s="37">
        <v>80</v>
      </c>
      <c r="F94" s="37">
        <f>'Round 3 Data'!F94*'Round 3 Points'!L$2</f>
        <v>16</v>
      </c>
      <c r="G94" s="37">
        <f>'Round 3 Data'!G94*'Round 3 Points'!M$2</f>
        <v>14</v>
      </c>
      <c r="H94" s="37">
        <f>'Round 3 Data'!H94*'Round 3 Points'!N$2</f>
        <v>0</v>
      </c>
      <c r="I94" s="37">
        <f>'Round 3 Data'!I94*'Round 3 Points'!O$2</f>
        <v>3.2</v>
      </c>
      <c r="J94" s="37">
        <f>'Round 3 Data'!J94*'Round 3 Points'!P$2</f>
        <v>0</v>
      </c>
      <c r="K94" s="37">
        <f>'Round 3 Data'!K94*'Round 3 Points'!Q$2</f>
        <v>0</v>
      </c>
      <c r="L94" s="37">
        <f>'Round 3 Data'!L94*'Round 3 Points'!R$2</f>
        <v>0</v>
      </c>
      <c r="M94" s="37">
        <f>'Round 3 Data'!M94*'Round 3 Points'!S$2</f>
        <v>0</v>
      </c>
      <c r="N94" s="37">
        <f>'Round 3 Data'!N94*'Round 3 Points'!T$2</f>
        <v>7</v>
      </c>
      <c r="O94" s="37">
        <f>'Round 3 Data'!O94*'Round 3 Points'!U$2</f>
        <v>0</v>
      </c>
      <c r="P94" s="37">
        <f>'Round 3 Data'!P94*'Round 3 Points'!V$2</f>
        <v>0</v>
      </c>
      <c r="Q94" s="37">
        <f>'Round 3 Data'!Q94*'Round 3 Points'!W$2</f>
        <v>0</v>
      </c>
      <c r="R94" s="37">
        <f>'Round 3 Data'!R94*'Round 3 Points'!X$2</f>
        <v>0</v>
      </c>
      <c r="S94" s="37">
        <f>'Round 3 Data'!S94*'Round 3 Points'!Y$2</f>
        <v>0</v>
      </c>
      <c r="T94" s="38">
        <f t="shared" si="2"/>
        <v>40.200000000000003</v>
      </c>
      <c r="U94" s="37">
        <f>'Round 3 Data'!U94*'Round 3 Points'!$Z$2</f>
        <v>0</v>
      </c>
      <c r="V94" s="36">
        <f>IF('Round 3 Data'!D94='Round 3 Points'!$K$1,D94/80*$K$2,0)</f>
        <v>8</v>
      </c>
      <c r="W94" s="52">
        <f t="shared" si="3"/>
        <v>48.2</v>
      </c>
    </row>
    <row r="95" spans="1:23" x14ac:dyDescent="0.2">
      <c r="A95" s="81" t="s">
        <v>168</v>
      </c>
      <c r="B95" s="36" t="str" cm="1">
        <f t="array" ref="B95:C95">_xlfn.XLOOKUP(A95,'Player List'!$A$2:$A$177,'Player List'!$B$2:$C$177)</f>
        <v>England</v>
      </c>
      <c r="C95" s="36" t="str">
        <v>Second Row</v>
      </c>
      <c r="D95" s="37">
        <v>11</v>
      </c>
      <c r="F95" s="37">
        <f>'Round 3 Data'!F95*'Round 3 Points'!L$2</f>
        <v>1</v>
      </c>
      <c r="G95" s="37">
        <f>'Round 3 Data'!G95*'Round 3 Points'!M$2</f>
        <v>0</v>
      </c>
      <c r="H95" s="37">
        <f>'Round 3 Data'!H95*'Round 3 Points'!N$2</f>
        <v>0</v>
      </c>
      <c r="I95" s="37">
        <f>'Round 3 Data'!I95*'Round 3 Points'!O$2</f>
        <v>1.2000000000000002</v>
      </c>
      <c r="J95" s="37">
        <f>'Round 3 Data'!J95*'Round 3 Points'!P$2</f>
        <v>0</v>
      </c>
      <c r="K95" s="37">
        <f>'Round 3 Data'!K95*'Round 3 Points'!Q$2</f>
        <v>0</v>
      </c>
      <c r="L95" s="37">
        <f>'Round 3 Data'!L95*'Round 3 Points'!R$2</f>
        <v>0</v>
      </c>
      <c r="M95" s="37">
        <f>'Round 3 Data'!M95*'Round 3 Points'!S$2</f>
        <v>0</v>
      </c>
      <c r="N95" s="37">
        <f>'Round 3 Data'!N95*'Round 3 Points'!T$2</f>
        <v>0</v>
      </c>
      <c r="O95" s="37">
        <f>'Round 3 Data'!O95*'Round 3 Points'!U$2</f>
        <v>0</v>
      </c>
      <c r="P95" s="37">
        <f>'Round 3 Data'!P95*'Round 3 Points'!V$2</f>
        <v>0</v>
      </c>
      <c r="Q95" s="37">
        <f>'Round 3 Data'!Q95*'Round 3 Points'!W$2</f>
        <v>0</v>
      </c>
      <c r="R95" s="37">
        <f>'Round 3 Data'!R95*'Round 3 Points'!X$2</f>
        <v>0</v>
      </c>
      <c r="S95" s="37">
        <f>'Round 3 Data'!S95*'Round 3 Points'!Y$2</f>
        <v>0</v>
      </c>
      <c r="T95" s="38">
        <f t="shared" si="2"/>
        <v>2.2000000000000002</v>
      </c>
      <c r="U95" s="37">
        <f>'Round 3 Data'!U95*'Round 3 Points'!$Z$2</f>
        <v>0</v>
      </c>
      <c r="V95" s="36">
        <f>IF('Round 3 Data'!D95='Round 3 Points'!$K$1,D95/80*$K$2,0)</f>
        <v>1.1000000000000001</v>
      </c>
      <c r="W95" s="52">
        <f t="shared" si="3"/>
        <v>3.3000000000000003</v>
      </c>
    </row>
    <row r="96" spans="1:23" x14ac:dyDescent="0.2">
      <c r="A96" s="81" t="s">
        <v>97</v>
      </c>
      <c r="B96" s="36" t="str" cm="1">
        <f t="array" ref="B96:C96">_xlfn.XLOOKUP(A96,'Player List'!$A$2:$A$177,'Player List'!$B$2:$C$177)</f>
        <v>England</v>
      </c>
      <c r="C96" s="36" t="str">
        <v>Prop</v>
      </c>
      <c r="D96" s="37">
        <v>16</v>
      </c>
      <c r="F96" s="37">
        <f>'Round 3 Data'!F96*'Round 3 Points'!L$2</f>
        <v>3</v>
      </c>
      <c r="G96" s="37">
        <f>'Round 3 Data'!G96*'Round 3 Points'!M$2</f>
        <v>0</v>
      </c>
      <c r="H96" s="37">
        <f>'Round 3 Data'!H96*'Round 3 Points'!N$2</f>
        <v>0</v>
      </c>
      <c r="I96" s="37">
        <f>'Round 3 Data'!I96*'Round 3 Points'!O$2</f>
        <v>1.2000000000000002</v>
      </c>
      <c r="J96" s="37">
        <f>'Round 3 Data'!J96*'Round 3 Points'!P$2</f>
        <v>0</v>
      </c>
      <c r="K96" s="37">
        <f>'Round 3 Data'!K96*'Round 3 Points'!Q$2</f>
        <v>0</v>
      </c>
      <c r="L96" s="37">
        <f>'Round 3 Data'!L96*'Round 3 Points'!R$2</f>
        <v>0</v>
      </c>
      <c r="M96" s="37">
        <f>'Round 3 Data'!M96*'Round 3 Points'!S$2</f>
        <v>0</v>
      </c>
      <c r="N96" s="37">
        <f>'Round 3 Data'!N96*'Round 3 Points'!T$2</f>
        <v>0</v>
      </c>
      <c r="O96" s="37">
        <f>'Round 3 Data'!O96*'Round 3 Points'!U$2</f>
        <v>0</v>
      </c>
      <c r="P96" s="37">
        <f>'Round 3 Data'!P96*'Round 3 Points'!V$2</f>
        <v>0</v>
      </c>
      <c r="Q96" s="37">
        <f>'Round 3 Data'!Q96*'Round 3 Points'!W$2</f>
        <v>0</v>
      </c>
      <c r="R96" s="37">
        <f>'Round 3 Data'!R96*'Round 3 Points'!X$2</f>
        <v>0</v>
      </c>
      <c r="S96" s="37">
        <f>'Round 3 Data'!S96*'Round 3 Points'!Y$2</f>
        <v>0</v>
      </c>
      <c r="T96" s="38">
        <f t="shared" si="2"/>
        <v>4.2</v>
      </c>
      <c r="U96" s="37">
        <f>'Round 3 Data'!U96*'Round 3 Points'!$Z$2</f>
        <v>0</v>
      </c>
      <c r="V96" s="36">
        <f>IF('Round 3 Data'!D96='Round 3 Points'!$K$1,D96/80*$K$2,0)</f>
        <v>1.6</v>
      </c>
      <c r="W96" s="52">
        <f t="shared" si="3"/>
        <v>5.8000000000000007</v>
      </c>
    </row>
    <row r="97" spans="1:23" x14ac:dyDescent="0.2">
      <c r="A97" s="81" t="s">
        <v>98</v>
      </c>
      <c r="B97" s="36" t="str" cm="1">
        <f t="array" ref="B97:C97">_xlfn.XLOOKUP(A97,'Player List'!$A$2:$A$177,'Player List'!$B$2:$C$177)</f>
        <v>England</v>
      </c>
      <c r="C97" s="36" t="str">
        <v>Prop</v>
      </c>
      <c r="D97" s="37">
        <v>54</v>
      </c>
      <c r="F97" s="37">
        <f>'Round 3 Data'!F97*'Round 3 Points'!L$2</f>
        <v>9</v>
      </c>
      <c r="G97" s="37">
        <f>'Round 3 Data'!G97*'Round 3 Points'!M$2</f>
        <v>7</v>
      </c>
      <c r="H97" s="37">
        <f>'Round 3 Data'!H97*'Round 3 Points'!N$2</f>
        <v>0</v>
      </c>
      <c r="I97" s="37">
        <f>'Round 3 Data'!I97*'Round 3 Points'!O$2</f>
        <v>12.200000000000001</v>
      </c>
      <c r="J97" s="37">
        <f>'Round 3 Data'!J97*'Round 3 Points'!P$2</f>
        <v>0</v>
      </c>
      <c r="K97" s="37">
        <f>'Round 3 Data'!K97*'Round 3 Points'!Q$2</f>
        <v>0</v>
      </c>
      <c r="L97" s="37">
        <f>'Round 3 Data'!L97*'Round 3 Points'!R$2</f>
        <v>0</v>
      </c>
      <c r="M97" s="37">
        <f>'Round 3 Data'!M97*'Round 3 Points'!S$2</f>
        <v>0</v>
      </c>
      <c r="N97" s="37">
        <f>'Round 3 Data'!N97*'Round 3 Points'!T$2</f>
        <v>0</v>
      </c>
      <c r="O97" s="37">
        <f>'Round 3 Data'!O97*'Round 3 Points'!U$2</f>
        <v>0</v>
      </c>
      <c r="P97" s="37">
        <f>'Round 3 Data'!P97*'Round 3 Points'!V$2</f>
        <v>0</v>
      </c>
      <c r="Q97" s="37">
        <f>'Round 3 Data'!Q97*'Round 3 Points'!W$2</f>
        <v>0</v>
      </c>
      <c r="R97" s="37">
        <f>'Round 3 Data'!R97*'Round 3 Points'!X$2</f>
        <v>0</v>
      </c>
      <c r="S97" s="37">
        <f>'Round 3 Data'!S97*'Round 3 Points'!Y$2</f>
        <v>0</v>
      </c>
      <c r="T97" s="38">
        <f t="shared" si="2"/>
        <v>28.200000000000003</v>
      </c>
      <c r="U97" s="37">
        <f>'Round 3 Data'!U97*'Round 3 Points'!$Z$2</f>
        <v>0</v>
      </c>
      <c r="V97" s="36">
        <f>IF('Round 3 Data'!D97='Round 3 Points'!$K$1,D97/80*$K$2,0)</f>
        <v>5.4</v>
      </c>
      <c r="W97" s="52">
        <f t="shared" si="3"/>
        <v>33.6</v>
      </c>
    </row>
    <row r="98" spans="1:23" x14ac:dyDescent="0.2">
      <c r="A98" s="81" t="s">
        <v>99</v>
      </c>
      <c r="B98" s="36" t="str" cm="1">
        <f t="array" ref="B98:C98">_xlfn.XLOOKUP(A98,'Player List'!$A$2:$A$177,'Player List'!$B$2:$C$177)</f>
        <v>England</v>
      </c>
      <c r="C98" s="36" t="str">
        <v>Prop</v>
      </c>
      <c r="D98" s="37">
        <v>64</v>
      </c>
      <c r="F98" s="37">
        <f>'Round 3 Data'!F98*'Round 3 Points'!L$2</f>
        <v>11</v>
      </c>
      <c r="G98" s="37">
        <f>'Round 3 Data'!G98*'Round 3 Points'!M$2</f>
        <v>7</v>
      </c>
      <c r="H98" s="37">
        <f>'Round 3 Data'!H98*'Round 3 Points'!N$2</f>
        <v>0</v>
      </c>
      <c r="I98" s="37">
        <f>'Round 3 Data'!I98*'Round 3 Points'!O$2</f>
        <v>4.8000000000000007</v>
      </c>
      <c r="J98" s="37">
        <f>'Round 3 Data'!J98*'Round 3 Points'!P$2</f>
        <v>0</v>
      </c>
      <c r="K98" s="37">
        <f>'Round 3 Data'!K98*'Round 3 Points'!Q$2</f>
        <v>0</v>
      </c>
      <c r="L98" s="37">
        <f>'Round 3 Data'!L98*'Round 3 Points'!R$2</f>
        <v>0</v>
      </c>
      <c r="M98" s="37">
        <f>'Round 3 Data'!M98*'Round 3 Points'!S$2</f>
        <v>15</v>
      </c>
      <c r="N98" s="37">
        <f>'Round 3 Data'!N98*'Round 3 Points'!T$2</f>
        <v>0</v>
      </c>
      <c r="O98" s="37">
        <f>'Round 3 Data'!O98*'Round 3 Points'!U$2</f>
        <v>0</v>
      </c>
      <c r="P98" s="37">
        <f>'Round 3 Data'!P98*'Round 3 Points'!V$2</f>
        <v>0</v>
      </c>
      <c r="Q98" s="37">
        <f>'Round 3 Data'!Q98*'Round 3 Points'!W$2</f>
        <v>0</v>
      </c>
      <c r="R98" s="37">
        <f>'Round 3 Data'!R98*'Round 3 Points'!X$2</f>
        <v>0</v>
      </c>
      <c r="S98" s="37">
        <f>'Round 3 Data'!S98*'Round 3 Points'!Y$2</f>
        <v>0</v>
      </c>
      <c r="T98" s="38">
        <f t="shared" si="2"/>
        <v>37.799999999999997</v>
      </c>
      <c r="U98" s="37">
        <f>'Round 3 Data'!U98*'Round 3 Points'!$Z$2</f>
        <v>0</v>
      </c>
      <c r="V98" s="36">
        <f>IF('Round 3 Data'!D98='Round 3 Points'!$K$1,D98/80*$K$2,0)</f>
        <v>6.4</v>
      </c>
      <c r="W98" s="52">
        <f t="shared" si="3"/>
        <v>44.199999999999996</v>
      </c>
    </row>
    <row r="99" spans="1:23" x14ac:dyDescent="0.2">
      <c r="A99" s="81" t="s">
        <v>100</v>
      </c>
      <c r="B99" s="36" t="str" cm="1">
        <f t="array" ref="B99:C99">_xlfn.XLOOKUP(A99,'Player List'!$A$2:$A$177,'Player List'!$B$2:$C$177)</f>
        <v>England</v>
      </c>
      <c r="C99" s="36" t="str">
        <v>Prop</v>
      </c>
      <c r="D99" s="37">
        <v>26</v>
      </c>
      <c r="F99" s="37">
        <f>'Round 3 Data'!F99*'Round 3 Points'!L$2</f>
        <v>5</v>
      </c>
      <c r="G99" s="37">
        <f>'Round 3 Data'!G99*'Round 3 Points'!M$2</f>
        <v>0</v>
      </c>
      <c r="H99" s="37">
        <f>'Round 3 Data'!H99*'Round 3 Points'!N$2</f>
        <v>0</v>
      </c>
      <c r="I99" s="37">
        <f>'Round 3 Data'!I99*'Round 3 Points'!O$2</f>
        <v>3.6</v>
      </c>
      <c r="J99" s="37">
        <f>'Round 3 Data'!J99*'Round 3 Points'!P$2</f>
        <v>0</v>
      </c>
      <c r="K99" s="37">
        <f>'Round 3 Data'!K99*'Round 3 Points'!Q$2</f>
        <v>0</v>
      </c>
      <c r="L99" s="37">
        <f>'Round 3 Data'!L99*'Round 3 Points'!R$2</f>
        <v>0</v>
      </c>
      <c r="M99" s="37">
        <f>'Round 3 Data'!M99*'Round 3 Points'!S$2</f>
        <v>0</v>
      </c>
      <c r="N99" s="37">
        <f>'Round 3 Data'!N99*'Round 3 Points'!T$2</f>
        <v>0</v>
      </c>
      <c r="O99" s="37">
        <f>'Round 3 Data'!O99*'Round 3 Points'!U$2</f>
        <v>0</v>
      </c>
      <c r="P99" s="37">
        <f>'Round 3 Data'!P99*'Round 3 Points'!V$2</f>
        <v>0</v>
      </c>
      <c r="Q99" s="37">
        <f>'Round 3 Data'!Q99*'Round 3 Points'!W$2</f>
        <v>0</v>
      </c>
      <c r="R99" s="37">
        <f>'Round 3 Data'!R99*'Round 3 Points'!X$2</f>
        <v>0</v>
      </c>
      <c r="S99" s="37">
        <f>'Round 3 Data'!S99*'Round 3 Points'!Y$2</f>
        <v>0</v>
      </c>
      <c r="T99" s="38">
        <f t="shared" si="2"/>
        <v>8.6</v>
      </c>
      <c r="U99" s="37">
        <f>'Round 3 Data'!U99*'Round 3 Points'!$Z$2</f>
        <v>0</v>
      </c>
      <c r="V99" s="36">
        <f>IF('Round 3 Data'!D99='Round 3 Points'!$K$1,D99/80*$K$2,0)</f>
        <v>2.6</v>
      </c>
      <c r="W99" s="52">
        <f t="shared" si="3"/>
        <v>11.2</v>
      </c>
    </row>
    <row r="100" spans="1:23" x14ac:dyDescent="0.2">
      <c r="A100" s="81" t="s">
        <v>101</v>
      </c>
      <c r="B100" s="36" t="str" cm="1">
        <f t="array" ref="B100:C100">_xlfn.XLOOKUP(A100,'Player List'!$A$2:$A$177,'Player List'!$B$2:$C$177)</f>
        <v>England</v>
      </c>
      <c r="C100" s="36" t="str">
        <v>Hooker</v>
      </c>
      <c r="D100" s="37">
        <v>80</v>
      </c>
      <c r="F100" s="37">
        <f>'Round 3 Data'!F100*'Round 3 Points'!L$2</f>
        <v>15</v>
      </c>
      <c r="G100" s="37">
        <f>'Round 3 Data'!G100*'Round 3 Points'!M$2</f>
        <v>7</v>
      </c>
      <c r="H100" s="37">
        <f>'Round 3 Data'!H100*'Round 3 Points'!N$2</f>
        <v>0</v>
      </c>
      <c r="I100" s="37">
        <f>'Round 3 Data'!I100*'Round 3 Points'!O$2</f>
        <v>3.6</v>
      </c>
      <c r="J100" s="37">
        <f>'Round 3 Data'!J100*'Round 3 Points'!P$2</f>
        <v>0</v>
      </c>
      <c r="K100" s="37">
        <f>'Round 3 Data'!K100*'Round 3 Points'!Q$2</f>
        <v>0</v>
      </c>
      <c r="L100" s="37">
        <f>'Round 3 Data'!L100*'Round 3 Points'!R$2</f>
        <v>0</v>
      </c>
      <c r="M100" s="37">
        <f>'Round 3 Data'!M100*'Round 3 Points'!S$2</f>
        <v>0</v>
      </c>
      <c r="N100" s="37">
        <f>'Round 3 Data'!N100*'Round 3 Points'!T$2</f>
        <v>0</v>
      </c>
      <c r="O100" s="37">
        <f>'Round 3 Data'!O100*'Round 3 Points'!U$2</f>
        <v>0</v>
      </c>
      <c r="P100" s="37">
        <f>'Round 3 Data'!P100*'Round 3 Points'!V$2</f>
        <v>0</v>
      </c>
      <c r="Q100" s="37">
        <f>'Round 3 Data'!Q100*'Round 3 Points'!W$2</f>
        <v>0</v>
      </c>
      <c r="R100" s="37">
        <f>'Round 3 Data'!R100*'Round 3 Points'!X$2</f>
        <v>0</v>
      </c>
      <c r="S100" s="37">
        <f>'Round 3 Data'!S100*'Round 3 Points'!Y$2</f>
        <v>0</v>
      </c>
      <c r="T100" s="38">
        <f t="shared" si="2"/>
        <v>25.6</v>
      </c>
      <c r="U100" s="37">
        <f>'Round 3 Data'!U100*'Round 3 Points'!$Z$2</f>
        <v>0</v>
      </c>
      <c r="V100" s="36">
        <f>IF('Round 3 Data'!D100='Round 3 Points'!$K$1,D100/80*$K$2,0)</f>
        <v>8</v>
      </c>
      <c r="W100" s="52">
        <f t="shared" si="3"/>
        <v>33.6</v>
      </c>
    </row>
    <row r="101" spans="1:23" x14ac:dyDescent="0.2">
      <c r="A101" s="81" t="s">
        <v>102</v>
      </c>
      <c r="B101" s="36" t="str" cm="1">
        <f t="array" ref="B101:C101">_xlfn.XLOOKUP(A101,'Player List'!$A$2:$A$177,'Player List'!$B$2:$C$177)</f>
        <v>England</v>
      </c>
      <c r="C101" s="36" t="str">
        <v>Hooker</v>
      </c>
      <c r="D101" s="37">
        <v>1</v>
      </c>
      <c r="F101" s="37">
        <f>'Round 3 Data'!F101*'Round 3 Points'!L$2</f>
        <v>0</v>
      </c>
      <c r="G101" s="37">
        <f>'Round 3 Data'!G101*'Round 3 Points'!M$2</f>
        <v>0</v>
      </c>
      <c r="H101" s="37">
        <f>'Round 3 Data'!H101*'Round 3 Points'!N$2</f>
        <v>0</v>
      </c>
      <c r="I101" s="37">
        <f>'Round 3 Data'!I101*'Round 3 Points'!O$2</f>
        <v>0</v>
      </c>
      <c r="J101" s="37">
        <f>'Round 3 Data'!J101*'Round 3 Points'!P$2</f>
        <v>0</v>
      </c>
      <c r="K101" s="37">
        <f>'Round 3 Data'!K101*'Round 3 Points'!Q$2</f>
        <v>0</v>
      </c>
      <c r="L101" s="37">
        <f>'Round 3 Data'!L101*'Round 3 Points'!R$2</f>
        <v>0</v>
      </c>
      <c r="M101" s="37">
        <f>'Round 3 Data'!M101*'Round 3 Points'!S$2</f>
        <v>0</v>
      </c>
      <c r="N101" s="37">
        <f>'Round 3 Data'!N101*'Round 3 Points'!T$2</f>
        <v>0</v>
      </c>
      <c r="O101" s="37">
        <f>'Round 3 Data'!O101*'Round 3 Points'!U$2</f>
        <v>0</v>
      </c>
      <c r="P101" s="37">
        <f>'Round 3 Data'!P101*'Round 3 Points'!V$2</f>
        <v>0</v>
      </c>
      <c r="Q101" s="37">
        <f>'Round 3 Data'!Q101*'Round 3 Points'!W$2</f>
        <v>0</v>
      </c>
      <c r="R101" s="37">
        <f>'Round 3 Data'!R101*'Round 3 Points'!X$2</f>
        <v>0</v>
      </c>
      <c r="S101" s="37">
        <f>'Round 3 Data'!S101*'Round 3 Points'!Y$2</f>
        <v>0</v>
      </c>
      <c r="T101" s="38">
        <f t="shared" si="2"/>
        <v>0</v>
      </c>
      <c r="U101" s="37">
        <f>'Round 3 Data'!U101*'Round 3 Points'!$Z$2</f>
        <v>0</v>
      </c>
      <c r="V101" s="36">
        <f>IF('Round 3 Data'!D101='Round 3 Points'!$K$1,D101/80*$K$2,0)</f>
        <v>0.1</v>
      </c>
      <c r="W101" s="52">
        <f t="shared" si="3"/>
        <v>0.1</v>
      </c>
    </row>
    <row r="102" spans="1:23" x14ac:dyDescent="0.2">
      <c r="A102" s="81" t="s">
        <v>12</v>
      </c>
      <c r="B102" s="36" t="str" cm="1">
        <f t="array" ref="B102:C102">_xlfn.XLOOKUP(A102,'Player List'!$A$2:$A$177,'Player List'!$B$2:$C$177)</f>
        <v>France</v>
      </c>
      <c r="C102" s="36" t="str">
        <v>Back Three</v>
      </c>
      <c r="D102" s="37">
        <v>80</v>
      </c>
      <c r="F102" s="37">
        <f>'Round 3 Data'!F102*'Round 3 Points'!L$2</f>
        <v>3</v>
      </c>
      <c r="G102" s="37">
        <f>'Round 3 Data'!G102*'Round 3 Points'!M$2</f>
        <v>0</v>
      </c>
      <c r="H102" s="37">
        <f>'Round 3 Data'!H102*'Round 3 Points'!N$2</f>
        <v>0</v>
      </c>
      <c r="I102" s="37">
        <f>'Round 3 Data'!I102*'Round 3 Points'!O$2</f>
        <v>4.8000000000000007</v>
      </c>
      <c r="J102" s="37">
        <f>'Round 3 Data'!J102*'Round 3 Points'!P$2</f>
        <v>0</v>
      </c>
      <c r="K102" s="37">
        <f>'Round 3 Data'!K102*'Round 3 Points'!Q$2</f>
        <v>0</v>
      </c>
      <c r="L102" s="37">
        <f>'Round 3 Data'!L102*'Round 3 Points'!R$2</f>
        <v>0</v>
      </c>
      <c r="M102" s="37">
        <f>'Round 3 Data'!M102*'Round 3 Points'!S$2</f>
        <v>0</v>
      </c>
      <c r="N102" s="37">
        <f>'Round 3 Data'!N102*'Round 3 Points'!T$2</f>
        <v>0</v>
      </c>
      <c r="O102" s="37">
        <f>'Round 3 Data'!O102*'Round 3 Points'!U$2</f>
        <v>0</v>
      </c>
      <c r="P102" s="37">
        <f>'Round 3 Data'!P102*'Round 3 Points'!V$2</f>
        <v>0</v>
      </c>
      <c r="Q102" s="37">
        <f>'Round 3 Data'!Q102*'Round 3 Points'!W$2</f>
        <v>0</v>
      </c>
      <c r="R102" s="37">
        <f>'Round 3 Data'!R102*'Round 3 Points'!X$2</f>
        <v>0</v>
      </c>
      <c r="S102" s="37">
        <f>'Round 3 Data'!S102*'Round 3 Points'!Y$2</f>
        <v>0</v>
      </c>
      <c r="T102" s="38">
        <f t="shared" si="2"/>
        <v>7.8000000000000007</v>
      </c>
      <c r="U102" s="37">
        <f>'Round 3 Data'!U102*'Round 3 Points'!$Z$2</f>
        <v>0</v>
      </c>
      <c r="V102" s="36">
        <f>IF('Round 3 Data'!D102='Round 3 Points'!$K$1,D102/80*$K$2,0)</f>
        <v>8</v>
      </c>
      <c r="W102" s="52">
        <f t="shared" si="3"/>
        <v>15.8</v>
      </c>
    </row>
    <row r="103" spans="1:23" x14ac:dyDescent="0.2">
      <c r="A103" s="81" t="s">
        <v>13</v>
      </c>
      <c r="B103" s="36" t="str" cm="1">
        <f t="array" ref="B103:C103">_xlfn.XLOOKUP(A103,'Player List'!$A$2:$A$177,'Player List'!$B$2:$C$177)</f>
        <v>France</v>
      </c>
      <c r="C103" s="36" t="str">
        <v>Back Three</v>
      </c>
      <c r="D103" s="37">
        <v>80</v>
      </c>
      <c r="F103" s="37">
        <f>'Round 3 Data'!F103*'Round 3 Points'!L$2</f>
        <v>0</v>
      </c>
      <c r="G103" s="37">
        <f>'Round 3 Data'!G103*'Round 3 Points'!M$2</f>
        <v>0</v>
      </c>
      <c r="H103" s="37">
        <f>'Round 3 Data'!H103*'Round 3 Points'!N$2</f>
        <v>14</v>
      </c>
      <c r="I103" s="37">
        <f>'Round 3 Data'!I103*'Round 3 Points'!O$2</f>
        <v>34.6</v>
      </c>
      <c r="J103" s="37">
        <f>'Round 3 Data'!J103*'Round 3 Points'!P$2</f>
        <v>0</v>
      </c>
      <c r="K103" s="37">
        <f>'Round 3 Data'!K103*'Round 3 Points'!Q$2</f>
        <v>0</v>
      </c>
      <c r="L103" s="37">
        <f>'Round 3 Data'!L103*'Round 3 Points'!R$2</f>
        <v>0</v>
      </c>
      <c r="M103" s="37">
        <f>'Round 3 Data'!M103*'Round 3 Points'!S$2</f>
        <v>15</v>
      </c>
      <c r="N103" s="37">
        <f>'Round 3 Data'!N103*'Round 3 Points'!T$2</f>
        <v>0</v>
      </c>
      <c r="O103" s="37">
        <f>'Round 3 Data'!O103*'Round 3 Points'!U$2</f>
        <v>6</v>
      </c>
      <c r="P103" s="37">
        <f>'Round 3 Data'!P103*'Round 3 Points'!V$2</f>
        <v>10</v>
      </c>
      <c r="Q103" s="37">
        <f>'Round 3 Data'!Q103*'Round 3 Points'!W$2</f>
        <v>0</v>
      </c>
      <c r="R103" s="37">
        <f>'Round 3 Data'!R103*'Round 3 Points'!X$2</f>
        <v>0</v>
      </c>
      <c r="S103" s="37">
        <f>'Round 3 Data'!S103*'Round 3 Points'!Y$2</f>
        <v>0</v>
      </c>
      <c r="T103" s="38">
        <f t="shared" si="2"/>
        <v>79.599999999999994</v>
      </c>
      <c r="U103" s="37">
        <f>'Round 3 Data'!U103*'Round 3 Points'!$Z$2</f>
        <v>0</v>
      </c>
      <c r="V103" s="36">
        <f>IF('Round 3 Data'!D103='Round 3 Points'!$K$1,D103/80*$K$2,0)</f>
        <v>8</v>
      </c>
      <c r="W103" s="52">
        <f t="shared" si="3"/>
        <v>87.6</v>
      </c>
    </row>
    <row r="104" spans="1:23" x14ac:dyDescent="0.2">
      <c r="A104" s="81" t="s">
        <v>14</v>
      </c>
      <c r="B104" s="36" t="str" cm="1">
        <f t="array" ref="B104:C104">_xlfn.XLOOKUP(A104,'Player List'!$A$2:$A$177,'Player List'!$B$2:$C$177)</f>
        <v>France</v>
      </c>
      <c r="C104" s="36" t="str">
        <v>Centre</v>
      </c>
      <c r="D104" s="37">
        <v>80</v>
      </c>
      <c r="F104" s="37">
        <f>'Round 3 Data'!F104*'Round 3 Points'!L$2</f>
        <v>3</v>
      </c>
      <c r="G104" s="37">
        <f>'Round 3 Data'!G104*'Round 3 Points'!M$2</f>
        <v>0</v>
      </c>
      <c r="H104" s="37">
        <f>'Round 3 Data'!H104*'Round 3 Points'!N$2</f>
        <v>14</v>
      </c>
      <c r="I104" s="37">
        <f>'Round 3 Data'!I104*'Round 3 Points'!O$2</f>
        <v>9.2000000000000011</v>
      </c>
      <c r="J104" s="37">
        <f>'Round 3 Data'!J104*'Round 3 Points'!P$2</f>
        <v>0</v>
      </c>
      <c r="K104" s="37">
        <f>'Round 3 Data'!K104*'Round 3 Points'!Q$2</f>
        <v>0</v>
      </c>
      <c r="L104" s="37">
        <f>'Round 3 Data'!L104*'Round 3 Points'!R$2</f>
        <v>0</v>
      </c>
      <c r="M104" s="37">
        <f>'Round 3 Data'!M104*'Round 3 Points'!S$2</f>
        <v>15</v>
      </c>
      <c r="N104" s="37">
        <f>'Round 3 Data'!N104*'Round 3 Points'!T$2</f>
        <v>0</v>
      </c>
      <c r="O104" s="37">
        <f>'Round 3 Data'!O104*'Round 3 Points'!U$2</f>
        <v>0</v>
      </c>
      <c r="P104" s="37">
        <f>'Round 3 Data'!P104*'Round 3 Points'!V$2</f>
        <v>0</v>
      </c>
      <c r="Q104" s="37">
        <f>'Round 3 Data'!Q104*'Round 3 Points'!W$2</f>
        <v>0</v>
      </c>
      <c r="R104" s="37">
        <f>'Round 3 Data'!R104*'Round 3 Points'!X$2</f>
        <v>0</v>
      </c>
      <c r="S104" s="37">
        <f>'Round 3 Data'!S104*'Round 3 Points'!Y$2</f>
        <v>0</v>
      </c>
      <c r="T104" s="38">
        <f t="shared" si="2"/>
        <v>41.2</v>
      </c>
      <c r="U104" s="37">
        <f>'Round 3 Data'!U104*'Round 3 Points'!$Z$2</f>
        <v>0</v>
      </c>
      <c r="V104" s="36">
        <f>IF('Round 3 Data'!D104='Round 3 Points'!$K$1,D104/80*$K$2,0)</f>
        <v>8</v>
      </c>
      <c r="W104" s="52">
        <f t="shared" si="3"/>
        <v>49.2</v>
      </c>
    </row>
    <row r="105" spans="1:23" x14ac:dyDescent="0.2">
      <c r="A105" s="81" t="s">
        <v>15</v>
      </c>
      <c r="B105" s="36" t="str" cm="1">
        <f t="array" ref="B105:C105">_xlfn.XLOOKUP(A105,'Player List'!$A$2:$A$177,'Player List'!$B$2:$C$177)</f>
        <v>France</v>
      </c>
      <c r="C105" s="36" t="str">
        <v>Centre</v>
      </c>
      <c r="D105" s="37">
        <v>80</v>
      </c>
      <c r="F105" s="37">
        <f>'Round 3 Data'!F105*'Round 3 Points'!L$2</f>
        <v>15</v>
      </c>
      <c r="G105" s="37">
        <f>'Round 3 Data'!G105*'Round 3 Points'!M$2</f>
        <v>0</v>
      </c>
      <c r="H105" s="37">
        <f>'Round 3 Data'!H105*'Round 3 Points'!N$2</f>
        <v>7</v>
      </c>
      <c r="I105" s="37">
        <f>'Round 3 Data'!I105*'Round 3 Points'!O$2</f>
        <v>11</v>
      </c>
      <c r="J105" s="37">
        <f>'Round 3 Data'!J105*'Round 3 Points'!P$2</f>
        <v>0</v>
      </c>
      <c r="K105" s="37">
        <f>'Round 3 Data'!K105*'Round 3 Points'!Q$2</f>
        <v>0</v>
      </c>
      <c r="L105" s="37">
        <f>'Round 3 Data'!L105*'Round 3 Points'!R$2</f>
        <v>0</v>
      </c>
      <c r="M105" s="37">
        <f>'Round 3 Data'!M105*'Round 3 Points'!S$2</f>
        <v>15</v>
      </c>
      <c r="N105" s="37">
        <f>'Round 3 Data'!N105*'Round 3 Points'!T$2</f>
        <v>0</v>
      </c>
      <c r="O105" s="37">
        <f>'Round 3 Data'!O105*'Round 3 Points'!U$2</f>
        <v>0</v>
      </c>
      <c r="P105" s="37">
        <f>'Round 3 Data'!P105*'Round 3 Points'!V$2</f>
        <v>0</v>
      </c>
      <c r="Q105" s="37">
        <f>'Round 3 Data'!Q105*'Round 3 Points'!W$2</f>
        <v>0</v>
      </c>
      <c r="R105" s="37">
        <f>'Round 3 Data'!R105*'Round 3 Points'!X$2</f>
        <v>0</v>
      </c>
      <c r="S105" s="37">
        <f>'Round 3 Data'!S105*'Round 3 Points'!Y$2</f>
        <v>0</v>
      </c>
      <c r="T105" s="38">
        <f t="shared" si="2"/>
        <v>48</v>
      </c>
      <c r="U105" s="37">
        <f>'Round 3 Data'!U105*'Round 3 Points'!$Z$2</f>
        <v>15</v>
      </c>
      <c r="V105" s="36">
        <f>IF('Round 3 Data'!D105='Round 3 Points'!$K$1,D105/80*$K$2,0)</f>
        <v>8</v>
      </c>
      <c r="W105" s="52">
        <f t="shared" si="3"/>
        <v>71</v>
      </c>
    </row>
    <row r="106" spans="1:23" x14ac:dyDescent="0.2">
      <c r="A106" s="81" t="s">
        <v>16</v>
      </c>
      <c r="B106" s="36" t="str" cm="1">
        <f t="array" ref="B106:C106">_xlfn.XLOOKUP(A106,'Player List'!$A$2:$A$177,'Player List'!$B$2:$C$177)</f>
        <v>France</v>
      </c>
      <c r="C106" s="36" t="str">
        <v>Centre</v>
      </c>
      <c r="D106" s="37">
        <v>80</v>
      </c>
      <c r="F106" s="37">
        <f>'Round 3 Data'!F106*'Round 3 Points'!L$2</f>
        <v>10</v>
      </c>
      <c r="G106" s="37">
        <f>'Round 3 Data'!G106*'Round 3 Points'!M$2</f>
        <v>0</v>
      </c>
      <c r="H106" s="37">
        <f>'Round 3 Data'!H106*'Round 3 Points'!N$2</f>
        <v>7</v>
      </c>
      <c r="I106" s="37">
        <f>'Round 3 Data'!I106*'Round 3 Points'!O$2</f>
        <v>7.8000000000000007</v>
      </c>
      <c r="J106" s="37">
        <f>'Round 3 Data'!J106*'Round 3 Points'!P$2</f>
        <v>0</v>
      </c>
      <c r="K106" s="37">
        <f>'Round 3 Data'!K106*'Round 3 Points'!Q$2</f>
        <v>0</v>
      </c>
      <c r="L106" s="37">
        <f>'Round 3 Data'!L106*'Round 3 Points'!R$2</f>
        <v>0</v>
      </c>
      <c r="M106" s="37">
        <f>'Round 3 Data'!M106*'Round 3 Points'!S$2</f>
        <v>0</v>
      </c>
      <c r="N106" s="37">
        <f>'Round 3 Data'!N106*'Round 3 Points'!T$2</f>
        <v>0</v>
      </c>
      <c r="O106" s="37">
        <f>'Round 3 Data'!O106*'Round 3 Points'!U$2</f>
        <v>0</v>
      </c>
      <c r="P106" s="37">
        <f>'Round 3 Data'!P106*'Round 3 Points'!V$2</f>
        <v>0</v>
      </c>
      <c r="Q106" s="37">
        <f>'Round 3 Data'!Q106*'Round 3 Points'!W$2</f>
        <v>0</v>
      </c>
      <c r="R106" s="37">
        <f>'Round 3 Data'!R106*'Round 3 Points'!X$2</f>
        <v>0</v>
      </c>
      <c r="S106" s="37">
        <f>'Round 3 Data'!S106*'Round 3 Points'!Y$2</f>
        <v>0</v>
      </c>
      <c r="T106" s="38">
        <f t="shared" si="2"/>
        <v>24.8</v>
      </c>
      <c r="U106" s="37">
        <f>'Round 3 Data'!U106*'Round 3 Points'!$Z$2</f>
        <v>0</v>
      </c>
      <c r="V106" s="36">
        <f>IF('Round 3 Data'!D106='Round 3 Points'!$K$1,D106/80*$K$2,0)</f>
        <v>8</v>
      </c>
      <c r="W106" s="52">
        <f t="shared" si="3"/>
        <v>32.799999999999997</v>
      </c>
    </row>
    <row r="107" spans="1:23" x14ac:dyDescent="0.2">
      <c r="A107" s="81" t="s">
        <v>17</v>
      </c>
      <c r="B107" s="36" t="str" cm="1">
        <f t="array" ref="B107:C107">_xlfn.XLOOKUP(A107,'Player List'!$A$2:$A$177,'Player List'!$B$2:$C$177)</f>
        <v>France</v>
      </c>
      <c r="C107" s="36" t="str">
        <v>Fly Half</v>
      </c>
      <c r="D107" s="37">
        <v>11</v>
      </c>
      <c r="F107" s="37">
        <f>'Round 3 Data'!F107*'Round 3 Points'!L$2</f>
        <v>1</v>
      </c>
      <c r="G107" s="37">
        <f>'Round 3 Data'!G107*'Round 3 Points'!M$2</f>
        <v>0</v>
      </c>
      <c r="H107" s="37">
        <f>'Round 3 Data'!H107*'Round 3 Points'!N$2</f>
        <v>0</v>
      </c>
      <c r="I107" s="37">
        <f>'Round 3 Data'!I107*'Round 3 Points'!O$2</f>
        <v>2</v>
      </c>
      <c r="J107" s="37">
        <f>'Round 3 Data'!J107*'Round 3 Points'!P$2</f>
        <v>0</v>
      </c>
      <c r="K107" s="37">
        <f>'Round 3 Data'!K107*'Round 3 Points'!Q$2</f>
        <v>0</v>
      </c>
      <c r="L107" s="37">
        <f>'Round 3 Data'!L107*'Round 3 Points'!R$2</f>
        <v>0</v>
      </c>
      <c r="M107" s="37">
        <f>'Round 3 Data'!M107*'Round 3 Points'!S$2</f>
        <v>0</v>
      </c>
      <c r="N107" s="37">
        <f>'Round 3 Data'!N107*'Round 3 Points'!T$2</f>
        <v>0</v>
      </c>
      <c r="O107" s="37">
        <f>'Round 3 Data'!O107*'Round 3 Points'!U$2</f>
        <v>0</v>
      </c>
      <c r="P107" s="37">
        <f>'Round 3 Data'!P107*'Round 3 Points'!V$2</f>
        <v>0</v>
      </c>
      <c r="Q107" s="37">
        <f>'Round 3 Data'!Q107*'Round 3 Points'!W$2</f>
        <v>0</v>
      </c>
      <c r="R107" s="37">
        <f>'Round 3 Data'!R107*'Round 3 Points'!X$2</f>
        <v>0</v>
      </c>
      <c r="S107" s="37">
        <f>'Round 3 Data'!S107*'Round 3 Points'!Y$2</f>
        <v>0</v>
      </c>
      <c r="T107" s="38">
        <f t="shared" si="2"/>
        <v>3</v>
      </c>
      <c r="U107" s="37">
        <f>'Round 3 Data'!U107*'Round 3 Points'!$Z$2</f>
        <v>0</v>
      </c>
      <c r="V107" s="36">
        <f>IF('Round 3 Data'!D107='Round 3 Points'!$K$1,D107/80*$K$2,0)</f>
        <v>1.1000000000000001</v>
      </c>
      <c r="W107" s="52">
        <f t="shared" si="3"/>
        <v>4.0999999999999996</v>
      </c>
    </row>
    <row r="108" spans="1:23" x14ac:dyDescent="0.2">
      <c r="A108" s="81" t="s">
        <v>18</v>
      </c>
      <c r="B108" s="36" t="str" cm="1">
        <f t="array" ref="B108:C108">_xlfn.XLOOKUP(A108,'Player List'!$A$2:$A$177,'Player List'!$B$2:$C$177)</f>
        <v>France</v>
      </c>
      <c r="C108" s="36" t="str">
        <v>Fly Half</v>
      </c>
      <c r="D108" s="37">
        <v>69</v>
      </c>
      <c r="F108" s="37">
        <f>'Round 3 Data'!F108*'Round 3 Points'!L$2</f>
        <v>12</v>
      </c>
      <c r="G108" s="37">
        <f>'Round 3 Data'!G108*'Round 3 Points'!M$2</f>
        <v>0</v>
      </c>
      <c r="H108" s="37">
        <f>'Round 3 Data'!H108*'Round 3 Points'!N$2</f>
        <v>7</v>
      </c>
      <c r="I108" s="37">
        <f>'Round 3 Data'!I108*'Round 3 Points'!O$2</f>
        <v>4</v>
      </c>
      <c r="J108" s="37">
        <f>'Round 3 Data'!J108*'Round 3 Points'!P$2</f>
        <v>0</v>
      </c>
      <c r="K108" s="37">
        <f>'Round 3 Data'!K108*'Round 3 Points'!Q$2</f>
        <v>0</v>
      </c>
      <c r="L108" s="37">
        <f>'Round 3 Data'!L108*'Round 3 Points'!R$2</f>
        <v>0</v>
      </c>
      <c r="M108" s="37">
        <f>'Round 3 Data'!M108*'Round 3 Points'!S$2</f>
        <v>15</v>
      </c>
      <c r="N108" s="37">
        <f>'Round 3 Data'!N108*'Round 3 Points'!T$2</f>
        <v>7</v>
      </c>
      <c r="O108" s="37">
        <f>'Round 3 Data'!O108*'Round 3 Points'!U$2</f>
        <v>0</v>
      </c>
      <c r="P108" s="37">
        <f>'Round 3 Data'!P108*'Round 3 Points'!V$2</f>
        <v>0</v>
      </c>
      <c r="Q108" s="37">
        <f>'Round 3 Data'!Q108*'Round 3 Points'!W$2</f>
        <v>0</v>
      </c>
      <c r="R108" s="37">
        <f>'Round 3 Data'!R108*'Round 3 Points'!X$2</f>
        <v>0</v>
      </c>
      <c r="S108" s="37">
        <f>'Round 3 Data'!S108*'Round 3 Points'!Y$2</f>
        <v>0</v>
      </c>
      <c r="T108" s="38">
        <f t="shared" si="2"/>
        <v>45</v>
      </c>
      <c r="U108" s="37">
        <f>'Round 3 Data'!U108*'Round 3 Points'!$Z$2</f>
        <v>0</v>
      </c>
      <c r="V108" s="36">
        <f>IF('Round 3 Data'!D108='Round 3 Points'!$K$1,D108/80*$K$2,0)</f>
        <v>6.9</v>
      </c>
      <c r="W108" s="52">
        <f t="shared" si="3"/>
        <v>51.9</v>
      </c>
    </row>
    <row r="109" spans="1:23" x14ac:dyDescent="0.2">
      <c r="A109" s="81" t="s">
        <v>19</v>
      </c>
      <c r="B109" s="36" t="str" cm="1">
        <f t="array" ref="B109:C109">_xlfn.XLOOKUP(A109,'Player List'!$A$2:$A$177,'Player List'!$B$2:$C$177)</f>
        <v>France</v>
      </c>
      <c r="C109" s="36" t="str">
        <v>Scrum Half</v>
      </c>
      <c r="D109" s="37">
        <v>80</v>
      </c>
      <c r="F109" s="37">
        <f>'Round 3 Data'!F109*'Round 3 Points'!L$2</f>
        <v>13</v>
      </c>
      <c r="G109" s="37">
        <f>'Round 3 Data'!G109*'Round 3 Points'!M$2</f>
        <v>0</v>
      </c>
      <c r="H109" s="37">
        <f>'Round 3 Data'!H109*'Round 3 Points'!N$2</f>
        <v>0</v>
      </c>
      <c r="I109" s="37">
        <f>'Round 3 Data'!I109*'Round 3 Points'!O$2</f>
        <v>2.8000000000000003</v>
      </c>
      <c r="J109" s="37">
        <f>'Round 3 Data'!J109*'Round 3 Points'!P$2</f>
        <v>0</v>
      </c>
      <c r="K109" s="37">
        <f>'Round 3 Data'!K109*'Round 3 Points'!Q$2</f>
        <v>0</v>
      </c>
      <c r="L109" s="37">
        <f>'Round 3 Data'!L109*'Round 3 Points'!R$2</f>
        <v>7</v>
      </c>
      <c r="M109" s="37">
        <f>'Round 3 Data'!M109*'Round 3 Points'!S$2</f>
        <v>0</v>
      </c>
      <c r="N109" s="37">
        <f>'Round 3 Data'!N109*'Round 3 Points'!T$2</f>
        <v>14</v>
      </c>
      <c r="O109" s="37">
        <f>'Round 3 Data'!O109*'Round 3 Points'!U$2</f>
        <v>0</v>
      </c>
      <c r="P109" s="37">
        <f>'Round 3 Data'!P109*'Round 3 Points'!V$2</f>
        <v>0</v>
      </c>
      <c r="Q109" s="37">
        <f>'Round 3 Data'!Q109*'Round 3 Points'!W$2</f>
        <v>0</v>
      </c>
      <c r="R109" s="37">
        <f>'Round 3 Data'!R109*'Round 3 Points'!X$2</f>
        <v>0</v>
      </c>
      <c r="S109" s="37">
        <f>'Round 3 Data'!S109*'Round 3 Points'!Y$2</f>
        <v>0</v>
      </c>
      <c r="T109" s="38">
        <f t="shared" si="2"/>
        <v>36.799999999999997</v>
      </c>
      <c r="U109" s="37">
        <f>'Round 3 Data'!U109*'Round 3 Points'!$Z$2</f>
        <v>0</v>
      </c>
      <c r="V109" s="36">
        <f>IF('Round 3 Data'!D109='Round 3 Points'!$K$1,D109/80*$K$2,0)</f>
        <v>8</v>
      </c>
      <c r="W109" s="52">
        <f t="shared" si="3"/>
        <v>44.8</v>
      </c>
    </row>
    <row r="110" spans="1:23" x14ac:dyDescent="0.2">
      <c r="A110" s="81" t="s">
        <v>20</v>
      </c>
      <c r="B110" s="36" t="str" cm="1">
        <f t="array" ref="B110:C110">_xlfn.XLOOKUP(A110,'Player List'!$A$2:$A$177,'Player List'!$B$2:$C$177)</f>
        <v>France</v>
      </c>
      <c r="C110" s="36" t="str">
        <v>Back Row</v>
      </c>
      <c r="D110" s="37">
        <v>12</v>
      </c>
      <c r="F110" s="37">
        <f>'Round 3 Data'!F110*'Round 3 Points'!L$2</f>
        <v>0</v>
      </c>
      <c r="G110" s="37">
        <f>'Round 3 Data'!G110*'Round 3 Points'!M$2</f>
        <v>0</v>
      </c>
      <c r="H110" s="37">
        <f>'Round 3 Data'!H110*'Round 3 Points'!N$2</f>
        <v>0</v>
      </c>
      <c r="I110" s="37">
        <f>'Round 3 Data'!I110*'Round 3 Points'!O$2</f>
        <v>1.2000000000000002</v>
      </c>
      <c r="J110" s="37">
        <f>'Round 3 Data'!J110*'Round 3 Points'!P$2</f>
        <v>0</v>
      </c>
      <c r="K110" s="37">
        <f>'Round 3 Data'!K110*'Round 3 Points'!Q$2</f>
        <v>0</v>
      </c>
      <c r="L110" s="37">
        <f>'Round 3 Data'!L110*'Round 3 Points'!R$2</f>
        <v>0</v>
      </c>
      <c r="M110" s="37">
        <f>'Round 3 Data'!M110*'Round 3 Points'!S$2</f>
        <v>0</v>
      </c>
      <c r="N110" s="37">
        <f>'Round 3 Data'!N110*'Round 3 Points'!T$2</f>
        <v>0</v>
      </c>
      <c r="O110" s="37">
        <f>'Round 3 Data'!O110*'Round 3 Points'!U$2</f>
        <v>0</v>
      </c>
      <c r="P110" s="37">
        <f>'Round 3 Data'!P110*'Round 3 Points'!V$2</f>
        <v>0</v>
      </c>
      <c r="Q110" s="37">
        <f>'Round 3 Data'!Q110*'Round 3 Points'!W$2</f>
        <v>0</v>
      </c>
      <c r="R110" s="37">
        <f>'Round 3 Data'!R110*'Round 3 Points'!X$2</f>
        <v>0</v>
      </c>
      <c r="S110" s="37">
        <f>'Round 3 Data'!S110*'Round 3 Points'!Y$2</f>
        <v>0</v>
      </c>
      <c r="T110" s="38">
        <f t="shared" si="2"/>
        <v>1.2000000000000002</v>
      </c>
      <c r="U110" s="37">
        <f>'Round 3 Data'!U110*'Round 3 Points'!$Z$2</f>
        <v>0</v>
      </c>
      <c r="V110" s="36">
        <f>IF('Round 3 Data'!D110='Round 3 Points'!$K$1,D110/80*$K$2,0)</f>
        <v>1.2</v>
      </c>
      <c r="W110" s="52">
        <f t="shared" si="3"/>
        <v>2.4000000000000004</v>
      </c>
    </row>
    <row r="111" spans="1:23" x14ac:dyDescent="0.2">
      <c r="A111" s="81" t="s">
        <v>21</v>
      </c>
      <c r="B111" s="36" t="str" cm="1">
        <f t="array" ref="B111:C111">_xlfn.XLOOKUP(A111,'Player List'!$A$2:$A$177,'Player List'!$B$2:$C$177)</f>
        <v>France</v>
      </c>
      <c r="C111" s="36" t="str">
        <v>Back Row</v>
      </c>
      <c r="D111" s="37">
        <v>63</v>
      </c>
      <c r="F111" s="37">
        <f>'Round 3 Data'!F111*'Round 3 Points'!L$2</f>
        <v>10</v>
      </c>
      <c r="G111" s="37">
        <f>'Round 3 Data'!G111*'Round 3 Points'!M$2</f>
        <v>14</v>
      </c>
      <c r="H111" s="37">
        <f>'Round 3 Data'!H111*'Round 3 Points'!N$2</f>
        <v>0</v>
      </c>
      <c r="I111" s="37">
        <f>'Round 3 Data'!I111*'Round 3 Points'!O$2</f>
        <v>5.2</v>
      </c>
      <c r="J111" s="37">
        <f>'Round 3 Data'!J111*'Round 3 Points'!P$2</f>
        <v>0</v>
      </c>
      <c r="K111" s="37">
        <f>'Round 3 Data'!K111*'Round 3 Points'!Q$2</f>
        <v>0</v>
      </c>
      <c r="L111" s="37">
        <f>'Round 3 Data'!L111*'Round 3 Points'!R$2</f>
        <v>0</v>
      </c>
      <c r="M111" s="37">
        <f>'Round 3 Data'!M111*'Round 3 Points'!S$2</f>
        <v>0</v>
      </c>
      <c r="N111" s="37">
        <f>'Round 3 Data'!N111*'Round 3 Points'!T$2</f>
        <v>0</v>
      </c>
      <c r="O111" s="37">
        <f>'Round 3 Data'!O111*'Round 3 Points'!U$2</f>
        <v>0</v>
      </c>
      <c r="P111" s="37">
        <f>'Round 3 Data'!P111*'Round 3 Points'!V$2</f>
        <v>0</v>
      </c>
      <c r="Q111" s="37">
        <f>'Round 3 Data'!Q111*'Round 3 Points'!W$2</f>
        <v>0</v>
      </c>
      <c r="R111" s="37">
        <f>'Round 3 Data'!R111*'Round 3 Points'!X$2</f>
        <v>0</v>
      </c>
      <c r="S111" s="37">
        <f>'Round 3 Data'!S111*'Round 3 Points'!Y$2</f>
        <v>0</v>
      </c>
      <c r="T111" s="38">
        <f t="shared" si="2"/>
        <v>29.2</v>
      </c>
      <c r="U111" s="37">
        <f>'Round 3 Data'!U111*'Round 3 Points'!$Z$2</f>
        <v>0</v>
      </c>
      <c r="V111" s="36">
        <f>IF('Round 3 Data'!D111='Round 3 Points'!$K$1,D111/80*$K$2,0)</f>
        <v>6.3</v>
      </c>
      <c r="W111" s="52">
        <f t="shared" si="3"/>
        <v>35.5</v>
      </c>
    </row>
    <row r="112" spans="1:23" x14ac:dyDescent="0.2">
      <c r="A112" s="81" t="s">
        <v>22</v>
      </c>
      <c r="B112" s="36" t="str" cm="1">
        <f t="array" ref="B112:C112">_xlfn.XLOOKUP(A112,'Player List'!$A$2:$A$177,'Player List'!$B$2:$C$177)</f>
        <v>France</v>
      </c>
      <c r="C112" s="36" t="str">
        <v>Back Row</v>
      </c>
      <c r="D112" s="37">
        <v>17</v>
      </c>
      <c r="F112" s="37">
        <f>'Round 3 Data'!F112*'Round 3 Points'!L$2</f>
        <v>4</v>
      </c>
      <c r="G112" s="37">
        <f>'Round 3 Data'!G112*'Round 3 Points'!M$2</f>
        <v>14</v>
      </c>
      <c r="H112" s="37">
        <f>'Round 3 Data'!H112*'Round 3 Points'!N$2</f>
        <v>0</v>
      </c>
      <c r="I112" s="37">
        <f>'Round 3 Data'!I112*'Round 3 Points'!O$2</f>
        <v>3.8000000000000003</v>
      </c>
      <c r="J112" s="37">
        <f>'Round 3 Data'!J112*'Round 3 Points'!P$2</f>
        <v>0</v>
      </c>
      <c r="K112" s="37">
        <f>'Round 3 Data'!K112*'Round 3 Points'!Q$2</f>
        <v>0</v>
      </c>
      <c r="L112" s="37">
        <f>'Round 3 Data'!L112*'Round 3 Points'!R$2</f>
        <v>0</v>
      </c>
      <c r="M112" s="37">
        <f>'Round 3 Data'!M112*'Round 3 Points'!S$2</f>
        <v>0</v>
      </c>
      <c r="N112" s="37">
        <f>'Round 3 Data'!N112*'Round 3 Points'!T$2</f>
        <v>0</v>
      </c>
      <c r="O112" s="37">
        <f>'Round 3 Data'!O112*'Round 3 Points'!U$2</f>
        <v>0</v>
      </c>
      <c r="P112" s="37">
        <f>'Round 3 Data'!P112*'Round 3 Points'!V$2</f>
        <v>0</v>
      </c>
      <c r="Q112" s="37">
        <f>'Round 3 Data'!Q112*'Round 3 Points'!W$2</f>
        <v>0</v>
      </c>
      <c r="R112" s="37">
        <f>'Round 3 Data'!R112*'Round 3 Points'!X$2</f>
        <v>0</v>
      </c>
      <c r="S112" s="37">
        <f>'Round 3 Data'!S112*'Round 3 Points'!Y$2</f>
        <v>0</v>
      </c>
      <c r="T112" s="38">
        <f t="shared" si="2"/>
        <v>21.8</v>
      </c>
      <c r="U112" s="37">
        <f>'Round 3 Data'!U112*'Round 3 Points'!$Z$2</f>
        <v>0</v>
      </c>
      <c r="V112" s="36">
        <f>IF('Round 3 Data'!D112='Round 3 Points'!$K$1,D112/80*$K$2,0)</f>
        <v>1.7</v>
      </c>
      <c r="W112" s="52">
        <f t="shared" si="3"/>
        <v>23.5</v>
      </c>
    </row>
    <row r="113" spans="1:23" x14ac:dyDescent="0.2">
      <c r="A113" s="81" t="s">
        <v>24</v>
      </c>
      <c r="B113" s="36" t="str" cm="1">
        <f t="array" ref="B113:C113">_xlfn.XLOOKUP(A113,'Player List'!$A$2:$A$177,'Player List'!$B$2:$C$177)</f>
        <v>France</v>
      </c>
      <c r="C113" s="36" t="str">
        <v>Back Row</v>
      </c>
      <c r="D113" s="37">
        <v>80</v>
      </c>
      <c r="F113" s="37">
        <f>'Round 3 Data'!F113*'Round 3 Points'!L$2</f>
        <v>15</v>
      </c>
      <c r="G113" s="37">
        <f>'Round 3 Data'!G113*'Round 3 Points'!M$2</f>
        <v>7</v>
      </c>
      <c r="H113" s="37">
        <f>'Round 3 Data'!H113*'Round 3 Points'!N$2</f>
        <v>0</v>
      </c>
      <c r="I113" s="37">
        <f>'Round 3 Data'!I113*'Round 3 Points'!O$2</f>
        <v>7</v>
      </c>
      <c r="J113" s="37">
        <f>'Round 3 Data'!J113*'Round 3 Points'!P$2</f>
        <v>0</v>
      </c>
      <c r="K113" s="37">
        <f>'Round 3 Data'!K113*'Round 3 Points'!Q$2</f>
        <v>0</v>
      </c>
      <c r="L113" s="37">
        <f>'Round 3 Data'!L113*'Round 3 Points'!R$2</f>
        <v>0</v>
      </c>
      <c r="M113" s="37">
        <f>'Round 3 Data'!M113*'Round 3 Points'!S$2</f>
        <v>0</v>
      </c>
      <c r="N113" s="37">
        <f>'Round 3 Data'!N113*'Round 3 Points'!T$2</f>
        <v>0</v>
      </c>
      <c r="O113" s="37">
        <f>'Round 3 Data'!O113*'Round 3 Points'!U$2</f>
        <v>0</v>
      </c>
      <c r="P113" s="37">
        <f>'Round 3 Data'!P113*'Round 3 Points'!V$2</f>
        <v>0</v>
      </c>
      <c r="Q113" s="37">
        <f>'Round 3 Data'!Q113*'Round 3 Points'!W$2</f>
        <v>0</v>
      </c>
      <c r="R113" s="37">
        <f>'Round 3 Data'!R113*'Round 3 Points'!X$2</f>
        <v>0</v>
      </c>
      <c r="S113" s="37">
        <f>'Round 3 Data'!S113*'Round 3 Points'!Y$2</f>
        <v>0</v>
      </c>
      <c r="T113" s="38">
        <f t="shared" si="2"/>
        <v>29</v>
      </c>
      <c r="U113" s="37">
        <f>'Round 3 Data'!U113*'Round 3 Points'!$Z$2</f>
        <v>0</v>
      </c>
      <c r="V113" s="36">
        <f>IF('Round 3 Data'!D113='Round 3 Points'!$K$1,D113/80*$K$2,0)</f>
        <v>8</v>
      </c>
      <c r="W113" s="52">
        <f t="shared" si="3"/>
        <v>37</v>
      </c>
    </row>
    <row r="114" spans="1:23" x14ac:dyDescent="0.2">
      <c r="A114" s="81" t="s">
        <v>25</v>
      </c>
      <c r="B114" s="36" t="str" cm="1">
        <f t="array" ref="B114:C114">_xlfn.XLOOKUP(A114,'Player List'!$A$2:$A$177,'Player List'!$B$2:$C$177)</f>
        <v>France</v>
      </c>
      <c r="C114" s="36" t="str">
        <v>Second Row</v>
      </c>
      <c r="D114" s="37">
        <v>80</v>
      </c>
      <c r="F114" s="37">
        <f>'Round 3 Data'!F114*'Round 3 Points'!L$2</f>
        <v>14</v>
      </c>
      <c r="G114" s="37">
        <f>'Round 3 Data'!G114*'Round 3 Points'!M$2</f>
        <v>7</v>
      </c>
      <c r="H114" s="37">
        <f>'Round 3 Data'!H114*'Round 3 Points'!N$2</f>
        <v>0</v>
      </c>
      <c r="I114" s="37">
        <f>'Round 3 Data'!I114*'Round 3 Points'!O$2</f>
        <v>3</v>
      </c>
      <c r="J114" s="37">
        <f>'Round 3 Data'!J114*'Round 3 Points'!P$2</f>
        <v>0</v>
      </c>
      <c r="K114" s="37">
        <f>'Round 3 Data'!K114*'Round 3 Points'!Q$2</f>
        <v>0</v>
      </c>
      <c r="L114" s="37">
        <f>'Round 3 Data'!L114*'Round 3 Points'!R$2</f>
        <v>0</v>
      </c>
      <c r="M114" s="37">
        <f>'Round 3 Data'!M114*'Round 3 Points'!S$2</f>
        <v>0</v>
      </c>
      <c r="N114" s="37">
        <f>'Round 3 Data'!N114*'Round 3 Points'!T$2</f>
        <v>0</v>
      </c>
      <c r="O114" s="37">
        <f>'Round 3 Data'!O114*'Round 3 Points'!U$2</f>
        <v>0</v>
      </c>
      <c r="P114" s="37">
        <f>'Round 3 Data'!P114*'Round 3 Points'!V$2</f>
        <v>0</v>
      </c>
      <c r="Q114" s="37">
        <f>'Round 3 Data'!Q114*'Round 3 Points'!W$2</f>
        <v>0</v>
      </c>
      <c r="R114" s="37">
        <f>'Round 3 Data'!R114*'Round 3 Points'!X$2</f>
        <v>0</v>
      </c>
      <c r="S114" s="37">
        <f>'Round 3 Data'!S114*'Round 3 Points'!Y$2</f>
        <v>0</v>
      </c>
      <c r="T114" s="38">
        <f t="shared" si="2"/>
        <v>24</v>
      </c>
      <c r="U114" s="37">
        <f>'Round 3 Data'!U114*'Round 3 Points'!$Z$2</f>
        <v>0</v>
      </c>
      <c r="V114" s="36">
        <f>IF('Round 3 Data'!D114='Round 3 Points'!$K$1,D114/80*$K$2,0)</f>
        <v>8</v>
      </c>
      <c r="W114" s="52">
        <f t="shared" si="3"/>
        <v>32</v>
      </c>
    </row>
    <row r="115" spans="1:23" x14ac:dyDescent="0.2">
      <c r="A115" s="81" t="s">
        <v>26</v>
      </c>
      <c r="B115" s="36" t="str" cm="1">
        <f t="array" ref="B115:C115">_xlfn.XLOOKUP(A115,'Player List'!$A$2:$A$177,'Player List'!$B$2:$C$177)</f>
        <v>France</v>
      </c>
      <c r="C115" s="36" t="str">
        <v>Second Row</v>
      </c>
      <c r="D115" s="37">
        <v>27</v>
      </c>
      <c r="F115" s="37">
        <f>'Round 3 Data'!F115*'Round 3 Points'!L$2</f>
        <v>4</v>
      </c>
      <c r="G115" s="37">
        <f>'Round 3 Data'!G115*'Round 3 Points'!M$2</f>
        <v>0</v>
      </c>
      <c r="H115" s="37">
        <f>'Round 3 Data'!H115*'Round 3 Points'!N$2</f>
        <v>0</v>
      </c>
      <c r="I115" s="37">
        <f>'Round 3 Data'!I115*'Round 3 Points'!O$2</f>
        <v>1.6</v>
      </c>
      <c r="J115" s="37">
        <f>'Round 3 Data'!J115*'Round 3 Points'!P$2</f>
        <v>0</v>
      </c>
      <c r="K115" s="37">
        <f>'Round 3 Data'!K115*'Round 3 Points'!Q$2</f>
        <v>0</v>
      </c>
      <c r="L115" s="37">
        <f>'Round 3 Data'!L115*'Round 3 Points'!R$2</f>
        <v>7</v>
      </c>
      <c r="M115" s="37">
        <f>'Round 3 Data'!M115*'Round 3 Points'!S$2</f>
        <v>0</v>
      </c>
      <c r="N115" s="37">
        <f>'Round 3 Data'!N115*'Round 3 Points'!T$2</f>
        <v>0</v>
      </c>
      <c r="O115" s="37">
        <f>'Round 3 Data'!O115*'Round 3 Points'!U$2</f>
        <v>0</v>
      </c>
      <c r="P115" s="37">
        <f>'Round 3 Data'!P115*'Round 3 Points'!V$2</f>
        <v>0</v>
      </c>
      <c r="Q115" s="37">
        <f>'Round 3 Data'!Q115*'Round 3 Points'!W$2</f>
        <v>0</v>
      </c>
      <c r="R115" s="37">
        <f>'Round 3 Data'!R115*'Round 3 Points'!X$2</f>
        <v>0</v>
      </c>
      <c r="S115" s="37">
        <f>'Round 3 Data'!S115*'Round 3 Points'!Y$2</f>
        <v>0</v>
      </c>
      <c r="T115" s="38">
        <f t="shared" si="2"/>
        <v>12.6</v>
      </c>
      <c r="U115" s="37">
        <f>'Round 3 Data'!U115*'Round 3 Points'!$Z$2</f>
        <v>0</v>
      </c>
      <c r="V115" s="36">
        <f>IF('Round 3 Data'!D115='Round 3 Points'!$K$1,D115/80*$K$2,0)</f>
        <v>2.7</v>
      </c>
      <c r="W115" s="52">
        <f t="shared" si="3"/>
        <v>15.3</v>
      </c>
    </row>
    <row r="116" spans="1:23" x14ac:dyDescent="0.2">
      <c r="A116" s="81" t="s">
        <v>27</v>
      </c>
      <c r="B116" s="36" t="str" cm="1">
        <f t="array" ref="B116:C116">_xlfn.XLOOKUP(A116,'Player List'!$A$2:$A$177,'Player List'!$B$2:$C$177)</f>
        <v>France</v>
      </c>
      <c r="C116" s="36" t="str">
        <v>Second Row</v>
      </c>
      <c r="D116" s="37">
        <v>53</v>
      </c>
      <c r="F116" s="37">
        <f>'Round 3 Data'!F116*'Round 3 Points'!L$2</f>
        <v>9</v>
      </c>
      <c r="G116" s="37">
        <f>'Round 3 Data'!G116*'Round 3 Points'!M$2</f>
        <v>7</v>
      </c>
      <c r="H116" s="37">
        <f>'Round 3 Data'!H116*'Round 3 Points'!N$2</f>
        <v>0</v>
      </c>
      <c r="I116" s="37">
        <f>'Round 3 Data'!I116*'Round 3 Points'!O$2</f>
        <v>4</v>
      </c>
      <c r="J116" s="37">
        <f>'Round 3 Data'!J116*'Round 3 Points'!P$2</f>
        <v>0</v>
      </c>
      <c r="K116" s="37">
        <f>'Round 3 Data'!K116*'Round 3 Points'!Q$2</f>
        <v>0</v>
      </c>
      <c r="L116" s="37">
        <f>'Round 3 Data'!L116*'Round 3 Points'!R$2</f>
        <v>0</v>
      </c>
      <c r="M116" s="37">
        <f>'Round 3 Data'!M116*'Round 3 Points'!S$2</f>
        <v>0</v>
      </c>
      <c r="N116" s="37">
        <f>'Round 3 Data'!N116*'Round 3 Points'!T$2</f>
        <v>0</v>
      </c>
      <c r="O116" s="37">
        <f>'Round 3 Data'!O116*'Round 3 Points'!U$2</f>
        <v>0</v>
      </c>
      <c r="P116" s="37">
        <f>'Round 3 Data'!P116*'Round 3 Points'!V$2</f>
        <v>0</v>
      </c>
      <c r="Q116" s="37">
        <f>'Round 3 Data'!Q116*'Round 3 Points'!W$2</f>
        <v>0</v>
      </c>
      <c r="R116" s="37">
        <f>'Round 3 Data'!R116*'Round 3 Points'!X$2</f>
        <v>0</v>
      </c>
      <c r="S116" s="37">
        <f>'Round 3 Data'!S116*'Round 3 Points'!Y$2</f>
        <v>0</v>
      </c>
      <c r="T116" s="38">
        <f t="shared" si="2"/>
        <v>20</v>
      </c>
      <c r="U116" s="37">
        <f>'Round 3 Data'!U116*'Round 3 Points'!$Z$2</f>
        <v>0</v>
      </c>
      <c r="V116" s="36">
        <f>IF('Round 3 Data'!D116='Round 3 Points'!$K$1,D116/80*$K$2,0)</f>
        <v>5.3</v>
      </c>
      <c r="W116" s="52">
        <f t="shared" si="3"/>
        <v>25.3</v>
      </c>
    </row>
    <row r="117" spans="1:23" x14ac:dyDescent="0.2">
      <c r="A117" s="81" t="s">
        <v>29</v>
      </c>
      <c r="B117" s="36" t="str" cm="1">
        <f t="array" ref="B117:C117">_xlfn.XLOOKUP(A117,'Player List'!$A$2:$A$177,'Player List'!$B$2:$C$177)</f>
        <v>France</v>
      </c>
      <c r="C117" s="36" t="str">
        <v>Prop</v>
      </c>
      <c r="D117" s="37">
        <v>63</v>
      </c>
      <c r="F117" s="37">
        <f>'Round 3 Data'!F117*'Round 3 Points'!L$2</f>
        <v>3</v>
      </c>
      <c r="G117" s="37">
        <f>'Round 3 Data'!G117*'Round 3 Points'!M$2</f>
        <v>7</v>
      </c>
      <c r="H117" s="37">
        <f>'Round 3 Data'!H117*'Round 3 Points'!N$2</f>
        <v>0</v>
      </c>
      <c r="I117" s="37">
        <f>'Round 3 Data'!I117*'Round 3 Points'!O$2</f>
        <v>8.2000000000000011</v>
      </c>
      <c r="J117" s="37">
        <f>'Round 3 Data'!J117*'Round 3 Points'!P$2</f>
        <v>0</v>
      </c>
      <c r="K117" s="37">
        <f>'Round 3 Data'!K117*'Round 3 Points'!Q$2</f>
        <v>0</v>
      </c>
      <c r="L117" s="37">
        <f>'Round 3 Data'!L117*'Round 3 Points'!R$2</f>
        <v>0</v>
      </c>
      <c r="M117" s="37">
        <f>'Round 3 Data'!M117*'Round 3 Points'!S$2</f>
        <v>0</v>
      </c>
      <c r="N117" s="37">
        <f>'Round 3 Data'!N117*'Round 3 Points'!T$2</f>
        <v>0</v>
      </c>
      <c r="O117" s="37">
        <f>'Round 3 Data'!O117*'Round 3 Points'!U$2</f>
        <v>0</v>
      </c>
      <c r="P117" s="37">
        <f>'Round 3 Data'!P117*'Round 3 Points'!V$2</f>
        <v>0</v>
      </c>
      <c r="Q117" s="37">
        <f>'Round 3 Data'!Q117*'Round 3 Points'!W$2</f>
        <v>0</v>
      </c>
      <c r="R117" s="37">
        <f>'Round 3 Data'!R117*'Round 3 Points'!X$2</f>
        <v>0</v>
      </c>
      <c r="S117" s="37">
        <f>'Round 3 Data'!S117*'Round 3 Points'!Y$2</f>
        <v>0</v>
      </c>
      <c r="T117" s="38">
        <f t="shared" si="2"/>
        <v>18.200000000000003</v>
      </c>
      <c r="U117" s="37">
        <f>'Round 3 Data'!U117*'Round 3 Points'!$Z$2</f>
        <v>0</v>
      </c>
      <c r="V117" s="36">
        <f>IF('Round 3 Data'!D117='Round 3 Points'!$K$1,D117/80*$K$2,0)</f>
        <v>6.3</v>
      </c>
      <c r="W117" s="52">
        <f t="shared" si="3"/>
        <v>24.500000000000004</v>
      </c>
    </row>
    <row r="118" spans="1:23" x14ac:dyDescent="0.2">
      <c r="A118" s="81" t="s">
        <v>30</v>
      </c>
      <c r="B118" s="36" t="str" cm="1">
        <f t="array" ref="B118:C118">_xlfn.XLOOKUP(A118,'Player List'!$A$2:$A$177,'Player List'!$B$2:$C$177)</f>
        <v>France</v>
      </c>
      <c r="C118" s="36" t="str">
        <v>Prop</v>
      </c>
      <c r="D118" s="37">
        <v>68</v>
      </c>
      <c r="F118" s="37">
        <f>'Round 3 Data'!F118*'Round 3 Points'!L$2</f>
        <v>7</v>
      </c>
      <c r="G118" s="37">
        <f>'Round 3 Data'!G118*'Round 3 Points'!M$2</f>
        <v>14</v>
      </c>
      <c r="H118" s="37">
        <f>'Round 3 Data'!H118*'Round 3 Points'!N$2</f>
        <v>0</v>
      </c>
      <c r="I118" s="37">
        <f>'Round 3 Data'!I118*'Round 3 Points'!O$2</f>
        <v>4.4000000000000004</v>
      </c>
      <c r="J118" s="37">
        <f>'Round 3 Data'!J118*'Round 3 Points'!P$2</f>
        <v>0</v>
      </c>
      <c r="K118" s="37">
        <f>'Round 3 Data'!K118*'Round 3 Points'!Q$2</f>
        <v>0</v>
      </c>
      <c r="L118" s="37">
        <f>'Round 3 Data'!L118*'Round 3 Points'!R$2</f>
        <v>0</v>
      </c>
      <c r="M118" s="37">
        <f>'Round 3 Data'!M118*'Round 3 Points'!S$2</f>
        <v>0</v>
      </c>
      <c r="N118" s="37">
        <f>'Round 3 Data'!N118*'Round 3 Points'!T$2</f>
        <v>0</v>
      </c>
      <c r="O118" s="37">
        <f>'Round 3 Data'!O118*'Round 3 Points'!U$2</f>
        <v>0</v>
      </c>
      <c r="P118" s="37">
        <f>'Round 3 Data'!P118*'Round 3 Points'!V$2</f>
        <v>0</v>
      </c>
      <c r="Q118" s="37">
        <f>'Round 3 Data'!Q118*'Round 3 Points'!W$2</f>
        <v>0</v>
      </c>
      <c r="R118" s="37">
        <f>'Round 3 Data'!R118*'Round 3 Points'!X$2</f>
        <v>0</v>
      </c>
      <c r="S118" s="37">
        <f>'Round 3 Data'!S118*'Round 3 Points'!Y$2</f>
        <v>0</v>
      </c>
      <c r="T118" s="38">
        <f t="shared" si="2"/>
        <v>25.4</v>
      </c>
      <c r="U118" s="37">
        <f>'Round 3 Data'!U118*'Round 3 Points'!$Z$2</f>
        <v>0</v>
      </c>
      <c r="V118" s="36">
        <f>IF('Round 3 Data'!D118='Round 3 Points'!$K$1,D118/80*$K$2,0)</f>
        <v>6.8</v>
      </c>
      <c r="W118" s="52">
        <f t="shared" si="3"/>
        <v>32.199999999999996</v>
      </c>
    </row>
    <row r="119" spans="1:23" x14ac:dyDescent="0.2">
      <c r="A119" s="81" t="s">
        <v>169</v>
      </c>
      <c r="B119" s="36" t="str" cm="1">
        <f t="array" ref="B119:C119">_xlfn.XLOOKUP(A119,'Player List'!$A$2:$A$177,'Player List'!$B$2:$C$177)</f>
        <v>France</v>
      </c>
      <c r="C119" s="36" t="str">
        <v>Prop</v>
      </c>
      <c r="D119" s="37">
        <v>11</v>
      </c>
      <c r="F119" s="37">
        <f>'Round 3 Data'!F119*'Round 3 Points'!L$2</f>
        <v>1</v>
      </c>
      <c r="G119" s="37">
        <f>'Round 3 Data'!G119*'Round 3 Points'!M$2</f>
        <v>0</v>
      </c>
      <c r="H119" s="37">
        <f>'Round 3 Data'!H119*'Round 3 Points'!N$2</f>
        <v>0</v>
      </c>
      <c r="I119" s="37">
        <f>'Round 3 Data'!I119*'Round 3 Points'!O$2</f>
        <v>0</v>
      </c>
      <c r="J119" s="37">
        <f>'Round 3 Data'!J119*'Round 3 Points'!P$2</f>
        <v>0</v>
      </c>
      <c r="K119" s="37">
        <f>'Round 3 Data'!K119*'Round 3 Points'!Q$2</f>
        <v>0</v>
      </c>
      <c r="L119" s="37">
        <f>'Round 3 Data'!L119*'Round 3 Points'!R$2</f>
        <v>0</v>
      </c>
      <c r="M119" s="37">
        <f>'Round 3 Data'!M119*'Round 3 Points'!S$2</f>
        <v>0</v>
      </c>
      <c r="N119" s="37">
        <f>'Round 3 Data'!N119*'Round 3 Points'!T$2</f>
        <v>0</v>
      </c>
      <c r="O119" s="37">
        <f>'Round 3 Data'!O119*'Round 3 Points'!U$2</f>
        <v>0</v>
      </c>
      <c r="P119" s="37">
        <f>'Round 3 Data'!P119*'Round 3 Points'!V$2</f>
        <v>0</v>
      </c>
      <c r="Q119" s="37">
        <f>'Round 3 Data'!Q119*'Round 3 Points'!W$2</f>
        <v>0</v>
      </c>
      <c r="R119" s="37">
        <f>'Round 3 Data'!R119*'Round 3 Points'!X$2</f>
        <v>0</v>
      </c>
      <c r="S119" s="37">
        <f>'Round 3 Data'!S119*'Round 3 Points'!Y$2</f>
        <v>-10</v>
      </c>
      <c r="T119" s="38">
        <f t="shared" si="2"/>
        <v>-9</v>
      </c>
      <c r="U119" s="37">
        <f>'Round 3 Data'!U119*'Round 3 Points'!$Z$2</f>
        <v>0</v>
      </c>
      <c r="V119" s="36">
        <f>IF('Round 3 Data'!D119='Round 3 Points'!$K$1,D119/80*$K$2,0)</f>
        <v>1.1000000000000001</v>
      </c>
      <c r="W119" s="52">
        <f t="shared" si="3"/>
        <v>-7.9</v>
      </c>
    </row>
    <row r="120" spans="1:23" x14ac:dyDescent="0.2">
      <c r="A120" s="81" t="s">
        <v>31</v>
      </c>
      <c r="B120" s="36" t="str" cm="1">
        <f t="array" ref="B120:C120">_xlfn.XLOOKUP(A120,'Player List'!$A$2:$A$177,'Player List'!$B$2:$C$177)</f>
        <v>France</v>
      </c>
      <c r="C120" s="36" t="str">
        <v>Prop</v>
      </c>
      <c r="D120" s="37">
        <v>17</v>
      </c>
      <c r="F120" s="37">
        <f>'Round 3 Data'!F120*'Round 3 Points'!L$2</f>
        <v>0</v>
      </c>
      <c r="G120" s="37">
        <f>'Round 3 Data'!G120*'Round 3 Points'!M$2</f>
        <v>0</v>
      </c>
      <c r="H120" s="37">
        <f>'Round 3 Data'!H120*'Round 3 Points'!N$2</f>
        <v>0</v>
      </c>
      <c r="I120" s="37">
        <f>'Round 3 Data'!I120*'Round 3 Points'!O$2</f>
        <v>1.6</v>
      </c>
      <c r="J120" s="37">
        <f>'Round 3 Data'!J120*'Round 3 Points'!P$2</f>
        <v>0</v>
      </c>
      <c r="K120" s="37">
        <f>'Round 3 Data'!K120*'Round 3 Points'!Q$2</f>
        <v>0</v>
      </c>
      <c r="L120" s="37">
        <f>'Round 3 Data'!L120*'Round 3 Points'!R$2</f>
        <v>0</v>
      </c>
      <c r="M120" s="37">
        <f>'Round 3 Data'!M120*'Round 3 Points'!S$2</f>
        <v>0</v>
      </c>
      <c r="N120" s="37">
        <f>'Round 3 Data'!N120*'Round 3 Points'!T$2</f>
        <v>0</v>
      </c>
      <c r="O120" s="37">
        <f>'Round 3 Data'!O120*'Round 3 Points'!U$2</f>
        <v>0</v>
      </c>
      <c r="P120" s="37">
        <f>'Round 3 Data'!P120*'Round 3 Points'!V$2</f>
        <v>0</v>
      </c>
      <c r="Q120" s="37">
        <f>'Round 3 Data'!Q120*'Round 3 Points'!W$2</f>
        <v>0</v>
      </c>
      <c r="R120" s="37">
        <f>'Round 3 Data'!R120*'Round 3 Points'!X$2</f>
        <v>0</v>
      </c>
      <c r="S120" s="37">
        <f>'Round 3 Data'!S120*'Round 3 Points'!Y$2</f>
        <v>0</v>
      </c>
      <c r="T120" s="38">
        <f t="shared" si="2"/>
        <v>1.6</v>
      </c>
      <c r="U120" s="37">
        <f>'Round 3 Data'!U120*'Round 3 Points'!$Z$2</f>
        <v>0</v>
      </c>
      <c r="V120" s="36">
        <f>IF('Round 3 Data'!D120='Round 3 Points'!$K$1,D120/80*$K$2,0)</f>
        <v>1.7</v>
      </c>
      <c r="W120" s="52">
        <f t="shared" si="3"/>
        <v>3.3</v>
      </c>
    </row>
    <row r="121" spans="1:23" x14ac:dyDescent="0.2">
      <c r="A121" s="81" t="s">
        <v>32</v>
      </c>
      <c r="B121" s="36" t="str" cm="1">
        <f t="array" ref="B121:C121">_xlfn.XLOOKUP(A121,'Player List'!$A$2:$A$177,'Player List'!$B$2:$C$177)</f>
        <v>France</v>
      </c>
      <c r="C121" s="36" t="str">
        <v>Hooker</v>
      </c>
      <c r="D121" s="37">
        <v>11</v>
      </c>
      <c r="F121" s="37">
        <f>'Round 3 Data'!F121*'Round 3 Points'!L$2</f>
        <v>0</v>
      </c>
      <c r="G121" s="37">
        <f>'Round 3 Data'!G121*'Round 3 Points'!M$2</f>
        <v>0</v>
      </c>
      <c r="H121" s="37">
        <f>'Round 3 Data'!H121*'Round 3 Points'!N$2</f>
        <v>0</v>
      </c>
      <c r="I121" s="37">
        <f>'Round 3 Data'!I121*'Round 3 Points'!O$2</f>
        <v>1.8</v>
      </c>
      <c r="J121" s="37">
        <f>'Round 3 Data'!J121*'Round 3 Points'!P$2</f>
        <v>0</v>
      </c>
      <c r="K121" s="37">
        <f>'Round 3 Data'!K121*'Round 3 Points'!Q$2</f>
        <v>7</v>
      </c>
      <c r="L121" s="37">
        <f>'Round 3 Data'!L121*'Round 3 Points'!R$2</f>
        <v>0</v>
      </c>
      <c r="M121" s="37">
        <f>'Round 3 Data'!M121*'Round 3 Points'!S$2</f>
        <v>0</v>
      </c>
      <c r="N121" s="37">
        <f>'Round 3 Data'!N121*'Round 3 Points'!T$2</f>
        <v>0</v>
      </c>
      <c r="O121" s="37">
        <f>'Round 3 Data'!O121*'Round 3 Points'!U$2</f>
        <v>0</v>
      </c>
      <c r="P121" s="37">
        <f>'Round 3 Data'!P121*'Round 3 Points'!V$2</f>
        <v>0</v>
      </c>
      <c r="Q121" s="37">
        <f>'Round 3 Data'!Q121*'Round 3 Points'!W$2</f>
        <v>0</v>
      </c>
      <c r="R121" s="37">
        <f>'Round 3 Data'!R121*'Round 3 Points'!X$2</f>
        <v>0</v>
      </c>
      <c r="S121" s="37">
        <f>'Round 3 Data'!S121*'Round 3 Points'!Y$2</f>
        <v>0</v>
      </c>
      <c r="T121" s="38">
        <f t="shared" si="2"/>
        <v>8.8000000000000007</v>
      </c>
      <c r="U121" s="37">
        <f>'Round 3 Data'!U121*'Round 3 Points'!$Z$2</f>
        <v>0</v>
      </c>
      <c r="V121" s="36">
        <f>IF('Round 3 Data'!D121='Round 3 Points'!$K$1,D121/80*$K$2,0)</f>
        <v>1.1000000000000001</v>
      </c>
      <c r="W121" s="52">
        <f t="shared" si="3"/>
        <v>9.9</v>
      </c>
    </row>
    <row r="122" spans="1:23" x14ac:dyDescent="0.2">
      <c r="A122" s="81" t="s">
        <v>33</v>
      </c>
      <c r="B122" s="36" t="str" cm="1">
        <f t="array" ref="B122:C122">_xlfn.XLOOKUP(A122,'Player List'!$A$2:$A$177,'Player List'!$B$2:$C$177)</f>
        <v>France</v>
      </c>
      <c r="C122" s="36" t="str">
        <v>Hooker</v>
      </c>
      <c r="D122" s="37">
        <v>69</v>
      </c>
      <c r="F122" s="37">
        <f>'Round 3 Data'!F122*'Round 3 Points'!L$2</f>
        <v>16</v>
      </c>
      <c r="G122" s="37">
        <f>'Round 3 Data'!G122*'Round 3 Points'!M$2</f>
        <v>0</v>
      </c>
      <c r="H122" s="37">
        <f>'Round 3 Data'!H122*'Round 3 Points'!N$2</f>
        <v>0</v>
      </c>
      <c r="I122" s="37">
        <f>'Round 3 Data'!I122*'Round 3 Points'!O$2</f>
        <v>3.4000000000000004</v>
      </c>
      <c r="J122" s="37">
        <f>'Round 3 Data'!J122*'Round 3 Points'!P$2</f>
        <v>0</v>
      </c>
      <c r="K122" s="37">
        <f>'Round 3 Data'!K122*'Round 3 Points'!Q$2</f>
        <v>0</v>
      </c>
      <c r="L122" s="37">
        <f>'Round 3 Data'!L122*'Round 3 Points'!R$2</f>
        <v>0</v>
      </c>
      <c r="M122" s="37">
        <f>'Round 3 Data'!M122*'Round 3 Points'!S$2</f>
        <v>0</v>
      </c>
      <c r="N122" s="37">
        <f>'Round 3 Data'!N122*'Round 3 Points'!T$2</f>
        <v>0</v>
      </c>
      <c r="O122" s="37">
        <f>'Round 3 Data'!O122*'Round 3 Points'!U$2</f>
        <v>0</v>
      </c>
      <c r="P122" s="37">
        <f>'Round 3 Data'!P122*'Round 3 Points'!V$2</f>
        <v>0</v>
      </c>
      <c r="Q122" s="37">
        <f>'Round 3 Data'!Q122*'Round 3 Points'!W$2</f>
        <v>0</v>
      </c>
      <c r="R122" s="37">
        <f>'Round 3 Data'!R122*'Round 3 Points'!X$2</f>
        <v>0</v>
      </c>
      <c r="S122" s="37">
        <f>'Round 3 Data'!S122*'Round 3 Points'!Y$2</f>
        <v>0</v>
      </c>
      <c r="T122" s="38">
        <f t="shared" si="2"/>
        <v>19.399999999999999</v>
      </c>
      <c r="U122" s="37">
        <f>'Round 3 Data'!U122*'Round 3 Points'!$Z$2</f>
        <v>0</v>
      </c>
      <c r="V122" s="36">
        <f>IF('Round 3 Data'!D122='Round 3 Points'!$K$1,D122/80*$K$2,0)</f>
        <v>6.9</v>
      </c>
      <c r="W122" s="52">
        <f t="shared" si="3"/>
        <v>26.299999999999997</v>
      </c>
    </row>
    <row r="123" spans="1:23" x14ac:dyDescent="0.2">
      <c r="A123" s="81" t="s">
        <v>34</v>
      </c>
      <c r="B123" s="36" t="str" cm="1">
        <f t="array" ref="B123:C123">_xlfn.XLOOKUP(A123,'Player List'!$A$2:$A$177,'Player List'!$B$2:$C$177)</f>
        <v>Scotland</v>
      </c>
      <c r="C123" s="36" t="str">
        <v>Back Three</v>
      </c>
      <c r="D123" s="37">
        <v>80</v>
      </c>
      <c r="F123" s="37">
        <f>'Round 3 Data'!F123*'Round 3 Points'!L$2</f>
        <v>6</v>
      </c>
      <c r="G123" s="37">
        <f>'Round 3 Data'!G123*'Round 3 Points'!M$2</f>
        <v>0</v>
      </c>
      <c r="H123" s="37">
        <f>'Round 3 Data'!H123*'Round 3 Points'!N$2</f>
        <v>7</v>
      </c>
      <c r="I123" s="37">
        <f>'Round 3 Data'!I123*'Round 3 Points'!O$2</f>
        <v>17.400000000000002</v>
      </c>
      <c r="J123" s="37">
        <f>'Round 3 Data'!J123*'Round 3 Points'!P$2</f>
        <v>0</v>
      </c>
      <c r="K123" s="37">
        <f>'Round 3 Data'!K123*'Round 3 Points'!Q$2</f>
        <v>0</v>
      </c>
      <c r="L123" s="37">
        <f>'Round 3 Data'!L123*'Round 3 Points'!R$2</f>
        <v>0</v>
      </c>
      <c r="M123" s="37">
        <f>'Round 3 Data'!M123*'Round 3 Points'!S$2</f>
        <v>0</v>
      </c>
      <c r="N123" s="37">
        <f>'Round 3 Data'!N123*'Round 3 Points'!T$2</f>
        <v>0</v>
      </c>
      <c r="O123" s="37">
        <f>'Round 3 Data'!O123*'Round 3 Points'!U$2</f>
        <v>0</v>
      </c>
      <c r="P123" s="37">
        <f>'Round 3 Data'!P123*'Round 3 Points'!V$2</f>
        <v>0</v>
      </c>
      <c r="Q123" s="37">
        <f>'Round 3 Data'!Q123*'Round 3 Points'!W$2</f>
        <v>0</v>
      </c>
      <c r="R123" s="37">
        <f>'Round 3 Data'!R123*'Round 3 Points'!X$2</f>
        <v>0</v>
      </c>
      <c r="S123" s="37">
        <f>'Round 3 Data'!S123*'Round 3 Points'!Y$2</f>
        <v>0</v>
      </c>
      <c r="T123" s="38">
        <f t="shared" si="2"/>
        <v>30.400000000000002</v>
      </c>
      <c r="U123" s="37">
        <f>'Round 3 Data'!U123*'Round 3 Points'!$Z$2</f>
        <v>0</v>
      </c>
      <c r="V123" s="36">
        <f>IF('Round 3 Data'!D123='Round 3 Points'!$K$1,D123/80*$K$2,0)</f>
        <v>0</v>
      </c>
      <c r="W123" s="52">
        <f t="shared" si="3"/>
        <v>30.400000000000002</v>
      </c>
    </row>
    <row r="124" spans="1:23" x14ac:dyDescent="0.2">
      <c r="A124" s="81" t="s">
        <v>35</v>
      </c>
      <c r="B124" s="36" t="str" cm="1">
        <f t="array" ref="B124:C124">_xlfn.XLOOKUP(A124,'Player List'!$A$2:$A$177,'Player List'!$B$2:$C$177)</f>
        <v>Scotland</v>
      </c>
      <c r="C124" s="36" t="str">
        <v>Back Three</v>
      </c>
      <c r="D124" s="37">
        <v>11</v>
      </c>
      <c r="F124" s="37">
        <f>'Round 3 Data'!F124*'Round 3 Points'!L$2</f>
        <v>1</v>
      </c>
      <c r="G124" s="37">
        <f>'Round 3 Data'!G124*'Round 3 Points'!M$2</f>
        <v>0</v>
      </c>
      <c r="H124" s="37">
        <f>'Round 3 Data'!H124*'Round 3 Points'!N$2</f>
        <v>0</v>
      </c>
      <c r="I124" s="37">
        <f>'Round 3 Data'!I124*'Round 3 Points'!O$2</f>
        <v>0</v>
      </c>
      <c r="J124" s="37">
        <f>'Round 3 Data'!J124*'Round 3 Points'!P$2</f>
        <v>0</v>
      </c>
      <c r="K124" s="37">
        <f>'Round 3 Data'!K124*'Round 3 Points'!Q$2</f>
        <v>0</v>
      </c>
      <c r="L124" s="37">
        <f>'Round 3 Data'!L124*'Round 3 Points'!R$2</f>
        <v>0</v>
      </c>
      <c r="M124" s="37">
        <f>'Round 3 Data'!M124*'Round 3 Points'!S$2</f>
        <v>0</v>
      </c>
      <c r="N124" s="37">
        <f>'Round 3 Data'!N124*'Round 3 Points'!T$2</f>
        <v>0</v>
      </c>
      <c r="O124" s="37">
        <f>'Round 3 Data'!O124*'Round 3 Points'!U$2</f>
        <v>0</v>
      </c>
      <c r="P124" s="37">
        <f>'Round 3 Data'!P124*'Round 3 Points'!V$2</f>
        <v>0</v>
      </c>
      <c r="Q124" s="37">
        <f>'Round 3 Data'!Q124*'Round 3 Points'!W$2</f>
        <v>0</v>
      </c>
      <c r="R124" s="37">
        <f>'Round 3 Data'!R124*'Round 3 Points'!X$2</f>
        <v>0</v>
      </c>
      <c r="S124" s="37">
        <f>'Round 3 Data'!S124*'Round 3 Points'!Y$2</f>
        <v>0</v>
      </c>
      <c r="T124" s="38">
        <f t="shared" si="2"/>
        <v>1</v>
      </c>
      <c r="U124" s="37">
        <f>'Round 3 Data'!U124*'Round 3 Points'!$Z$2</f>
        <v>0</v>
      </c>
      <c r="V124" s="36">
        <f>IF('Round 3 Data'!D124='Round 3 Points'!$K$1,D124/80*$K$2,0)</f>
        <v>0</v>
      </c>
      <c r="W124" s="52">
        <f t="shared" si="3"/>
        <v>1</v>
      </c>
    </row>
    <row r="125" spans="1:23" x14ac:dyDescent="0.2">
      <c r="A125" s="81" t="s">
        <v>36</v>
      </c>
      <c r="B125" s="36" t="str" cm="1">
        <f t="array" ref="B125:C125">_xlfn.XLOOKUP(A125,'Player List'!$A$2:$A$177,'Player List'!$B$2:$C$177)</f>
        <v>Scotland</v>
      </c>
      <c r="C125" s="36" t="str">
        <v>Back Three</v>
      </c>
      <c r="D125" s="37">
        <v>69</v>
      </c>
      <c r="F125" s="37">
        <f>'Round 3 Data'!F125*'Round 3 Points'!L$2</f>
        <v>2</v>
      </c>
      <c r="G125" s="37">
        <f>'Round 3 Data'!G125*'Round 3 Points'!M$2</f>
        <v>0</v>
      </c>
      <c r="H125" s="37">
        <f>'Round 3 Data'!H125*'Round 3 Points'!N$2</f>
        <v>0</v>
      </c>
      <c r="I125" s="37">
        <f>'Round 3 Data'!I125*'Round 3 Points'!O$2</f>
        <v>9</v>
      </c>
      <c r="J125" s="37">
        <f>'Round 3 Data'!J125*'Round 3 Points'!P$2</f>
        <v>0</v>
      </c>
      <c r="K125" s="37">
        <f>'Round 3 Data'!K125*'Round 3 Points'!Q$2</f>
        <v>0</v>
      </c>
      <c r="L125" s="37">
        <f>'Round 3 Data'!L125*'Round 3 Points'!R$2</f>
        <v>0</v>
      </c>
      <c r="M125" s="37">
        <f>'Round 3 Data'!M125*'Round 3 Points'!S$2</f>
        <v>0</v>
      </c>
      <c r="N125" s="37">
        <f>'Round 3 Data'!N125*'Round 3 Points'!T$2</f>
        <v>0</v>
      </c>
      <c r="O125" s="37">
        <f>'Round 3 Data'!O125*'Round 3 Points'!U$2</f>
        <v>0</v>
      </c>
      <c r="P125" s="37">
        <f>'Round 3 Data'!P125*'Round 3 Points'!V$2</f>
        <v>0</v>
      </c>
      <c r="Q125" s="37">
        <f>'Round 3 Data'!Q125*'Round 3 Points'!W$2</f>
        <v>0</v>
      </c>
      <c r="R125" s="37">
        <f>'Round 3 Data'!R125*'Round 3 Points'!X$2</f>
        <v>0</v>
      </c>
      <c r="S125" s="37">
        <f>'Round 3 Data'!S125*'Round 3 Points'!Y$2</f>
        <v>0</v>
      </c>
      <c r="T125" s="38">
        <f t="shared" si="2"/>
        <v>11</v>
      </c>
      <c r="U125" s="37">
        <f>'Round 3 Data'!U125*'Round 3 Points'!$Z$2</f>
        <v>0</v>
      </c>
      <c r="V125" s="36">
        <f>IF('Round 3 Data'!D125='Round 3 Points'!$K$1,D125/80*$K$2,0)</f>
        <v>0</v>
      </c>
      <c r="W125" s="52">
        <f t="shared" si="3"/>
        <v>11</v>
      </c>
    </row>
    <row r="126" spans="1:23" x14ac:dyDescent="0.2">
      <c r="A126" s="81" t="s">
        <v>37</v>
      </c>
      <c r="B126" s="36" t="str" cm="1">
        <f t="array" ref="B126:C126">_xlfn.XLOOKUP(A126,'Player List'!$A$2:$A$177,'Player List'!$B$2:$C$177)</f>
        <v>Scotland</v>
      </c>
      <c r="C126" s="36" t="str">
        <v>Back Three</v>
      </c>
      <c r="D126" s="37">
        <v>80</v>
      </c>
      <c r="F126" s="37">
        <f>'Round 3 Data'!F126*'Round 3 Points'!L$2</f>
        <v>4</v>
      </c>
      <c r="G126" s="37">
        <f>'Round 3 Data'!G126*'Round 3 Points'!M$2</f>
        <v>0</v>
      </c>
      <c r="H126" s="37">
        <f>'Round 3 Data'!H126*'Round 3 Points'!N$2</f>
        <v>0</v>
      </c>
      <c r="I126" s="37">
        <f>'Round 3 Data'!I126*'Round 3 Points'!O$2</f>
        <v>4.2</v>
      </c>
      <c r="J126" s="37">
        <f>'Round 3 Data'!J126*'Round 3 Points'!P$2</f>
        <v>0</v>
      </c>
      <c r="K126" s="37">
        <f>'Round 3 Data'!K126*'Round 3 Points'!Q$2</f>
        <v>0</v>
      </c>
      <c r="L126" s="37">
        <f>'Round 3 Data'!L126*'Round 3 Points'!R$2</f>
        <v>0</v>
      </c>
      <c r="M126" s="37">
        <f>'Round 3 Data'!M126*'Round 3 Points'!S$2</f>
        <v>0</v>
      </c>
      <c r="N126" s="37">
        <f>'Round 3 Data'!N126*'Round 3 Points'!T$2</f>
        <v>0</v>
      </c>
      <c r="O126" s="37">
        <f>'Round 3 Data'!O126*'Round 3 Points'!U$2</f>
        <v>0</v>
      </c>
      <c r="P126" s="37">
        <f>'Round 3 Data'!P126*'Round 3 Points'!V$2</f>
        <v>0</v>
      </c>
      <c r="Q126" s="37">
        <f>'Round 3 Data'!Q126*'Round 3 Points'!W$2</f>
        <v>0</v>
      </c>
      <c r="R126" s="37">
        <f>'Round 3 Data'!R126*'Round 3 Points'!X$2</f>
        <v>0</v>
      </c>
      <c r="S126" s="37">
        <f>'Round 3 Data'!S126*'Round 3 Points'!Y$2</f>
        <v>0</v>
      </c>
      <c r="T126" s="38">
        <f t="shared" si="2"/>
        <v>8.1999999999999993</v>
      </c>
      <c r="U126" s="37">
        <f>'Round 3 Data'!U126*'Round 3 Points'!$Z$2</f>
        <v>0</v>
      </c>
      <c r="V126" s="36">
        <f>IF('Round 3 Data'!D126='Round 3 Points'!$K$1,D126/80*$K$2,0)</f>
        <v>0</v>
      </c>
      <c r="W126" s="52">
        <f t="shared" si="3"/>
        <v>8.1999999999999993</v>
      </c>
    </row>
    <row r="127" spans="1:23" x14ac:dyDescent="0.2">
      <c r="A127" s="81" t="s">
        <v>39</v>
      </c>
      <c r="B127" s="36" t="str" cm="1">
        <f t="array" ref="B127:C127">_xlfn.XLOOKUP(A127,'Player List'!$A$2:$A$177,'Player List'!$B$2:$C$177)</f>
        <v>Scotland</v>
      </c>
      <c r="C127" s="36" t="str">
        <v>Centre</v>
      </c>
      <c r="D127" s="37">
        <v>80</v>
      </c>
      <c r="F127" s="37">
        <f>'Round 3 Data'!F127*'Round 3 Points'!L$2</f>
        <v>4</v>
      </c>
      <c r="G127" s="37">
        <f>'Round 3 Data'!G127*'Round 3 Points'!M$2</f>
        <v>0</v>
      </c>
      <c r="H127" s="37">
        <f>'Round 3 Data'!H127*'Round 3 Points'!N$2</f>
        <v>7</v>
      </c>
      <c r="I127" s="37">
        <f>'Round 3 Data'!I127*'Round 3 Points'!O$2</f>
        <v>28.200000000000003</v>
      </c>
      <c r="J127" s="37">
        <f>'Round 3 Data'!J127*'Round 3 Points'!P$2</f>
        <v>0</v>
      </c>
      <c r="K127" s="37">
        <f>'Round 3 Data'!K127*'Round 3 Points'!Q$2</f>
        <v>0</v>
      </c>
      <c r="L127" s="37">
        <f>'Round 3 Data'!L127*'Round 3 Points'!R$2</f>
        <v>0</v>
      </c>
      <c r="M127" s="37">
        <f>'Round 3 Data'!M127*'Round 3 Points'!S$2</f>
        <v>30</v>
      </c>
      <c r="N127" s="37">
        <f>'Round 3 Data'!N127*'Round 3 Points'!T$2</f>
        <v>0</v>
      </c>
      <c r="O127" s="37">
        <f>'Round 3 Data'!O127*'Round 3 Points'!U$2</f>
        <v>0</v>
      </c>
      <c r="P127" s="37">
        <f>'Round 3 Data'!P127*'Round 3 Points'!V$2</f>
        <v>0</v>
      </c>
      <c r="Q127" s="37">
        <f>'Round 3 Data'!Q127*'Round 3 Points'!W$2</f>
        <v>0</v>
      </c>
      <c r="R127" s="37">
        <f>'Round 3 Data'!R127*'Round 3 Points'!X$2</f>
        <v>0</v>
      </c>
      <c r="S127" s="37">
        <f>'Round 3 Data'!S127*'Round 3 Points'!Y$2</f>
        <v>0</v>
      </c>
      <c r="T127" s="38">
        <f t="shared" si="2"/>
        <v>69.2</v>
      </c>
      <c r="U127" s="37">
        <f>'Round 3 Data'!U127*'Round 3 Points'!$Z$2</f>
        <v>0</v>
      </c>
      <c r="V127" s="36">
        <f>IF('Round 3 Data'!D127='Round 3 Points'!$K$1,D127/80*$K$2,0)</f>
        <v>0</v>
      </c>
      <c r="W127" s="52">
        <f t="shared" si="3"/>
        <v>69.2</v>
      </c>
    </row>
    <row r="128" spans="1:23" x14ac:dyDescent="0.2">
      <c r="A128" s="81" t="s">
        <v>40</v>
      </c>
      <c r="B128" s="36" t="str" cm="1">
        <f t="array" ref="B128:C128">_xlfn.XLOOKUP(A128,'Player List'!$A$2:$A$177,'Player List'!$B$2:$C$177)</f>
        <v>Scotland</v>
      </c>
      <c r="C128" s="36" t="str">
        <v>Centre</v>
      </c>
      <c r="D128" s="37">
        <v>80</v>
      </c>
      <c r="F128" s="37">
        <f>'Round 3 Data'!F128*'Round 3 Points'!L$2</f>
        <v>9</v>
      </c>
      <c r="G128" s="37">
        <f>'Round 3 Data'!G128*'Round 3 Points'!M$2</f>
        <v>0</v>
      </c>
      <c r="H128" s="37">
        <f>'Round 3 Data'!H128*'Round 3 Points'!N$2</f>
        <v>0</v>
      </c>
      <c r="I128" s="37">
        <f>'Round 3 Data'!I128*'Round 3 Points'!O$2</f>
        <v>10.4</v>
      </c>
      <c r="J128" s="37">
        <f>'Round 3 Data'!J128*'Round 3 Points'!P$2</f>
        <v>0</v>
      </c>
      <c r="K128" s="37">
        <f>'Round 3 Data'!K128*'Round 3 Points'!Q$2</f>
        <v>0</v>
      </c>
      <c r="L128" s="37">
        <f>'Round 3 Data'!L128*'Round 3 Points'!R$2</f>
        <v>0</v>
      </c>
      <c r="M128" s="37">
        <f>'Round 3 Data'!M128*'Round 3 Points'!S$2</f>
        <v>0</v>
      </c>
      <c r="N128" s="37">
        <f>'Round 3 Data'!N128*'Round 3 Points'!T$2</f>
        <v>7</v>
      </c>
      <c r="O128" s="37">
        <f>'Round 3 Data'!O128*'Round 3 Points'!U$2</f>
        <v>0</v>
      </c>
      <c r="P128" s="37">
        <f>'Round 3 Data'!P128*'Round 3 Points'!V$2</f>
        <v>0</v>
      </c>
      <c r="Q128" s="37">
        <f>'Round 3 Data'!Q128*'Round 3 Points'!W$2</f>
        <v>0</v>
      </c>
      <c r="R128" s="37">
        <f>'Round 3 Data'!R128*'Round 3 Points'!X$2</f>
        <v>0</v>
      </c>
      <c r="S128" s="37">
        <f>'Round 3 Data'!S128*'Round 3 Points'!Y$2</f>
        <v>0</v>
      </c>
      <c r="T128" s="38">
        <f t="shared" si="2"/>
        <v>26.4</v>
      </c>
      <c r="U128" s="37">
        <f>'Round 3 Data'!U128*'Round 3 Points'!$Z$2</f>
        <v>0</v>
      </c>
      <c r="V128" s="36">
        <f>IF('Round 3 Data'!D128='Round 3 Points'!$K$1,D128/80*$K$2,0)</f>
        <v>0</v>
      </c>
      <c r="W128" s="52">
        <f t="shared" si="3"/>
        <v>26.4</v>
      </c>
    </row>
    <row r="129" spans="1:23" x14ac:dyDescent="0.2">
      <c r="A129" s="81" t="s">
        <v>41</v>
      </c>
      <c r="B129" s="36" t="str" cm="1">
        <f t="array" ref="B129:C129">_xlfn.XLOOKUP(A129,'Player List'!$A$2:$A$177,'Player List'!$B$2:$C$177)</f>
        <v>Scotland</v>
      </c>
      <c r="C129" s="36" t="str">
        <v>Fly Half</v>
      </c>
      <c r="D129" s="37">
        <v>80</v>
      </c>
      <c r="F129" s="37">
        <f>'Round 3 Data'!F129*'Round 3 Points'!L$2</f>
        <v>7</v>
      </c>
      <c r="G129" s="37">
        <f>'Round 3 Data'!G129*'Round 3 Points'!M$2</f>
        <v>0</v>
      </c>
      <c r="H129" s="37">
        <f>'Round 3 Data'!H129*'Round 3 Points'!N$2</f>
        <v>7</v>
      </c>
      <c r="I129" s="37">
        <f>'Round 3 Data'!I129*'Round 3 Points'!O$2</f>
        <v>23.400000000000002</v>
      </c>
      <c r="J129" s="37">
        <f>'Round 3 Data'!J129*'Round 3 Points'!P$2</f>
        <v>10</v>
      </c>
      <c r="K129" s="37">
        <f>'Round 3 Data'!K129*'Round 3 Points'!Q$2</f>
        <v>0</v>
      </c>
      <c r="L129" s="37">
        <f>'Round 3 Data'!L129*'Round 3 Points'!R$2</f>
        <v>0</v>
      </c>
      <c r="M129" s="37">
        <f>'Round 3 Data'!M129*'Round 3 Points'!S$2</f>
        <v>15</v>
      </c>
      <c r="N129" s="37">
        <f>'Round 3 Data'!N129*'Round 3 Points'!T$2</f>
        <v>7</v>
      </c>
      <c r="O129" s="37">
        <f>'Round 3 Data'!O129*'Round 3 Points'!U$2</f>
        <v>6</v>
      </c>
      <c r="P129" s="37">
        <f>'Round 3 Data'!P129*'Round 3 Points'!V$2</f>
        <v>0</v>
      </c>
      <c r="Q129" s="37">
        <f>'Round 3 Data'!Q129*'Round 3 Points'!W$2</f>
        <v>0</v>
      </c>
      <c r="R129" s="37">
        <f>'Round 3 Data'!R129*'Round 3 Points'!X$2</f>
        <v>0</v>
      </c>
      <c r="S129" s="37">
        <f>'Round 3 Data'!S129*'Round 3 Points'!Y$2</f>
        <v>0</v>
      </c>
      <c r="T129" s="38">
        <f t="shared" si="2"/>
        <v>75.400000000000006</v>
      </c>
      <c r="U129" s="37">
        <f>'Round 3 Data'!U129*'Round 3 Points'!$Z$2</f>
        <v>0</v>
      </c>
      <c r="V129" s="36">
        <f>IF('Round 3 Data'!D129='Round 3 Points'!$K$1,D129/80*$K$2,0)</f>
        <v>0</v>
      </c>
      <c r="W129" s="52">
        <f t="shared" si="3"/>
        <v>75.400000000000006</v>
      </c>
    </row>
    <row r="130" spans="1:23" x14ac:dyDescent="0.2">
      <c r="A130" s="81" t="s">
        <v>170</v>
      </c>
      <c r="B130" s="36" t="str" cm="1">
        <f t="array" ref="B130:C130">_xlfn.XLOOKUP(A130,'Player List'!$A$2:$A$177,'Player List'!$B$2:$C$177)</f>
        <v>Scotland</v>
      </c>
      <c r="C130" s="36" t="str">
        <v>Scrum Half</v>
      </c>
      <c r="D130" s="37">
        <v>23</v>
      </c>
      <c r="F130" s="37">
        <f>'Round 3 Data'!F130*'Round 3 Points'!L$2</f>
        <v>1</v>
      </c>
      <c r="G130" s="37">
        <f>'Round 3 Data'!G130*'Round 3 Points'!M$2</f>
        <v>0</v>
      </c>
      <c r="H130" s="37">
        <f>'Round 3 Data'!H130*'Round 3 Points'!N$2</f>
        <v>0</v>
      </c>
      <c r="I130" s="37">
        <f>'Round 3 Data'!I130*'Round 3 Points'!O$2</f>
        <v>0</v>
      </c>
      <c r="J130" s="37">
        <f>'Round 3 Data'!J130*'Round 3 Points'!P$2</f>
        <v>0</v>
      </c>
      <c r="K130" s="37">
        <f>'Round 3 Data'!K130*'Round 3 Points'!Q$2</f>
        <v>0</v>
      </c>
      <c r="L130" s="37">
        <f>'Round 3 Data'!L130*'Round 3 Points'!R$2</f>
        <v>0</v>
      </c>
      <c r="M130" s="37">
        <f>'Round 3 Data'!M130*'Round 3 Points'!S$2</f>
        <v>0</v>
      </c>
      <c r="N130" s="37">
        <f>'Round 3 Data'!N130*'Round 3 Points'!T$2</f>
        <v>7</v>
      </c>
      <c r="O130" s="37">
        <f>'Round 3 Data'!O130*'Round 3 Points'!U$2</f>
        <v>0</v>
      </c>
      <c r="P130" s="37">
        <f>'Round 3 Data'!P130*'Round 3 Points'!V$2</f>
        <v>0</v>
      </c>
      <c r="Q130" s="37">
        <f>'Round 3 Data'!Q130*'Round 3 Points'!W$2</f>
        <v>0</v>
      </c>
      <c r="R130" s="37">
        <f>'Round 3 Data'!R130*'Round 3 Points'!X$2</f>
        <v>0</v>
      </c>
      <c r="S130" s="37">
        <f>'Round 3 Data'!S130*'Round 3 Points'!Y$2</f>
        <v>0</v>
      </c>
      <c r="T130" s="38">
        <f t="shared" si="2"/>
        <v>8</v>
      </c>
      <c r="U130" s="37">
        <f>'Round 3 Data'!U130*'Round 3 Points'!$Z$2</f>
        <v>0</v>
      </c>
      <c r="V130" s="36">
        <f>IF('Round 3 Data'!D130='Round 3 Points'!$K$1,D130/80*$K$2,0)</f>
        <v>0</v>
      </c>
      <c r="W130" s="52">
        <f t="shared" si="3"/>
        <v>8</v>
      </c>
    </row>
    <row r="131" spans="1:23" x14ac:dyDescent="0.2">
      <c r="A131" s="81" t="s">
        <v>43</v>
      </c>
      <c r="B131" s="36" t="str" cm="1">
        <f t="array" ref="B131:C131">_xlfn.XLOOKUP(A131,'Player List'!$A$2:$A$177,'Player List'!$B$2:$C$177)</f>
        <v>Scotland</v>
      </c>
      <c r="C131" s="36" t="str">
        <v>Scrum Half</v>
      </c>
      <c r="D131" s="37">
        <v>57</v>
      </c>
      <c r="F131" s="37">
        <f>'Round 3 Data'!F131*'Round 3 Points'!L$2</f>
        <v>5</v>
      </c>
      <c r="G131" s="37">
        <f>'Round 3 Data'!G131*'Round 3 Points'!M$2</f>
        <v>0</v>
      </c>
      <c r="H131" s="37">
        <f>'Round 3 Data'!H131*'Round 3 Points'!N$2</f>
        <v>0</v>
      </c>
      <c r="I131" s="37">
        <f>'Round 3 Data'!I131*'Round 3 Points'!O$2</f>
        <v>4</v>
      </c>
      <c r="J131" s="37">
        <f>'Round 3 Data'!J131*'Round 3 Points'!P$2</f>
        <v>0</v>
      </c>
      <c r="K131" s="37">
        <f>'Round 3 Data'!K131*'Round 3 Points'!Q$2</f>
        <v>0</v>
      </c>
      <c r="L131" s="37">
        <f>'Round 3 Data'!L131*'Round 3 Points'!R$2</f>
        <v>0</v>
      </c>
      <c r="M131" s="37">
        <f>'Round 3 Data'!M131*'Round 3 Points'!S$2</f>
        <v>0</v>
      </c>
      <c r="N131" s="37">
        <f>'Round 3 Data'!N131*'Round 3 Points'!T$2</f>
        <v>0</v>
      </c>
      <c r="O131" s="37">
        <f>'Round 3 Data'!O131*'Round 3 Points'!U$2</f>
        <v>0</v>
      </c>
      <c r="P131" s="37">
        <f>'Round 3 Data'!P131*'Round 3 Points'!V$2</f>
        <v>0</v>
      </c>
      <c r="Q131" s="37">
        <f>'Round 3 Data'!Q131*'Round 3 Points'!W$2</f>
        <v>0</v>
      </c>
      <c r="R131" s="37">
        <f>'Round 3 Data'!R131*'Round 3 Points'!X$2</f>
        <v>0</v>
      </c>
      <c r="S131" s="37">
        <f>'Round 3 Data'!S131*'Round 3 Points'!Y$2</f>
        <v>0</v>
      </c>
      <c r="T131" s="38">
        <f t="shared" si="2"/>
        <v>9</v>
      </c>
      <c r="U131" s="37">
        <f>'Round 3 Data'!U131*'Round 3 Points'!$Z$2</f>
        <v>0</v>
      </c>
      <c r="V131" s="36">
        <f>IF('Round 3 Data'!D131='Round 3 Points'!$K$1,D131/80*$K$2,0)</f>
        <v>0</v>
      </c>
      <c r="W131" s="52">
        <f t="shared" si="3"/>
        <v>9</v>
      </c>
    </row>
    <row r="132" spans="1:23" x14ac:dyDescent="0.2">
      <c r="A132" s="81" t="s">
        <v>45</v>
      </c>
      <c r="B132" s="36" t="str" cm="1">
        <f t="array" ref="B132:C132">_xlfn.XLOOKUP(A132,'Player List'!$A$2:$A$177,'Player List'!$B$2:$C$177)</f>
        <v>Scotland</v>
      </c>
      <c r="C132" s="36" t="str">
        <v>Back Row</v>
      </c>
      <c r="D132" s="37">
        <v>23</v>
      </c>
      <c r="F132" s="37">
        <f>'Round 3 Data'!F132*'Round 3 Points'!L$2</f>
        <v>2</v>
      </c>
      <c r="G132" s="37">
        <f>'Round 3 Data'!G132*'Round 3 Points'!M$2</f>
        <v>0</v>
      </c>
      <c r="H132" s="37">
        <f>'Round 3 Data'!H132*'Round 3 Points'!N$2</f>
        <v>0</v>
      </c>
      <c r="I132" s="37">
        <f>'Round 3 Data'!I132*'Round 3 Points'!O$2</f>
        <v>4</v>
      </c>
      <c r="J132" s="37">
        <f>'Round 3 Data'!J132*'Round 3 Points'!P$2</f>
        <v>0</v>
      </c>
      <c r="K132" s="37">
        <f>'Round 3 Data'!K132*'Round 3 Points'!Q$2</f>
        <v>0</v>
      </c>
      <c r="L132" s="37">
        <f>'Round 3 Data'!L132*'Round 3 Points'!R$2</f>
        <v>0</v>
      </c>
      <c r="M132" s="37">
        <f>'Round 3 Data'!M132*'Round 3 Points'!S$2</f>
        <v>0</v>
      </c>
      <c r="N132" s="37">
        <f>'Round 3 Data'!N132*'Round 3 Points'!T$2</f>
        <v>0</v>
      </c>
      <c r="O132" s="37">
        <f>'Round 3 Data'!O132*'Round 3 Points'!U$2</f>
        <v>0</v>
      </c>
      <c r="P132" s="37">
        <f>'Round 3 Data'!P132*'Round 3 Points'!V$2</f>
        <v>0</v>
      </c>
      <c r="Q132" s="37">
        <f>'Round 3 Data'!Q132*'Round 3 Points'!W$2</f>
        <v>0</v>
      </c>
      <c r="R132" s="37">
        <f>'Round 3 Data'!R132*'Round 3 Points'!X$2</f>
        <v>0</v>
      </c>
      <c r="S132" s="37">
        <f>'Round 3 Data'!S132*'Round 3 Points'!Y$2</f>
        <v>0</v>
      </c>
      <c r="T132" s="38">
        <f t="shared" si="2"/>
        <v>6</v>
      </c>
      <c r="U132" s="37">
        <f>'Round 3 Data'!U132*'Round 3 Points'!$Z$2</f>
        <v>0</v>
      </c>
      <c r="V132" s="36">
        <f>IF('Round 3 Data'!D132='Round 3 Points'!$K$1,D132/80*$K$2,0)</f>
        <v>0</v>
      </c>
      <c r="W132" s="52">
        <f t="shared" si="3"/>
        <v>6</v>
      </c>
    </row>
    <row r="133" spans="1:23" x14ac:dyDescent="0.2">
      <c r="A133" s="81" t="s">
        <v>46</v>
      </c>
      <c r="B133" s="36" t="str" cm="1">
        <f t="array" ref="B133:C133">_xlfn.XLOOKUP(A133,'Player List'!$A$2:$A$177,'Player List'!$B$2:$C$177)</f>
        <v>Scotland</v>
      </c>
      <c r="C133" s="36" t="str">
        <v>Back Row</v>
      </c>
      <c r="D133" s="37">
        <v>57</v>
      </c>
      <c r="F133" s="37">
        <f>'Round 3 Data'!F133*'Round 3 Points'!L$2</f>
        <v>11</v>
      </c>
      <c r="G133" s="37">
        <f>'Round 3 Data'!G133*'Round 3 Points'!M$2</f>
        <v>0</v>
      </c>
      <c r="H133" s="37">
        <f>'Round 3 Data'!H133*'Round 3 Points'!N$2</f>
        <v>0</v>
      </c>
      <c r="I133" s="37">
        <f>'Round 3 Data'!I133*'Round 3 Points'!O$2</f>
        <v>3.4000000000000004</v>
      </c>
      <c r="J133" s="37">
        <f>'Round 3 Data'!J133*'Round 3 Points'!P$2</f>
        <v>0</v>
      </c>
      <c r="K133" s="37">
        <f>'Round 3 Data'!K133*'Round 3 Points'!Q$2</f>
        <v>0</v>
      </c>
      <c r="L133" s="37">
        <f>'Round 3 Data'!L133*'Round 3 Points'!R$2</f>
        <v>0</v>
      </c>
      <c r="M133" s="37">
        <f>'Round 3 Data'!M133*'Round 3 Points'!S$2</f>
        <v>0</v>
      </c>
      <c r="N133" s="37">
        <f>'Round 3 Data'!N133*'Round 3 Points'!T$2</f>
        <v>0</v>
      </c>
      <c r="O133" s="37">
        <f>'Round 3 Data'!O133*'Round 3 Points'!U$2</f>
        <v>0</v>
      </c>
      <c r="P133" s="37">
        <f>'Round 3 Data'!P133*'Round 3 Points'!V$2</f>
        <v>0</v>
      </c>
      <c r="Q133" s="37">
        <f>'Round 3 Data'!Q133*'Round 3 Points'!W$2</f>
        <v>0</v>
      </c>
      <c r="R133" s="37">
        <f>'Round 3 Data'!R133*'Round 3 Points'!X$2</f>
        <v>0</v>
      </c>
      <c r="S133" s="37">
        <f>'Round 3 Data'!S133*'Round 3 Points'!Y$2</f>
        <v>0</v>
      </c>
      <c r="T133" s="38">
        <f t="shared" si="2"/>
        <v>14.4</v>
      </c>
      <c r="U133" s="37">
        <f>'Round 3 Data'!U133*'Round 3 Points'!$Z$2</f>
        <v>0</v>
      </c>
      <c r="V133" s="36">
        <f>IF('Round 3 Data'!D133='Round 3 Points'!$K$1,D133/80*$K$2,0)</f>
        <v>0</v>
      </c>
      <c r="W133" s="52">
        <f t="shared" si="3"/>
        <v>14.4</v>
      </c>
    </row>
    <row r="134" spans="1:23" x14ac:dyDescent="0.2">
      <c r="A134" s="81" t="s">
        <v>47</v>
      </c>
      <c r="B134" s="36" t="str" cm="1">
        <f t="array" ref="B134:C134">_xlfn.XLOOKUP(A134,'Player List'!$A$2:$A$177,'Player List'!$B$2:$C$177)</f>
        <v>Scotland</v>
      </c>
      <c r="C134" s="36" t="str">
        <v>Back Row</v>
      </c>
      <c r="D134" s="37">
        <v>80</v>
      </c>
      <c r="F134" s="37">
        <f>'Round 3 Data'!F134*'Round 3 Points'!L$2</f>
        <v>13</v>
      </c>
      <c r="G134" s="37">
        <f>'Round 3 Data'!G134*'Round 3 Points'!M$2</f>
        <v>0</v>
      </c>
      <c r="H134" s="37">
        <f>'Round 3 Data'!H134*'Round 3 Points'!N$2</f>
        <v>0</v>
      </c>
      <c r="I134" s="37">
        <f>'Round 3 Data'!I134*'Round 3 Points'!O$2</f>
        <v>9.2000000000000011</v>
      </c>
      <c r="J134" s="37">
        <f>'Round 3 Data'!J134*'Round 3 Points'!P$2</f>
        <v>0</v>
      </c>
      <c r="K134" s="37">
        <f>'Round 3 Data'!K134*'Round 3 Points'!Q$2</f>
        <v>0</v>
      </c>
      <c r="L134" s="37">
        <f>'Round 3 Data'!L134*'Round 3 Points'!R$2</f>
        <v>0</v>
      </c>
      <c r="M134" s="37">
        <f>'Round 3 Data'!M134*'Round 3 Points'!S$2</f>
        <v>0</v>
      </c>
      <c r="N134" s="37">
        <f>'Round 3 Data'!N134*'Round 3 Points'!T$2</f>
        <v>0</v>
      </c>
      <c r="O134" s="37">
        <f>'Round 3 Data'!O134*'Round 3 Points'!U$2</f>
        <v>0</v>
      </c>
      <c r="P134" s="37">
        <f>'Round 3 Data'!P134*'Round 3 Points'!V$2</f>
        <v>0</v>
      </c>
      <c r="Q134" s="37">
        <f>'Round 3 Data'!Q134*'Round 3 Points'!W$2</f>
        <v>0</v>
      </c>
      <c r="R134" s="37">
        <f>'Round 3 Data'!R134*'Round 3 Points'!X$2</f>
        <v>0</v>
      </c>
      <c r="S134" s="37">
        <f>'Round 3 Data'!S134*'Round 3 Points'!Y$2</f>
        <v>0</v>
      </c>
      <c r="T134" s="38">
        <f t="shared" si="2"/>
        <v>22.200000000000003</v>
      </c>
      <c r="U134" s="37">
        <f>'Round 3 Data'!U134*'Round 3 Points'!$Z$2</f>
        <v>0</v>
      </c>
      <c r="V134" s="36">
        <f>IF('Round 3 Data'!D134='Round 3 Points'!$K$1,D134/80*$K$2,0)</f>
        <v>0</v>
      </c>
      <c r="W134" s="52">
        <f t="shared" si="3"/>
        <v>22.200000000000003</v>
      </c>
    </row>
    <row r="135" spans="1:23" x14ac:dyDescent="0.2">
      <c r="A135" s="81" t="s">
        <v>171</v>
      </c>
      <c r="B135" s="36" t="str" cm="1">
        <f t="array" ref="B135:C135">_xlfn.XLOOKUP(A135,'Player List'!$A$2:$A$177,'Player List'!$B$2:$C$177)</f>
        <v>Scotland</v>
      </c>
      <c r="C135" s="36" t="str">
        <v>Back Row</v>
      </c>
      <c r="D135" s="37">
        <v>9</v>
      </c>
      <c r="F135" s="37">
        <f>'Round 3 Data'!F135*'Round 3 Points'!L$2</f>
        <v>4</v>
      </c>
      <c r="G135" s="37">
        <f>'Round 3 Data'!G135*'Round 3 Points'!M$2</f>
        <v>0</v>
      </c>
      <c r="H135" s="37">
        <f>'Round 3 Data'!H135*'Round 3 Points'!N$2</f>
        <v>0</v>
      </c>
      <c r="I135" s="37">
        <f>'Round 3 Data'!I135*'Round 3 Points'!O$2</f>
        <v>0</v>
      </c>
      <c r="J135" s="37">
        <f>'Round 3 Data'!J135*'Round 3 Points'!P$2</f>
        <v>0</v>
      </c>
      <c r="K135" s="37">
        <f>'Round 3 Data'!K135*'Round 3 Points'!Q$2</f>
        <v>0</v>
      </c>
      <c r="L135" s="37">
        <f>'Round 3 Data'!L135*'Round 3 Points'!R$2</f>
        <v>7</v>
      </c>
      <c r="M135" s="37">
        <f>'Round 3 Data'!M135*'Round 3 Points'!S$2</f>
        <v>0</v>
      </c>
      <c r="N135" s="37">
        <f>'Round 3 Data'!N135*'Round 3 Points'!T$2</f>
        <v>0</v>
      </c>
      <c r="O135" s="37">
        <f>'Round 3 Data'!O135*'Round 3 Points'!U$2</f>
        <v>0</v>
      </c>
      <c r="P135" s="37">
        <f>'Round 3 Data'!P135*'Round 3 Points'!V$2</f>
        <v>0</v>
      </c>
      <c r="Q135" s="37">
        <f>'Round 3 Data'!Q135*'Round 3 Points'!W$2</f>
        <v>0</v>
      </c>
      <c r="R135" s="37">
        <f>'Round 3 Data'!R135*'Round 3 Points'!X$2</f>
        <v>0</v>
      </c>
      <c r="S135" s="37">
        <f>'Round 3 Data'!S135*'Round 3 Points'!Y$2</f>
        <v>0</v>
      </c>
      <c r="T135" s="38">
        <f t="shared" si="2"/>
        <v>11</v>
      </c>
      <c r="U135" s="37">
        <f>'Round 3 Data'!U135*'Round 3 Points'!$Z$2</f>
        <v>0</v>
      </c>
      <c r="V135" s="36">
        <f>IF('Round 3 Data'!D135='Round 3 Points'!$K$1,D135/80*$K$2,0)</f>
        <v>0</v>
      </c>
      <c r="W135" s="52">
        <f t="shared" si="3"/>
        <v>11</v>
      </c>
    </row>
    <row r="136" spans="1:23" x14ac:dyDescent="0.2">
      <c r="A136" s="81" t="s">
        <v>172</v>
      </c>
      <c r="B136" s="36" t="str" cm="1">
        <f t="array" ref="B136:C136">_xlfn.XLOOKUP(A136,'Player List'!$A$2:$A$177,'Player List'!$B$2:$C$177)</f>
        <v>Scotland</v>
      </c>
      <c r="C136" s="36" t="str">
        <v>Back Row</v>
      </c>
      <c r="D136" s="37">
        <v>10</v>
      </c>
      <c r="F136" s="37">
        <f>'Round 3 Data'!F136*'Round 3 Points'!L$2</f>
        <v>5</v>
      </c>
      <c r="G136" s="37">
        <f>'Round 3 Data'!G136*'Round 3 Points'!M$2</f>
        <v>0</v>
      </c>
      <c r="H136" s="37">
        <f>'Round 3 Data'!H136*'Round 3 Points'!N$2</f>
        <v>0</v>
      </c>
      <c r="I136" s="37">
        <f>'Round 3 Data'!I136*'Round 3 Points'!O$2</f>
        <v>0</v>
      </c>
      <c r="J136" s="37">
        <f>'Round 3 Data'!J136*'Round 3 Points'!P$2</f>
        <v>0</v>
      </c>
      <c r="K136" s="37">
        <f>'Round 3 Data'!K136*'Round 3 Points'!Q$2</f>
        <v>0</v>
      </c>
      <c r="L136" s="37">
        <f>'Round 3 Data'!L136*'Round 3 Points'!R$2</f>
        <v>0</v>
      </c>
      <c r="M136" s="37">
        <f>'Round 3 Data'!M136*'Round 3 Points'!S$2</f>
        <v>0</v>
      </c>
      <c r="N136" s="37">
        <f>'Round 3 Data'!N136*'Round 3 Points'!T$2</f>
        <v>0</v>
      </c>
      <c r="O136" s="37">
        <f>'Round 3 Data'!O136*'Round 3 Points'!U$2</f>
        <v>0</v>
      </c>
      <c r="P136" s="37">
        <f>'Round 3 Data'!P136*'Round 3 Points'!V$2</f>
        <v>0</v>
      </c>
      <c r="Q136" s="37">
        <f>'Round 3 Data'!Q136*'Round 3 Points'!W$2</f>
        <v>0</v>
      </c>
      <c r="R136" s="37">
        <f>'Round 3 Data'!R136*'Round 3 Points'!X$2</f>
        <v>0</v>
      </c>
      <c r="S136" s="37">
        <f>'Round 3 Data'!S136*'Round 3 Points'!Y$2</f>
        <v>0</v>
      </c>
      <c r="T136" s="38">
        <f t="shared" si="2"/>
        <v>5</v>
      </c>
      <c r="U136" s="37">
        <f>'Round 3 Data'!U136*'Round 3 Points'!$Z$2</f>
        <v>0</v>
      </c>
      <c r="V136" s="36">
        <f>IF('Round 3 Data'!D136='Round 3 Points'!$K$1,D136/80*$K$2,0)</f>
        <v>0</v>
      </c>
      <c r="W136" s="52">
        <f t="shared" si="3"/>
        <v>5</v>
      </c>
    </row>
    <row r="137" spans="1:23" x14ac:dyDescent="0.2">
      <c r="A137" s="81" t="s">
        <v>48</v>
      </c>
      <c r="B137" s="36" t="str" cm="1">
        <f t="array" ref="B137:C137">_xlfn.XLOOKUP(A137,'Player List'!$A$2:$A$177,'Player List'!$B$2:$C$177)</f>
        <v>Scotland</v>
      </c>
      <c r="C137" s="36" t="str">
        <v>Second Row</v>
      </c>
      <c r="D137" s="37">
        <v>7</v>
      </c>
      <c r="F137" s="37">
        <f>'Round 3 Data'!F137*'Round 3 Points'!L$2</f>
        <v>3</v>
      </c>
      <c r="G137" s="37">
        <f>'Round 3 Data'!G137*'Round 3 Points'!M$2</f>
        <v>0</v>
      </c>
      <c r="H137" s="37">
        <f>'Round 3 Data'!H137*'Round 3 Points'!N$2</f>
        <v>0</v>
      </c>
      <c r="I137" s="37">
        <f>'Round 3 Data'!I137*'Round 3 Points'!O$2</f>
        <v>0</v>
      </c>
      <c r="J137" s="37">
        <f>'Round 3 Data'!J137*'Round 3 Points'!P$2</f>
        <v>0</v>
      </c>
      <c r="K137" s="37">
        <f>'Round 3 Data'!K137*'Round 3 Points'!Q$2</f>
        <v>0</v>
      </c>
      <c r="L137" s="37">
        <f>'Round 3 Data'!L137*'Round 3 Points'!R$2</f>
        <v>0</v>
      </c>
      <c r="M137" s="37">
        <f>'Round 3 Data'!M137*'Round 3 Points'!S$2</f>
        <v>0</v>
      </c>
      <c r="N137" s="37">
        <f>'Round 3 Data'!N137*'Round 3 Points'!T$2</f>
        <v>0</v>
      </c>
      <c r="O137" s="37">
        <f>'Round 3 Data'!O137*'Round 3 Points'!U$2</f>
        <v>0</v>
      </c>
      <c r="P137" s="37">
        <f>'Round 3 Data'!P137*'Round 3 Points'!V$2</f>
        <v>0</v>
      </c>
      <c r="Q137" s="37">
        <f>'Round 3 Data'!Q137*'Round 3 Points'!W$2</f>
        <v>0</v>
      </c>
      <c r="R137" s="37">
        <f>'Round 3 Data'!R137*'Round 3 Points'!X$2</f>
        <v>0</v>
      </c>
      <c r="S137" s="37">
        <f>'Round 3 Data'!S137*'Round 3 Points'!Y$2</f>
        <v>-10</v>
      </c>
      <c r="T137" s="38">
        <f t="shared" si="2"/>
        <v>-7</v>
      </c>
      <c r="U137" s="37">
        <f>'Round 3 Data'!U137*'Round 3 Points'!$Z$2</f>
        <v>0</v>
      </c>
      <c r="V137" s="36">
        <f>IF('Round 3 Data'!D137='Round 3 Points'!$K$1,D137/80*$K$2,0)</f>
        <v>0</v>
      </c>
      <c r="W137" s="52">
        <f t="shared" si="3"/>
        <v>-7</v>
      </c>
    </row>
    <row r="138" spans="1:23" x14ac:dyDescent="0.2">
      <c r="A138" s="81" t="s">
        <v>49</v>
      </c>
      <c r="B138" s="36" t="str" cm="1">
        <f t="array" ref="B138:C138">_xlfn.XLOOKUP(A138,'Player List'!$A$2:$A$177,'Player List'!$B$2:$C$177)</f>
        <v>Scotland</v>
      </c>
      <c r="C138" s="36" t="str">
        <v>Second Row</v>
      </c>
      <c r="D138" s="37">
        <v>70</v>
      </c>
      <c r="F138" s="37">
        <f>'Round 3 Data'!F138*'Round 3 Points'!L$2</f>
        <v>8</v>
      </c>
      <c r="G138" s="37">
        <f>'Round 3 Data'!G138*'Round 3 Points'!M$2</f>
        <v>7</v>
      </c>
      <c r="H138" s="37">
        <f>'Round 3 Data'!H138*'Round 3 Points'!N$2</f>
        <v>0</v>
      </c>
      <c r="I138" s="37">
        <f>'Round 3 Data'!I138*'Round 3 Points'!O$2</f>
        <v>5.6000000000000005</v>
      </c>
      <c r="J138" s="37">
        <f>'Round 3 Data'!J138*'Round 3 Points'!P$2</f>
        <v>0</v>
      </c>
      <c r="K138" s="37">
        <f>'Round 3 Data'!K138*'Round 3 Points'!Q$2</f>
        <v>0</v>
      </c>
      <c r="L138" s="37">
        <f>'Round 3 Data'!L138*'Round 3 Points'!R$2</f>
        <v>0</v>
      </c>
      <c r="M138" s="37">
        <f>'Round 3 Data'!M138*'Round 3 Points'!S$2</f>
        <v>0</v>
      </c>
      <c r="N138" s="37">
        <f>'Round 3 Data'!N138*'Round 3 Points'!T$2</f>
        <v>0</v>
      </c>
      <c r="O138" s="37">
        <f>'Round 3 Data'!O138*'Round 3 Points'!U$2</f>
        <v>0</v>
      </c>
      <c r="P138" s="37">
        <f>'Round 3 Data'!P138*'Round 3 Points'!V$2</f>
        <v>0</v>
      </c>
      <c r="Q138" s="37">
        <f>'Round 3 Data'!Q138*'Round 3 Points'!W$2</f>
        <v>0</v>
      </c>
      <c r="R138" s="37">
        <f>'Round 3 Data'!R138*'Round 3 Points'!X$2</f>
        <v>0</v>
      </c>
      <c r="S138" s="37">
        <f>'Round 3 Data'!S138*'Round 3 Points'!Y$2</f>
        <v>0</v>
      </c>
      <c r="T138" s="38">
        <f t="shared" si="2"/>
        <v>20.6</v>
      </c>
      <c r="U138" s="37">
        <f>'Round 3 Data'!U138*'Round 3 Points'!$Z$2</f>
        <v>0</v>
      </c>
      <c r="V138" s="36">
        <f>IF('Round 3 Data'!D138='Round 3 Points'!$K$1,D138/80*$K$2,0)</f>
        <v>0</v>
      </c>
      <c r="W138" s="52">
        <f t="shared" si="3"/>
        <v>20.6</v>
      </c>
    </row>
    <row r="139" spans="1:23" x14ac:dyDescent="0.2">
      <c r="A139" s="81" t="s">
        <v>50</v>
      </c>
      <c r="B139" s="36" t="str" cm="1">
        <f t="array" ref="B139:C139">_xlfn.XLOOKUP(A139,'Player List'!$A$2:$A$177,'Player List'!$B$2:$C$177)</f>
        <v>Scotland</v>
      </c>
      <c r="C139" s="36" t="str">
        <v>Second Row</v>
      </c>
      <c r="D139" s="37">
        <v>71</v>
      </c>
      <c r="F139" s="37">
        <f>'Round 3 Data'!F139*'Round 3 Points'!L$2</f>
        <v>7</v>
      </c>
      <c r="G139" s="37">
        <f>'Round 3 Data'!G139*'Round 3 Points'!M$2</f>
        <v>0</v>
      </c>
      <c r="H139" s="37">
        <f>'Round 3 Data'!H139*'Round 3 Points'!N$2</f>
        <v>0</v>
      </c>
      <c r="I139" s="37">
        <f>'Round 3 Data'!I139*'Round 3 Points'!O$2</f>
        <v>3</v>
      </c>
      <c r="J139" s="37">
        <f>'Round 3 Data'!J139*'Round 3 Points'!P$2</f>
        <v>0</v>
      </c>
      <c r="K139" s="37">
        <f>'Round 3 Data'!K139*'Round 3 Points'!Q$2</f>
        <v>0</v>
      </c>
      <c r="L139" s="37">
        <f>'Round 3 Data'!L139*'Round 3 Points'!R$2</f>
        <v>0</v>
      </c>
      <c r="M139" s="37">
        <f>'Round 3 Data'!M139*'Round 3 Points'!S$2</f>
        <v>0</v>
      </c>
      <c r="N139" s="37">
        <f>'Round 3 Data'!N139*'Round 3 Points'!T$2</f>
        <v>0</v>
      </c>
      <c r="O139" s="37">
        <f>'Round 3 Data'!O139*'Round 3 Points'!U$2</f>
        <v>0</v>
      </c>
      <c r="P139" s="37">
        <f>'Round 3 Data'!P139*'Round 3 Points'!V$2</f>
        <v>0</v>
      </c>
      <c r="Q139" s="37">
        <f>'Round 3 Data'!Q139*'Round 3 Points'!W$2</f>
        <v>0</v>
      </c>
      <c r="R139" s="37">
        <f>'Round 3 Data'!R139*'Round 3 Points'!X$2</f>
        <v>0</v>
      </c>
      <c r="S139" s="37">
        <f>'Round 3 Data'!S139*'Round 3 Points'!Y$2</f>
        <v>0</v>
      </c>
      <c r="T139" s="38">
        <f t="shared" ref="T139:T145" si="4">SUM(F139:S139)</f>
        <v>10</v>
      </c>
      <c r="U139" s="37">
        <f>'Round 3 Data'!U139*'Round 3 Points'!$Z$2</f>
        <v>0</v>
      </c>
      <c r="V139" s="36">
        <f>IF('Round 3 Data'!D139='Round 3 Points'!$K$1,D139/80*$K$2,0)</f>
        <v>0</v>
      </c>
      <c r="W139" s="52">
        <f t="shared" ref="W139:W145" si="5">SUM(T139:V139)</f>
        <v>10</v>
      </c>
    </row>
    <row r="140" spans="1:23" x14ac:dyDescent="0.2">
      <c r="A140" s="81" t="s">
        <v>51</v>
      </c>
      <c r="B140" s="36" t="str" cm="1">
        <f t="array" ref="B140:C140">_xlfn.XLOOKUP(A140,'Player List'!$A$2:$A$177,'Player List'!$B$2:$C$177)</f>
        <v>Scotland</v>
      </c>
      <c r="C140" s="36" t="str">
        <v>Prop</v>
      </c>
      <c r="D140" s="37">
        <v>17</v>
      </c>
      <c r="F140" s="37">
        <f>'Round 3 Data'!F140*'Round 3 Points'!L$2</f>
        <v>2</v>
      </c>
      <c r="G140" s="37">
        <f>'Round 3 Data'!G140*'Round 3 Points'!M$2</f>
        <v>7</v>
      </c>
      <c r="H140" s="37">
        <f>'Round 3 Data'!H140*'Round 3 Points'!N$2</f>
        <v>0</v>
      </c>
      <c r="I140" s="37">
        <f>'Round 3 Data'!I140*'Round 3 Points'!O$2</f>
        <v>0</v>
      </c>
      <c r="J140" s="37">
        <f>'Round 3 Data'!J140*'Round 3 Points'!P$2</f>
        <v>0</v>
      </c>
      <c r="K140" s="37">
        <f>'Round 3 Data'!K140*'Round 3 Points'!Q$2</f>
        <v>0</v>
      </c>
      <c r="L140" s="37">
        <f>'Round 3 Data'!L140*'Round 3 Points'!R$2</f>
        <v>0</v>
      </c>
      <c r="M140" s="37">
        <f>'Round 3 Data'!M140*'Round 3 Points'!S$2</f>
        <v>0</v>
      </c>
      <c r="N140" s="37">
        <f>'Round 3 Data'!N140*'Round 3 Points'!T$2</f>
        <v>0</v>
      </c>
      <c r="O140" s="37">
        <f>'Round 3 Data'!O140*'Round 3 Points'!U$2</f>
        <v>0</v>
      </c>
      <c r="P140" s="37">
        <f>'Round 3 Data'!P140*'Round 3 Points'!V$2</f>
        <v>0</v>
      </c>
      <c r="Q140" s="37">
        <f>'Round 3 Data'!Q140*'Round 3 Points'!W$2</f>
        <v>0</v>
      </c>
      <c r="R140" s="37">
        <f>'Round 3 Data'!R140*'Round 3 Points'!X$2</f>
        <v>0</v>
      </c>
      <c r="S140" s="37">
        <f>'Round 3 Data'!S140*'Round 3 Points'!Y$2</f>
        <v>0</v>
      </c>
      <c r="T140" s="38">
        <f t="shared" si="4"/>
        <v>9</v>
      </c>
      <c r="U140" s="37">
        <f>'Round 3 Data'!U140*'Round 3 Points'!$Z$2</f>
        <v>0</v>
      </c>
      <c r="V140" s="36">
        <f>IF('Round 3 Data'!D140='Round 3 Points'!$K$1,D140/80*$K$2,0)</f>
        <v>0</v>
      </c>
      <c r="W140" s="52">
        <f t="shared" si="5"/>
        <v>9</v>
      </c>
    </row>
    <row r="141" spans="1:23" x14ac:dyDescent="0.2">
      <c r="A141" s="81" t="s">
        <v>52</v>
      </c>
      <c r="B141" s="36" t="str" cm="1">
        <f t="array" ref="B141:C141">_xlfn.XLOOKUP(A141,'Player List'!$A$2:$A$177,'Player List'!$B$2:$C$177)</f>
        <v>Scotland</v>
      </c>
      <c r="C141" s="36" t="str">
        <v>Prop</v>
      </c>
      <c r="D141" s="37">
        <v>63</v>
      </c>
      <c r="F141" s="37">
        <f>'Round 3 Data'!F141*'Round 3 Points'!L$2</f>
        <v>6</v>
      </c>
      <c r="G141" s="37">
        <f>'Round 3 Data'!G141*'Round 3 Points'!M$2</f>
        <v>0</v>
      </c>
      <c r="H141" s="37">
        <f>'Round 3 Data'!H141*'Round 3 Points'!N$2</f>
        <v>0</v>
      </c>
      <c r="I141" s="37">
        <f>'Round 3 Data'!I141*'Round 3 Points'!O$2</f>
        <v>5.8000000000000007</v>
      </c>
      <c r="J141" s="37">
        <f>'Round 3 Data'!J141*'Round 3 Points'!P$2</f>
        <v>0</v>
      </c>
      <c r="K141" s="37">
        <f>'Round 3 Data'!K141*'Round 3 Points'!Q$2</f>
        <v>0</v>
      </c>
      <c r="L141" s="37">
        <f>'Round 3 Data'!L141*'Round 3 Points'!R$2</f>
        <v>0</v>
      </c>
      <c r="M141" s="37">
        <f>'Round 3 Data'!M141*'Round 3 Points'!S$2</f>
        <v>0</v>
      </c>
      <c r="N141" s="37">
        <f>'Round 3 Data'!N141*'Round 3 Points'!T$2</f>
        <v>0</v>
      </c>
      <c r="O141" s="37">
        <f>'Round 3 Data'!O141*'Round 3 Points'!U$2</f>
        <v>0</v>
      </c>
      <c r="P141" s="37">
        <f>'Round 3 Data'!P141*'Round 3 Points'!V$2</f>
        <v>0</v>
      </c>
      <c r="Q141" s="37">
        <f>'Round 3 Data'!Q141*'Round 3 Points'!W$2</f>
        <v>0</v>
      </c>
      <c r="R141" s="37">
        <f>'Round 3 Data'!R141*'Round 3 Points'!X$2</f>
        <v>0</v>
      </c>
      <c r="S141" s="37">
        <f>'Round 3 Data'!S141*'Round 3 Points'!Y$2</f>
        <v>0</v>
      </c>
      <c r="T141" s="38">
        <f t="shared" si="4"/>
        <v>11.8</v>
      </c>
      <c r="U141" s="37">
        <f>'Round 3 Data'!U141*'Round 3 Points'!$Z$2</f>
        <v>0</v>
      </c>
      <c r="V141" s="36">
        <f>IF('Round 3 Data'!D141='Round 3 Points'!$K$1,D141/80*$K$2,0)</f>
        <v>0</v>
      </c>
      <c r="W141" s="52">
        <f t="shared" si="5"/>
        <v>11.8</v>
      </c>
    </row>
    <row r="142" spans="1:23" x14ac:dyDescent="0.2">
      <c r="A142" s="81" t="s">
        <v>53</v>
      </c>
      <c r="B142" s="36" t="str" cm="1">
        <f t="array" ref="B142:C142">_xlfn.XLOOKUP(A142,'Player List'!$A$2:$A$177,'Player List'!$B$2:$C$177)</f>
        <v>Scotland</v>
      </c>
      <c r="C142" s="36" t="str">
        <v>Prop</v>
      </c>
      <c r="D142" s="37">
        <v>17</v>
      </c>
      <c r="F142" s="37">
        <f>'Round 3 Data'!F142*'Round 3 Points'!L$2</f>
        <v>3</v>
      </c>
      <c r="G142" s="37">
        <f>'Round 3 Data'!G142*'Round 3 Points'!M$2</f>
        <v>0</v>
      </c>
      <c r="H142" s="37">
        <f>'Round 3 Data'!H142*'Round 3 Points'!N$2</f>
        <v>0</v>
      </c>
      <c r="I142" s="37">
        <f>'Round 3 Data'!I142*'Round 3 Points'!O$2</f>
        <v>1</v>
      </c>
      <c r="J142" s="37">
        <f>'Round 3 Data'!J142*'Round 3 Points'!P$2</f>
        <v>0</v>
      </c>
      <c r="K142" s="37">
        <f>'Round 3 Data'!K142*'Round 3 Points'!Q$2</f>
        <v>0</v>
      </c>
      <c r="L142" s="37">
        <f>'Round 3 Data'!L142*'Round 3 Points'!R$2</f>
        <v>0</v>
      </c>
      <c r="M142" s="37">
        <f>'Round 3 Data'!M142*'Round 3 Points'!S$2</f>
        <v>0</v>
      </c>
      <c r="N142" s="37">
        <f>'Round 3 Data'!N142*'Round 3 Points'!T$2</f>
        <v>0</v>
      </c>
      <c r="O142" s="37">
        <f>'Round 3 Data'!O142*'Round 3 Points'!U$2</f>
        <v>0</v>
      </c>
      <c r="P142" s="37">
        <f>'Round 3 Data'!P142*'Round 3 Points'!V$2</f>
        <v>0</v>
      </c>
      <c r="Q142" s="37">
        <f>'Round 3 Data'!Q142*'Round 3 Points'!W$2</f>
        <v>0</v>
      </c>
      <c r="R142" s="37">
        <f>'Round 3 Data'!R142*'Round 3 Points'!X$2</f>
        <v>0</v>
      </c>
      <c r="S142" s="37">
        <f>'Round 3 Data'!S142*'Round 3 Points'!Y$2</f>
        <v>0</v>
      </c>
      <c r="T142" s="38">
        <f t="shared" si="4"/>
        <v>4</v>
      </c>
      <c r="U142" s="37">
        <f>'Round 3 Data'!U142*'Round 3 Points'!$Z$2</f>
        <v>0</v>
      </c>
      <c r="V142" s="36">
        <f>IF('Round 3 Data'!D142='Round 3 Points'!$K$1,D142/80*$K$2,0)</f>
        <v>0</v>
      </c>
      <c r="W142" s="52">
        <f t="shared" si="5"/>
        <v>4</v>
      </c>
    </row>
    <row r="143" spans="1:23" x14ac:dyDescent="0.2">
      <c r="A143" s="81" t="s">
        <v>54</v>
      </c>
      <c r="B143" s="36" t="str" cm="1">
        <f t="array" ref="B143:C143">_xlfn.XLOOKUP(A143,'Player List'!$A$2:$A$177,'Player List'!$B$2:$C$177)</f>
        <v>Scotland</v>
      </c>
      <c r="C143" s="36" t="str">
        <v>Prop</v>
      </c>
      <c r="D143" s="37">
        <v>63</v>
      </c>
      <c r="F143" s="37">
        <f>'Round 3 Data'!F143*'Round 3 Points'!L$2</f>
        <v>7</v>
      </c>
      <c r="G143" s="37">
        <f>'Round 3 Data'!G143*'Round 3 Points'!M$2</f>
        <v>0</v>
      </c>
      <c r="H143" s="37">
        <f>'Round 3 Data'!H143*'Round 3 Points'!N$2</f>
        <v>0</v>
      </c>
      <c r="I143" s="37">
        <f>'Round 3 Data'!I143*'Round 3 Points'!O$2</f>
        <v>13</v>
      </c>
      <c r="J143" s="37">
        <f>'Round 3 Data'!J143*'Round 3 Points'!P$2</f>
        <v>0</v>
      </c>
      <c r="K143" s="37">
        <f>'Round 3 Data'!K143*'Round 3 Points'!Q$2</f>
        <v>0</v>
      </c>
      <c r="L143" s="37">
        <f>'Round 3 Data'!L143*'Round 3 Points'!R$2</f>
        <v>7</v>
      </c>
      <c r="M143" s="37">
        <f>'Round 3 Data'!M143*'Round 3 Points'!S$2</f>
        <v>0</v>
      </c>
      <c r="N143" s="37">
        <f>'Round 3 Data'!N143*'Round 3 Points'!T$2</f>
        <v>0</v>
      </c>
      <c r="O143" s="37">
        <f>'Round 3 Data'!O143*'Round 3 Points'!U$2</f>
        <v>0</v>
      </c>
      <c r="P143" s="37">
        <f>'Round 3 Data'!P143*'Round 3 Points'!V$2</f>
        <v>0</v>
      </c>
      <c r="Q143" s="37">
        <f>'Round 3 Data'!Q143*'Round 3 Points'!W$2</f>
        <v>0</v>
      </c>
      <c r="R143" s="37">
        <f>'Round 3 Data'!R143*'Round 3 Points'!X$2</f>
        <v>0</v>
      </c>
      <c r="S143" s="37">
        <f>'Round 3 Data'!S143*'Round 3 Points'!Y$2</f>
        <v>0</v>
      </c>
      <c r="T143" s="38">
        <f t="shared" si="4"/>
        <v>27</v>
      </c>
      <c r="U143" s="37">
        <f>'Round 3 Data'!U143*'Round 3 Points'!$Z$2</f>
        <v>0</v>
      </c>
      <c r="V143" s="36">
        <f>IF('Round 3 Data'!D143='Round 3 Points'!$K$1,D143/80*$K$2,0)</f>
        <v>0</v>
      </c>
      <c r="W143" s="52">
        <f t="shared" si="5"/>
        <v>27</v>
      </c>
    </row>
    <row r="144" spans="1:23" x14ac:dyDescent="0.2">
      <c r="A144" s="81" t="s">
        <v>55</v>
      </c>
      <c r="B144" s="36" t="str" cm="1">
        <f t="array" ref="B144:C144">_xlfn.XLOOKUP(A144,'Player List'!$A$2:$A$177,'Player List'!$B$2:$C$177)</f>
        <v>Scotland</v>
      </c>
      <c r="C144" s="36" t="str">
        <v>Hooker</v>
      </c>
      <c r="D144" s="37">
        <v>17</v>
      </c>
      <c r="F144" s="37">
        <f>'Round 3 Data'!F144*'Round 3 Points'!L$2</f>
        <v>4</v>
      </c>
      <c r="G144" s="37">
        <f>'Round 3 Data'!G144*'Round 3 Points'!M$2</f>
        <v>0</v>
      </c>
      <c r="H144" s="37">
        <f>'Round 3 Data'!H144*'Round 3 Points'!N$2</f>
        <v>0</v>
      </c>
      <c r="I144" s="37">
        <f>'Round 3 Data'!I144*'Round 3 Points'!O$2</f>
        <v>1.4000000000000001</v>
      </c>
      <c r="J144" s="37">
        <f>'Round 3 Data'!J144*'Round 3 Points'!P$2</f>
        <v>0</v>
      </c>
      <c r="K144" s="37">
        <f>'Round 3 Data'!K144*'Round 3 Points'!Q$2</f>
        <v>0</v>
      </c>
      <c r="L144" s="37">
        <f>'Round 3 Data'!L144*'Round 3 Points'!R$2</f>
        <v>0</v>
      </c>
      <c r="M144" s="37">
        <f>'Round 3 Data'!M144*'Round 3 Points'!S$2</f>
        <v>0</v>
      </c>
      <c r="N144" s="37">
        <f>'Round 3 Data'!N144*'Round 3 Points'!T$2</f>
        <v>0</v>
      </c>
      <c r="O144" s="37">
        <f>'Round 3 Data'!O144*'Round 3 Points'!U$2</f>
        <v>0</v>
      </c>
      <c r="P144" s="37">
        <f>'Round 3 Data'!P144*'Round 3 Points'!V$2</f>
        <v>0</v>
      </c>
      <c r="Q144" s="37">
        <f>'Round 3 Data'!Q144*'Round 3 Points'!W$2</f>
        <v>0</v>
      </c>
      <c r="R144" s="37">
        <f>'Round 3 Data'!R144*'Round 3 Points'!X$2</f>
        <v>0</v>
      </c>
      <c r="S144" s="37">
        <f>'Round 3 Data'!S144*'Round 3 Points'!Y$2</f>
        <v>0</v>
      </c>
      <c r="T144" s="38">
        <f t="shared" si="4"/>
        <v>5.4</v>
      </c>
      <c r="U144" s="37">
        <f>'Round 3 Data'!U144*'Round 3 Points'!$Z$2</f>
        <v>0</v>
      </c>
      <c r="V144" s="36">
        <f>IF('Round 3 Data'!D144='Round 3 Points'!$K$1,D144/80*$K$2,0)</f>
        <v>0</v>
      </c>
      <c r="W144" s="52">
        <f t="shared" si="5"/>
        <v>5.4</v>
      </c>
    </row>
    <row r="145" spans="1:23" ht="16" thickBot="1" x14ac:dyDescent="0.25">
      <c r="A145" s="82" t="s">
        <v>56</v>
      </c>
      <c r="B145" s="75" t="str" cm="1">
        <f t="array" ref="B145:C145">_xlfn.XLOOKUP(A145,'Player List'!$A$2:$A$177,'Player List'!$B$2:$C$177)</f>
        <v>Scotland</v>
      </c>
      <c r="C145" s="75" t="str">
        <v>Hooker</v>
      </c>
      <c r="D145" s="79">
        <v>63</v>
      </c>
      <c r="E145" s="48"/>
      <c r="F145" s="79">
        <f>'Round 3 Data'!F145*'Round 3 Points'!L$2</f>
        <v>5</v>
      </c>
      <c r="G145" s="79">
        <f>'Round 3 Data'!G145*'Round 3 Points'!M$2</f>
        <v>0</v>
      </c>
      <c r="H145" s="79">
        <f>'Round 3 Data'!H145*'Round 3 Points'!N$2</f>
        <v>0</v>
      </c>
      <c r="I145" s="79">
        <f>'Round 3 Data'!I145*'Round 3 Points'!O$2</f>
        <v>9.4</v>
      </c>
      <c r="J145" s="79">
        <f>'Round 3 Data'!J145*'Round 3 Points'!P$2</f>
        <v>0</v>
      </c>
      <c r="K145" s="79">
        <f>'Round 3 Data'!K145*'Round 3 Points'!Q$2</f>
        <v>0</v>
      </c>
      <c r="L145" s="79">
        <f>'Round 3 Data'!L145*'Round 3 Points'!R$2</f>
        <v>0</v>
      </c>
      <c r="M145" s="79">
        <f>'Round 3 Data'!M145*'Round 3 Points'!S$2</f>
        <v>0</v>
      </c>
      <c r="N145" s="79">
        <f>'Round 3 Data'!N145*'Round 3 Points'!T$2</f>
        <v>0</v>
      </c>
      <c r="O145" s="79">
        <f>'Round 3 Data'!O145*'Round 3 Points'!U$2</f>
        <v>0</v>
      </c>
      <c r="P145" s="79">
        <f>'Round 3 Data'!P145*'Round 3 Points'!V$2</f>
        <v>0</v>
      </c>
      <c r="Q145" s="79">
        <f>'Round 3 Data'!Q145*'Round 3 Points'!W$2</f>
        <v>0</v>
      </c>
      <c r="R145" s="79">
        <f>'Round 3 Data'!R145*'Round 3 Points'!X$2</f>
        <v>0</v>
      </c>
      <c r="S145" s="79">
        <f>'Round 3 Data'!S145*'Round 3 Points'!Y$2</f>
        <v>0</v>
      </c>
      <c r="T145" s="74">
        <f t="shared" si="4"/>
        <v>14.4</v>
      </c>
      <c r="U145" s="79">
        <f>'Round 3 Data'!U145*'Round 3 Points'!$Z$2</f>
        <v>0</v>
      </c>
      <c r="V145" s="75">
        <f>IF('Round 3 Data'!D145='Round 3 Points'!$K$1,D145/80*$K$2,0)</f>
        <v>0</v>
      </c>
      <c r="W145" s="49">
        <f t="shared" si="5"/>
        <v>14.4</v>
      </c>
    </row>
  </sheetData>
  <autoFilter ref="A9:W145" xr:uid="{DDBF3D4D-C732-48A0-9A4E-F9FD801F0FE7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F2EA-540B-4BE1-8F72-DA076B98DBC3}">
  <sheetPr>
    <tabColor theme="9" tint="0.79998168889431442"/>
  </sheetPr>
  <dimension ref="A1:Z147"/>
  <sheetViews>
    <sheetView workbookViewId="0">
      <selection activeCell="F2" sqref="F2:G4"/>
    </sheetView>
  </sheetViews>
  <sheetFormatPr baseColWidth="10" defaultColWidth="8.83203125" defaultRowHeight="15" x14ac:dyDescent="0.2"/>
  <cols>
    <col min="5" max="5" width="11.1640625" customWidth="1"/>
    <col min="6" max="6" width="9.83203125" customWidth="1"/>
    <col min="7" max="7" width="10.5" customWidth="1"/>
    <col min="8" max="8" width="11.83203125" customWidth="1"/>
    <col min="9" max="9" width="9.83203125" customWidth="1"/>
    <col min="10" max="10" width="10.1640625" customWidth="1"/>
    <col min="12" max="12" width="11.6640625" customWidth="1"/>
    <col min="18" max="18" width="11.6640625" customWidth="1"/>
  </cols>
  <sheetData>
    <row r="1" spans="1:26" ht="31" thickBot="1" x14ac:dyDescent="0.25">
      <c r="J1" s="43"/>
      <c r="K1" s="44" t="s">
        <v>204</v>
      </c>
      <c r="L1" s="45" t="s">
        <v>207</v>
      </c>
      <c r="M1" s="45" t="s">
        <v>1</v>
      </c>
      <c r="N1" s="45" t="s">
        <v>2</v>
      </c>
      <c r="O1" s="45" t="s">
        <v>208</v>
      </c>
      <c r="P1" s="45" t="s">
        <v>3</v>
      </c>
      <c r="Q1" s="45" t="s">
        <v>4</v>
      </c>
      <c r="R1" s="45" t="s">
        <v>5</v>
      </c>
      <c r="S1" s="45" t="s">
        <v>6</v>
      </c>
      <c r="T1" s="45" t="s">
        <v>209</v>
      </c>
      <c r="U1" s="45" t="s">
        <v>7</v>
      </c>
      <c r="V1" s="45" t="s">
        <v>8</v>
      </c>
      <c r="W1" s="45" t="s">
        <v>9</v>
      </c>
      <c r="X1" s="45" t="s">
        <v>10</v>
      </c>
      <c r="Y1" s="45" t="s">
        <v>11</v>
      </c>
      <c r="Z1" s="46" t="s">
        <v>215</v>
      </c>
    </row>
    <row r="2" spans="1:26" ht="16" thickBot="1" x14ac:dyDescent="0.25">
      <c r="B2" s="43" t="s">
        <v>191</v>
      </c>
      <c r="C2" s="50" t="s">
        <v>212</v>
      </c>
      <c r="E2" s="43" t="s">
        <v>192</v>
      </c>
      <c r="F2" s="44">
        <v>17</v>
      </c>
      <c r="G2" s="44">
        <v>29</v>
      </c>
      <c r="H2" s="50" t="s">
        <v>188</v>
      </c>
      <c r="J2" s="47" t="s">
        <v>214</v>
      </c>
      <c r="K2" s="48">
        <v>8</v>
      </c>
      <c r="L2" s="48">
        <v>1</v>
      </c>
      <c r="M2" s="48">
        <v>7</v>
      </c>
      <c r="N2" s="48">
        <v>7</v>
      </c>
      <c r="O2" s="48">
        <v>0.2</v>
      </c>
      <c r="P2" s="48">
        <v>10</v>
      </c>
      <c r="Q2" s="48">
        <v>7</v>
      </c>
      <c r="R2" s="48">
        <v>7</v>
      </c>
      <c r="S2" s="48">
        <v>15</v>
      </c>
      <c r="T2" s="48">
        <v>7</v>
      </c>
      <c r="U2" s="48">
        <v>2</v>
      </c>
      <c r="V2" s="48">
        <v>5</v>
      </c>
      <c r="W2" s="48">
        <v>7</v>
      </c>
      <c r="X2" s="48">
        <v>-5</v>
      </c>
      <c r="Y2" s="48">
        <v>-10</v>
      </c>
      <c r="Z2" s="49">
        <v>15</v>
      </c>
    </row>
    <row r="3" spans="1:26" x14ac:dyDescent="0.2">
      <c r="B3" s="51" t="s">
        <v>188</v>
      </c>
      <c r="C3" s="52" t="s">
        <v>204</v>
      </c>
      <c r="E3" s="51" t="s">
        <v>190</v>
      </c>
      <c r="F3">
        <v>53</v>
      </c>
      <c r="G3">
        <v>10</v>
      </c>
      <c r="H3" s="52" t="s">
        <v>193</v>
      </c>
    </row>
    <row r="4" spans="1:26" ht="16" thickBot="1" x14ac:dyDescent="0.25">
      <c r="B4" s="51" t="s">
        <v>189</v>
      </c>
      <c r="C4" s="52" t="s">
        <v>204</v>
      </c>
      <c r="E4" s="47" t="s">
        <v>191</v>
      </c>
      <c r="F4" s="48">
        <v>7</v>
      </c>
      <c r="G4" s="48">
        <v>22</v>
      </c>
      <c r="H4" s="49" t="s">
        <v>189</v>
      </c>
    </row>
    <row r="5" spans="1:26" x14ac:dyDescent="0.2">
      <c r="B5" s="51" t="s">
        <v>190</v>
      </c>
      <c r="C5" s="52" t="s">
        <v>212</v>
      </c>
    </row>
    <row r="6" spans="1:26" x14ac:dyDescent="0.2">
      <c r="B6" s="51" t="s">
        <v>193</v>
      </c>
      <c r="C6" s="52" t="s">
        <v>204</v>
      </c>
    </row>
    <row r="7" spans="1:26" ht="16" thickBot="1" x14ac:dyDescent="0.25">
      <c r="B7" s="47" t="s">
        <v>192</v>
      </c>
      <c r="C7" s="49" t="s">
        <v>212</v>
      </c>
    </row>
    <row r="8" spans="1:26" ht="16" thickBot="1" x14ac:dyDescent="0.25"/>
    <row r="9" spans="1:26" ht="31" thickBot="1" x14ac:dyDescent="0.25">
      <c r="A9" s="39" t="s">
        <v>0</v>
      </c>
      <c r="B9" s="40" t="s">
        <v>203</v>
      </c>
      <c r="C9" s="40" t="s">
        <v>202</v>
      </c>
      <c r="D9" s="40" t="s">
        <v>205</v>
      </c>
      <c r="E9" s="40"/>
      <c r="F9" s="41" t="s">
        <v>207</v>
      </c>
      <c r="G9" s="41" t="s">
        <v>1</v>
      </c>
      <c r="H9" s="41" t="s">
        <v>2</v>
      </c>
      <c r="I9" s="41" t="s">
        <v>208</v>
      </c>
      <c r="J9" s="41" t="s">
        <v>3</v>
      </c>
      <c r="K9" s="41" t="s">
        <v>4</v>
      </c>
      <c r="L9" s="41" t="s">
        <v>5</v>
      </c>
      <c r="M9" s="41" t="s">
        <v>6</v>
      </c>
      <c r="N9" s="41" t="s">
        <v>209</v>
      </c>
      <c r="O9" s="41" t="s">
        <v>7</v>
      </c>
      <c r="P9" s="41" t="s">
        <v>8</v>
      </c>
      <c r="Q9" s="41" t="s">
        <v>9</v>
      </c>
      <c r="R9" s="41" t="s">
        <v>10</v>
      </c>
      <c r="S9" s="41" t="s">
        <v>11</v>
      </c>
      <c r="T9" s="41" t="s">
        <v>211</v>
      </c>
      <c r="U9" s="41" t="s">
        <v>206</v>
      </c>
      <c r="V9" s="41" t="s">
        <v>216</v>
      </c>
      <c r="W9" s="42" t="s">
        <v>210</v>
      </c>
    </row>
    <row r="10" spans="1:26" x14ac:dyDescent="0.2">
      <c r="A10" s="36" t="s">
        <v>103</v>
      </c>
      <c r="B10" s="36" t="str" cm="1">
        <f t="array" ref="B10:C10">_xlfn.XLOOKUP(A10,'Player List'!$A$2:$A$177,'Player List'!$B$2:$C$177)</f>
        <v>Italy</v>
      </c>
      <c r="C10" s="36" t="str">
        <v>Back Three</v>
      </c>
      <c r="D10" s="37">
        <v>69</v>
      </c>
      <c r="F10" s="37">
        <f>'Round 4 Data'!F10*'Round 4 Points'!L$2</f>
        <v>2</v>
      </c>
      <c r="G10" s="37">
        <f>'Round 4 Data'!G10*'Round 4 Points'!M$2</f>
        <v>0</v>
      </c>
      <c r="H10" s="37">
        <f>'Round 4 Data'!H10*'Round 4 Points'!N$2</f>
        <v>0</v>
      </c>
      <c r="I10" s="37">
        <f>'Round 4 Data'!I10*'Round 4 Points'!O$2</f>
        <v>5.8000000000000007</v>
      </c>
      <c r="J10" s="37">
        <f>'Round 4 Data'!J10*'Round 4 Points'!P$2</f>
        <v>0</v>
      </c>
      <c r="K10" s="37">
        <f>'Round 4 Data'!K10*'Round 4 Points'!Q$2</f>
        <v>0</v>
      </c>
      <c r="L10" s="37">
        <f>'Round 4 Data'!L10*'Round 4 Points'!R$2</f>
        <v>0</v>
      </c>
      <c r="M10" s="37">
        <f>'Round 4 Data'!M10*'Round 4 Points'!S$2</f>
        <v>0</v>
      </c>
      <c r="N10" s="37">
        <f>'Round 4 Data'!N10*'Round 4 Points'!T$2</f>
        <v>7</v>
      </c>
      <c r="O10" s="37">
        <f>'Round 4 Data'!O10*'Round 4 Points'!U$2</f>
        <v>0</v>
      </c>
      <c r="P10" s="37">
        <f>'Round 4 Data'!P10*'Round 4 Points'!V$2</f>
        <v>0</v>
      </c>
      <c r="Q10" s="37">
        <f>'Round 4 Data'!Q10*'Round 4 Points'!W$2</f>
        <v>0</v>
      </c>
      <c r="R10" s="37">
        <f>'Round 4 Data'!R10*'Round 4 Points'!X$2</f>
        <v>-5</v>
      </c>
      <c r="S10" s="37">
        <f>'Round 4 Data'!S10*'Round 4 Points'!Y$2</f>
        <v>0</v>
      </c>
      <c r="T10" s="38">
        <f>SUM(F10:S10)</f>
        <v>9.8000000000000007</v>
      </c>
      <c r="U10" s="37">
        <f>'Round 4 Data'!U10*'Round 4 Points'!$Z$2</f>
        <v>0</v>
      </c>
      <c r="V10" s="36">
        <f>IF('Round 4 Data'!D10='Round 4 Points'!$K$1,D10/80*$K$2,0)</f>
        <v>0</v>
      </c>
      <c r="W10">
        <f>SUM(T10:V10)</f>
        <v>9.8000000000000007</v>
      </c>
    </row>
    <row r="11" spans="1:26" x14ac:dyDescent="0.2">
      <c r="A11" s="36" t="s">
        <v>105</v>
      </c>
      <c r="B11" s="36" t="str" cm="1">
        <f t="array" ref="B11:C11">_xlfn.XLOOKUP(A11,'Player List'!$A$2:$A$177,'Player List'!$B$2:$C$177)</f>
        <v>Italy</v>
      </c>
      <c r="C11" s="36" t="str">
        <v>Back Three</v>
      </c>
      <c r="D11" s="37">
        <v>24</v>
      </c>
      <c r="F11" s="37">
        <f>'Round 4 Data'!F11*'Round 4 Points'!L$2</f>
        <v>0</v>
      </c>
      <c r="G11" s="37">
        <f>'Round 4 Data'!G11*'Round 4 Points'!M$2</f>
        <v>0</v>
      </c>
      <c r="H11" s="37">
        <f>'Round 4 Data'!H11*'Round 4 Points'!N$2</f>
        <v>7</v>
      </c>
      <c r="I11" s="37">
        <f>'Round 4 Data'!I11*'Round 4 Points'!O$2</f>
        <v>10</v>
      </c>
      <c r="J11" s="37">
        <f>'Round 4 Data'!J11*'Round 4 Points'!P$2</f>
        <v>0</v>
      </c>
      <c r="K11" s="37">
        <f>'Round 4 Data'!K11*'Round 4 Points'!Q$2</f>
        <v>0</v>
      </c>
      <c r="L11" s="37">
        <f>'Round 4 Data'!L11*'Round 4 Points'!R$2</f>
        <v>0</v>
      </c>
      <c r="M11" s="37">
        <f>'Round 4 Data'!M11*'Round 4 Points'!S$2</f>
        <v>0</v>
      </c>
      <c r="N11" s="37">
        <f>'Round 4 Data'!N11*'Round 4 Points'!T$2</f>
        <v>0</v>
      </c>
      <c r="O11" s="37">
        <f>'Round 4 Data'!O11*'Round 4 Points'!U$2</f>
        <v>0</v>
      </c>
      <c r="P11" s="37">
        <f>'Round 4 Data'!P11*'Round 4 Points'!V$2</f>
        <v>0</v>
      </c>
      <c r="Q11" s="37">
        <f>'Round 4 Data'!Q11*'Round 4 Points'!W$2</f>
        <v>0</v>
      </c>
      <c r="R11" s="37">
        <f>'Round 4 Data'!R11*'Round 4 Points'!X$2</f>
        <v>0</v>
      </c>
      <c r="S11" s="37">
        <f>'Round 4 Data'!S11*'Round 4 Points'!Y$2</f>
        <v>0</v>
      </c>
      <c r="T11" s="38">
        <f t="shared" ref="T11:T74" si="0">SUM(F11:S11)</f>
        <v>17</v>
      </c>
      <c r="U11" s="37">
        <f>'Round 4 Data'!U11*'Round 4 Points'!$Z$2</f>
        <v>0</v>
      </c>
      <c r="V11" s="36">
        <f>IF('Round 4 Data'!D11='Round 4 Points'!$K$1,D11/80*$K$2,0)</f>
        <v>0</v>
      </c>
      <c r="W11">
        <f t="shared" ref="W11:W74" si="1">SUM(T11:V11)</f>
        <v>17</v>
      </c>
    </row>
    <row r="12" spans="1:26" x14ac:dyDescent="0.2">
      <c r="A12" s="36" t="s">
        <v>106</v>
      </c>
      <c r="B12" s="36" t="str" cm="1">
        <f t="array" ref="B12:C12">_xlfn.XLOOKUP(A12,'Player List'!$A$2:$A$177,'Player List'!$B$2:$C$177)</f>
        <v>Italy</v>
      </c>
      <c r="C12" s="36" t="str">
        <v>Back Three</v>
      </c>
      <c r="D12" s="37">
        <v>59</v>
      </c>
      <c r="F12" s="37">
        <f>'Round 4 Data'!F12*'Round 4 Points'!L$2</f>
        <v>7</v>
      </c>
      <c r="G12" s="37">
        <f>'Round 4 Data'!G12*'Round 4 Points'!M$2</f>
        <v>7</v>
      </c>
      <c r="H12" s="37">
        <f>'Round 4 Data'!H12*'Round 4 Points'!N$2</f>
        <v>7</v>
      </c>
      <c r="I12" s="37">
        <f>'Round 4 Data'!I12*'Round 4 Points'!O$2</f>
        <v>15.8</v>
      </c>
      <c r="J12" s="37">
        <f>'Round 4 Data'!J12*'Round 4 Points'!P$2</f>
        <v>0</v>
      </c>
      <c r="K12" s="37">
        <f>'Round 4 Data'!K12*'Round 4 Points'!Q$2</f>
        <v>0</v>
      </c>
      <c r="L12" s="37">
        <f>'Round 4 Data'!L12*'Round 4 Points'!R$2</f>
        <v>0</v>
      </c>
      <c r="M12" s="37">
        <f>'Round 4 Data'!M12*'Round 4 Points'!S$2</f>
        <v>0</v>
      </c>
      <c r="N12" s="37">
        <f>'Round 4 Data'!N12*'Round 4 Points'!T$2</f>
        <v>0</v>
      </c>
      <c r="O12" s="37">
        <f>'Round 4 Data'!O12*'Round 4 Points'!U$2</f>
        <v>0</v>
      </c>
      <c r="P12" s="37">
        <f>'Round 4 Data'!P12*'Round 4 Points'!V$2</f>
        <v>0</v>
      </c>
      <c r="Q12" s="37">
        <f>'Round 4 Data'!Q12*'Round 4 Points'!W$2</f>
        <v>0</v>
      </c>
      <c r="R12" s="37">
        <f>'Round 4 Data'!R12*'Round 4 Points'!X$2</f>
        <v>0</v>
      </c>
      <c r="S12" s="37">
        <f>'Round 4 Data'!S12*'Round 4 Points'!Y$2</f>
        <v>0</v>
      </c>
      <c r="T12" s="38">
        <f t="shared" si="0"/>
        <v>36.799999999999997</v>
      </c>
      <c r="U12" s="37">
        <f>'Round 4 Data'!U12*'Round 4 Points'!$Z$2</f>
        <v>0</v>
      </c>
      <c r="V12" s="36">
        <f>IF('Round 4 Data'!D12='Round 4 Points'!$K$1,D12/80*$K$2,0)</f>
        <v>0</v>
      </c>
      <c r="W12">
        <f t="shared" si="1"/>
        <v>36.799999999999997</v>
      </c>
    </row>
    <row r="13" spans="1:26" x14ac:dyDescent="0.2">
      <c r="A13" s="36" t="s">
        <v>107</v>
      </c>
      <c r="B13" s="36" t="str" cm="1">
        <f t="array" ref="B13:C13">_xlfn.XLOOKUP(A13,'Player List'!$A$2:$A$177,'Player List'!$B$2:$C$177)</f>
        <v>Italy</v>
      </c>
      <c r="C13" s="36" t="str">
        <v>Back Three</v>
      </c>
      <c r="D13" s="37">
        <v>80</v>
      </c>
      <c r="F13" s="37">
        <f>'Round 4 Data'!F13*'Round 4 Points'!L$2</f>
        <v>1</v>
      </c>
      <c r="G13" s="37">
        <f>'Round 4 Data'!G13*'Round 4 Points'!M$2</f>
        <v>7</v>
      </c>
      <c r="H13" s="37">
        <f>'Round 4 Data'!H13*'Round 4 Points'!N$2</f>
        <v>7</v>
      </c>
      <c r="I13" s="37">
        <f>'Round 4 Data'!I13*'Round 4 Points'!O$2</f>
        <v>10.200000000000001</v>
      </c>
      <c r="J13" s="37">
        <f>'Round 4 Data'!J13*'Round 4 Points'!P$2</f>
        <v>0</v>
      </c>
      <c r="K13" s="37">
        <f>'Round 4 Data'!K13*'Round 4 Points'!Q$2</f>
        <v>0</v>
      </c>
      <c r="L13" s="37">
        <f>'Round 4 Data'!L13*'Round 4 Points'!R$2</f>
        <v>0</v>
      </c>
      <c r="M13" s="37">
        <f>'Round 4 Data'!M13*'Round 4 Points'!S$2</f>
        <v>0</v>
      </c>
      <c r="N13" s="37">
        <f>'Round 4 Data'!N13*'Round 4 Points'!T$2</f>
        <v>0</v>
      </c>
      <c r="O13" s="37">
        <f>'Round 4 Data'!O13*'Round 4 Points'!U$2</f>
        <v>0</v>
      </c>
      <c r="P13" s="37">
        <f>'Round 4 Data'!P13*'Round 4 Points'!V$2</f>
        <v>0</v>
      </c>
      <c r="Q13" s="37">
        <f>'Round 4 Data'!Q13*'Round 4 Points'!W$2</f>
        <v>0</v>
      </c>
      <c r="R13" s="37">
        <f>'Round 4 Data'!R13*'Round 4 Points'!X$2</f>
        <v>0</v>
      </c>
      <c r="S13" s="37">
        <f>'Round 4 Data'!S13*'Round 4 Points'!Y$2</f>
        <v>0</v>
      </c>
      <c r="T13" s="38">
        <f t="shared" si="0"/>
        <v>25.200000000000003</v>
      </c>
      <c r="U13" s="37">
        <f>'Round 4 Data'!U13*'Round 4 Points'!$Z$2</f>
        <v>0</v>
      </c>
      <c r="V13" s="36">
        <f>IF('Round 4 Data'!D13='Round 4 Points'!$K$1,D13/80*$K$2,0)</f>
        <v>0</v>
      </c>
      <c r="W13">
        <f t="shared" si="1"/>
        <v>25.200000000000003</v>
      </c>
    </row>
    <row r="14" spans="1:26" x14ac:dyDescent="0.2">
      <c r="A14" s="36" t="s">
        <v>108</v>
      </c>
      <c r="B14" s="36" t="str" cm="1">
        <f t="array" ref="B14:C14">_xlfn.XLOOKUP(A14,'Player List'!$A$2:$A$177,'Player List'!$B$2:$C$177)</f>
        <v>Italy</v>
      </c>
      <c r="C14" s="36" t="str">
        <v>Centre</v>
      </c>
      <c r="D14" s="37">
        <v>80</v>
      </c>
      <c r="F14" s="37">
        <f>'Round 4 Data'!F14*'Round 4 Points'!L$2</f>
        <v>2</v>
      </c>
      <c r="G14" s="37">
        <f>'Round 4 Data'!G14*'Round 4 Points'!M$2</f>
        <v>0</v>
      </c>
      <c r="H14" s="37">
        <f>'Round 4 Data'!H14*'Round 4 Points'!N$2</f>
        <v>7</v>
      </c>
      <c r="I14" s="37">
        <f>'Round 4 Data'!I14*'Round 4 Points'!O$2</f>
        <v>18</v>
      </c>
      <c r="J14" s="37">
        <f>'Round 4 Data'!J14*'Round 4 Points'!P$2</f>
        <v>0</v>
      </c>
      <c r="K14" s="37">
        <f>'Round 4 Data'!K14*'Round 4 Points'!Q$2</f>
        <v>0</v>
      </c>
      <c r="L14" s="37">
        <f>'Round 4 Data'!L14*'Round 4 Points'!R$2</f>
        <v>0</v>
      </c>
      <c r="M14" s="37">
        <f>'Round 4 Data'!M14*'Round 4 Points'!S$2</f>
        <v>15</v>
      </c>
      <c r="N14" s="37">
        <f>'Round 4 Data'!N14*'Round 4 Points'!T$2</f>
        <v>0</v>
      </c>
      <c r="O14" s="37">
        <f>'Round 4 Data'!O14*'Round 4 Points'!U$2</f>
        <v>0</v>
      </c>
      <c r="P14" s="37">
        <f>'Round 4 Data'!P14*'Round 4 Points'!V$2</f>
        <v>0</v>
      </c>
      <c r="Q14" s="37">
        <f>'Round 4 Data'!Q14*'Round 4 Points'!W$2</f>
        <v>0</v>
      </c>
      <c r="R14" s="37">
        <f>'Round 4 Data'!R14*'Round 4 Points'!X$2</f>
        <v>0</v>
      </c>
      <c r="S14" s="37">
        <f>'Round 4 Data'!S14*'Round 4 Points'!Y$2</f>
        <v>0</v>
      </c>
      <c r="T14" s="38">
        <f t="shared" si="0"/>
        <v>42</v>
      </c>
      <c r="U14" s="37">
        <f>'Round 4 Data'!U14*'Round 4 Points'!$Z$2</f>
        <v>0</v>
      </c>
      <c r="V14" s="36">
        <f>IF('Round 4 Data'!D14='Round 4 Points'!$K$1,D14/80*$K$2,0)</f>
        <v>0</v>
      </c>
      <c r="W14">
        <f t="shared" si="1"/>
        <v>42</v>
      </c>
    </row>
    <row r="15" spans="1:26" x14ac:dyDescent="0.2">
      <c r="A15" s="36" t="s">
        <v>109</v>
      </c>
      <c r="B15" s="36" t="str" cm="1">
        <f t="array" ref="B15:C15">_xlfn.XLOOKUP(A15,'Player List'!$A$2:$A$177,'Player List'!$B$2:$C$177)</f>
        <v>Italy</v>
      </c>
      <c r="C15" s="36" t="str">
        <v>Centre</v>
      </c>
      <c r="D15" s="37">
        <v>21</v>
      </c>
      <c r="F15" s="37">
        <f>'Round 4 Data'!F15*'Round 4 Points'!L$2</f>
        <v>0</v>
      </c>
      <c r="G15" s="37">
        <f>'Round 4 Data'!G15*'Round 4 Points'!M$2</f>
        <v>0</v>
      </c>
      <c r="H15" s="37">
        <f>'Round 4 Data'!H15*'Round 4 Points'!N$2</f>
        <v>0</v>
      </c>
      <c r="I15" s="37">
        <f>'Round 4 Data'!I15*'Round 4 Points'!O$2</f>
        <v>4.8000000000000007</v>
      </c>
      <c r="J15" s="37">
        <f>'Round 4 Data'!J15*'Round 4 Points'!P$2</f>
        <v>0</v>
      </c>
      <c r="K15" s="37">
        <f>'Round 4 Data'!K15*'Round 4 Points'!Q$2</f>
        <v>0</v>
      </c>
      <c r="L15" s="37">
        <f>'Round 4 Data'!L15*'Round 4 Points'!R$2</f>
        <v>0</v>
      </c>
      <c r="M15" s="37">
        <f>'Round 4 Data'!M15*'Round 4 Points'!S$2</f>
        <v>0</v>
      </c>
      <c r="N15" s="37">
        <f>'Round 4 Data'!N15*'Round 4 Points'!T$2</f>
        <v>0</v>
      </c>
      <c r="O15" s="37">
        <f>'Round 4 Data'!O15*'Round 4 Points'!U$2</f>
        <v>0</v>
      </c>
      <c r="P15" s="37">
        <f>'Round 4 Data'!P15*'Round 4 Points'!V$2</f>
        <v>0</v>
      </c>
      <c r="Q15" s="37">
        <f>'Round 4 Data'!Q15*'Round 4 Points'!W$2</f>
        <v>0</v>
      </c>
      <c r="R15" s="37">
        <f>'Round 4 Data'!R15*'Round 4 Points'!X$2</f>
        <v>0</v>
      </c>
      <c r="S15" s="37">
        <f>'Round 4 Data'!S15*'Round 4 Points'!Y$2</f>
        <v>0</v>
      </c>
      <c r="T15" s="38">
        <f t="shared" si="0"/>
        <v>4.8000000000000007</v>
      </c>
      <c r="U15" s="37">
        <f>'Round 4 Data'!U15*'Round 4 Points'!$Z$2</f>
        <v>0</v>
      </c>
      <c r="V15" s="36">
        <f>IF('Round 4 Data'!D15='Round 4 Points'!$K$1,D15/80*$K$2,0)</f>
        <v>0</v>
      </c>
      <c r="W15">
        <f t="shared" si="1"/>
        <v>4.8000000000000007</v>
      </c>
    </row>
    <row r="16" spans="1:26" x14ac:dyDescent="0.2">
      <c r="A16" s="36" t="s">
        <v>110</v>
      </c>
      <c r="B16" s="36" t="str" cm="1">
        <f t="array" ref="B16:C16">_xlfn.XLOOKUP(A16,'Player List'!$A$2:$A$177,'Player List'!$B$2:$C$177)</f>
        <v>Italy</v>
      </c>
      <c r="C16" s="36" t="str">
        <v>Fly Half</v>
      </c>
      <c r="D16" s="37">
        <v>80</v>
      </c>
      <c r="F16" s="37">
        <f>'Round 4 Data'!F16*'Round 4 Points'!L$2</f>
        <v>0</v>
      </c>
      <c r="G16" s="37">
        <f>'Round 4 Data'!G16*'Round 4 Points'!M$2</f>
        <v>0</v>
      </c>
      <c r="H16" s="37">
        <f>'Round 4 Data'!H16*'Round 4 Points'!N$2</f>
        <v>21</v>
      </c>
      <c r="I16" s="37">
        <f>'Round 4 Data'!I16*'Round 4 Points'!O$2</f>
        <v>15.600000000000001</v>
      </c>
      <c r="J16" s="37">
        <f>'Round 4 Data'!J16*'Round 4 Points'!P$2</f>
        <v>0</v>
      </c>
      <c r="K16" s="37">
        <f>'Round 4 Data'!K16*'Round 4 Points'!Q$2</f>
        <v>0</v>
      </c>
      <c r="L16" s="37">
        <f>'Round 4 Data'!L16*'Round 4 Points'!R$2</f>
        <v>0</v>
      </c>
      <c r="M16" s="37">
        <f>'Round 4 Data'!M16*'Round 4 Points'!S$2</f>
        <v>0</v>
      </c>
      <c r="N16" s="37">
        <f>'Round 4 Data'!N16*'Round 4 Points'!T$2</f>
        <v>7</v>
      </c>
      <c r="O16" s="37">
        <f>'Round 4 Data'!O16*'Round 4 Points'!U$2</f>
        <v>4</v>
      </c>
      <c r="P16" s="37">
        <f>'Round 4 Data'!P16*'Round 4 Points'!V$2</f>
        <v>5</v>
      </c>
      <c r="Q16" s="37">
        <f>'Round 4 Data'!Q16*'Round 4 Points'!W$2</f>
        <v>0</v>
      </c>
      <c r="R16" s="37">
        <f>'Round 4 Data'!R16*'Round 4 Points'!X$2</f>
        <v>0</v>
      </c>
      <c r="S16" s="37">
        <f>'Round 4 Data'!S16*'Round 4 Points'!Y$2</f>
        <v>0</v>
      </c>
      <c r="T16" s="38">
        <f t="shared" si="0"/>
        <v>52.6</v>
      </c>
      <c r="U16" s="37">
        <f>'Round 4 Data'!U16*'Round 4 Points'!$Z$2</f>
        <v>0</v>
      </c>
      <c r="V16" s="36">
        <f>IF('Round 4 Data'!D16='Round 4 Points'!$K$1,D16/80*$K$2,0)</f>
        <v>0</v>
      </c>
      <c r="W16">
        <f t="shared" si="1"/>
        <v>52.6</v>
      </c>
    </row>
    <row r="17" spans="1:23" x14ac:dyDescent="0.2">
      <c r="A17" s="36" t="s">
        <v>153</v>
      </c>
      <c r="B17" s="36" t="str" cm="1">
        <f t="array" ref="B17:C17">_xlfn.XLOOKUP(A17,'Player List'!$A$2:$A$177,'Player List'!$B$2:$C$177)</f>
        <v>Italy</v>
      </c>
      <c r="C17" s="36" t="str">
        <v>Fly Half</v>
      </c>
      <c r="D17" s="37">
        <v>80</v>
      </c>
      <c r="F17" s="37">
        <f>'Round 4 Data'!F17*'Round 4 Points'!L$2</f>
        <v>6</v>
      </c>
      <c r="G17" s="37">
        <f>'Round 4 Data'!G17*'Round 4 Points'!M$2</f>
        <v>0</v>
      </c>
      <c r="H17" s="37">
        <f>'Round 4 Data'!H17*'Round 4 Points'!N$2</f>
        <v>7</v>
      </c>
      <c r="I17" s="37">
        <f>'Round 4 Data'!I17*'Round 4 Points'!O$2</f>
        <v>7.4</v>
      </c>
      <c r="J17" s="37">
        <f>'Round 4 Data'!J17*'Round 4 Points'!P$2</f>
        <v>0</v>
      </c>
      <c r="K17" s="37">
        <f>'Round 4 Data'!K17*'Round 4 Points'!Q$2</f>
        <v>0</v>
      </c>
      <c r="L17" s="37">
        <f>'Round 4 Data'!L17*'Round 4 Points'!R$2</f>
        <v>0</v>
      </c>
      <c r="M17" s="37">
        <f>'Round 4 Data'!M17*'Round 4 Points'!S$2</f>
        <v>0</v>
      </c>
      <c r="N17" s="37">
        <f>'Round 4 Data'!N17*'Round 4 Points'!T$2</f>
        <v>0</v>
      </c>
      <c r="O17" s="37">
        <f>'Round 4 Data'!O17*'Round 4 Points'!U$2</f>
        <v>0</v>
      </c>
      <c r="P17" s="37">
        <f>'Round 4 Data'!P17*'Round 4 Points'!V$2</f>
        <v>0</v>
      </c>
      <c r="Q17" s="37">
        <f>'Round 4 Data'!Q17*'Round 4 Points'!W$2</f>
        <v>0</v>
      </c>
      <c r="R17" s="37">
        <f>'Round 4 Data'!R17*'Round 4 Points'!X$2</f>
        <v>0</v>
      </c>
      <c r="S17" s="37">
        <f>'Round 4 Data'!S17*'Round 4 Points'!Y$2</f>
        <v>0</v>
      </c>
      <c r="T17" s="38">
        <f t="shared" si="0"/>
        <v>20.399999999999999</v>
      </c>
      <c r="U17" s="37">
        <f>'Round 4 Data'!U17*'Round 4 Points'!$Z$2</f>
        <v>0</v>
      </c>
      <c r="V17" s="36">
        <f>IF('Round 4 Data'!D17='Round 4 Points'!$K$1,D17/80*$K$2,0)</f>
        <v>0</v>
      </c>
      <c r="W17">
        <f t="shared" si="1"/>
        <v>20.399999999999999</v>
      </c>
    </row>
    <row r="18" spans="1:23" x14ac:dyDescent="0.2">
      <c r="A18" s="36" t="s">
        <v>111</v>
      </c>
      <c r="B18" s="36" t="str" cm="1">
        <f t="array" ref="B18:C18">_xlfn.XLOOKUP(A18,'Player List'!$A$2:$A$177,'Player List'!$B$2:$C$177)</f>
        <v>Italy</v>
      </c>
      <c r="C18" s="36" t="str">
        <v>Scrum Half</v>
      </c>
      <c r="D18" s="37">
        <v>56</v>
      </c>
      <c r="F18" s="37">
        <f>'Round 4 Data'!F18*'Round 4 Points'!L$2</f>
        <v>3</v>
      </c>
      <c r="G18" s="37">
        <f>'Round 4 Data'!G18*'Round 4 Points'!M$2</f>
        <v>0</v>
      </c>
      <c r="H18" s="37">
        <f>'Round 4 Data'!H18*'Round 4 Points'!N$2</f>
        <v>0</v>
      </c>
      <c r="I18" s="37">
        <f>'Round 4 Data'!I18*'Round 4 Points'!O$2</f>
        <v>7.6000000000000005</v>
      </c>
      <c r="J18" s="37">
        <f>'Round 4 Data'!J18*'Round 4 Points'!P$2</f>
        <v>0</v>
      </c>
      <c r="K18" s="37">
        <f>'Round 4 Data'!K18*'Round 4 Points'!Q$2</f>
        <v>0</v>
      </c>
      <c r="L18" s="37">
        <f>'Round 4 Data'!L18*'Round 4 Points'!R$2</f>
        <v>0</v>
      </c>
      <c r="M18" s="37">
        <f>'Round 4 Data'!M18*'Round 4 Points'!S$2</f>
        <v>0</v>
      </c>
      <c r="N18" s="37">
        <f>'Round 4 Data'!N18*'Round 4 Points'!T$2</f>
        <v>0</v>
      </c>
      <c r="O18" s="37">
        <f>'Round 4 Data'!O18*'Round 4 Points'!U$2</f>
        <v>0</v>
      </c>
      <c r="P18" s="37">
        <f>'Round 4 Data'!P18*'Round 4 Points'!V$2</f>
        <v>0</v>
      </c>
      <c r="Q18" s="37">
        <f>'Round 4 Data'!Q18*'Round 4 Points'!W$2</f>
        <v>0</v>
      </c>
      <c r="R18" s="37">
        <f>'Round 4 Data'!R18*'Round 4 Points'!X$2</f>
        <v>0</v>
      </c>
      <c r="S18" s="37">
        <f>'Round 4 Data'!S18*'Round 4 Points'!Y$2</f>
        <v>0</v>
      </c>
      <c r="T18" s="38">
        <f t="shared" si="0"/>
        <v>10.600000000000001</v>
      </c>
      <c r="U18" s="37">
        <f>'Round 4 Data'!U18*'Round 4 Points'!$Z$2</f>
        <v>0</v>
      </c>
      <c r="V18" s="36">
        <f>IF('Round 4 Data'!D18='Round 4 Points'!$K$1,D18/80*$K$2,0)</f>
        <v>0</v>
      </c>
      <c r="W18">
        <f t="shared" si="1"/>
        <v>10.600000000000001</v>
      </c>
    </row>
    <row r="19" spans="1:23" x14ac:dyDescent="0.2">
      <c r="A19" s="36" t="s">
        <v>112</v>
      </c>
      <c r="B19" s="36" t="str" cm="1">
        <f t="array" ref="B19:C19">_xlfn.XLOOKUP(A19,'Player List'!$A$2:$A$177,'Player List'!$B$2:$C$177)</f>
        <v>Italy</v>
      </c>
      <c r="C19" s="36" t="str">
        <v>Back Row</v>
      </c>
      <c r="D19" s="37">
        <v>20</v>
      </c>
      <c r="F19" s="37">
        <f>'Round 4 Data'!F19*'Round 4 Points'!L$2</f>
        <v>1</v>
      </c>
      <c r="G19" s="37">
        <f>'Round 4 Data'!G19*'Round 4 Points'!M$2</f>
        <v>0</v>
      </c>
      <c r="H19" s="37">
        <f>'Round 4 Data'!H19*'Round 4 Points'!N$2</f>
        <v>7</v>
      </c>
      <c r="I19" s="37">
        <f>'Round 4 Data'!I19*'Round 4 Points'!O$2</f>
        <v>5.6000000000000005</v>
      </c>
      <c r="J19" s="37">
        <f>'Round 4 Data'!J19*'Round 4 Points'!P$2</f>
        <v>0</v>
      </c>
      <c r="K19" s="37">
        <f>'Round 4 Data'!K19*'Round 4 Points'!Q$2</f>
        <v>0</v>
      </c>
      <c r="L19" s="37">
        <f>'Round 4 Data'!L19*'Round 4 Points'!R$2</f>
        <v>7</v>
      </c>
      <c r="M19" s="37">
        <f>'Round 4 Data'!M19*'Round 4 Points'!S$2</f>
        <v>0</v>
      </c>
      <c r="N19" s="37">
        <f>'Round 4 Data'!N19*'Round 4 Points'!T$2</f>
        <v>0</v>
      </c>
      <c r="O19" s="37">
        <f>'Round 4 Data'!O19*'Round 4 Points'!U$2</f>
        <v>0</v>
      </c>
      <c r="P19" s="37">
        <f>'Round 4 Data'!P19*'Round 4 Points'!V$2</f>
        <v>0</v>
      </c>
      <c r="Q19" s="37">
        <f>'Round 4 Data'!Q19*'Round 4 Points'!W$2</f>
        <v>0</v>
      </c>
      <c r="R19" s="37">
        <f>'Round 4 Data'!R19*'Round 4 Points'!X$2</f>
        <v>0</v>
      </c>
      <c r="S19" s="37">
        <f>'Round 4 Data'!S19*'Round 4 Points'!Y$2</f>
        <v>0</v>
      </c>
      <c r="T19" s="38">
        <f t="shared" si="0"/>
        <v>20.6</v>
      </c>
      <c r="U19" s="37">
        <f>'Round 4 Data'!U19*'Round 4 Points'!$Z$2</f>
        <v>0</v>
      </c>
      <c r="V19" s="36">
        <f>IF('Round 4 Data'!D19='Round 4 Points'!$K$1,D19/80*$K$2,0)</f>
        <v>0</v>
      </c>
      <c r="W19">
        <f t="shared" si="1"/>
        <v>20.6</v>
      </c>
    </row>
    <row r="20" spans="1:23" x14ac:dyDescent="0.2">
      <c r="A20" s="36" t="s">
        <v>113</v>
      </c>
      <c r="B20" s="36" t="str" cm="1">
        <f t="array" ref="B20:C20">_xlfn.XLOOKUP(A20,'Player List'!$A$2:$A$177,'Player List'!$B$2:$C$177)</f>
        <v>Italy</v>
      </c>
      <c r="C20" s="36" t="str">
        <v>Back Row</v>
      </c>
      <c r="D20" s="37">
        <v>77</v>
      </c>
      <c r="F20" s="37">
        <f>'Round 4 Data'!F20*'Round 4 Points'!L$2</f>
        <v>7</v>
      </c>
      <c r="G20" s="37">
        <f>'Round 4 Data'!G20*'Round 4 Points'!M$2</f>
        <v>0</v>
      </c>
      <c r="H20" s="37">
        <f>'Round 4 Data'!H20*'Round 4 Points'!N$2</f>
        <v>0</v>
      </c>
      <c r="I20" s="37">
        <f>'Round 4 Data'!I20*'Round 4 Points'!O$2</f>
        <v>4.8000000000000007</v>
      </c>
      <c r="J20" s="37">
        <f>'Round 4 Data'!J20*'Round 4 Points'!P$2</f>
        <v>0</v>
      </c>
      <c r="K20" s="37">
        <f>'Round 4 Data'!K20*'Round 4 Points'!Q$2</f>
        <v>0</v>
      </c>
      <c r="L20" s="37">
        <f>'Round 4 Data'!L20*'Round 4 Points'!R$2</f>
        <v>0</v>
      </c>
      <c r="M20" s="37">
        <f>'Round 4 Data'!M20*'Round 4 Points'!S$2</f>
        <v>0</v>
      </c>
      <c r="N20" s="37">
        <f>'Round 4 Data'!N20*'Round 4 Points'!T$2</f>
        <v>0</v>
      </c>
      <c r="O20" s="37">
        <f>'Round 4 Data'!O20*'Round 4 Points'!U$2</f>
        <v>0</v>
      </c>
      <c r="P20" s="37">
        <f>'Round 4 Data'!P20*'Round 4 Points'!V$2</f>
        <v>0</v>
      </c>
      <c r="Q20" s="37">
        <f>'Round 4 Data'!Q20*'Round 4 Points'!W$2</f>
        <v>0</v>
      </c>
      <c r="R20" s="37">
        <f>'Round 4 Data'!R20*'Round 4 Points'!X$2</f>
        <v>0</v>
      </c>
      <c r="S20" s="37">
        <f>'Round 4 Data'!S20*'Round 4 Points'!Y$2</f>
        <v>0</v>
      </c>
      <c r="T20" s="38">
        <f t="shared" si="0"/>
        <v>11.8</v>
      </c>
      <c r="U20" s="37">
        <f>'Round 4 Data'!U20*'Round 4 Points'!$Z$2</f>
        <v>0</v>
      </c>
      <c r="V20" s="36">
        <f>IF('Round 4 Data'!D20='Round 4 Points'!$K$1,D20/80*$K$2,0)</f>
        <v>0</v>
      </c>
      <c r="W20">
        <f t="shared" si="1"/>
        <v>11.8</v>
      </c>
    </row>
    <row r="21" spans="1:23" x14ac:dyDescent="0.2">
      <c r="A21" s="36" t="s">
        <v>114</v>
      </c>
      <c r="B21" s="36" t="str" cm="1">
        <f t="array" ref="B21:C21">_xlfn.XLOOKUP(A21,'Player List'!$A$2:$A$177,'Player List'!$B$2:$C$177)</f>
        <v>Italy</v>
      </c>
      <c r="C21" s="36" t="str">
        <v>Back Row</v>
      </c>
      <c r="D21" s="37">
        <v>52</v>
      </c>
      <c r="F21" s="37">
        <f>'Round 4 Data'!F21*'Round 4 Points'!L$2</f>
        <v>5</v>
      </c>
      <c r="G21" s="37">
        <f>'Round 4 Data'!G21*'Round 4 Points'!M$2</f>
        <v>0</v>
      </c>
      <c r="H21" s="37">
        <f>'Round 4 Data'!H21*'Round 4 Points'!N$2</f>
        <v>7</v>
      </c>
      <c r="I21" s="37">
        <f>'Round 4 Data'!I21*'Round 4 Points'!O$2</f>
        <v>10</v>
      </c>
      <c r="J21" s="37">
        <f>'Round 4 Data'!J21*'Round 4 Points'!P$2</f>
        <v>0</v>
      </c>
      <c r="K21" s="37">
        <f>'Round 4 Data'!K21*'Round 4 Points'!Q$2</f>
        <v>0</v>
      </c>
      <c r="L21" s="37">
        <f>'Round 4 Data'!L21*'Round 4 Points'!R$2</f>
        <v>0</v>
      </c>
      <c r="M21" s="37">
        <f>'Round 4 Data'!M21*'Round 4 Points'!S$2</f>
        <v>15</v>
      </c>
      <c r="N21" s="37">
        <f>'Round 4 Data'!N21*'Round 4 Points'!T$2</f>
        <v>0</v>
      </c>
      <c r="O21" s="37">
        <f>'Round 4 Data'!O21*'Round 4 Points'!U$2</f>
        <v>0</v>
      </c>
      <c r="P21" s="37">
        <f>'Round 4 Data'!P21*'Round 4 Points'!V$2</f>
        <v>0</v>
      </c>
      <c r="Q21" s="37">
        <f>'Round 4 Data'!Q21*'Round 4 Points'!W$2</f>
        <v>0</v>
      </c>
      <c r="R21" s="37">
        <f>'Round 4 Data'!R21*'Round 4 Points'!X$2</f>
        <v>0</v>
      </c>
      <c r="S21" s="37">
        <f>'Round 4 Data'!S21*'Round 4 Points'!Y$2</f>
        <v>0</v>
      </c>
      <c r="T21" s="38">
        <f t="shared" si="0"/>
        <v>37</v>
      </c>
      <c r="U21" s="37">
        <f>'Round 4 Data'!U21*'Round 4 Points'!$Z$2</f>
        <v>0</v>
      </c>
      <c r="V21" s="36">
        <f>IF('Round 4 Data'!D21='Round 4 Points'!$K$1,D21/80*$K$2,0)</f>
        <v>0</v>
      </c>
      <c r="W21">
        <f t="shared" si="1"/>
        <v>37</v>
      </c>
    </row>
    <row r="22" spans="1:23" x14ac:dyDescent="0.2">
      <c r="A22" s="36" t="s">
        <v>154</v>
      </c>
      <c r="B22" s="36" t="str" cm="1">
        <f t="array" ref="B22:C22">_xlfn.XLOOKUP(A22,'Player List'!$A$2:$A$177,'Player List'!$B$2:$C$177)</f>
        <v>Italy</v>
      </c>
      <c r="C22" s="36" t="str">
        <v>Back Row</v>
      </c>
      <c r="D22" s="37">
        <v>3</v>
      </c>
      <c r="F22" s="37">
        <f>'Round 4 Data'!F22*'Round 4 Points'!L$2</f>
        <v>0</v>
      </c>
      <c r="G22" s="37">
        <f>'Round 4 Data'!G22*'Round 4 Points'!M$2</f>
        <v>0</v>
      </c>
      <c r="H22" s="37">
        <f>'Round 4 Data'!H22*'Round 4 Points'!N$2</f>
        <v>0</v>
      </c>
      <c r="I22" s="37">
        <f>'Round 4 Data'!I22*'Round 4 Points'!O$2</f>
        <v>0</v>
      </c>
      <c r="J22" s="37">
        <f>'Round 4 Data'!J22*'Round 4 Points'!P$2</f>
        <v>0</v>
      </c>
      <c r="K22" s="37">
        <f>'Round 4 Data'!K22*'Round 4 Points'!Q$2</f>
        <v>0</v>
      </c>
      <c r="L22" s="37">
        <f>'Round 4 Data'!L22*'Round 4 Points'!R$2</f>
        <v>0</v>
      </c>
      <c r="M22" s="37">
        <f>'Round 4 Data'!M22*'Round 4 Points'!S$2</f>
        <v>0</v>
      </c>
      <c r="N22" s="37">
        <f>'Round 4 Data'!N22*'Round 4 Points'!T$2</f>
        <v>0</v>
      </c>
      <c r="O22" s="37">
        <f>'Round 4 Data'!O22*'Round 4 Points'!U$2</f>
        <v>0</v>
      </c>
      <c r="P22" s="37">
        <f>'Round 4 Data'!P22*'Round 4 Points'!V$2</f>
        <v>0</v>
      </c>
      <c r="Q22" s="37">
        <f>'Round 4 Data'!Q22*'Round 4 Points'!W$2</f>
        <v>0</v>
      </c>
      <c r="R22" s="37">
        <f>'Round 4 Data'!R22*'Round 4 Points'!X$2</f>
        <v>0</v>
      </c>
      <c r="S22" s="37">
        <f>'Round 4 Data'!S22*'Round 4 Points'!Y$2</f>
        <v>0</v>
      </c>
      <c r="T22" s="38">
        <f t="shared" si="0"/>
        <v>0</v>
      </c>
      <c r="U22" s="37">
        <f>'Round 4 Data'!U22*'Round 4 Points'!$Z$2</f>
        <v>0</v>
      </c>
      <c r="V22" s="36">
        <f>IF('Round 4 Data'!D22='Round 4 Points'!$K$1,D22/80*$K$2,0)</f>
        <v>0</v>
      </c>
      <c r="W22">
        <f t="shared" si="1"/>
        <v>0</v>
      </c>
    </row>
    <row r="23" spans="1:23" x14ac:dyDescent="0.2">
      <c r="A23" s="36" t="s">
        <v>117</v>
      </c>
      <c r="B23" s="36" t="str" cm="1">
        <f t="array" ref="B23:C23">_xlfn.XLOOKUP(A23,'Player List'!$A$2:$A$177,'Player List'!$B$2:$C$177)</f>
        <v>Italy</v>
      </c>
      <c r="C23" s="36" t="str">
        <v>Second Row</v>
      </c>
      <c r="D23" s="37">
        <v>60</v>
      </c>
      <c r="F23" s="37">
        <f>'Round 4 Data'!F23*'Round 4 Points'!L$2</f>
        <v>3</v>
      </c>
      <c r="G23" s="37">
        <f>'Round 4 Data'!G23*'Round 4 Points'!M$2</f>
        <v>0</v>
      </c>
      <c r="H23" s="37">
        <f>'Round 4 Data'!H23*'Round 4 Points'!N$2</f>
        <v>0</v>
      </c>
      <c r="I23" s="37">
        <f>'Round 4 Data'!I23*'Round 4 Points'!O$2</f>
        <v>3.2</v>
      </c>
      <c r="J23" s="37">
        <f>'Round 4 Data'!J23*'Round 4 Points'!P$2</f>
        <v>0</v>
      </c>
      <c r="K23" s="37">
        <f>'Round 4 Data'!K23*'Round 4 Points'!Q$2</f>
        <v>0</v>
      </c>
      <c r="L23" s="37">
        <f>'Round 4 Data'!L23*'Round 4 Points'!R$2</f>
        <v>0</v>
      </c>
      <c r="M23" s="37">
        <f>'Round 4 Data'!M23*'Round 4 Points'!S$2</f>
        <v>0</v>
      </c>
      <c r="N23" s="37">
        <f>'Round 4 Data'!N23*'Round 4 Points'!T$2</f>
        <v>0</v>
      </c>
      <c r="O23" s="37">
        <f>'Round 4 Data'!O23*'Round 4 Points'!U$2</f>
        <v>0</v>
      </c>
      <c r="P23" s="37">
        <f>'Round 4 Data'!P23*'Round 4 Points'!V$2</f>
        <v>0</v>
      </c>
      <c r="Q23" s="37">
        <f>'Round 4 Data'!Q23*'Round 4 Points'!W$2</f>
        <v>0</v>
      </c>
      <c r="R23" s="37">
        <f>'Round 4 Data'!R23*'Round 4 Points'!X$2</f>
        <v>0</v>
      </c>
      <c r="S23" s="37">
        <f>'Round 4 Data'!S23*'Round 4 Points'!Y$2</f>
        <v>0</v>
      </c>
      <c r="T23" s="38">
        <f t="shared" si="0"/>
        <v>6.2</v>
      </c>
      <c r="U23" s="37">
        <f>'Round 4 Data'!U23*'Round 4 Points'!$Z$2</f>
        <v>0</v>
      </c>
      <c r="V23" s="36">
        <f>IF('Round 4 Data'!D23='Round 4 Points'!$K$1,D23/80*$K$2,0)</f>
        <v>0</v>
      </c>
      <c r="W23">
        <f t="shared" si="1"/>
        <v>6.2</v>
      </c>
    </row>
    <row r="24" spans="1:23" x14ac:dyDescent="0.2">
      <c r="A24" s="36" t="s">
        <v>116</v>
      </c>
      <c r="B24" s="36" t="str" cm="1">
        <f t="array" ref="B24:C24">_xlfn.XLOOKUP(A24,'Player List'!$A$2:$A$177,'Player List'!$B$2:$C$177)</f>
        <v>Italy</v>
      </c>
      <c r="C24" s="36" t="str">
        <v>Second Row</v>
      </c>
      <c r="D24" s="37">
        <v>71</v>
      </c>
      <c r="F24" s="37">
        <f>'Round 4 Data'!F24*'Round 4 Points'!L$2</f>
        <v>7</v>
      </c>
      <c r="G24" s="37">
        <f>'Round 4 Data'!G24*'Round 4 Points'!M$2</f>
        <v>7</v>
      </c>
      <c r="H24" s="37">
        <f>'Round 4 Data'!H24*'Round 4 Points'!N$2</f>
        <v>0</v>
      </c>
      <c r="I24" s="37">
        <f>'Round 4 Data'!I24*'Round 4 Points'!O$2</f>
        <v>10.200000000000001</v>
      </c>
      <c r="J24" s="37">
        <f>'Round 4 Data'!J24*'Round 4 Points'!P$2</f>
        <v>0</v>
      </c>
      <c r="K24" s="37">
        <f>'Round 4 Data'!K24*'Round 4 Points'!Q$2</f>
        <v>0</v>
      </c>
      <c r="L24" s="37">
        <f>'Round 4 Data'!L24*'Round 4 Points'!R$2</f>
        <v>0</v>
      </c>
      <c r="M24" s="37">
        <f>'Round 4 Data'!M24*'Round 4 Points'!S$2</f>
        <v>0</v>
      </c>
      <c r="N24" s="37">
        <f>'Round 4 Data'!N24*'Round 4 Points'!T$2</f>
        <v>0</v>
      </c>
      <c r="O24" s="37">
        <f>'Round 4 Data'!O24*'Round 4 Points'!U$2</f>
        <v>0</v>
      </c>
      <c r="P24" s="37">
        <f>'Round 4 Data'!P24*'Round 4 Points'!V$2</f>
        <v>0</v>
      </c>
      <c r="Q24" s="37">
        <f>'Round 4 Data'!Q24*'Round 4 Points'!W$2</f>
        <v>0</v>
      </c>
      <c r="R24" s="37">
        <f>'Round 4 Data'!R24*'Round 4 Points'!X$2</f>
        <v>-5</v>
      </c>
      <c r="S24" s="37">
        <f>'Round 4 Data'!S24*'Round 4 Points'!Y$2</f>
        <v>0</v>
      </c>
      <c r="T24" s="38">
        <f t="shared" si="0"/>
        <v>19.200000000000003</v>
      </c>
      <c r="U24" s="37">
        <f>'Round 4 Data'!U24*'Round 4 Points'!$Z$2</f>
        <v>0</v>
      </c>
      <c r="V24" s="36">
        <f>IF('Round 4 Data'!D24='Round 4 Points'!$K$1,D24/80*$K$2,0)</f>
        <v>0</v>
      </c>
      <c r="W24">
        <f t="shared" si="1"/>
        <v>19.200000000000003</v>
      </c>
    </row>
    <row r="25" spans="1:23" x14ac:dyDescent="0.2">
      <c r="A25" s="36" t="s">
        <v>118</v>
      </c>
      <c r="B25" s="36" t="str" cm="1">
        <f t="array" ref="B25:C25">_xlfn.XLOOKUP(A25,'Player List'!$A$2:$A$177,'Player List'!$B$2:$C$177)</f>
        <v>Italy</v>
      </c>
      <c r="C25" s="36" t="str">
        <v>Second Row</v>
      </c>
      <c r="D25" s="37">
        <v>80</v>
      </c>
      <c r="F25" s="37">
        <f>'Round 4 Data'!F25*'Round 4 Points'!L$2</f>
        <v>3</v>
      </c>
      <c r="G25" s="37">
        <f>'Round 4 Data'!G25*'Round 4 Points'!M$2</f>
        <v>0</v>
      </c>
      <c r="H25" s="37">
        <f>'Round 4 Data'!H25*'Round 4 Points'!N$2</f>
        <v>0</v>
      </c>
      <c r="I25" s="37">
        <f>'Round 4 Data'!I25*'Round 4 Points'!O$2</f>
        <v>7</v>
      </c>
      <c r="J25" s="37">
        <f>'Round 4 Data'!J25*'Round 4 Points'!P$2</f>
        <v>0</v>
      </c>
      <c r="K25" s="37">
        <f>'Round 4 Data'!K25*'Round 4 Points'!Q$2</f>
        <v>0</v>
      </c>
      <c r="L25" s="37">
        <f>'Round 4 Data'!L25*'Round 4 Points'!R$2</f>
        <v>0</v>
      </c>
      <c r="M25" s="37">
        <f>'Round 4 Data'!M25*'Round 4 Points'!S$2</f>
        <v>0</v>
      </c>
      <c r="N25" s="37">
        <f>'Round 4 Data'!N25*'Round 4 Points'!T$2</f>
        <v>0</v>
      </c>
      <c r="O25" s="37">
        <f>'Round 4 Data'!O25*'Round 4 Points'!U$2</f>
        <v>0</v>
      </c>
      <c r="P25" s="37">
        <f>'Round 4 Data'!P25*'Round 4 Points'!V$2</f>
        <v>0</v>
      </c>
      <c r="Q25" s="37">
        <f>'Round 4 Data'!Q25*'Round 4 Points'!W$2</f>
        <v>0</v>
      </c>
      <c r="R25" s="37">
        <f>'Round 4 Data'!R25*'Round 4 Points'!X$2</f>
        <v>0</v>
      </c>
      <c r="S25" s="37">
        <f>'Round 4 Data'!S25*'Round 4 Points'!Y$2</f>
        <v>0</v>
      </c>
      <c r="T25" s="38">
        <f t="shared" si="0"/>
        <v>10</v>
      </c>
      <c r="U25" s="37">
        <f>'Round 4 Data'!U25*'Round 4 Points'!$Z$2</f>
        <v>0</v>
      </c>
      <c r="V25" s="36">
        <f>IF('Round 4 Data'!D25='Round 4 Points'!$K$1,D25/80*$K$2,0)</f>
        <v>0</v>
      </c>
      <c r="W25">
        <f t="shared" si="1"/>
        <v>10</v>
      </c>
    </row>
    <row r="26" spans="1:23" x14ac:dyDescent="0.2">
      <c r="A26" s="36" t="s">
        <v>119</v>
      </c>
      <c r="B26" s="36" t="str" cm="1">
        <f t="array" ref="B26:C26">_xlfn.XLOOKUP(A26,'Player List'!$A$2:$A$177,'Player List'!$B$2:$C$177)</f>
        <v>Italy</v>
      </c>
      <c r="C26" s="36" t="str">
        <v>Second Row</v>
      </c>
      <c r="D26" s="37">
        <v>28</v>
      </c>
      <c r="F26" s="37">
        <f>'Round 4 Data'!F26*'Round 4 Points'!L$2</f>
        <v>1</v>
      </c>
      <c r="G26" s="37">
        <f>'Round 4 Data'!G26*'Round 4 Points'!M$2</f>
        <v>0</v>
      </c>
      <c r="H26" s="37">
        <f>'Round 4 Data'!H26*'Round 4 Points'!N$2</f>
        <v>7</v>
      </c>
      <c r="I26" s="37">
        <f>'Round 4 Data'!I26*'Round 4 Points'!O$2</f>
        <v>7.2</v>
      </c>
      <c r="J26" s="37">
        <f>'Round 4 Data'!J26*'Round 4 Points'!P$2</f>
        <v>0</v>
      </c>
      <c r="K26" s="37">
        <f>'Round 4 Data'!K26*'Round 4 Points'!Q$2</f>
        <v>0</v>
      </c>
      <c r="L26" s="37">
        <f>'Round 4 Data'!L26*'Round 4 Points'!R$2</f>
        <v>7</v>
      </c>
      <c r="M26" s="37">
        <f>'Round 4 Data'!M26*'Round 4 Points'!S$2</f>
        <v>0</v>
      </c>
      <c r="N26" s="37">
        <f>'Round 4 Data'!N26*'Round 4 Points'!T$2</f>
        <v>0</v>
      </c>
      <c r="O26" s="37">
        <f>'Round 4 Data'!O26*'Round 4 Points'!U$2</f>
        <v>0</v>
      </c>
      <c r="P26" s="37">
        <f>'Round 4 Data'!P26*'Round 4 Points'!V$2</f>
        <v>0</v>
      </c>
      <c r="Q26" s="37">
        <f>'Round 4 Data'!Q26*'Round 4 Points'!W$2</f>
        <v>0</v>
      </c>
      <c r="R26" s="37">
        <f>'Round 4 Data'!R26*'Round 4 Points'!X$2</f>
        <v>0</v>
      </c>
      <c r="S26" s="37">
        <f>'Round 4 Data'!S26*'Round 4 Points'!Y$2</f>
        <v>0</v>
      </c>
      <c r="T26" s="38">
        <f t="shared" si="0"/>
        <v>22.2</v>
      </c>
      <c r="U26" s="37">
        <f>'Round 4 Data'!U26*'Round 4 Points'!$Z$2</f>
        <v>0</v>
      </c>
      <c r="V26" s="36">
        <f>IF('Round 4 Data'!D26='Round 4 Points'!$K$1,D26/80*$K$2,0)</f>
        <v>0</v>
      </c>
      <c r="W26">
        <f t="shared" si="1"/>
        <v>22.2</v>
      </c>
    </row>
    <row r="27" spans="1:23" x14ac:dyDescent="0.2">
      <c r="A27" s="36" t="s">
        <v>120</v>
      </c>
      <c r="B27" s="36" t="str" cm="1">
        <f t="array" ref="B27:C27">_xlfn.XLOOKUP(A27,'Player List'!$A$2:$A$177,'Player List'!$B$2:$C$177)</f>
        <v>Italy</v>
      </c>
      <c r="C27" s="36" t="str">
        <v>Prop</v>
      </c>
      <c r="D27" s="37">
        <v>42</v>
      </c>
      <c r="F27" s="37">
        <f>'Round 4 Data'!F27*'Round 4 Points'!L$2</f>
        <v>4</v>
      </c>
      <c r="G27" s="37">
        <f>'Round 4 Data'!G27*'Round 4 Points'!M$2</f>
        <v>7</v>
      </c>
      <c r="H27" s="37">
        <f>'Round 4 Data'!H27*'Round 4 Points'!N$2</f>
        <v>0</v>
      </c>
      <c r="I27" s="37">
        <f>'Round 4 Data'!I27*'Round 4 Points'!O$2</f>
        <v>0</v>
      </c>
      <c r="J27" s="37">
        <f>'Round 4 Data'!J27*'Round 4 Points'!P$2</f>
        <v>0</v>
      </c>
      <c r="K27" s="37">
        <f>'Round 4 Data'!K27*'Round 4 Points'!Q$2</f>
        <v>0</v>
      </c>
      <c r="L27" s="37">
        <f>'Round 4 Data'!L27*'Round 4 Points'!R$2</f>
        <v>0</v>
      </c>
      <c r="M27" s="37">
        <f>'Round 4 Data'!M27*'Round 4 Points'!S$2</f>
        <v>0</v>
      </c>
      <c r="N27" s="37">
        <f>'Round 4 Data'!N27*'Round 4 Points'!T$2</f>
        <v>0</v>
      </c>
      <c r="O27" s="37">
        <f>'Round 4 Data'!O27*'Round 4 Points'!U$2</f>
        <v>0</v>
      </c>
      <c r="P27" s="37">
        <f>'Round 4 Data'!P27*'Round 4 Points'!V$2</f>
        <v>0</v>
      </c>
      <c r="Q27" s="37">
        <f>'Round 4 Data'!Q27*'Round 4 Points'!W$2</f>
        <v>0</v>
      </c>
      <c r="R27" s="37">
        <f>'Round 4 Data'!R27*'Round 4 Points'!X$2</f>
        <v>0</v>
      </c>
      <c r="S27" s="37">
        <f>'Round 4 Data'!S27*'Round 4 Points'!Y$2</f>
        <v>0</v>
      </c>
      <c r="T27" s="38">
        <f t="shared" si="0"/>
        <v>11</v>
      </c>
      <c r="U27" s="37">
        <f>'Round 4 Data'!U27*'Round 4 Points'!$Z$2</f>
        <v>0</v>
      </c>
      <c r="V27" s="36">
        <f>IF('Round 4 Data'!D27='Round 4 Points'!$K$1,D27/80*$K$2,0)</f>
        <v>0</v>
      </c>
      <c r="W27">
        <f t="shared" si="1"/>
        <v>11</v>
      </c>
    </row>
    <row r="28" spans="1:23" x14ac:dyDescent="0.2">
      <c r="A28" s="36" t="s">
        <v>121</v>
      </c>
      <c r="B28" s="36" t="str" cm="1">
        <f t="array" ref="B28:C28">_xlfn.XLOOKUP(A28,'Player List'!$A$2:$A$177,'Player List'!$B$2:$C$177)</f>
        <v>Italy</v>
      </c>
      <c r="C28" s="36" t="str">
        <v>Prop</v>
      </c>
      <c r="D28" s="37">
        <v>62</v>
      </c>
      <c r="F28" s="37">
        <f>'Round 4 Data'!F28*'Round 4 Points'!L$2</f>
        <v>5</v>
      </c>
      <c r="G28" s="37">
        <f>'Round 4 Data'!G28*'Round 4 Points'!M$2</f>
        <v>0</v>
      </c>
      <c r="H28" s="37">
        <f>'Round 4 Data'!H28*'Round 4 Points'!N$2</f>
        <v>0</v>
      </c>
      <c r="I28" s="37">
        <f>'Round 4 Data'!I28*'Round 4 Points'!O$2</f>
        <v>7.8000000000000007</v>
      </c>
      <c r="J28" s="37">
        <f>'Round 4 Data'!J28*'Round 4 Points'!P$2</f>
        <v>0</v>
      </c>
      <c r="K28" s="37">
        <f>'Round 4 Data'!K28*'Round 4 Points'!Q$2</f>
        <v>0</v>
      </c>
      <c r="L28" s="37">
        <f>'Round 4 Data'!L28*'Round 4 Points'!R$2</f>
        <v>0</v>
      </c>
      <c r="M28" s="37">
        <f>'Round 4 Data'!M28*'Round 4 Points'!S$2</f>
        <v>0</v>
      </c>
      <c r="N28" s="37">
        <f>'Round 4 Data'!N28*'Round 4 Points'!T$2</f>
        <v>0</v>
      </c>
      <c r="O28" s="37">
        <f>'Round 4 Data'!O28*'Round 4 Points'!U$2</f>
        <v>0</v>
      </c>
      <c r="P28" s="37">
        <f>'Round 4 Data'!P28*'Round 4 Points'!V$2</f>
        <v>0</v>
      </c>
      <c r="Q28" s="37">
        <f>'Round 4 Data'!Q28*'Round 4 Points'!W$2</f>
        <v>0</v>
      </c>
      <c r="R28" s="37">
        <f>'Round 4 Data'!R28*'Round 4 Points'!X$2</f>
        <v>0</v>
      </c>
      <c r="S28" s="37">
        <f>'Round 4 Data'!S28*'Round 4 Points'!Y$2</f>
        <v>0</v>
      </c>
      <c r="T28" s="38">
        <f t="shared" si="0"/>
        <v>12.8</v>
      </c>
      <c r="U28" s="37">
        <f>'Round 4 Data'!U28*'Round 4 Points'!$Z$2</f>
        <v>0</v>
      </c>
      <c r="V28" s="36">
        <f>IF('Round 4 Data'!D28='Round 4 Points'!$K$1,D28/80*$K$2,0)</f>
        <v>0</v>
      </c>
      <c r="W28">
        <f t="shared" si="1"/>
        <v>12.8</v>
      </c>
    </row>
    <row r="29" spans="1:23" x14ac:dyDescent="0.2">
      <c r="A29" s="36" t="s">
        <v>122</v>
      </c>
      <c r="B29" s="36" t="str" cm="1">
        <f t="array" ref="B29:C29">_xlfn.XLOOKUP(A29,'Player List'!$A$2:$A$177,'Player List'!$B$2:$C$177)</f>
        <v>Italy</v>
      </c>
      <c r="C29" s="36" t="str">
        <v>Prop</v>
      </c>
      <c r="D29" s="37">
        <v>38</v>
      </c>
      <c r="F29" s="37">
        <f>'Round 4 Data'!F29*'Round 4 Points'!L$2</f>
        <v>2</v>
      </c>
      <c r="G29" s="37">
        <f>'Round 4 Data'!G29*'Round 4 Points'!M$2</f>
        <v>0</v>
      </c>
      <c r="H29" s="37">
        <f>'Round 4 Data'!H29*'Round 4 Points'!N$2</f>
        <v>0</v>
      </c>
      <c r="I29" s="37">
        <f>'Round 4 Data'!I29*'Round 4 Points'!O$2</f>
        <v>2.8000000000000003</v>
      </c>
      <c r="J29" s="37">
        <f>'Round 4 Data'!J29*'Round 4 Points'!P$2</f>
        <v>0</v>
      </c>
      <c r="K29" s="37">
        <f>'Round 4 Data'!K29*'Round 4 Points'!Q$2</f>
        <v>0</v>
      </c>
      <c r="L29" s="37">
        <f>'Round 4 Data'!L29*'Round 4 Points'!R$2</f>
        <v>0</v>
      </c>
      <c r="M29" s="37">
        <f>'Round 4 Data'!M29*'Round 4 Points'!S$2</f>
        <v>0</v>
      </c>
      <c r="N29" s="37">
        <f>'Round 4 Data'!N29*'Round 4 Points'!T$2</f>
        <v>0</v>
      </c>
      <c r="O29" s="37">
        <f>'Round 4 Data'!O29*'Round 4 Points'!U$2</f>
        <v>0</v>
      </c>
      <c r="P29" s="37">
        <f>'Round 4 Data'!P29*'Round 4 Points'!V$2</f>
        <v>0</v>
      </c>
      <c r="Q29" s="37">
        <f>'Round 4 Data'!Q29*'Round 4 Points'!W$2</f>
        <v>0</v>
      </c>
      <c r="R29" s="37">
        <f>'Round 4 Data'!R29*'Round 4 Points'!X$2</f>
        <v>0</v>
      </c>
      <c r="S29" s="37">
        <f>'Round 4 Data'!S29*'Round 4 Points'!Y$2</f>
        <v>0</v>
      </c>
      <c r="T29" s="38">
        <f t="shared" si="0"/>
        <v>4.8000000000000007</v>
      </c>
      <c r="U29" s="37">
        <f>'Round 4 Data'!U29*'Round 4 Points'!$Z$2</f>
        <v>0</v>
      </c>
      <c r="V29" s="36">
        <f>IF('Round 4 Data'!D29='Round 4 Points'!$K$1,D29/80*$K$2,0)</f>
        <v>0</v>
      </c>
      <c r="W29">
        <f t="shared" si="1"/>
        <v>4.8000000000000007</v>
      </c>
    </row>
    <row r="30" spans="1:23" x14ac:dyDescent="0.2">
      <c r="A30" s="36" t="s">
        <v>123</v>
      </c>
      <c r="B30" s="36" t="str" cm="1">
        <f t="array" ref="B30:C30">_xlfn.XLOOKUP(A30,'Player List'!$A$2:$A$177,'Player List'!$B$2:$C$177)</f>
        <v>Italy</v>
      </c>
      <c r="C30" s="36" t="str">
        <v>Prop</v>
      </c>
      <c r="D30" s="37">
        <v>18</v>
      </c>
      <c r="F30" s="37">
        <f>'Round 4 Data'!F30*'Round 4 Points'!L$2</f>
        <v>0</v>
      </c>
      <c r="G30" s="37">
        <f>'Round 4 Data'!G30*'Round 4 Points'!M$2</f>
        <v>0</v>
      </c>
      <c r="H30" s="37">
        <f>'Round 4 Data'!H30*'Round 4 Points'!N$2</f>
        <v>0</v>
      </c>
      <c r="I30" s="37">
        <f>'Round 4 Data'!I30*'Round 4 Points'!O$2</f>
        <v>0</v>
      </c>
      <c r="J30" s="37">
        <f>'Round 4 Data'!J30*'Round 4 Points'!P$2</f>
        <v>0</v>
      </c>
      <c r="K30" s="37">
        <f>'Round 4 Data'!K30*'Round 4 Points'!Q$2</f>
        <v>0</v>
      </c>
      <c r="L30" s="37">
        <f>'Round 4 Data'!L30*'Round 4 Points'!R$2</f>
        <v>0</v>
      </c>
      <c r="M30" s="37">
        <f>'Round 4 Data'!M30*'Round 4 Points'!S$2</f>
        <v>0</v>
      </c>
      <c r="N30" s="37">
        <f>'Round 4 Data'!N30*'Round 4 Points'!T$2</f>
        <v>0</v>
      </c>
      <c r="O30" s="37">
        <f>'Round 4 Data'!O30*'Round 4 Points'!U$2</f>
        <v>0</v>
      </c>
      <c r="P30" s="37">
        <f>'Round 4 Data'!P30*'Round 4 Points'!V$2</f>
        <v>0</v>
      </c>
      <c r="Q30" s="37">
        <f>'Round 4 Data'!Q30*'Round 4 Points'!W$2</f>
        <v>0</v>
      </c>
      <c r="R30" s="37">
        <f>'Round 4 Data'!R30*'Round 4 Points'!X$2</f>
        <v>0</v>
      </c>
      <c r="S30" s="37">
        <f>'Round 4 Data'!S30*'Round 4 Points'!Y$2</f>
        <v>0</v>
      </c>
      <c r="T30" s="38">
        <f t="shared" si="0"/>
        <v>0</v>
      </c>
      <c r="U30" s="37">
        <f>'Round 4 Data'!U30*'Round 4 Points'!$Z$2</f>
        <v>0</v>
      </c>
      <c r="V30" s="36">
        <f>IF('Round 4 Data'!D30='Round 4 Points'!$K$1,D30/80*$K$2,0)</f>
        <v>0</v>
      </c>
      <c r="W30">
        <f t="shared" si="1"/>
        <v>0</v>
      </c>
    </row>
    <row r="31" spans="1:23" x14ac:dyDescent="0.2">
      <c r="A31" s="36" t="s">
        <v>124</v>
      </c>
      <c r="B31" s="36" t="str" cm="1">
        <f t="array" ref="B31:C31">_xlfn.XLOOKUP(A31,'Player List'!$A$2:$A$177,'Player List'!$B$2:$C$177)</f>
        <v>Italy</v>
      </c>
      <c r="C31" s="36" t="str">
        <v>Hooker</v>
      </c>
      <c r="D31" s="37">
        <v>28</v>
      </c>
      <c r="F31" s="37">
        <f>'Round 4 Data'!F31*'Round 4 Points'!L$2</f>
        <v>3</v>
      </c>
      <c r="G31" s="37">
        <f>'Round 4 Data'!G31*'Round 4 Points'!M$2</f>
        <v>0</v>
      </c>
      <c r="H31" s="37">
        <f>'Round 4 Data'!H31*'Round 4 Points'!N$2</f>
        <v>0</v>
      </c>
      <c r="I31" s="37">
        <f>'Round 4 Data'!I31*'Round 4 Points'!O$2</f>
        <v>0</v>
      </c>
      <c r="J31" s="37">
        <f>'Round 4 Data'!J31*'Round 4 Points'!P$2</f>
        <v>0</v>
      </c>
      <c r="K31" s="37">
        <f>'Round 4 Data'!K31*'Round 4 Points'!Q$2</f>
        <v>0</v>
      </c>
      <c r="L31" s="37">
        <f>'Round 4 Data'!L31*'Round 4 Points'!R$2</f>
        <v>0</v>
      </c>
      <c r="M31" s="37">
        <f>'Round 4 Data'!M31*'Round 4 Points'!S$2</f>
        <v>0</v>
      </c>
      <c r="N31" s="37">
        <f>'Round 4 Data'!N31*'Round 4 Points'!T$2</f>
        <v>0</v>
      </c>
      <c r="O31" s="37">
        <f>'Round 4 Data'!O31*'Round 4 Points'!U$2</f>
        <v>0</v>
      </c>
      <c r="P31" s="37">
        <f>'Round 4 Data'!P31*'Round 4 Points'!V$2</f>
        <v>0</v>
      </c>
      <c r="Q31" s="37">
        <f>'Round 4 Data'!Q31*'Round 4 Points'!W$2</f>
        <v>0</v>
      </c>
      <c r="R31" s="37">
        <f>'Round 4 Data'!R31*'Round 4 Points'!X$2</f>
        <v>0</v>
      </c>
      <c r="S31" s="37">
        <f>'Round 4 Data'!S31*'Round 4 Points'!Y$2</f>
        <v>0</v>
      </c>
      <c r="T31" s="38">
        <f t="shared" si="0"/>
        <v>3</v>
      </c>
      <c r="U31" s="37">
        <f>'Round 4 Data'!U31*'Round 4 Points'!$Z$2</f>
        <v>0</v>
      </c>
      <c r="V31" s="36">
        <f>IF('Round 4 Data'!D31='Round 4 Points'!$K$1,D31/80*$K$2,0)</f>
        <v>0</v>
      </c>
      <c r="W31">
        <f t="shared" si="1"/>
        <v>3</v>
      </c>
    </row>
    <row r="32" spans="1:23" x14ac:dyDescent="0.2">
      <c r="A32" s="36" t="s">
        <v>125</v>
      </c>
      <c r="B32" s="36" t="str" cm="1">
        <f t="array" ref="B32:C32">_xlfn.XLOOKUP(A32,'Player List'!$A$2:$A$177,'Player List'!$B$2:$C$177)</f>
        <v>Italy</v>
      </c>
      <c r="C32" s="36" t="str">
        <v>Hooker</v>
      </c>
      <c r="D32" s="37">
        <v>52</v>
      </c>
      <c r="F32" s="37">
        <f>'Round 4 Data'!F32*'Round 4 Points'!L$2</f>
        <v>11</v>
      </c>
      <c r="G32" s="37">
        <f>'Round 4 Data'!G32*'Round 4 Points'!M$2</f>
        <v>0</v>
      </c>
      <c r="H32" s="37">
        <f>'Round 4 Data'!H32*'Round 4 Points'!N$2</f>
        <v>0</v>
      </c>
      <c r="I32" s="37">
        <f>'Round 4 Data'!I32*'Round 4 Points'!O$2</f>
        <v>3.4000000000000004</v>
      </c>
      <c r="J32" s="37">
        <f>'Round 4 Data'!J32*'Round 4 Points'!P$2</f>
        <v>0</v>
      </c>
      <c r="K32" s="37">
        <f>'Round 4 Data'!K32*'Round 4 Points'!Q$2</f>
        <v>0</v>
      </c>
      <c r="L32" s="37">
        <f>'Round 4 Data'!L32*'Round 4 Points'!R$2</f>
        <v>7</v>
      </c>
      <c r="M32" s="37">
        <f>'Round 4 Data'!M32*'Round 4 Points'!S$2</f>
        <v>0</v>
      </c>
      <c r="N32" s="37">
        <f>'Round 4 Data'!N32*'Round 4 Points'!T$2</f>
        <v>0</v>
      </c>
      <c r="O32" s="37">
        <f>'Round 4 Data'!O32*'Round 4 Points'!U$2</f>
        <v>0</v>
      </c>
      <c r="P32" s="37">
        <f>'Round 4 Data'!P32*'Round 4 Points'!V$2</f>
        <v>0</v>
      </c>
      <c r="Q32" s="37">
        <f>'Round 4 Data'!Q32*'Round 4 Points'!W$2</f>
        <v>0</v>
      </c>
      <c r="R32" s="37">
        <f>'Round 4 Data'!R32*'Round 4 Points'!X$2</f>
        <v>0</v>
      </c>
      <c r="S32" s="37">
        <f>'Round 4 Data'!S32*'Round 4 Points'!Y$2</f>
        <v>0</v>
      </c>
      <c r="T32" s="38">
        <f t="shared" si="0"/>
        <v>21.4</v>
      </c>
      <c r="U32" s="37">
        <f>'Round 4 Data'!U32*'Round 4 Points'!$Z$2</f>
        <v>0</v>
      </c>
      <c r="V32" s="36">
        <f>IF('Round 4 Data'!D32='Round 4 Points'!$K$1,D32/80*$K$2,0)</f>
        <v>0</v>
      </c>
      <c r="W32">
        <f t="shared" si="1"/>
        <v>21.4</v>
      </c>
    </row>
    <row r="33" spans="1:23" x14ac:dyDescent="0.2">
      <c r="A33" s="36" t="s">
        <v>57</v>
      </c>
      <c r="B33" s="36" t="str" cm="1">
        <f t="array" ref="B33:C33">_xlfn.XLOOKUP(A33,'Player List'!$A$2:$A$177,'Player List'!$B$2:$C$177)</f>
        <v>Wales</v>
      </c>
      <c r="C33" s="36" t="str">
        <v>Back Three</v>
      </c>
      <c r="D33" s="37">
        <v>51</v>
      </c>
      <c r="F33" s="37">
        <f>'Round 4 Data'!F33*'Round 4 Points'!L$2</f>
        <v>1</v>
      </c>
      <c r="G33" s="37">
        <f>'Round 4 Data'!G33*'Round 4 Points'!M$2</f>
        <v>7</v>
      </c>
      <c r="H33" s="37">
        <f>'Round 4 Data'!H33*'Round 4 Points'!N$2</f>
        <v>7</v>
      </c>
      <c r="I33" s="37">
        <f>'Round 4 Data'!I33*'Round 4 Points'!O$2</f>
        <v>6.2</v>
      </c>
      <c r="J33" s="37">
        <f>'Round 4 Data'!J33*'Round 4 Points'!P$2</f>
        <v>0</v>
      </c>
      <c r="K33" s="37">
        <f>'Round 4 Data'!K33*'Round 4 Points'!Q$2</f>
        <v>0</v>
      </c>
      <c r="L33" s="37">
        <f>'Round 4 Data'!L33*'Round 4 Points'!R$2</f>
        <v>0</v>
      </c>
      <c r="M33" s="37">
        <f>'Round 4 Data'!M33*'Round 4 Points'!S$2</f>
        <v>0</v>
      </c>
      <c r="N33" s="37">
        <f>'Round 4 Data'!N33*'Round 4 Points'!T$2</f>
        <v>0</v>
      </c>
      <c r="O33" s="37">
        <f>'Round 4 Data'!O33*'Round 4 Points'!U$2</f>
        <v>0</v>
      </c>
      <c r="P33" s="37">
        <f>'Round 4 Data'!P33*'Round 4 Points'!V$2</f>
        <v>0</v>
      </c>
      <c r="Q33" s="37">
        <f>'Round 4 Data'!Q33*'Round 4 Points'!W$2</f>
        <v>0</v>
      </c>
      <c r="R33" s="37">
        <f>'Round 4 Data'!R33*'Round 4 Points'!X$2</f>
        <v>0</v>
      </c>
      <c r="S33" s="37">
        <f>'Round 4 Data'!S33*'Round 4 Points'!Y$2</f>
        <v>0</v>
      </c>
      <c r="T33" s="38">
        <f t="shared" si="0"/>
        <v>21.2</v>
      </c>
      <c r="U33" s="37">
        <f>'Round 4 Data'!U33*'Round 4 Points'!$Z$2</f>
        <v>0</v>
      </c>
      <c r="V33" s="36">
        <f>IF('Round 4 Data'!D33='Round 4 Points'!$K$1,D33/80*$K$2,0)</f>
        <v>5.0999999999999996</v>
      </c>
      <c r="W33">
        <f t="shared" si="1"/>
        <v>26.299999999999997</v>
      </c>
    </row>
    <row r="34" spans="1:23" x14ac:dyDescent="0.2">
      <c r="A34" s="36" t="s">
        <v>59</v>
      </c>
      <c r="B34" s="36" t="str" cm="1">
        <f t="array" ref="B34:C34">_xlfn.XLOOKUP(A34,'Player List'!$A$2:$A$177,'Player List'!$B$2:$C$177)</f>
        <v>Wales</v>
      </c>
      <c r="C34" s="36" t="str">
        <v>Back Three</v>
      </c>
      <c r="D34" s="37">
        <v>80</v>
      </c>
      <c r="F34" s="37">
        <f>'Round 4 Data'!F34*'Round 4 Points'!L$2</f>
        <v>4</v>
      </c>
      <c r="G34" s="37">
        <f>'Round 4 Data'!G34*'Round 4 Points'!M$2</f>
        <v>7</v>
      </c>
      <c r="H34" s="37">
        <f>'Round 4 Data'!H34*'Round 4 Points'!N$2</f>
        <v>7</v>
      </c>
      <c r="I34" s="37">
        <f>'Round 4 Data'!I34*'Round 4 Points'!O$2</f>
        <v>3.8000000000000003</v>
      </c>
      <c r="J34" s="37">
        <f>'Round 4 Data'!J34*'Round 4 Points'!P$2</f>
        <v>0</v>
      </c>
      <c r="K34" s="37">
        <f>'Round 4 Data'!K34*'Round 4 Points'!Q$2</f>
        <v>0</v>
      </c>
      <c r="L34" s="37">
        <f>'Round 4 Data'!L34*'Round 4 Points'!R$2</f>
        <v>0</v>
      </c>
      <c r="M34" s="37">
        <f>'Round 4 Data'!M34*'Round 4 Points'!S$2</f>
        <v>15</v>
      </c>
      <c r="N34" s="37">
        <f>'Round 4 Data'!N34*'Round 4 Points'!T$2</f>
        <v>0</v>
      </c>
      <c r="O34" s="37">
        <f>'Round 4 Data'!O34*'Round 4 Points'!U$2</f>
        <v>0</v>
      </c>
      <c r="P34" s="37">
        <f>'Round 4 Data'!P34*'Round 4 Points'!V$2</f>
        <v>0</v>
      </c>
      <c r="Q34" s="37">
        <f>'Round 4 Data'!Q34*'Round 4 Points'!W$2</f>
        <v>0</v>
      </c>
      <c r="R34" s="37">
        <f>'Round 4 Data'!R34*'Round 4 Points'!X$2</f>
        <v>0</v>
      </c>
      <c r="S34" s="37">
        <f>'Round 4 Data'!S34*'Round 4 Points'!Y$2</f>
        <v>0</v>
      </c>
      <c r="T34" s="38">
        <f t="shared" si="0"/>
        <v>36.799999999999997</v>
      </c>
      <c r="U34" s="37">
        <f>'Round 4 Data'!U34*'Round 4 Points'!$Z$2</f>
        <v>0</v>
      </c>
      <c r="V34" s="36">
        <f>IF('Round 4 Data'!D34='Round 4 Points'!$K$1,D34/80*$K$2,0)</f>
        <v>8</v>
      </c>
      <c r="W34">
        <f t="shared" si="1"/>
        <v>44.8</v>
      </c>
    </row>
    <row r="35" spans="1:23" x14ac:dyDescent="0.2">
      <c r="A35" s="36" t="s">
        <v>156</v>
      </c>
      <c r="B35" s="36" t="str" cm="1">
        <f t="array" ref="B35:C35">_xlfn.XLOOKUP(A35,'Player List'!$A$2:$A$177,'Player List'!$B$2:$C$177)</f>
        <v>Wales</v>
      </c>
      <c r="C35" s="36" t="str">
        <v>Back Three</v>
      </c>
      <c r="D35" s="37">
        <v>29</v>
      </c>
      <c r="F35" s="37">
        <f>'Round 4 Data'!F35*'Round 4 Points'!L$2</f>
        <v>3</v>
      </c>
      <c r="G35" s="37">
        <f>'Round 4 Data'!G35*'Round 4 Points'!M$2</f>
        <v>0</v>
      </c>
      <c r="H35" s="37">
        <f>'Round 4 Data'!H35*'Round 4 Points'!N$2</f>
        <v>0</v>
      </c>
      <c r="I35" s="37">
        <f>'Round 4 Data'!I35*'Round 4 Points'!O$2</f>
        <v>9.2000000000000011</v>
      </c>
      <c r="J35" s="37">
        <f>'Round 4 Data'!J35*'Round 4 Points'!P$2</f>
        <v>0</v>
      </c>
      <c r="K35" s="37">
        <f>'Round 4 Data'!K35*'Round 4 Points'!Q$2</f>
        <v>0</v>
      </c>
      <c r="L35" s="37">
        <f>'Round 4 Data'!L35*'Round 4 Points'!R$2</f>
        <v>0</v>
      </c>
      <c r="M35" s="37">
        <f>'Round 4 Data'!M35*'Round 4 Points'!S$2</f>
        <v>0</v>
      </c>
      <c r="N35" s="37">
        <f>'Round 4 Data'!N35*'Round 4 Points'!T$2</f>
        <v>0</v>
      </c>
      <c r="O35" s="37">
        <f>'Round 4 Data'!O35*'Round 4 Points'!U$2</f>
        <v>0</v>
      </c>
      <c r="P35" s="37">
        <f>'Round 4 Data'!P35*'Round 4 Points'!V$2</f>
        <v>0</v>
      </c>
      <c r="Q35" s="37">
        <f>'Round 4 Data'!Q35*'Round 4 Points'!W$2</f>
        <v>0</v>
      </c>
      <c r="R35" s="37">
        <f>'Round 4 Data'!R35*'Round 4 Points'!X$2</f>
        <v>0</v>
      </c>
      <c r="S35" s="37">
        <f>'Round 4 Data'!S35*'Round 4 Points'!Y$2</f>
        <v>0</v>
      </c>
      <c r="T35" s="38">
        <f t="shared" si="0"/>
        <v>12.200000000000001</v>
      </c>
      <c r="U35" s="37">
        <f>'Round 4 Data'!U35*'Round 4 Points'!$Z$2</f>
        <v>0</v>
      </c>
      <c r="V35" s="36">
        <f>IF('Round 4 Data'!D35='Round 4 Points'!$K$1,D35/80*$K$2,0)</f>
        <v>2.9</v>
      </c>
      <c r="W35">
        <f t="shared" si="1"/>
        <v>15.100000000000001</v>
      </c>
    </row>
    <row r="36" spans="1:23" x14ac:dyDescent="0.2">
      <c r="A36" s="36" t="s">
        <v>60</v>
      </c>
      <c r="B36" s="36" t="str" cm="1">
        <f t="array" ref="B36:C36">_xlfn.XLOOKUP(A36,'Player List'!$A$2:$A$177,'Player List'!$B$2:$C$177)</f>
        <v>Wales</v>
      </c>
      <c r="C36" s="36" t="str">
        <v>Back Three</v>
      </c>
      <c r="D36" s="37">
        <v>62</v>
      </c>
      <c r="F36" s="37">
        <f>'Round 4 Data'!F36*'Round 4 Points'!L$2</f>
        <v>1</v>
      </c>
      <c r="G36" s="37">
        <f>'Round 4 Data'!G36*'Round 4 Points'!M$2</f>
        <v>0</v>
      </c>
      <c r="H36" s="37">
        <f>'Round 4 Data'!H36*'Round 4 Points'!N$2</f>
        <v>7</v>
      </c>
      <c r="I36" s="37">
        <f>'Round 4 Data'!I36*'Round 4 Points'!O$2</f>
        <v>17.400000000000002</v>
      </c>
      <c r="J36" s="37">
        <f>'Round 4 Data'!J36*'Round 4 Points'!P$2</f>
        <v>0</v>
      </c>
      <c r="K36" s="37">
        <f>'Round 4 Data'!K36*'Round 4 Points'!Q$2</f>
        <v>0</v>
      </c>
      <c r="L36" s="37">
        <f>'Round 4 Data'!L36*'Round 4 Points'!R$2</f>
        <v>7</v>
      </c>
      <c r="M36" s="37">
        <f>'Round 4 Data'!M36*'Round 4 Points'!S$2</f>
        <v>15</v>
      </c>
      <c r="N36" s="37">
        <f>'Round 4 Data'!N36*'Round 4 Points'!T$2</f>
        <v>0</v>
      </c>
      <c r="O36" s="37">
        <f>'Round 4 Data'!O36*'Round 4 Points'!U$2</f>
        <v>0</v>
      </c>
      <c r="P36" s="37">
        <f>'Round 4 Data'!P36*'Round 4 Points'!V$2</f>
        <v>0</v>
      </c>
      <c r="Q36" s="37">
        <f>'Round 4 Data'!Q36*'Round 4 Points'!W$2</f>
        <v>0</v>
      </c>
      <c r="R36" s="37">
        <f>'Round 4 Data'!R36*'Round 4 Points'!X$2</f>
        <v>0</v>
      </c>
      <c r="S36" s="37">
        <f>'Round 4 Data'!S36*'Round 4 Points'!Y$2</f>
        <v>0</v>
      </c>
      <c r="T36" s="38">
        <f t="shared" si="0"/>
        <v>47.400000000000006</v>
      </c>
      <c r="U36" s="37">
        <f>'Round 4 Data'!U36*'Round 4 Points'!$Z$2</f>
        <v>0</v>
      </c>
      <c r="V36" s="36">
        <f>IF('Round 4 Data'!D36='Round 4 Points'!$K$1,D36/80*$K$2,0)</f>
        <v>6.2</v>
      </c>
      <c r="W36">
        <f t="shared" si="1"/>
        <v>53.600000000000009</v>
      </c>
    </row>
    <row r="37" spans="1:23" x14ac:dyDescent="0.2">
      <c r="A37" s="36" t="s">
        <v>157</v>
      </c>
      <c r="B37" s="36" t="str" cm="1">
        <f t="array" ref="B37:C37">_xlfn.XLOOKUP(A37,'Player List'!$A$2:$A$177,'Player List'!$B$2:$C$177)</f>
        <v>Wales</v>
      </c>
      <c r="C37" s="36" t="str">
        <v>Centre</v>
      </c>
      <c r="D37" s="37">
        <v>80</v>
      </c>
      <c r="F37" s="37">
        <f>'Round 4 Data'!F37*'Round 4 Points'!L$2</f>
        <v>5</v>
      </c>
      <c r="G37" s="37">
        <f>'Round 4 Data'!G37*'Round 4 Points'!M$2</f>
        <v>0</v>
      </c>
      <c r="H37" s="37">
        <f>'Round 4 Data'!H37*'Round 4 Points'!N$2</f>
        <v>0</v>
      </c>
      <c r="I37" s="37">
        <f>'Round 4 Data'!I37*'Round 4 Points'!O$2</f>
        <v>5.2</v>
      </c>
      <c r="J37" s="37">
        <f>'Round 4 Data'!J37*'Round 4 Points'!P$2</f>
        <v>0</v>
      </c>
      <c r="K37" s="37">
        <f>'Round 4 Data'!K37*'Round 4 Points'!Q$2</f>
        <v>0</v>
      </c>
      <c r="L37" s="37">
        <f>'Round 4 Data'!L37*'Round 4 Points'!R$2</f>
        <v>0</v>
      </c>
      <c r="M37" s="37">
        <f>'Round 4 Data'!M37*'Round 4 Points'!S$2</f>
        <v>0</v>
      </c>
      <c r="N37" s="37">
        <f>'Round 4 Data'!N37*'Round 4 Points'!T$2</f>
        <v>0</v>
      </c>
      <c r="O37" s="37">
        <f>'Round 4 Data'!O37*'Round 4 Points'!U$2</f>
        <v>0</v>
      </c>
      <c r="P37" s="37">
        <f>'Round 4 Data'!P37*'Round 4 Points'!V$2</f>
        <v>0</v>
      </c>
      <c r="Q37" s="37">
        <f>'Round 4 Data'!Q37*'Round 4 Points'!W$2</f>
        <v>0</v>
      </c>
      <c r="R37" s="37">
        <f>'Round 4 Data'!R37*'Round 4 Points'!X$2</f>
        <v>0</v>
      </c>
      <c r="S37" s="37">
        <f>'Round 4 Data'!S37*'Round 4 Points'!Y$2</f>
        <v>0</v>
      </c>
      <c r="T37" s="38">
        <f t="shared" si="0"/>
        <v>10.199999999999999</v>
      </c>
      <c r="U37" s="37">
        <f>'Round 4 Data'!U37*'Round 4 Points'!$Z$2</f>
        <v>0</v>
      </c>
      <c r="V37" s="36">
        <f>IF('Round 4 Data'!D37='Round 4 Points'!$K$1,D37/80*$K$2,0)</f>
        <v>8</v>
      </c>
      <c r="W37">
        <f t="shared" si="1"/>
        <v>18.2</v>
      </c>
    </row>
    <row r="38" spans="1:23" x14ac:dyDescent="0.2">
      <c r="A38" s="36" t="s">
        <v>61</v>
      </c>
      <c r="B38" s="36" t="str" cm="1">
        <f t="array" ref="B38:C38">_xlfn.XLOOKUP(A38,'Player List'!$A$2:$A$177,'Player List'!$B$2:$C$177)</f>
        <v>Wales</v>
      </c>
      <c r="C38" s="36" t="str">
        <v>Centre</v>
      </c>
      <c r="D38" s="37">
        <v>80</v>
      </c>
      <c r="F38" s="37">
        <f>'Round 4 Data'!F38*'Round 4 Points'!L$2</f>
        <v>3</v>
      </c>
      <c r="G38" s="37">
        <f>'Round 4 Data'!G38*'Round 4 Points'!M$2</f>
        <v>7</v>
      </c>
      <c r="H38" s="37">
        <f>'Round 4 Data'!H38*'Round 4 Points'!N$2</f>
        <v>0</v>
      </c>
      <c r="I38" s="37">
        <f>'Round 4 Data'!I38*'Round 4 Points'!O$2</f>
        <v>19.400000000000002</v>
      </c>
      <c r="J38" s="37">
        <f>'Round 4 Data'!J38*'Round 4 Points'!P$2</f>
        <v>0</v>
      </c>
      <c r="K38" s="37">
        <f>'Round 4 Data'!K38*'Round 4 Points'!Q$2</f>
        <v>0</v>
      </c>
      <c r="L38" s="37">
        <f>'Round 4 Data'!L38*'Round 4 Points'!R$2</f>
        <v>0</v>
      </c>
      <c r="M38" s="37">
        <f>'Round 4 Data'!M38*'Round 4 Points'!S$2</f>
        <v>0</v>
      </c>
      <c r="N38" s="37">
        <f>'Round 4 Data'!N38*'Round 4 Points'!T$2</f>
        <v>0</v>
      </c>
      <c r="O38" s="37">
        <f>'Round 4 Data'!O38*'Round 4 Points'!U$2</f>
        <v>0</v>
      </c>
      <c r="P38" s="37">
        <f>'Round 4 Data'!P38*'Round 4 Points'!V$2</f>
        <v>0</v>
      </c>
      <c r="Q38" s="37">
        <f>'Round 4 Data'!Q38*'Round 4 Points'!W$2</f>
        <v>0</v>
      </c>
      <c r="R38" s="37">
        <f>'Round 4 Data'!R38*'Round 4 Points'!X$2</f>
        <v>0</v>
      </c>
      <c r="S38" s="37">
        <f>'Round 4 Data'!S38*'Round 4 Points'!Y$2</f>
        <v>0</v>
      </c>
      <c r="T38" s="38">
        <f t="shared" si="0"/>
        <v>29.400000000000002</v>
      </c>
      <c r="U38" s="37">
        <f>'Round 4 Data'!U38*'Round 4 Points'!$Z$2</f>
        <v>0</v>
      </c>
      <c r="V38" s="36">
        <f>IF('Round 4 Data'!D38='Round 4 Points'!$K$1,D38/80*$K$2,0)</f>
        <v>8</v>
      </c>
      <c r="W38">
        <f t="shared" si="1"/>
        <v>37.400000000000006</v>
      </c>
    </row>
    <row r="39" spans="1:23" x14ac:dyDescent="0.2">
      <c r="A39" s="36" t="s">
        <v>62</v>
      </c>
      <c r="B39" s="36" t="str" cm="1">
        <f t="array" ref="B39:C39">_xlfn.XLOOKUP(A39,'Player List'!$A$2:$A$177,'Player List'!$B$2:$C$177)</f>
        <v>Wales</v>
      </c>
      <c r="C39" s="36" t="str">
        <v>Centre</v>
      </c>
      <c r="D39" s="37">
        <v>18</v>
      </c>
      <c r="F39" s="37">
        <f>'Round 4 Data'!F39*'Round 4 Points'!L$2</f>
        <v>1</v>
      </c>
      <c r="G39" s="37">
        <f>'Round 4 Data'!G39*'Round 4 Points'!M$2</f>
        <v>0</v>
      </c>
      <c r="H39" s="37">
        <f>'Round 4 Data'!H39*'Round 4 Points'!N$2</f>
        <v>0</v>
      </c>
      <c r="I39" s="37">
        <f>'Round 4 Data'!I39*'Round 4 Points'!O$2</f>
        <v>0</v>
      </c>
      <c r="J39" s="37">
        <f>'Round 4 Data'!J39*'Round 4 Points'!P$2</f>
        <v>0</v>
      </c>
      <c r="K39" s="37">
        <f>'Round 4 Data'!K39*'Round 4 Points'!Q$2</f>
        <v>0</v>
      </c>
      <c r="L39" s="37">
        <f>'Round 4 Data'!L39*'Round 4 Points'!R$2</f>
        <v>0</v>
      </c>
      <c r="M39" s="37">
        <f>'Round 4 Data'!M39*'Round 4 Points'!S$2</f>
        <v>0</v>
      </c>
      <c r="N39" s="37">
        <f>'Round 4 Data'!N39*'Round 4 Points'!T$2</f>
        <v>0</v>
      </c>
      <c r="O39" s="37">
        <f>'Round 4 Data'!O39*'Round 4 Points'!U$2</f>
        <v>0</v>
      </c>
      <c r="P39" s="37">
        <f>'Round 4 Data'!P39*'Round 4 Points'!V$2</f>
        <v>0</v>
      </c>
      <c r="Q39" s="37">
        <f>'Round 4 Data'!Q39*'Round 4 Points'!W$2</f>
        <v>0</v>
      </c>
      <c r="R39" s="37">
        <f>'Round 4 Data'!R39*'Round 4 Points'!X$2</f>
        <v>0</v>
      </c>
      <c r="S39" s="37">
        <f>'Round 4 Data'!S39*'Round 4 Points'!Y$2</f>
        <v>0</v>
      </c>
      <c r="T39" s="38">
        <f t="shared" si="0"/>
        <v>1</v>
      </c>
      <c r="U39" s="37">
        <f>'Round 4 Data'!U39*'Round 4 Points'!$Z$2</f>
        <v>0</v>
      </c>
      <c r="V39" s="36">
        <f>IF('Round 4 Data'!D39='Round 4 Points'!$K$1,D39/80*$K$2,0)</f>
        <v>1.8</v>
      </c>
      <c r="W39">
        <f t="shared" si="1"/>
        <v>2.8</v>
      </c>
    </row>
    <row r="40" spans="1:23" x14ac:dyDescent="0.2">
      <c r="A40" s="36" t="s">
        <v>159</v>
      </c>
      <c r="B40" s="36" t="str" cm="1">
        <f t="array" ref="B40:C40">_xlfn.XLOOKUP(A40,'Player List'!$A$2:$A$177,'Player List'!$B$2:$C$177)</f>
        <v>Wales</v>
      </c>
      <c r="C40" s="36" t="str">
        <v>Fly Half</v>
      </c>
      <c r="D40" s="37">
        <v>80</v>
      </c>
      <c r="F40" s="37">
        <f>'Round 4 Data'!F40*'Round 4 Points'!L$2</f>
        <v>8</v>
      </c>
      <c r="G40" s="37">
        <f>'Round 4 Data'!G40*'Round 4 Points'!M$2</f>
        <v>0</v>
      </c>
      <c r="H40" s="37">
        <f>'Round 4 Data'!H40*'Round 4 Points'!N$2</f>
        <v>0</v>
      </c>
      <c r="I40" s="37">
        <f>'Round 4 Data'!I40*'Round 4 Points'!O$2</f>
        <v>3.8000000000000003</v>
      </c>
      <c r="J40" s="37">
        <f>'Round 4 Data'!J40*'Round 4 Points'!P$2</f>
        <v>0</v>
      </c>
      <c r="K40" s="37">
        <f>'Round 4 Data'!K40*'Round 4 Points'!Q$2</f>
        <v>0</v>
      </c>
      <c r="L40" s="37">
        <f>'Round 4 Data'!L40*'Round 4 Points'!R$2</f>
        <v>0</v>
      </c>
      <c r="M40" s="37">
        <f>'Round 4 Data'!M40*'Round 4 Points'!S$2</f>
        <v>0</v>
      </c>
      <c r="N40" s="37">
        <f>'Round 4 Data'!N40*'Round 4 Points'!T$2</f>
        <v>0</v>
      </c>
      <c r="O40" s="37">
        <f>'Round 4 Data'!O40*'Round 4 Points'!U$2</f>
        <v>4</v>
      </c>
      <c r="P40" s="37">
        <f>'Round 4 Data'!P40*'Round 4 Points'!V$2</f>
        <v>5</v>
      </c>
      <c r="Q40" s="37">
        <f>'Round 4 Data'!Q40*'Round 4 Points'!W$2</f>
        <v>0</v>
      </c>
      <c r="R40" s="37">
        <f>'Round 4 Data'!R40*'Round 4 Points'!X$2</f>
        <v>0</v>
      </c>
      <c r="S40" s="37">
        <f>'Round 4 Data'!S40*'Round 4 Points'!Y$2</f>
        <v>0</v>
      </c>
      <c r="T40" s="38">
        <f t="shared" si="0"/>
        <v>20.8</v>
      </c>
      <c r="U40" s="37">
        <f>'Round 4 Data'!U40*'Round 4 Points'!$Z$2</f>
        <v>0</v>
      </c>
      <c r="V40" s="36">
        <f>IF('Round 4 Data'!D40='Round 4 Points'!$K$1,D40/80*$K$2,0)</f>
        <v>8</v>
      </c>
      <c r="W40">
        <f t="shared" si="1"/>
        <v>28.8</v>
      </c>
    </row>
    <row r="41" spans="1:23" x14ac:dyDescent="0.2">
      <c r="A41" s="36" t="s">
        <v>65</v>
      </c>
      <c r="B41" s="36" t="str" cm="1">
        <f t="array" ref="B41:C41">_xlfn.XLOOKUP(A41,'Player List'!$A$2:$A$177,'Player List'!$B$2:$C$177)</f>
        <v>Wales</v>
      </c>
      <c r="C41" s="36" t="str">
        <v>Scrum Half</v>
      </c>
      <c r="D41" s="37">
        <v>54</v>
      </c>
      <c r="F41" s="37">
        <f>'Round 4 Data'!F41*'Round 4 Points'!L$2</f>
        <v>5</v>
      </c>
      <c r="G41" s="37">
        <f>'Round 4 Data'!G41*'Round 4 Points'!M$2</f>
        <v>7</v>
      </c>
      <c r="H41" s="37">
        <f>'Round 4 Data'!H41*'Round 4 Points'!N$2</f>
        <v>7</v>
      </c>
      <c r="I41" s="37">
        <f>'Round 4 Data'!I41*'Round 4 Points'!O$2</f>
        <v>5.6000000000000005</v>
      </c>
      <c r="J41" s="37">
        <f>'Round 4 Data'!J41*'Round 4 Points'!P$2</f>
        <v>10</v>
      </c>
      <c r="K41" s="37">
        <f>'Round 4 Data'!K41*'Round 4 Points'!Q$2</f>
        <v>0</v>
      </c>
      <c r="L41" s="37">
        <f>'Round 4 Data'!L41*'Round 4 Points'!R$2</f>
        <v>0</v>
      </c>
      <c r="M41" s="37">
        <f>'Round 4 Data'!M41*'Round 4 Points'!S$2</f>
        <v>0</v>
      </c>
      <c r="N41" s="37">
        <f>'Round 4 Data'!N41*'Round 4 Points'!T$2</f>
        <v>14</v>
      </c>
      <c r="O41" s="37">
        <f>'Round 4 Data'!O41*'Round 4 Points'!U$2</f>
        <v>0</v>
      </c>
      <c r="P41" s="37">
        <f>'Round 4 Data'!P41*'Round 4 Points'!V$2</f>
        <v>0</v>
      </c>
      <c r="Q41" s="37">
        <f>'Round 4 Data'!Q41*'Round 4 Points'!W$2</f>
        <v>0</v>
      </c>
      <c r="R41" s="37">
        <f>'Round 4 Data'!R41*'Round 4 Points'!X$2</f>
        <v>0</v>
      </c>
      <c r="S41" s="37">
        <f>'Round 4 Data'!S41*'Round 4 Points'!Y$2</f>
        <v>0</v>
      </c>
      <c r="T41" s="38">
        <f t="shared" si="0"/>
        <v>48.6</v>
      </c>
      <c r="U41" s="37">
        <f>'Round 4 Data'!U41*'Round 4 Points'!$Z$2</f>
        <v>15</v>
      </c>
      <c r="V41" s="36">
        <f>IF('Round 4 Data'!D41='Round 4 Points'!$K$1,D41/80*$K$2,0)</f>
        <v>5.4</v>
      </c>
      <c r="W41">
        <f t="shared" si="1"/>
        <v>69</v>
      </c>
    </row>
    <row r="42" spans="1:23" x14ac:dyDescent="0.2">
      <c r="A42" s="36" t="s">
        <v>66</v>
      </c>
      <c r="B42" s="36" t="str" cm="1">
        <f t="array" ref="B42:C42">_xlfn.XLOOKUP(A42,'Player List'!$A$2:$A$177,'Player List'!$B$2:$C$177)</f>
        <v>Wales</v>
      </c>
      <c r="C42" s="36" t="str">
        <v>Scrum Half</v>
      </c>
      <c r="D42" s="37">
        <v>26</v>
      </c>
      <c r="F42" s="37">
        <f>'Round 4 Data'!F42*'Round 4 Points'!L$2</f>
        <v>2</v>
      </c>
      <c r="G42" s="37">
        <f>'Round 4 Data'!G42*'Round 4 Points'!M$2</f>
        <v>0</v>
      </c>
      <c r="H42" s="37">
        <f>'Round 4 Data'!H42*'Round 4 Points'!N$2</f>
        <v>0</v>
      </c>
      <c r="I42" s="37">
        <f>'Round 4 Data'!I42*'Round 4 Points'!O$2</f>
        <v>0</v>
      </c>
      <c r="J42" s="37">
        <f>'Round 4 Data'!J42*'Round 4 Points'!P$2</f>
        <v>0</v>
      </c>
      <c r="K42" s="37">
        <f>'Round 4 Data'!K42*'Round 4 Points'!Q$2</f>
        <v>0</v>
      </c>
      <c r="L42" s="37">
        <f>'Round 4 Data'!L42*'Round 4 Points'!R$2</f>
        <v>0</v>
      </c>
      <c r="M42" s="37">
        <f>'Round 4 Data'!M42*'Round 4 Points'!S$2</f>
        <v>0</v>
      </c>
      <c r="N42" s="37">
        <f>'Round 4 Data'!N42*'Round 4 Points'!T$2</f>
        <v>0</v>
      </c>
      <c r="O42" s="37">
        <f>'Round 4 Data'!O42*'Round 4 Points'!U$2</f>
        <v>0</v>
      </c>
      <c r="P42" s="37">
        <f>'Round 4 Data'!P42*'Round 4 Points'!V$2</f>
        <v>0</v>
      </c>
      <c r="Q42" s="37">
        <f>'Round 4 Data'!Q42*'Round 4 Points'!W$2</f>
        <v>0</v>
      </c>
      <c r="R42" s="37">
        <f>'Round 4 Data'!R42*'Round 4 Points'!X$2</f>
        <v>0</v>
      </c>
      <c r="S42" s="37">
        <f>'Round 4 Data'!S42*'Round 4 Points'!Y$2</f>
        <v>0</v>
      </c>
      <c r="T42" s="38">
        <f t="shared" si="0"/>
        <v>2</v>
      </c>
      <c r="U42" s="37">
        <f>'Round 4 Data'!U42*'Round 4 Points'!$Z$2</f>
        <v>0</v>
      </c>
      <c r="V42" s="36">
        <f>IF('Round 4 Data'!D42='Round 4 Points'!$K$1,D42/80*$K$2,0)</f>
        <v>2.6</v>
      </c>
      <c r="W42">
        <f t="shared" si="1"/>
        <v>4.5999999999999996</v>
      </c>
    </row>
    <row r="43" spans="1:23" x14ac:dyDescent="0.2">
      <c r="A43" s="36" t="s">
        <v>67</v>
      </c>
      <c r="B43" s="36" t="str" cm="1">
        <f t="array" ref="B43:C43">_xlfn.XLOOKUP(A43,'Player List'!$A$2:$A$177,'Player List'!$B$2:$C$177)</f>
        <v>Wales</v>
      </c>
      <c r="C43" s="36" t="str">
        <v>Back Row</v>
      </c>
      <c r="D43" s="37">
        <v>80</v>
      </c>
      <c r="F43" s="37">
        <f>'Round 4 Data'!F43*'Round 4 Points'!L$2</f>
        <v>12</v>
      </c>
      <c r="G43" s="37">
        <f>'Round 4 Data'!G43*'Round 4 Points'!M$2</f>
        <v>0</v>
      </c>
      <c r="H43" s="37">
        <f>'Round 4 Data'!H43*'Round 4 Points'!N$2</f>
        <v>0</v>
      </c>
      <c r="I43" s="37">
        <f>'Round 4 Data'!I43*'Round 4 Points'!O$2</f>
        <v>10.8</v>
      </c>
      <c r="J43" s="37">
        <f>'Round 4 Data'!J43*'Round 4 Points'!P$2</f>
        <v>0</v>
      </c>
      <c r="K43" s="37">
        <f>'Round 4 Data'!K43*'Round 4 Points'!Q$2</f>
        <v>0</v>
      </c>
      <c r="L43" s="37">
        <f>'Round 4 Data'!L43*'Round 4 Points'!R$2</f>
        <v>0</v>
      </c>
      <c r="M43" s="37">
        <f>'Round 4 Data'!M43*'Round 4 Points'!S$2</f>
        <v>15</v>
      </c>
      <c r="N43" s="37">
        <f>'Round 4 Data'!N43*'Round 4 Points'!T$2</f>
        <v>0</v>
      </c>
      <c r="O43" s="37">
        <f>'Round 4 Data'!O43*'Round 4 Points'!U$2</f>
        <v>0</v>
      </c>
      <c r="P43" s="37">
        <f>'Round 4 Data'!P43*'Round 4 Points'!V$2</f>
        <v>0</v>
      </c>
      <c r="Q43" s="37">
        <f>'Round 4 Data'!Q43*'Round 4 Points'!W$2</f>
        <v>0</v>
      </c>
      <c r="R43" s="37">
        <f>'Round 4 Data'!R43*'Round 4 Points'!X$2</f>
        <v>0</v>
      </c>
      <c r="S43" s="37">
        <f>'Round 4 Data'!S43*'Round 4 Points'!Y$2</f>
        <v>0</v>
      </c>
      <c r="T43" s="38">
        <f t="shared" si="0"/>
        <v>37.799999999999997</v>
      </c>
      <c r="U43" s="37">
        <f>'Round 4 Data'!U43*'Round 4 Points'!$Z$2</f>
        <v>0</v>
      </c>
      <c r="V43" s="36">
        <f>IF('Round 4 Data'!D43='Round 4 Points'!$K$1,D43/80*$K$2,0)</f>
        <v>8</v>
      </c>
      <c r="W43">
        <f t="shared" si="1"/>
        <v>45.8</v>
      </c>
    </row>
    <row r="44" spans="1:23" x14ac:dyDescent="0.2">
      <c r="A44" s="36" t="s">
        <v>68</v>
      </c>
      <c r="B44" s="36" t="str" cm="1">
        <f t="array" ref="B44:C44">_xlfn.XLOOKUP(A44,'Player List'!$A$2:$A$177,'Player List'!$B$2:$C$177)</f>
        <v>Wales</v>
      </c>
      <c r="C44" s="36" t="str">
        <v>Back Row</v>
      </c>
      <c r="D44" s="37">
        <v>60</v>
      </c>
      <c r="F44" s="37">
        <f>'Round 4 Data'!F44*'Round 4 Points'!L$2</f>
        <v>14</v>
      </c>
      <c r="G44" s="37">
        <f>'Round 4 Data'!G44*'Round 4 Points'!M$2</f>
        <v>0</v>
      </c>
      <c r="H44" s="37">
        <f>'Round 4 Data'!H44*'Round 4 Points'!N$2</f>
        <v>0</v>
      </c>
      <c r="I44" s="37">
        <f>'Round 4 Data'!I44*'Round 4 Points'!O$2</f>
        <v>3.8000000000000003</v>
      </c>
      <c r="J44" s="37">
        <f>'Round 4 Data'!J44*'Round 4 Points'!P$2</f>
        <v>0</v>
      </c>
      <c r="K44" s="37">
        <f>'Round 4 Data'!K44*'Round 4 Points'!Q$2</f>
        <v>0</v>
      </c>
      <c r="L44" s="37">
        <f>'Round 4 Data'!L44*'Round 4 Points'!R$2</f>
        <v>0</v>
      </c>
      <c r="M44" s="37">
        <f>'Round 4 Data'!M44*'Round 4 Points'!S$2</f>
        <v>0</v>
      </c>
      <c r="N44" s="37">
        <f>'Round 4 Data'!N44*'Round 4 Points'!T$2</f>
        <v>0</v>
      </c>
      <c r="O44" s="37">
        <f>'Round 4 Data'!O44*'Round 4 Points'!U$2</f>
        <v>0</v>
      </c>
      <c r="P44" s="37">
        <f>'Round 4 Data'!P44*'Round 4 Points'!V$2</f>
        <v>0</v>
      </c>
      <c r="Q44" s="37">
        <f>'Round 4 Data'!Q44*'Round 4 Points'!W$2</f>
        <v>0</v>
      </c>
      <c r="R44" s="37">
        <f>'Round 4 Data'!R44*'Round 4 Points'!X$2</f>
        <v>0</v>
      </c>
      <c r="S44" s="37">
        <f>'Round 4 Data'!S44*'Round 4 Points'!Y$2</f>
        <v>0</v>
      </c>
      <c r="T44" s="38">
        <f t="shared" si="0"/>
        <v>17.8</v>
      </c>
      <c r="U44" s="37">
        <f>'Round 4 Data'!U44*'Round 4 Points'!$Z$2</f>
        <v>0</v>
      </c>
      <c r="V44" s="36">
        <f>IF('Round 4 Data'!D44='Round 4 Points'!$K$1,D44/80*$K$2,0)</f>
        <v>6</v>
      </c>
      <c r="W44">
        <f t="shared" si="1"/>
        <v>23.8</v>
      </c>
    </row>
    <row r="45" spans="1:23" x14ac:dyDescent="0.2">
      <c r="A45" s="36" t="s">
        <v>69</v>
      </c>
      <c r="B45" s="36" t="str" cm="1">
        <f t="array" ref="B45:C45">_xlfn.XLOOKUP(A45,'Player List'!$A$2:$A$177,'Player List'!$B$2:$C$177)</f>
        <v>Wales</v>
      </c>
      <c r="C45" s="36" t="str">
        <v>Back Row</v>
      </c>
      <c r="D45" s="37">
        <v>20</v>
      </c>
      <c r="F45" s="37">
        <f>'Round 4 Data'!F45*'Round 4 Points'!L$2</f>
        <v>1</v>
      </c>
      <c r="G45" s="37">
        <f>'Round 4 Data'!G45*'Round 4 Points'!M$2</f>
        <v>0</v>
      </c>
      <c r="H45" s="37">
        <f>'Round 4 Data'!H45*'Round 4 Points'!N$2</f>
        <v>0</v>
      </c>
      <c r="I45" s="37">
        <f>'Round 4 Data'!I45*'Round 4 Points'!O$2</f>
        <v>0</v>
      </c>
      <c r="J45" s="37">
        <f>'Round 4 Data'!J45*'Round 4 Points'!P$2</f>
        <v>0</v>
      </c>
      <c r="K45" s="37">
        <f>'Round 4 Data'!K45*'Round 4 Points'!Q$2</f>
        <v>0</v>
      </c>
      <c r="L45" s="37">
        <f>'Round 4 Data'!L45*'Round 4 Points'!R$2</f>
        <v>0</v>
      </c>
      <c r="M45" s="37">
        <f>'Round 4 Data'!M45*'Round 4 Points'!S$2</f>
        <v>0</v>
      </c>
      <c r="N45" s="37">
        <f>'Round 4 Data'!N45*'Round 4 Points'!T$2</f>
        <v>0</v>
      </c>
      <c r="O45" s="37">
        <f>'Round 4 Data'!O45*'Round 4 Points'!U$2</f>
        <v>0</v>
      </c>
      <c r="P45" s="37">
        <f>'Round 4 Data'!P45*'Round 4 Points'!V$2</f>
        <v>0</v>
      </c>
      <c r="Q45" s="37">
        <f>'Round 4 Data'!Q45*'Round 4 Points'!W$2</f>
        <v>0</v>
      </c>
      <c r="R45" s="37">
        <f>'Round 4 Data'!R45*'Round 4 Points'!X$2</f>
        <v>0</v>
      </c>
      <c r="S45" s="37">
        <f>'Round 4 Data'!S45*'Round 4 Points'!Y$2</f>
        <v>0</v>
      </c>
      <c r="T45" s="38">
        <f t="shared" si="0"/>
        <v>1</v>
      </c>
      <c r="U45" s="37">
        <f>'Round 4 Data'!U45*'Round 4 Points'!$Z$2</f>
        <v>0</v>
      </c>
      <c r="V45" s="36">
        <f>IF('Round 4 Data'!D45='Round 4 Points'!$K$1,D45/80*$K$2,0)</f>
        <v>2</v>
      </c>
      <c r="W45">
        <f t="shared" si="1"/>
        <v>3</v>
      </c>
    </row>
    <row r="46" spans="1:23" x14ac:dyDescent="0.2">
      <c r="A46" s="36" t="s">
        <v>161</v>
      </c>
      <c r="B46" s="36" t="str" cm="1">
        <f t="array" ref="B46:C46">_xlfn.XLOOKUP(A46,'Player List'!$A$2:$A$177,'Player List'!$B$2:$C$177)</f>
        <v>Wales</v>
      </c>
      <c r="C46" s="36" t="str">
        <v>Back Row</v>
      </c>
      <c r="D46" s="37">
        <v>80</v>
      </c>
      <c r="F46" s="37">
        <f>'Round 4 Data'!F46*'Round 4 Points'!L$2</f>
        <v>8</v>
      </c>
      <c r="G46" s="37">
        <f>'Round 4 Data'!G46*'Round 4 Points'!M$2</f>
        <v>7</v>
      </c>
      <c r="H46" s="37">
        <f>'Round 4 Data'!H46*'Round 4 Points'!N$2</f>
        <v>0</v>
      </c>
      <c r="I46" s="37">
        <f>'Round 4 Data'!I46*'Round 4 Points'!O$2</f>
        <v>0.4</v>
      </c>
      <c r="J46" s="37">
        <f>'Round 4 Data'!J46*'Round 4 Points'!P$2</f>
        <v>0</v>
      </c>
      <c r="K46" s="37">
        <f>'Round 4 Data'!K46*'Round 4 Points'!Q$2</f>
        <v>14</v>
      </c>
      <c r="L46" s="37">
        <f>'Round 4 Data'!L46*'Round 4 Points'!R$2</f>
        <v>0</v>
      </c>
      <c r="M46" s="37">
        <f>'Round 4 Data'!M46*'Round 4 Points'!S$2</f>
        <v>0</v>
      </c>
      <c r="N46" s="37">
        <f>'Round 4 Data'!N46*'Round 4 Points'!T$2</f>
        <v>0</v>
      </c>
      <c r="O46" s="37">
        <f>'Round 4 Data'!O46*'Round 4 Points'!U$2</f>
        <v>0</v>
      </c>
      <c r="P46" s="37">
        <f>'Round 4 Data'!P46*'Round 4 Points'!V$2</f>
        <v>0</v>
      </c>
      <c r="Q46" s="37">
        <f>'Round 4 Data'!Q46*'Round 4 Points'!W$2</f>
        <v>0</v>
      </c>
      <c r="R46" s="37">
        <f>'Round 4 Data'!R46*'Round 4 Points'!X$2</f>
        <v>0</v>
      </c>
      <c r="S46" s="37">
        <f>'Round 4 Data'!S46*'Round 4 Points'!Y$2</f>
        <v>0</v>
      </c>
      <c r="T46" s="38">
        <f t="shared" si="0"/>
        <v>29.4</v>
      </c>
      <c r="U46" s="37">
        <f>'Round 4 Data'!U46*'Round 4 Points'!$Z$2</f>
        <v>0</v>
      </c>
      <c r="V46" s="36">
        <f>IF('Round 4 Data'!D46='Round 4 Points'!$K$1,D46/80*$K$2,0)</f>
        <v>8</v>
      </c>
      <c r="W46">
        <f t="shared" si="1"/>
        <v>37.4</v>
      </c>
    </row>
    <row r="47" spans="1:23" x14ac:dyDescent="0.2">
      <c r="A47" s="36" t="s">
        <v>70</v>
      </c>
      <c r="B47" s="36" t="str" cm="1">
        <f t="array" ref="B47:C47">_xlfn.XLOOKUP(A47,'Player List'!$A$2:$A$177,'Player List'!$B$2:$C$177)</f>
        <v>Wales</v>
      </c>
      <c r="C47" s="36" t="str">
        <v>Second Row</v>
      </c>
      <c r="D47" s="37">
        <v>80</v>
      </c>
      <c r="F47" s="37">
        <f>'Round 4 Data'!F47*'Round 4 Points'!L$2</f>
        <v>5</v>
      </c>
      <c r="G47" s="37">
        <f>'Round 4 Data'!G47*'Round 4 Points'!M$2</f>
        <v>0</v>
      </c>
      <c r="H47" s="37">
        <f>'Round 4 Data'!H47*'Round 4 Points'!N$2</f>
        <v>0</v>
      </c>
      <c r="I47" s="37">
        <f>'Round 4 Data'!I47*'Round 4 Points'!O$2</f>
        <v>0.4</v>
      </c>
      <c r="J47" s="37">
        <f>'Round 4 Data'!J47*'Round 4 Points'!P$2</f>
        <v>0</v>
      </c>
      <c r="K47" s="37">
        <f>'Round 4 Data'!K47*'Round 4 Points'!Q$2</f>
        <v>7</v>
      </c>
      <c r="L47" s="37">
        <f>'Round 4 Data'!L47*'Round 4 Points'!R$2</f>
        <v>7</v>
      </c>
      <c r="M47" s="37">
        <f>'Round 4 Data'!M47*'Round 4 Points'!S$2</f>
        <v>0</v>
      </c>
      <c r="N47" s="37">
        <f>'Round 4 Data'!N47*'Round 4 Points'!T$2</f>
        <v>0</v>
      </c>
      <c r="O47" s="37">
        <f>'Round 4 Data'!O47*'Round 4 Points'!U$2</f>
        <v>0</v>
      </c>
      <c r="P47" s="37">
        <f>'Round 4 Data'!P47*'Round 4 Points'!V$2</f>
        <v>0</v>
      </c>
      <c r="Q47" s="37">
        <f>'Round 4 Data'!Q47*'Round 4 Points'!W$2</f>
        <v>0</v>
      </c>
      <c r="R47" s="37">
        <f>'Round 4 Data'!R47*'Round 4 Points'!X$2</f>
        <v>0</v>
      </c>
      <c r="S47" s="37">
        <f>'Round 4 Data'!S47*'Round 4 Points'!Y$2</f>
        <v>0</v>
      </c>
      <c r="T47" s="38">
        <f t="shared" si="0"/>
        <v>19.399999999999999</v>
      </c>
      <c r="U47" s="37">
        <f>'Round 4 Data'!U47*'Round 4 Points'!$Z$2</f>
        <v>0</v>
      </c>
      <c r="V47" s="36">
        <f>IF('Round 4 Data'!D47='Round 4 Points'!$K$1,D47/80*$K$2,0)</f>
        <v>8</v>
      </c>
      <c r="W47">
        <f t="shared" si="1"/>
        <v>27.4</v>
      </c>
    </row>
    <row r="48" spans="1:23" x14ac:dyDescent="0.2">
      <c r="A48" s="36" t="s">
        <v>71</v>
      </c>
      <c r="B48" s="36" t="str" cm="1">
        <f t="array" ref="B48:C48">_xlfn.XLOOKUP(A48,'Player List'!$A$2:$A$177,'Player List'!$B$2:$C$177)</f>
        <v>Wales</v>
      </c>
      <c r="C48" s="36" t="str">
        <v>Second Row</v>
      </c>
      <c r="D48" s="37">
        <v>11</v>
      </c>
      <c r="F48" s="37">
        <f>'Round 4 Data'!F48*'Round 4 Points'!L$2</f>
        <v>2</v>
      </c>
      <c r="G48" s="37">
        <f>'Round 4 Data'!G48*'Round 4 Points'!M$2</f>
        <v>0</v>
      </c>
      <c r="H48" s="37">
        <f>'Round 4 Data'!H48*'Round 4 Points'!N$2</f>
        <v>0</v>
      </c>
      <c r="I48" s="37">
        <f>'Round 4 Data'!I48*'Round 4 Points'!O$2</f>
        <v>0.4</v>
      </c>
      <c r="J48" s="37">
        <f>'Round 4 Data'!J48*'Round 4 Points'!P$2</f>
        <v>0</v>
      </c>
      <c r="K48" s="37">
        <f>'Round 4 Data'!K48*'Round 4 Points'!Q$2</f>
        <v>0</v>
      </c>
      <c r="L48" s="37">
        <f>'Round 4 Data'!L48*'Round 4 Points'!R$2</f>
        <v>0</v>
      </c>
      <c r="M48" s="37">
        <f>'Round 4 Data'!M48*'Round 4 Points'!S$2</f>
        <v>0</v>
      </c>
      <c r="N48" s="37">
        <f>'Round 4 Data'!N48*'Round 4 Points'!T$2</f>
        <v>0</v>
      </c>
      <c r="O48" s="37">
        <f>'Round 4 Data'!O48*'Round 4 Points'!U$2</f>
        <v>0</v>
      </c>
      <c r="P48" s="37">
        <f>'Round 4 Data'!P48*'Round 4 Points'!V$2</f>
        <v>0</v>
      </c>
      <c r="Q48" s="37">
        <f>'Round 4 Data'!Q48*'Round 4 Points'!W$2</f>
        <v>0</v>
      </c>
      <c r="R48" s="37">
        <f>'Round 4 Data'!R48*'Round 4 Points'!X$2</f>
        <v>0</v>
      </c>
      <c r="S48" s="37">
        <f>'Round 4 Data'!S48*'Round 4 Points'!Y$2</f>
        <v>0</v>
      </c>
      <c r="T48" s="38">
        <f t="shared" si="0"/>
        <v>2.4</v>
      </c>
      <c r="U48" s="37">
        <f>'Round 4 Data'!U48*'Round 4 Points'!$Z$2</f>
        <v>0</v>
      </c>
      <c r="V48" s="36">
        <f>IF('Round 4 Data'!D48='Round 4 Points'!$K$1,D48/80*$K$2,0)</f>
        <v>1.1000000000000001</v>
      </c>
      <c r="W48">
        <f t="shared" si="1"/>
        <v>3.5</v>
      </c>
    </row>
    <row r="49" spans="1:23" x14ac:dyDescent="0.2">
      <c r="A49" s="36" t="s">
        <v>72</v>
      </c>
      <c r="B49" s="36" t="str" cm="1">
        <f t="array" ref="B49:C49">_xlfn.XLOOKUP(A49,'Player List'!$A$2:$A$177,'Player List'!$B$2:$C$177)</f>
        <v>Wales</v>
      </c>
      <c r="C49" s="36" t="str">
        <v>Second Row</v>
      </c>
      <c r="D49" s="37">
        <v>69</v>
      </c>
      <c r="F49" s="37">
        <f>'Round 4 Data'!F49*'Round 4 Points'!L$2</f>
        <v>13</v>
      </c>
      <c r="G49" s="37">
        <f>'Round 4 Data'!G49*'Round 4 Points'!M$2</f>
        <v>7</v>
      </c>
      <c r="H49" s="37">
        <f>'Round 4 Data'!H49*'Round 4 Points'!N$2</f>
        <v>0</v>
      </c>
      <c r="I49" s="37">
        <f>'Round 4 Data'!I49*'Round 4 Points'!O$2</f>
        <v>0.2</v>
      </c>
      <c r="J49" s="37">
        <f>'Round 4 Data'!J49*'Round 4 Points'!P$2</f>
        <v>0</v>
      </c>
      <c r="K49" s="37">
        <f>'Round 4 Data'!K49*'Round 4 Points'!Q$2</f>
        <v>0</v>
      </c>
      <c r="L49" s="37">
        <f>'Round 4 Data'!L49*'Round 4 Points'!R$2</f>
        <v>0</v>
      </c>
      <c r="M49" s="37">
        <f>'Round 4 Data'!M49*'Round 4 Points'!S$2</f>
        <v>0</v>
      </c>
      <c r="N49" s="37">
        <f>'Round 4 Data'!N49*'Round 4 Points'!T$2</f>
        <v>0</v>
      </c>
      <c r="O49" s="37">
        <f>'Round 4 Data'!O49*'Round 4 Points'!U$2</f>
        <v>0</v>
      </c>
      <c r="P49" s="37">
        <f>'Round 4 Data'!P49*'Round 4 Points'!V$2</f>
        <v>0</v>
      </c>
      <c r="Q49" s="37">
        <f>'Round 4 Data'!Q49*'Round 4 Points'!W$2</f>
        <v>0</v>
      </c>
      <c r="R49" s="37">
        <f>'Round 4 Data'!R49*'Round 4 Points'!X$2</f>
        <v>0</v>
      </c>
      <c r="S49" s="37">
        <f>'Round 4 Data'!S49*'Round 4 Points'!Y$2</f>
        <v>0</v>
      </c>
      <c r="T49" s="38">
        <f t="shared" si="0"/>
        <v>20.2</v>
      </c>
      <c r="U49" s="37">
        <f>'Round 4 Data'!U49*'Round 4 Points'!$Z$2</f>
        <v>0</v>
      </c>
      <c r="V49" s="36">
        <f>IF('Round 4 Data'!D49='Round 4 Points'!$K$1,D49/80*$K$2,0)</f>
        <v>6.9</v>
      </c>
      <c r="W49">
        <f t="shared" si="1"/>
        <v>27.1</v>
      </c>
    </row>
    <row r="50" spans="1:23" x14ac:dyDescent="0.2">
      <c r="A50" s="36" t="s">
        <v>163</v>
      </c>
      <c r="B50" s="36" t="str" cm="1">
        <f t="array" ref="B50:C50">_xlfn.XLOOKUP(A50,'Player List'!$A$2:$A$177,'Player List'!$B$2:$C$177)</f>
        <v>Wales</v>
      </c>
      <c r="C50" s="36" t="str">
        <v>Prop</v>
      </c>
      <c r="D50" s="37">
        <v>53</v>
      </c>
      <c r="F50" s="37">
        <f>'Round 4 Data'!F50*'Round 4 Points'!L$2</f>
        <v>7</v>
      </c>
      <c r="G50" s="37">
        <f>'Round 4 Data'!G50*'Round 4 Points'!M$2</f>
        <v>0</v>
      </c>
      <c r="H50" s="37">
        <f>'Round 4 Data'!H50*'Round 4 Points'!N$2</f>
        <v>0</v>
      </c>
      <c r="I50" s="37">
        <f>'Round 4 Data'!I50*'Round 4 Points'!O$2</f>
        <v>1</v>
      </c>
      <c r="J50" s="37">
        <f>'Round 4 Data'!J50*'Round 4 Points'!P$2</f>
        <v>0</v>
      </c>
      <c r="K50" s="37">
        <f>'Round 4 Data'!K50*'Round 4 Points'!Q$2</f>
        <v>0</v>
      </c>
      <c r="L50" s="37">
        <f>'Round 4 Data'!L50*'Round 4 Points'!R$2</f>
        <v>0</v>
      </c>
      <c r="M50" s="37">
        <f>'Round 4 Data'!M50*'Round 4 Points'!S$2</f>
        <v>0</v>
      </c>
      <c r="N50" s="37">
        <f>'Round 4 Data'!N50*'Round 4 Points'!T$2</f>
        <v>0</v>
      </c>
      <c r="O50" s="37">
        <f>'Round 4 Data'!O50*'Round 4 Points'!U$2</f>
        <v>0</v>
      </c>
      <c r="P50" s="37">
        <f>'Round 4 Data'!P50*'Round 4 Points'!V$2</f>
        <v>0</v>
      </c>
      <c r="Q50" s="37">
        <f>'Round 4 Data'!Q50*'Round 4 Points'!W$2</f>
        <v>0</v>
      </c>
      <c r="R50" s="37">
        <f>'Round 4 Data'!R50*'Round 4 Points'!X$2</f>
        <v>0</v>
      </c>
      <c r="S50" s="37">
        <f>'Round 4 Data'!S50*'Round 4 Points'!Y$2</f>
        <v>0</v>
      </c>
      <c r="T50" s="38">
        <f t="shared" si="0"/>
        <v>8</v>
      </c>
      <c r="U50" s="37">
        <f>'Round 4 Data'!U50*'Round 4 Points'!$Z$2</f>
        <v>0</v>
      </c>
      <c r="V50" s="36">
        <f>IF('Round 4 Data'!D50='Round 4 Points'!$K$1,D50/80*$K$2,0)</f>
        <v>5.3</v>
      </c>
      <c r="W50">
        <f t="shared" si="1"/>
        <v>13.3</v>
      </c>
    </row>
    <row r="51" spans="1:23" x14ac:dyDescent="0.2">
      <c r="A51" s="36" t="s">
        <v>76</v>
      </c>
      <c r="B51" s="36" t="str" cm="1">
        <f t="array" ref="B51:C51">_xlfn.XLOOKUP(A51,'Player List'!$A$2:$A$177,'Player List'!$B$2:$C$177)</f>
        <v>Wales</v>
      </c>
      <c r="C51" s="36" t="str">
        <v>Prop</v>
      </c>
      <c r="D51" s="37">
        <v>45</v>
      </c>
      <c r="F51" s="37">
        <f>'Round 4 Data'!F51*'Round 4 Points'!L$2</f>
        <v>4</v>
      </c>
      <c r="G51" s="37">
        <f>'Round 4 Data'!G51*'Round 4 Points'!M$2</f>
        <v>0</v>
      </c>
      <c r="H51" s="37">
        <f>'Round 4 Data'!H51*'Round 4 Points'!N$2</f>
        <v>0</v>
      </c>
      <c r="I51" s="37">
        <f>'Round 4 Data'!I51*'Round 4 Points'!O$2</f>
        <v>3</v>
      </c>
      <c r="J51" s="37">
        <f>'Round 4 Data'!J51*'Round 4 Points'!P$2</f>
        <v>0</v>
      </c>
      <c r="K51" s="37">
        <f>'Round 4 Data'!K51*'Round 4 Points'!Q$2</f>
        <v>0</v>
      </c>
      <c r="L51" s="37">
        <f>'Round 4 Data'!L51*'Round 4 Points'!R$2</f>
        <v>0</v>
      </c>
      <c r="M51" s="37">
        <f>'Round 4 Data'!M51*'Round 4 Points'!S$2</f>
        <v>0</v>
      </c>
      <c r="N51" s="37">
        <f>'Round 4 Data'!N51*'Round 4 Points'!T$2</f>
        <v>0</v>
      </c>
      <c r="O51" s="37">
        <f>'Round 4 Data'!O51*'Round 4 Points'!U$2</f>
        <v>0</v>
      </c>
      <c r="P51" s="37">
        <f>'Round 4 Data'!P51*'Round 4 Points'!V$2</f>
        <v>0</v>
      </c>
      <c r="Q51" s="37">
        <f>'Round 4 Data'!Q51*'Round 4 Points'!W$2</f>
        <v>0</v>
      </c>
      <c r="R51" s="37">
        <f>'Round 4 Data'!R51*'Round 4 Points'!X$2</f>
        <v>0</v>
      </c>
      <c r="S51" s="37">
        <f>'Round 4 Data'!S51*'Round 4 Points'!Y$2</f>
        <v>0</v>
      </c>
      <c r="T51" s="38">
        <f t="shared" si="0"/>
        <v>7</v>
      </c>
      <c r="U51" s="37">
        <f>'Round 4 Data'!U51*'Round 4 Points'!$Z$2</f>
        <v>0</v>
      </c>
      <c r="V51" s="36">
        <f>IF('Round 4 Data'!D51='Round 4 Points'!$K$1,D51/80*$K$2,0)</f>
        <v>4.5</v>
      </c>
      <c r="W51">
        <f t="shared" si="1"/>
        <v>11.5</v>
      </c>
    </row>
    <row r="52" spans="1:23" x14ac:dyDescent="0.2">
      <c r="A52" s="36" t="s">
        <v>77</v>
      </c>
      <c r="B52" s="36" t="str" cm="1">
        <f t="array" ref="B52:C52">_xlfn.XLOOKUP(A52,'Player List'!$A$2:$A$177,'Player List'!$B$2:$C$177)</f>
        <v>Wales</v>
      </c>
      <c r="C52" s="36" t="str">
        <v>Prop</v>
      </c>
      <c r="D52" s="37">
        <v>27</v>
      </c>
      <c r="F52" s="37">
        <f>'Round 4 Data'!F52*'Round 4 Points'!L$2</f>
        <v>4</v>
      </c>
      <c r="G52" s="37">
        <f>'Round 4 Data'!G52*'Round 4 Points'!M$2</f>
        <v>0</v>
      </c>
      <c r="H52" s="37">
        <f>'Round 4 Data'!H52*'Round 4 Points'!N$2</f>
        <v>0</v>
      </c>
      <c r="I52" s="37">
        <f>'Round 4 Data'!I52*'Round 4 Points'!O$2</f>
        <v>0</v>
      </c>
      <c r="J52" s="37">
        <f>'Round 4 Data'!J52*'Round 4 Points'!P$2</f>
        <v>0</v>
      </c>
      <c r="K52" s="37">
        <f>'Round 4 Data'!K52*'Round 4 Points'!Q$2</f>
        <v>0</v>
      </c>
      <c r="L52" s="37">
        <f>'Round 4 Data'!L52*'Round 4 Points'!R$2</f>
        <v>0</v>
      </c>
      <c r="M52" s="37">
        <f>'Round 4 Data'!M52*'Round 4 Points'!S$2</f>
        <v>0</v>
      </c>
      <c r="N52" s="37">
        <f>'Round 4 Data'!N52*'Round 4 Points'!T$2</f>
        <v>0</v>
      </c>
      <c r="O52" s="37">
        <f>'Round 4 Data'!O52*'Round 4 Points'!U$2</f>
        <v>0</v>
      </c>
      <c r="P52" s="37">
        <f>'Round 4 Data'!P52*'Round 4 Points'!V$2</f>
        <v>0</v>
      </c>
      <c r="Q52" s="37">
        <f>'Round 4 Data'!Q52*'Round 4 Points'!W$2</f>
        <v>0</v>
      </c>
      <c r="R52" s="37">
        <f>'Round 4 Data'!R52*'Round 4 Points'!X$2</f>
        <v>0</v>
      </c>
      <c r="S52" s="37">
        <f>'Round 4 Data'!S52*'Round 4 Points'!Y$2</f>
        <v>0</v>
      </c>
      <c r="T52" s="38">
        <f t="shared" si="0"/>
        <v>4</v>
      </c>
      <c r="U52" s="37">
        <f>'Round 4 Data'!U52*'Round 4 Points'!$Z$2</f>
        <v>0</v>
      </c>
      <c r="V52" s="36">
        <f>IF('Round 4 Data'!D52='Round 4 Points'!$K$1,D52/80*$K$2,0)</f>
        <v>2.7</v>
      </c>
      <c r="W52">
        <f t="shared" si="1"/>
        <v>6.7</v>
      </c>
    </row>
    <row r="53" spans="1:23" x14ac:dyDescent="0.2">
      <c r="A53" s="36" t="s">
        <v>164</v>
      </c>
      <c r="B53" s="36" t="str" cm="1">
        <f t="array" ref="B53:C53">_xlfn.XLOOKUP(A53,'Player List'!$A$2:$A$177,'Player List'!$B$2:$C$177)</f>
        <v>Wales</v>
      </c>
      <c r="C53" s="36" t="str">
        <v>Prop</v>
      </c>
      <c r="D53" s="37">
        <v>35</v>
      </c>
      <c r="F53" s="37">
        <f>'Round 4 Data'!F53*'Round 4 Points'!L$2</f>
        <v>3</v>
      </c>
      <c r="G53" s="37">
        <f>'Round 4 Data'!G53*'Round 4 Points'!M$2</f>
        <v>0</v>
      </c>
      <c r="H53" s="37">
        <f>'Round 4 Data'!H53*'Round 4 Points'!N$2</f>
        <v>0</v>
      </c>
      <c r="I53" s="37">
        <f>'Round 4 Data'!I53*'Round 4 Points'!O$2</f>
        <v>1</v>
      </c>
      <c r="J53" s="37">
        <f>'Round 4 Data'!J53*'Round 4 Points'!P$2</f>
        <v>0</v>
      </c>
      <c r="K53" s="37">
        <f>'Round 4 Data'!K53*'Round 4 Points'!Q$2</f>
        <v>0</v>
      </c>
      <c r="L53" s="37">
        <f>'Round 4 Data'!L53*'Round 4 Points'!R$2</f>
        <v>0</v>
      </c>
      <c r="M53" s="37">
        <f>'Round 4 Data'!M53*'Round 4 Points'!S$2</f>
        <v>0</v>
      </c>
      <c r="N53" s="37">
        <f>'Round 4 Data'!N53*'Round 4 Points'!T$2</f>
        <v>0</v>
      </c>
      <c r="O53" s="37">
        <f>'Round 4 Data'!O53*'Round 4 Points'!U$2</f>
        <v>0</v>
      </c>
      <c r="P53" s="37">
        <f>'Round 4 Data'!P53*'Round 4 Points'!V$2</f>
        <v>0</v>
      </c>
      <c r="Q53" s="37">
        <f>'Round 4 Data'!Q53*'Round 4 Points'!W$2</f>
        <v>0</v>
      </c>
      <c r="R53" s="37">
        <f>'Round 4 Data'!R53*'Round 4 Points'!X$2</f>
        <v>0</v>
      </c>
      <c r="S53" s="37">
        <f>'Round 4 Data'!S53*'Round 4 Points'!Y$2</f>
        <v>0</v>
      </c>
      <c r="T53" s="38">
        <f t="shared" si="0"/>
        <v>4</v>
      </c>
      <c r="U53" s="37">
        <f>'Round 4 Data'!U53*'Round 4 Points'!$Z$2</f>
        <v>0</v>
      </c>
      <c r="V53" s="36">
        <f>IF('Round 4 Data'!D53='Round 4 Points'!$K$1,D53/80*$K$2,0)</f>
        <v>3.5</v>
      </c>
      <c r="W53">
        <f t="shared" si="1"/>
        <v>7.5</v>
      </c>
    </row>
    <row r="54" spans="1:23" x14ac:dyDescent="0.2">
      <c r="A54" s="36" t="s">
        <v>78</v>
      </c>
      <c r="B54" s="36" t="str" cm="1">
        <f t="array" ref="B54:C54">_xlfn.XLOOKUP(A54,'Player List'!$A$2:$A$177,'Player List'!$B$2:$C$177)</f>
        <v>Wales</v>
      </c>
      <c r="C54" s="36" t="str">
        <v>Hooker</v>
      </c>
      <c r="D54" s="37">
        <v>6</v>
      </c>
      <c r="F54" s="37">
        <f>'Round 4 Data'!F54*'Round 4 Points'!L$2</f>
        <v>2</v>
      </c>
      <c r="G54" s="37">
        <f>'Round 4 Data'!G54*'Round 4 Points'!M$2</f>
        <v>0</v>
      </c>
      <c r="H54" s="37">
        <f>'Round 4 Data'!H54*'Round 4 Points'!N$2</f>
        <v>0</v>
      </c>
      <c r="I54" s="37">
        <f>'Round 4 Data'!I54*'Round 4 Points'!O$2</f>
        <v>0</v>
      </c>
      <c r="J54" s="37">
        <f>'Round 4 Data'!J54*'Round 4 Points'!P$2</f>
        <v>0</v>
      </c>
      <c r="K54" s="37">
        <f>'Round 4 Data'!K54*'Round 4 Points'!Q$2</f>
        <v>0</v>
      </c>
      <c r="L54" s="37">
        <f>'Round 4 Data'!L54*'Round 4 Points'!R$2</f>
        <v>0</v>
      </c>
      <c r="M54" s="37">
        <f>'Round 4 Data'!M54*'Round 4 Points'!S$2</f>
        <v>0</v>
      </c>
      <c r="N54" s="37">
        <f>'Round 4 Data'!N54*'Round 4 Points'!T$2</f>
        <v>0</v>
      </c>
      <c r="O54" s="37">
        <f>'Round 4 Data'!O54*'Round 4 Points'!U$2</f>
        <v>0</v>
      </c>
      <c r="P54" s="37">
        <f>'Round 4 Data'!P54*'Round 4 Points'!V$2</f>
        <v>0</v>
      </c>
      <c r="Q54" s="37">
        <f>'Round 4 Data'!Q54*'Round 4 Points'!W$2</f>
        <v>0</v>
      </c>
      <c r="R54" s="37">
        <f>'Round 4 Data'!R54*'Round 4 Points'!X$2</f>
        <v>0</v>
      </c>
      <c r="S54" s="37">
        <f>'Round 4 Data'!S54*'Round 4 Points'!Y$2</f>
        <v>0</v>
      </c>
      <c r="T54" s="38">
        <f t="shared" si="0"/>
        <v>2</v>
      </c>
      <c r="U54" s="37">
        <f>'Round 4 Data'!U54*'Round 4 Points'!$Z$2</f>
        <v>0</v>
      </c>
      <c r="V54" s="36">
        <f>IF('Round 4 Data'!D54='Round 4 Points'!$K$1,D54/80*$K$2,0)</f>
        <v>0.6</v>
      </c>
      <c r="W54">
        <f t="shared" si="1"/>
        <v>2.6</v>
      </c>
    </row>
    <row r="55" spans="1:23" x14ac:dyDescent="0.2">
      <c r="A55" s="36" t="s">
        <v>79</v>
      </c>
      <c r="B55" s="36" t="str" cm="1">
        <f t="array" ref="B55:C55">_xlfn.XLOOKUP(A55,'Player List'!$A$2:$A$177,'Player List'!$B$2:$C$177)</f>
        <v>Wales</v>
      </c>
      <c r="C55" s="36" t="str">
        <v>Hooker</v>
      </c>
      <c r="D55" s="37">
        <v>74</v>
      </c>
      <c r="F55" s="37">
        <f>'Round 4 Data'!F55*'Round 4 Points'!L$2</f>
        <v>12</v>
      </c>
      <c r="G55" s="37">
        <f>'Round 4 Data'!G55*'Round 4 Points'!M$2</f>
        <v>0</v>
      </c>
      <c r="H55" s="37">
        <f>'Round 4 Data'!H55*'Round 4 Points'!N$2</f>
        <v>0</v>
      </c>
      <c r="I55" s="37">
        <f>'Round 4 Data'!I55*'Round 4 Points'!O$2</f>
        <v>2.4000000000000004</v>
      </c>
      <c r="J55" s="37">
        <f>'Round 4 Data'!J55*'Round 4 Points'!P$2</f>
        <v>0</v>
      </c>
      <c r="K55" s="37">
        <f>'Round 4 Data'!K55*'Round 4 Points'!Q$2</f>
        <v>0</v>
      </c>
      <c r="L55" s="37">
        <f>'Round 4 Data'!L55*'Round 4 Points'!R$2</f>
        <v>0</v>
      </c>
      <c r="M55" s="37">
        <f>'Round 4 Data'!M55*'Round 4 Points'!S$2</f>
        <v>0</v>
      </c>
      <c r="N55" s="37">
        <f>'Round 4 Data'!N55*'Round 4 Points'!T$2</f>
        <v>0</v>
      </c>
      <c r="O55" s="37">
        <f>'Round 4 Data'!O55*'Round 4 Points'!U$2</f>
        <v>0</v>
      </c>
      <c r="P55" s="37">
        <f>'Round 4 Data'!P55*'Round 4 Points'!V$2</f>
        <v>0</v>
      </c>
      <c r="Q55" s="37">
        <f>'Round 4 Data'!Q55*'Round 4 Points'!W$2</f>
        <v>0</v>
      </c>
      <c r="R55" s="37">
        <f>'Round 4 Data'!R55*'Round 4 Points'!X$2</f>
        <v>0</v>
      </c>
      <c r="S55" s="37">
        <f>'Round 4 Data'!S55*'Round 4 Points'!Y$2</f>
        <v>0</v>
      </c>
      <c r="T55" s="38">
        <f t="shared" si="0"/>
        <v>14.4</v>
      </c>
      <c r="U55" s="37">
        <f>'Round 4 Data'!U55*'Round 4 Points'!$Z$2</f>
        <v>0</v>
      </c>
      <c r="V55" s="36">
        <f>IF('Round 4 Data'!D55='Round 4 Points'!$K$1,D55/80*$K$2,0)</f>
        <v>7.4</v>
      </c>
      <c r="W55">
        <f t="shared" si="1"/>
        <v>21.8</v>
      </c>
    </row>
    <row r="56" spans="1:23" x14ac:dyDescent="0.2">
      <c r="A56" s="36" t="s">
        <v>80</v>
      </c>
      <c r="B56" s="36" t="str" cm="1">
        <f t="array" ref="B56:C56">_xlfn.XLOOKUP(A56,'Player List'!$A$2:$A$177,'Player List'!$B$2:$C$177)</f>
        <v>England</v>
      </c>
      <c r="C56" s="36" t="str">
        <v>Back Three</v>
      </c>
      <c r="D56" s="37">
        <v>22</v>
      </c>
      <c r="F56" s="37">
        <f>'Round 4 Data'!F56*'Round 4 Points'!L$2</f>
        <v>1</v>
      </c>
      <c r="G56" s="37">
        <f>'Round 4 Data'!G56*'Round 4 Points'!M$2</f>
        <v>0</v>
      </c>
      <c r="H56" s="37">
        <f>'Round 4 Data'!H56*'Round 4 Points'!N$2</f>
        <v>0</v>
      </c>
      <c r="I56" s="37">
        <f>'Round 4 Data'!I56*'Round 4 Points'!O$2</f>
        <v>2.8000000000000003</v>
      </c>
      <c r="J56" s="37">
        <f>'Round 4 Data'!J56*'Round 4 Points'!P$2</f>
        <v>0</v>
      </c>
      <c r="K56" s="37">
        <f>'Round 4 Data'!K56*'Round 4 Points'!Q$2</f>
        <v>0</v>
      </c>
      <c r="L56" s="37">
        <f>'Round 4 Data'!L56*'Round 4 Points'!R$2</f>
        <v>0</v>
      </c>
      <c r="M56" s="37">
        <f>'Round 4 Data'!M56*'Round 4 Points'!S$2</f>
        <v>0</v>
      </c>
      <c r="N56" s="37">
        <f>'Round 4 Data'!N56*'Round 4 Points'!T$2</f>
        <v>0</v>
      </c>
      <c r="O56" s="37">
        <f>'Round 4 Data'!O56*'Round 4 Points'!U$2</f>
        <v>0</v>
      </c>
      <c r="P56" s="37">
        <f>'Round 4 Data'!P56*'Round 4 Points'!V$2</f>
        <v>0</v>
      </c>
      <c r="Q56" s="37">
        <f>'Round 4 Data'!Q56*'Round 4 Points'!W$2</f>
        <v>0</v>
      </c>
      <c r="R56" s="37">
        <f>'Round 4 Data'!R56*'Round 4 Points'!X$2</f>
        <v>0</v>
      </c>
      <c r="S56" s="37">
        <f>'Round 4 Data'!S56*'Round 4 Points'!Y$2</f>
        <v>0</v>
      </c>
      <c r="T56" s="38">
        <f t="shared" si="0"/>
        <v>3.8000000000000003</v>
      </c>
      <c r="U56" s="37">
        <f>'Round 4 Data'!U56*'Round 4 Points'!$Z$2</f>
        <v>0</v>
      </c>
      <c r="V56" s="36">
        <f>IF('Round 4 Data'!D56='Round 4 Points'!$K$1,D56/80*$K$2,0)</f>
        <v>0</v>
      </c>
      <c r="W56">
        <f t="shared" si="1"/>
        <v>3.8000000000000003</v>
      </c>
    </row>
    <row r="57" spans="1:23" x14ac:dyDescent="0.2">
      <c r="A57" s="36" t="s">
        <v>82</v>
      </c>
      <c r="B57" s="36" t="str" cm="1">
        <f t="array" ref="B57:C57">_xlfn.XLOOKUP(A57,'Player List'!$A$2:$A$177,'Player List'!$B$2:$C$177)</f>
        <v>England</v>
      </c>
      <c r="C57" s="36" t="str">
        <v>Back Three</v>
      </c>
      <c r="D57" s="37">
        <v>58</v>
      </c>
      <c r="F57" s="37">
        <f>'Round 4 Data'!F57*'Round 4 Points'!L$2</f>
        <v>7</v>
      </c>
      <c r="G57" s="37">
        <f>'Round 4 Data'!G57*'Round 4 Points'!M$2</f>
        <v>0</v>
      </c>
      <c r="H57" s="37">
        <f>'Round 4 Data'!H57*'Round 4 Points'!N$2</f>
        <v>0</v>
      </c>
      <c r="I57" s="37">
        <f>'Round 4 Data'!I57*'Round 4 Points'!O$2</f>
        <v>8</v>
      </c>
      <c r="J57" s="37">
        <f>'Round 4 Data'!J57*'Round 4 Points'!P$2</f>
        <v>0</v>
      </c>
      <c r="K57" s="37">
        <f>'Round 4 Data'!K57*'Round 4 Points'!Q$2</f>
        <v>0</v>
      </c>
      <c r="L57" s="37">
        <f>'Round 4 Data'!L57*'Round 4 Points'!R$2</f>
        <v>0</v>
      </c>
      <c r="M57" s="37">
        <f>'Round 4 Data'!M57*'Round 4 Points'!S$2</f>
        <v>0</v>
      </c>
      <c r="N57" s="37">
        <f>'Round 4 Data'!N57*'Round 4 Points'!T$2</f>
        <v>0</v>
      </c>
      <c r="O57" s="37">
        <f>'Round 4 Data'!O57*'Round 4 Points'!U$2</f>
        <v>0</v>
      </c>
      <c r="P57" s="37">
        <f>'Round 4 Data'!P57*'Round 4 Points'!V$2</f>
        <v>0</v>
      </c>
      <c r="Q57" s="37">
        <f>'Round 4 Data'!Q57*'Round 4 Points'!W$2</f>
        <v>0</v>
      </c>
      <c r="R57" s="37">
        <f>'Round 4 Data'!R57*'Round 4 Points'!X$2</f>
        <v>0</v>
      </c>
      <c r="S57" s="37">
        <f>'Round 4 Data'!S57*'Round 4 Points'!Y$2</f>
        <v>0</v>
      </c>
      <c r="T57" s="38">
        <f t="shared" si="0"/>
        <v>15</v>
      </c>
      <c r="U57" s="37">
        <f>'Round 4 Data'!U57*'Round 4 Points'!$Z$2</f>
        <v>0</v>
      </c>
      <c r="V57" s="36">
        <f>IF('Round 4 Data'!D57='Round 4 Points'!$K$1,D57/80*$K$2,0)</f>
        <v>0</v>
      </c>
      <c r="W57">
        <f t="shared" si="1"/>
        <v>15</v>
      </c>
    </row>
    <row r="58" spans="1:23" x14ac:dyDescent="0.2">
      <c r="A58" s="36" t="s">
        <v>83</v>
      </c>
      <c r="B58" s="36" t="str" cm="1">
        <f t="array" ref="B58:C58">_xlfn.XLOOKUP(A58,'Player List'!$A$2:$A$177,'Player List'!$B$2:$C$177)</f>
        <v>England</v>
      </c>
      <c r="C58" s="36" t="str">
        <v>Back Three</v>
      </c>
      <c r="D58" s="37">
        <v>80</v>
      </c>
      <c r="F58" s="37">
        <f>'Round 4 Data'!F58*'Round 4 Points'!L$2</f>
        <v>2</v>
      </c>
      <c r="G58" s="37">
        <f>'Round 4 Data'!G58*'Round 4 Points'!M$2</f>
        <v>7</v>
      </c>
      <c r="H58" s="37">
        <f>'Round 4 Data'!H58*'Round 4 Points'!N$2</f>
        <v>0</v>
      </c>
      <c r="I58" s="37">
        <f>'Round 4 Data'!I58*'Round 4 Points'!O$2</f>
        <v>32.6</v>
      </c>
      <c r="J58" s="37">
        <f>'Round 4 Data'!J58*'Round 4 Points'!P$2</f>
        <v>0</v>
      </c>
      <c r="K58" s="37">
        <f>'Round 4 Data'!K58*'Round 4 Points'!Q$2</f>
        <v>0</v>
      </c>
      <c r="L58" s="37">
        <f>'Round 4 Data'!L58*'Round 4 Points'!R$2</f>
        <v>0</v>
      </c>
      <c r="M58" s="37">
        <f>'Round 4 Data'!M58*'Round 4 Points'!S$2</f>
        <v>15</v>
      </c>
      <c r="N58" s="37">
        <f>'Round 4 Data'!N58*'Round 4 Points'!T$2</f>
        <v>0</v>
      </c>
      <c r="O58" s="37">
        <f>'Round 4 Data'!O58*'Round 4 Points'!U$2</f>
        <v>0</v>
      </c>
      <c r="P58" s="37">
        <f>'Round 4 Data'!P58*'Round 4 Points'!V$2</f>
        <v>0</v>
      </c>
      <c r="Q58" s="37">
        <f>'Round 4 Data'!Q58*'Round 4 Points'!W$2</f>
        <v>0</v>
      </c>
      <c r="R58" s="37">
        <f>'Round 4 Data'!R58*'Round 4 Points'!X$2</f>
        <v>0</v>
      </c>
      <c r="S58" s="37">
        <f>'Round 4 Data'!S58*'Round 4 Points'!Y$2</f>
        <v>0</v>
      </c>
      <c r="T58" s="38">
        <f t="shared" si="0"/>
        <v>56.6</v>
      </c>
      <c r="U58" s="37">
        <f>'Round 4 Data'!U58*'Round 4 Points'!$Z$2</f>
        <v>0</v>
      </c>
      <c r="V58" s="36">
        <f>IF('Round 4 Data'!D58='Round 4 Points'!$K$1,D58/80*$K$2,0)</f>
        <v>0</v>
      </c>
      <c r="W58">
        <f t="shared" si="1"/>
        <v>56.6</v>
      </c>
    </row>
    <row r="59" spans="1:23" x14ac:dyDescent="0.2">
      <c r="A59" s="36" t="s">
        <v>166</v>
      </c>
      <c r="B59" s="36" t="str" cm="1">
        <f t="array" ref="B59:C59">_xlfn.XLOOKUP(A59,'Player List'!$A$2:$A$177,'Player List'!$B$2:$C$177)</f>
        <v>England</v>
      </c>
      <c r="C59" s="36" t="str">
        <v>Back Three</v>
      </c>
      <c r="D59" s="37">
        <v>80</v>
      </c>
      <c r="F59" s="37">
        <f>'Round 4 Data'!F59*'Round 4 Points'!L$2</f>
        <v>3</v>
      </c>
      <c r="G59" s="37">
        <f>'Round 4 Data'!G59*'Round 4 Points'!M$2</f>
        <v>14</v>
      </c>
      <c r="H59" s="37">
        <f>'Round 4 Data'!H59*'Round 4 Points'!N$2</f>
        <v>0</v>
      </c>
      <c r="I59" s="37">
        <f>'Round 4 Data'!I59*'Round 4 Points'!O$2</f>
        <v>9.6000000000000014</v>
      </c>
      <c r="J59" s="37">
        <f>'Round 4 Data'!J59*'Round 4 Points'!P$2</f>
        <v>0</v>
      </c>
      <c r="K59" s="37">
        <f>'Round 4 Data'!K59*'Round 4 Points'!Q$2</f>
        <v>0</v>
      </c>
      <c r="L59" s="37">
        <f>'Round 4 Data'!L59*'Round 4 Points'!R$2</f>
        <v>0</v>
      </c>
      <c r="M59" s="37">
        <f>'Round 4 Data'!M59*'Round 4 Points'!S$2</f>
        <v>0</v>
      </c>
      <c r="N59" s="37">
        <f>'Round 4 Data'!N59*'Round 4 Points'!T$2</f>
        <v>0</v>
      </c>
      <c r="O59" s="37">
        <f>'Round 4 Data'!O59*'Round 4 Points'!U$2</f>
        <v>0</v>
      </c>
      <c r="P59" s="37">
        <f>'Round 4 Data'!P59*'Round 4 Points'!V$2</f>
        <v>0</v>
      </c>
      <c r="Q59" s="37">
        <f>'Round 4 Data'!Q59*'Round 4 Points'!W$2</f>
        <v>0</v>
      </c>
      <c r="R59" s="37">
        <f>'Round 4 Data'!R59*'Round 4 Points'!X$2</f>
        <v>0</v>
      </c>
      <c r="S59" s="37">
        <f>'Round 4 Data'!S59*'Round 4 Points'!Y$2</f>
        <v>0</v>
      </c>
      <c r="T59" s="38">
        <f t="shared" si="0"/>
        <v>26.6</v>
      </c>
      <c r="U59" s="37">
        <f>'Round 4 Data'!U59*'Round 4 Points'!$Z$2</f>
        <v>0</v>
      </c>
      <c r="V59" s="36">
        <f>IF('Round 4 Data'!D59='Round 4 Points'!$K$1,D59/80*$K$2,0)</f>
        <v>0</v>
      </c>
      <c r="W59">
        <f t="shared" si="1"/>
        <v>26.6</v>
      </c>
    </row>
    <row r="60" spans="1:23" x14ac:dyDescent="0.2">
      <c r="A60" s="36" t="s">
        <v>84</v>
      </c>
      <c r="B60" s="36" t="str" cm="1">
        <f t="array" ref="B60:C60">_xlfn.XLOOKUP(A60,'Player List'!$A$2:$A$177,'Player List'!$B$2:$C$177)</f>
        <v>England</v>
      </c>
      <c r="C60" s="36" t="str">
        <v>Centre</v>
      </c>
      <c r="D60" s="37">
        <v>34</v>
      </c>
      <c r="F60" s="37">
        <f>'Round 4 Data'!F60*'Round 4 Points'!L$2</f>
        <v>4</v>
      </c>
      <c r="G60" s="37">
        <f>'Round 4 Data'!G60*'Round 4 Points'!M$2</f>
        <v>0</v>
      </c>
      <c r="H60" s="37">
        <f>'Round 4 Data'!H60*'Round 4 Points'!N$2</f>
        <v>0</v>
      </c>
      <c r="I60" s="37">
        <f>'Round 4 Data'!I60*'Round 4 Points'!O$2</f>
        <v>8.8000000000000007</v>
      </c>
      <c r="J60" s="37">
        <f>'Round 4 Data'!J60*'Round 4 Points'!P$2</f>
        <v>0</v>
      </c>
      <c r="K60" s="37">
        <f>'Round 4 Data'!K60*'Round 4 Points'!Q$2</f>
        <v>0</v>
      </c>
      <c r="L60" s="37">
        <f>'Round 4 Data'!L60*'Round 4 Points'!R$2</f>
        <v>0</v>
      </c>
      <c r="M60" s="37">
        <f>'Round 4 Data'!M60*'Round 4 Points'!S$2</f>
        <v>0</v>
      </c>
      <c r="N60" s="37">
        <f>'Round 4 Data'!N60*'Round 4 Points'!T$2</f>
        <v>0</v>
      </c>
      <c r="O60" s="37">
        <f>'Round 4 Data'!O60*'Round 4 Points'!U$2</f>
        <v>0</v>
      </c>
      <c r="P60" s="37">
        <f>'Round 4 Data'!P60*'Round 4 Points'!V$2</f>
        <v>0</v>
      </c>
      <c r="Q60" s="37">
        <f>'Round 4 Data'!Q60*'Round 4 Points'!W$2</f>
        <v>0</v>
      </c>
      <c r="R60" s="37">
        <f>'Round 4 Data'!R60*'Round 4 Points'!X$2</f>
        <v>0</v>
      </c>
      <c r="S60" s="37">
        <f>'Round 4 Data'!S60*'Round 4 Points'!Y$2</f>
        <v>0</v>
      </c>
      <c r="T60" s="38">
        <f t="shared" si="0"/>
        <v>12.8</v>
      </c>
      <c r="U60" s="37">
        <f>'Round 4 Data'!U60*'Round 4 Points'!$Z$2</f>
        <v>0</v>
      </c>
      <c r="V60" s="36">
        <f>IF('Round 4 Data'!D60='Round 4 Points'!$K$1,D60/80*$K$2,0)</f>
        <v>0</v>
      </c>
      <c r="W60">
        <f t="shared" si="1"/>
        <v>12.8</v>
      </c>
    </row>
    <row r="61" spans="1:23" x14ac:dyDescent="0.2">
      <c r="A61" s="36" t="s">
        <v>85</v>
      </c>
      <c r="B61" s="36" t="str" cm="1">
        <f t="array" ref="B61:C61">_xlfn.XLOOKUP(A61,'Player List'!$A$2:$A$177,'Player List'!$B$2:$C$177)</f>
        <v>England</v>
      </c>
      <c r="C61" s="36" t="str">
        <v>Centre</v>
      </c>
      <c r="D61" s="37">
        <v>61</v>
      </c>
      <c r="F61" s="37">
        <f>'Round 4 Data'!F61*'Round 4 Points'!L$2</f>
        <v>3</v>
      </c>
      <c r="G61" s="37">
        <f>'Round 4 Data'!G61*'Round 4 Points'!M$2</f>
        <v>0</v>
      </c>
      <c r="H61" s="37">
        <f>'Round 4 Data'!H61*'Round 4 Points'!N$2</f>
        <v>0</v>
      </c>
      <c r="I61" s="37">
        <f>'Round 4 Data'!I61*'Round 4 Points'!O$2</f>
        <v>4.8000000000000007</v>
      </c>
      <c r="J61" s="37">
        <f>'Round 4 Data'!J61*'Round 4 Points'!P$2</f>
        <v>0</v>
      </c>
      <c r="K61" s="37">
        <f>'Round 4 Data'!K61*'Round 4 Points'!Q$2</f>
        <v>0</v>
      </c>
      <c r="L61" s="37">
        <f>'Round 4 Data'!L61*'Round 4 Points'!R$2</f>
        <v>0</v>
      </c>
      <c r="M61" s="37">
        <f>'Round 4 Data'!M61*'Round 4 Points'!S$2</f>
        <v>0</v>
      </c>
      <c r="N61" s="37">
        <f>'Round 4 Data'!N61*'Round 4 Points'!T$2</f>
        <v>0</v>
      </c>
      <c r="O61" s="37">
        <f>'Round 4 Data'!O61*'Round 4 Points'!U$2</f>
        <v>0</v>
      </c>
      <c r="P61" s="37">
        <f>'Round 4 Data'!P61*'Round 4 Points'!V$2</f>
        <v>0</v>
      </c>
      <c r="Q61" s="37">
        <f>'Round 4 Data'!Q61*'Round 4 Points'!W$2</f>
        <v>0</v>
      </c>
      <c r="R61" s="37">
        <f>'Round 4 Data'!R61*'Round 4 Points'!X$2</f>
        <v>0</v>
      </c>
      <c r="S61" s="37">
        <f>'Round 4 Data'!S61*'Round 4 Points'!Y$2</f>
        <v>0</v>
      </c>
      <c r="T61" s="38">
        <f t="shared" si="0"/>
        <v>7.8000000000000007</v>
      </c>
      <c r="U61" s="37">
        <f>'Round 4 Data'!U61*'Round 4 Points'!$Z$2</f>
        <v>0</v>
      </c>
      <c r="V61" s="36">
        <f>IF('Round 4 Data'!D61='Round 4 Points'!$K$1,D61/80*$K$2,0)</f>
        <v>0</v>
      </c>
      <c r="W61">
        <f t="shared" si="1"/>
        <v>7.8000000000000007</v>
      </c>
    </row>
    <row r="62" spans="1:23" x14ac:dyDescent="0.2">
      <c r="A62" s="36" t="s">
        <v>86</v>
      </c>
      <c r="B62" s="36" t="str" cm="1">
        <f t="array" ref="B62:C62">_xlfn.XLOOKUP(A62,'Player List'!$A$2:$A$177,'Player List'!$B$2:$C$177)</f>
        <v>England</v>
      </c>
      <c r="C62" s="36" t="str">
        <v>Centre</v>
      </c>
      <c r="D62" s="37">
        <v>46</v>
      </c>
      <c r="F62" s="37">
        <f>'Round 4 Data'!F62*'Round 4 Points'!L$2</f>
        <v>1</v>
      </c>
      <c r="G62" s="37">
        <f>'Round 4 Data'!G62*'Round 4 Points'!M$2</f>
        <v>0</v>
      </c>
      <c r="H62" s="37">
        <f>'Round 4 Data'!H62*'Round 4 Points'!N$2</f>
        <v>0</v>
      </c>
      <c r="I62" s="37">
        <f>'Round 4 Data'!I62*'Round 4 Points'!O$2</f>
        <v>3</v>
      </c>
      <c r="J62" s="37">
        <f>'Round 4 Data'!J62*'Round 4 Points'!P$2</f>
        <v>0</v>
      </c>
      <c r="K62" s="37">
        <f>'Round 4 Data'!K62*'Round 4 Points'!Q$2</f>
        <v>0</v>
      </c>
      <c r="L62" s="37">
        <f>'Round 4 Data'!L62*'Round 4 Points'!R$2</f>
        <v>0</v>
      </c>
      <c r="M62" s="37">
        <f>'Round 4 Data'!M62*'Round 4 Points'!S$2</f>
        <v>0</v>
      </c>
      <c r="N62" s="37">
        <f>'Round 4 Data'!N62*'Round 4 Points'!T$2</f>
        <v>0</v>
      </c>
      <c r="O62" s="37">
        <f>'Round 4 Data'!O62*'Round 4 Points'!U$2</f>
        <v>0</v>
      </c>
      <c r="P62" s="37">
        <f>'Round 4 Data'!P62*'Round 4 Points'!V$2</f>
        <v>0</v>
      </c>
      <c r="Q62" s="37">
        <f>'Round 4 Data'!Q62*'Round 4 Points'!W$2</f>
        <v>0</v>
      </c>
      <c r="R62" s="37">
        <f>'Round 4 Data'!R62*'Round 4 Points'!X$2</f>
        <v>0</v>
      </c>
      <c r="S62" s="37">
        <f>'Round 4 Data'!S62*'Round 4 Points'!Y$2</f>
        <v>0</v>
      </c>
      <c r="T62" s="38">
        <f t="shared" si="0"/>
        <v>4</v>
      </c>
      <c r="U62" s="37">
        <f>'Round 4 Data'!U62*'Round 4 Points'!$Z$2</f>
        <v>0</v>
      </c>
      <c r="V62" s="36">
        <f>IF('Round 4 Data'!D62='Round 4 Points'!$K$1,D62/80*$K$2,0)</f>
        <v>0</v>
      </c>
      <c r="W62">
        <f t="shared" si="1"/>
        <v>4</v>
      </c>
    </row>
    <row r="63" spans="1:23" x14ac:dyDescent="0.2">
      <c r="A63" s="36" t="s">
        <v>87</v>
      </c>
      <c r="B63" s="36" t="str" cm="1">
        <f t="array" ref="B63:C63">_xlfn.XLOOKUP(A63,'Player List'!$A$2:$A$177,'Player List'!$B$2:$C$177)</f>
        <v>England</v>
      </c>
      <c r="C63" s="36" t="str">
        <v>Fly Half</v>
      </c>
      <c r="D63" s="37">
        <v>80</v>
      </c>
      <c r="F63" s="37">
        <f>'Round 4 Data'!F63*'Round 4 Points'!L$2</f>
        <v>10</v>
      </c>
      <c r="G63" s="37">
        <f>'Round 4 Data'!G63*'Round 4 Points'!M$2</f>
        <v>0</v>
      </c>
      <c r="H63" s="37">
        <f>'Round 4 Data'!H63*'Round 4 Points'!N$2</f>
        <v>7</v>
      </c>
      <c r="I63" s="37">
        <f>'Round 4 Data'!I63*'Round 4 Points'!O$2</f>
        <v>23</v>
      </c>
      <c r="J63" s="37">
        <f>'Round 4 Data'!J63*'Round 4 Points'!P$2</f>
        <v>0</v>
      </c>
      <c r="K63" s="37">
        <f>'Round 4 Data'!K63*'Round 4 Points'!Q$2</f>
        <v>0</v>
      </c>
      <c r="L63" s="37">
        <f>'Round 4 Data'!L63*'Round 4 Points'!R$2</f>
        <v>0</v>
      </c>
      <c r="M63" s="37">
        <f>'Round 4 Data'!M63*'Round 4 Points'!S$2</f>
        <v>0</v>
      </c>
      <c r="N63" s="37">
        <f>'Round 4 Data'!N63*'Round 4 Points'!T$2</f>
        <v>0</v>
      </c>
      <c r="O63" s="37">
        <f>'Round 4 Data'!O63*'Round 4 Points'!U$2</f>
        <v>2</v>
      </c>
      <c r="P63" s="37">
        <f>'Round 4 Data'!P63*'Round 4 Points'!V$2</f>
        <v>5</v>
      </c>
      <c r="Q63" s="37">
        <f>'Round 4 Data'!Q63*'Round 4 Points'!W$2</f>
        <v>0</v>
      </c>
      <c r="R63" s="37">
        <f>'Round 4 Data'!R63*'Round 4 Points'!X$2</f>
        <v>0</v>
      </c>
      <c r="S63" s="37">
        <f>'Round 4 Data'!S63*'Round 4 Points'!Y$2</f>
        <v>0</v>
      </c>
      <c r="T63" s="38">
        <f t="shared" si="0"/>
        <v>47</v>
      </c>
      <c r="U63" s="37">
        <f>'Round 4 Data'!U63*'Round 4 Points'!$Z$2</f>
        <v>0</v>
      </c>
      <c r="V63" s="36">
        <f>IF('Round 4 Data'!D63='Round 4 Points'!$K$1,D63/80*$K$2,0)</f>
        <v>0</v>
      </c>
      <c r="W63">
        <f t="shared" si="1"/>
        <v>47</v>
      </c>
    </row>
    <row r="64" spans="1:23" x14ac:dyDescent="0.2">
      <c r="A64" s="36" t="s">
        <v>88</v>
      </c>
      <c r="B64" s="36" t="str" cm="1">
        <f t="array" ref="B64:C64">_xlfn.XLOOKUP(A64,'Player List'!$A$2:$A$177,'Player List'!$B$2:$C$177)</f>
        <v>England</v>
      </c>
      <c r="C64" s="36" t="str">
        <v>Scrum Half</v>
      </c>
      <c r="D64" s="37">
        <v>34</v>
      </c>
      <c r="F64" s="37">
        <f>'Round 4 Data'!F64*'Round 4 Points'!L$2</f>
        <v>0</v>
      </c>
      <c r="G64" s="37">
        <f>'Round 4 Data'!G64*'Round 4 Points'!M$2</f>
        <v>0</v>
      </c>
      <c r="H64" s="37">
        <f>'Round 4 Data'!H64*'Round 4 Points'!N$2</f>
        <v>0</v>
      </c>
      <c r="I64" s="37">
        <f>'Round 4 Data'!I64*'Round 4 Points'!O$2</f>
        <v>1.6</v>
      </c>
      <c r="J64" s="37">
        <f>'Round 4 Data'!J64*'Round 4 Points'!P$2</f>
        <v>0</v>
      </c>
      <c r="K64" s="37">
        <f>'Round 4 Data'!K64*'Round 4 Points'!Q$2</f>
        <v>0</v>
      </c>
      <c r="L64" s="37">
        <f>'Round 4 Data'!L64*'Round 4 Points'!R$2</f>
        <v>0</v>
      </c>
      <c r="M64" s="37">
        <f>'Round 4 Data'!M64*'Round 4 Points'!S$2</f>
        <v>0</v>
      </c>
      <c r="N64" s="37">
        <f>'Round 4 Data'!N64*'Round 4 Points'!T$2</f>
        <v>7</v>
      </c>
      <c r="O64" s="37">
        <f>'Round 4 Data'!O64*'Round 4 Points'!U$2</f>
        <v>0</v>
      </c>
      <c r="P64" s="37">
        <f>'Round 4 Data'!P64*'Round 4 Points'!V$2</f>
        <v>0</v>
      </c>
      <c r="Q64" s="37">
        <f>'Round 4 Data'!Q64*'Round 4 Points'!W$2</f>
        <v>0</v>
      </c>
      <c r="R64" s="37">
        <f>'Round 4 Data'!R64*'Round 4 Points'!X$2</f>
        <v>0</v>
      </c>
      <c r="S64" s="37">
        <f>'Round 4 Data'!S64*'Round 4 Points'!Y$2</f>
        <v>0</v>
      </c>
      <c r="T64" s="38">
        <f t="shared" si="0"/>
        <v>8.6</v>
      </c>
      <c r="U64" s="37">
        <f>'Round 4 Data'!U64*'Round 4 Points'!$Z$2</f>
        <v>0</v>
      </c>
      <c r="V64" s="36">
        <f>IF('Round 4 Data'!D64='Round 4 Points'!$K$1,D64/80*$K$2,0)</f>
        <v>0</v>
      </c>
      <c r="W64">
        <f t="shared" si="1"/>
        <v>8.6</v>
      </c>
    </row>
    <row r="65" spans="1:23" x14ac:dyDescent="0.2">
      <c r="A65" s="36" t="s">
        <v>89</v>
      </c>
      <c r="B65" s="36" t="str" cm="1">
        <f t="array" ref="B65:C65">_xlfn.XLOOKUP(A65,'Player List'!$A$2:$A$177,'Player List'!$B$2:$C$177)</f>
        <v>England</v>
      </c>
      <c r="C65" s="36" t="str">
        <v>Scrum Half</v>
      </c>
      <c r="D65" s="37">
        <v>46</v>
      </c>
      <c r="F65" s="37">
        <f>'Round 4 Data'!F65*'Round 4 Points'!L$2</f>
        <v>3</v>
      </c>
      <c r="G65" s="37">
        <f>'Round 4 Data'!G65*'Round 4 Points'!M$2</f>
        <v>0</v>
      </c>
      <c r="H65" s="37">
        <f>'Round 4 Data'!H65*'Round 4 Points'!N$2</f>
        <v>0</v>
      </c>
      <c r="I65" s="37">
        <f>'Round 4 Data'!I65*'Round 4 Points'!O$2</f>
        <v>0.8</v>
      </c>
      <c r="J65" s="37">
        <f>'Round 4 Data'!J65*'Round 4 Points'!P$2</f>
        <v>0</v>
      </c>
      <c r="K65" s="37">
        <f>'Round 4 Data'!K65*'Round 4 Points'!Q$2</f>
        <v>0</v>
      </c>
      <c r="L65" s="37">
        <f>'Round 4 Data'!L65*'Round 4 Points'!R$2</f>
        <v>0</v>
      </c>
      <c r="M65" s="37">
        <f>'Round 4 Data'!M65*'Round 4 Points'!S$2</f>
        <v>0</v>
      </c>
      <c r="N65" s="37">
        <f>'Round 4 Data'!N65*'Round 4 Points'!T$2</f>
        <v>0</v>
      </c>
      <c r="O65" s="37">
        <f>'Round 4 Data'!O65*'Round 4 Points'!U$2</f>
        <v>0</v>
      </c>
      <c r="P65" s="37">
        <f>'Round 4 Data'!P65*'Round 4 Points'!V$2</f>
        <v>0</v>
      </c>
      <c r="Q65" s="37">
        <f>'Round 4 Data'!Q65*'Round 4 Points'!W$2</f>
        <v>0</v>
      </c>
      <c r="R65" s="37">
        <f>'Round 4 Data'!R65*'Round 4 Points'!X$2</f>
        <v>0</v>
      </c>
      <c r="S65" s="37">
        <f>'Round 4 Data'!S65*'Round 4 Points'!Y$2</f>
        <v>0</v>
      </c>
      <c r="T65" s="38">
        <f t="shared" si="0"/>
        <v>3.8</v>
      </c>
      <c r="U65" s="37">
        <f>'Round 4 Data'!U65*'Round 4 Points'!$Z$2</f>
        <v>0</v>
      </c>
      <c r="V65" s="36">
        <f>IF('Round 4 Data'!D65='Round 4 Points'!$K$1,D65/80*$K$2,0)</f>
        <v>0</v>
      </c>
      <c r="W65">
        <f t="shared" si="1"/>
        <v>3.8</v>
      </c>
    </row>
    <row r="66" spans="1:23" x14ac:dyDescent="0.2">
      <c r="A66" s="36" t="s">
        <v>167</v>
      </c>
      <c r="B66" s="36" t="str" cm="1">
        <f t="array" ref="B66:C66">_xlfn.XLOOKUP(A66,'Player List'!$A$2:$A$177,'Player List'!$B$2:$C$177)</f>
        <v>England</v>
      </c>
      <c r="C66" s="36" t="str">
        <v>Back Row</v>
      </c>
      <c r="D66" s="37">
        <v>27</v>
      </c>
      <c r="F66" s="37">
        <f>'Round 4 Data'!F66*'Round 4 Points'!L$2</f>
        <v>5</v>
      </c>
      <c r="G66" s="37">
        <f>'Round 4 Data'!G66*'Round 4 Points'!M$2</f>
        <v>0</v>
      </c>
      <c r="H66" s="37">
        <f>'Round 4 Data'!H66*'Round 4 Points'!N$2</f>
        <v>0</v>
      </c>
      <c r="I66" s="37">
        <f>'Round 4 Data'!I66*'Round 4 Points'!O$2</f>
        <v>2.2000000000000002</v>
      </c>
      <c r="J66" s="37">
        <f>'Round 4 Data'!J66*'Round 4 Points'!P$2</f>
        <v>0</v>
      </c>
      <c r="K66" s="37">
        <f>'Round 4 Data'!K66*'Round 4 Points'!Q$2</f>
        <v>0</v>
      </c>
      <c r="L66" s="37">
        <f>'Round 4 Data'!L66*'Round 4 Points'!R$2</f>
        <v>7</v>
      </c>
      <c r="M66" s="37">
        <f>'Round 4 Data'!M66*'Round 4 Points'!S$2</f>
        <v>0</v>
      </c>
      <c r="N66" s="37">
        <f>'Round 4 Data'!N66*'Round 4 Points'!T$2</f>
        <v>0</v>
      </c>
      <c r="O66" s="37">
        <f>'Round 4 Data'!O66*'Round 4 Points'!U$2</f>
        <v>0</v>
      </c>
      <c r="P66" s="37">
        <f>'Round 4 Data'!P66*'Round 4 Points'!V$2</f>
        <v>0</v>
      </c>
      <c r="Q66" s="37">
        <f>'Round 4 Data'!Q66*'Round 4 Points'!W$2</f>
        <v>0</v>
      </c>
      <c r="R66" s="37">
        <f>'Round 4 Data'!R66*'Round 4 Points'!X$2</f>
        <v>0</v>
      </c>
      <c r="S66" s="37">
        <f>'Round 4 Data'!S66*'Round 4 Points'!Y$2</f>
        <v>0</v>
      </c>
      <c r="T66" s="38">
        <f t="shared" si="0"/>
        <v>14.2</v>
      </c>
      <c r="U66" s="37">
        <f>'Round 4 Data'!U66*'Round 4 Points'!$Z$2</f>
        <v>0</v>
      </c>
      <c r="V66" s="36">
        <f>IF('Round 4 Data'!D66='Round 4 Points'!$K$1,D66/80*$K$2,0)</f>
        <v>0</v>
      </c>
      <c r="W66">
        <f t="shared" si="1"/>
        <v>14.2</v>
      </c>
    </row>
    <row r="67" spans="1:23" x14ac:dyDescent="0.2">
      <c r="A67" s="36" t="s">
        <v>90</v>
      </c>
      <c r="B67" s="36" t="str" cm="1">
        <f t="array" ref="B67:C67">_xlfn.XLOOKUP(A67,'Player List'!$A$2:$A$177,'Player List'!$B$2:$C$177)</f>
        <v>England</v>
      </c>
      <c r="C67" s="36" t="str">
        <v>Back Row</v>
      </c>
      <c r="D67" s="37">
        <v>75</v>
      </c>
      <c r="F67" s="37">
        <f>'Round 4 Data'!F67*'Round 4 Points'!L$2</f>
        <v>12</v>
      </c>
      <c r="G67" s="37">
        <f>'Round 4 Data'!G67*'Round 4 Points'!M$2</f>
        <v>7</v>
      </c>
      <c r="H67" s="37">
        <f>'Round 4 Data'!H67*'Round 4 Points'!N$2</f>
        <v>0</v>
      </c>
      <c r="I67" s="37">
        <f>'Round 4 Data'!I67*'Round 4 Points'!O$2</f>
        <v>8.8000000000000007</v>
      </c>
      <c r="J67" s="37">
        <f>'Round 4 Data'!J67*'Round 4 Points'!P$2</f>
        <v>0</v>
      </c>
      <c r="K67" s="37">
        <f>'Round 4 Data'!K67*'Round 4 Points'!Q$2</f>
        <v>0</v>
      </c>
      <c r="L67" s="37">
        <f>'Round 4 Data'!L67*'Round 4 Points'!R$2</f>
        <v>0</v>
      </c>
      <c r="M67" s="37">
        <f>'Round 4 Data'!M67*'Round 4 Points'!S$2</f>
        <v>0</v>
      </c>
      <c r="N67" s="37">
        <f>'Round 4 Data'!N67*'Round 4 Points'!T$2</f>
        <v>0</v>
      </c>
      <c r="O67" s="37">
        <f>'Round 4 Data'!O67*'Round 4 Points'!U$2</f>
        <v>0</v>
      </c>
      <c r="P67" s="37">
        <f>'Round 4 Data'!P67*'Round 4 Points'!V$2</f>
        <v>0</v>
      </c>
      <c r="Q67" s="37">
        <f>'Round 4 Data'!Q67*'Round 4 Points'!W$2</f>
        <v>0</v>
      </c>
      <c r="R67" s="37">
        <f>'Round 4 Data'!R67*'Round 4 Points'!X$2</f>
        <v>0</v>
      </c>
      <c r="S67" s="37">
        <f>'Round 4 Data'!S67*'Round 4 Points'!Y$2</f>
        <v>0</v>
      </c>
      <c r="T67" s="38">
        <f t="shared" si="0"/>
        <v>27.8</v>
      </c>
      <c r="U67" s="37">
        <f>'Round 4 Data'!U67*'Round 4 Points'!$Z$2</f>
        <v>0</v>
      </c>
      <c r="V67" s="36">
        <f>IF('Round 4 Data'!D67='Round 4 Points'!$K$1,D67/80*$K$2,0)</f>
        <v>0</v>
      </c>
      <c r="W67">
        <f t="shared" si="1"/>
        <v>27.8</v>
      </c>
    </row>
    <row r="68" spans="1:23" x14ac:dyDescent="0.2">
      <c r="A68" s="36" t="s">
        <v>92</v>
      </c>
      <c r="B68" s="36" t="str" cm="1">
        <f t="array" ref="B68:C68">_xlfn.XLOOKUP(A68,'Player List'!$A$2:$A$177,'Player List'!$B$2:$C$177)</f>
        <v>England</v>
      </c>
      <c r="C68" s="36" t="str">
        <v>Back Row</v>
      </c>
      <c r="D68" s="37">
        <v>80</v>
      </c>
      <c r="F68" s="37">
        <f>'Round 4 Data'!F68*'Round 4 Points'!L$2</f>
        <v>11</v>
      </c>
      <c r="G68" s="37">
        <f>'Round 4 Data'!G68*'Round 4 Points'!M$2</f>
        <v>7</v>
      </c>
      <c r="H68" s="37">
        <f>'Round 4 Data'!H68*'Round 4 Points'!N$2</f>
        <v>0</v>
      </c>
      <c r="I68" s="37">
        <f>'Round 4 Data'!I68*'Round 4 Points'!O$2</f>
        <v>5.4</v>
      </c>
      <c r="J68" s="37">
        <f>'Round 4 Data'!J68*'Round 4 Points'!P$2</f>
        <v>0</v>
      </c>
      <c r="K68" s="37">
        <f>'Round 4 Data'!K68*'Round 4 Points'!Q$2</f>
        <v>0</v>
      </c>
      <c r="L68" s="37">
        <f>'Round 4 Data'!L68*'Round 4 Points'!R$2</f>
        <v>0</v>
      </c>
      <c r="M68" s="37">
        <f>'Round 4 Data'!M68*'Round 4 Points'!S$2</f>
        <v>0</v>
      </c>
      <c r="N68" s="37">
        <f>'Round 4 Data'!N68*'Round 4 Points'!T$2</f>
        <v>0</v>
      </c>
      <c r="O68" s="37">
        <f>'Round 4 Data'!O68*'Round 4 Points'!U$2</f>
        <v>0</v>
      </c>
      <c r="P68" s="37">
        <f>'Round 4 Data'!P68*'Round 4 Points'!V$2</f>
        <v>0</v>
      </c>
      <c r="Q68" s="37">
        <f>'Round 4 Data'!Q68*'Round 4 Points'!W$2</f>
        <v>0</v>
      </c>
      <c r="R68" s="37">
        <f>'Round 4 Data'!R68*'Round 4 Points'!X$2</f>
        <v>0</v>
      </c>
      <c r="S68" s="37">
        <f>'Round 4 Data'!S68*'Round 4 Points'!Y$2</f>
        <v>0</v>
      </c>
      <c r="T68" s="38">
        <f t="shared" si="0"/>
        <v>23.4</v>
      </c>
      <c r="U68" s="37">
        <f>'Round 4 Data'!U68*'Round 4 Points'!$Z$2</f>
        <v>0</v>
      </c>
      <c r="V68" s="36">
        <f>IF('Round 4 Data'!D68='Round 4 Points'!$K$1,D68/80*$K$2,0)</f>
        <v>0</v>
      </c>
      <c r="W68">
        <f t="shared" si="1"/>
        <v>23.4</v>
      </c>
    </row>
    <row r="69" spans="1:23" x14ac:dyDescent="0.2">
      <c r="A69" s="36" t="s">
        <v>93</v>
      </c>
      <c r="B69" s="36" t="str" cm="1">
        <f t="array" ref="B69:C69">_xlfn.XLOOKUP(A69,'Player List'!$A$2:$A$177,'Player List'!$B$2:$C$177)</f>
        <v>England</v>
      </c>
      <c r="C69" s="36" t="str">
        <v>Back Row</v>
      </c>
      <c r="D69" s="37">
        <v>53</v>
      </c>
      <c r="F69" s="37">
        <f>'Round 4 Data'!F69*'Round 4 Points'!L$2</f>
        <v>7</v>
      </c>
      <c r="G69" s="37">
        <f>'Round 4 Data'!G69*'Round 4 Points'!M$2</f>
        <v>0</v>
      </c>
      <c r="H69" s="37">
        <f>'Round 4 Data'!H69*'Round 4 Points'!N$2</f>
        <v>0</v>
      </c>
      <c r="I69" s="37">
        <f>'Round 4 Data'!I69*'Round 4 Points'!O$2</f>
        <v>3.4000000000000004</v>
      </c>
      <c r="J69" s="37">
        <f>'Round 4 Data'!J69*'Round 4 Points'!P$2</f>
        <v>0</v>
      </c>
      <c r="K69" s="37">
        <f>'Round 4 Data'!K69*'Round 4 Points'!Q$2</f>
        <v>0</v>
      </c>
      <c r="L69" s="37">
        <f>'Round 4 Data'!L69*'Round 4 Points'!R$2</f>
        <v>0</v>
      </c>
      <c r="M69" s="37">
        <f>'Round 4 Data'!M69*'Round 4 Points'!S$2</f>
        <v>0</v>
      </c>
      <c r="N69" s="37">
        <f>'Round 4 Data'!N69*'Round 4 Points'!T$2</f>
        <v>0</v>
      </c>
      <c r="O69" s="37">
        <f>'Round 4 Data'!O69*'Round 4 Points'!U$2</f>
        <v>0</v>
      </c>
      <c r="P69" s="37">
        <f>'Round 4 Data'!P69*'Round 4 Points'!V$2</f>
        <v>0</v>
      </c>
      <c r="Q69" s="37">
        <f>'Round 4 Data'!Q69*'Round 4 Points'!W$2</f>
        <v>0</v>
      </c>
      <c r="R69" s="37">
        <f>'Round 4 Data'!R69*'Round 4 Points'!X$2</f>
        <v>0</v>
      </c>
      <c r="S69" s="37">
        <f>'Round 4 Data'!S69*'Round 4 Points'!Y$2</f>
        <v>0</v>
      </c>
      <c r="T69" s="38">
        <f t="shared" si="0"/>
        <v>10.4</v>
      </c>
      <c r="U69" s="37">
        <f>'Round 4 Data'!U69*'Round 4 Points'!$Z$2</f>
        <v>0</v>
      </c>
      <c r="V69" s="36">
        <f>IF('Round 4 Data'!D69='Round 4 Points'!$K$1,D69/80*$K$2,0)</f>
        <v>0</v>
      </c>
      <c r="W69">
        <f t="shared" si="1"/>
        <v>10.4</v>
      </c>
    </row>
    <row r="70" spans="1:23" x14ac:dyDescent="0.2">
      <c r="A70" s="36" t="s">
        <v>94</v>
      </c>
      <c r="B70" s="36" t="str" cm="1">
        <f t="array" ref="B70:C70">_xlfn.XLOOKUP(A70,'Player List'!$A$2:$A$177,'Player List'!$B$2:$C$177)</f>
        <v>England</v>
      </c>
      <c r="C70" s="36" t="str">
        <v>Second Row</v>
      </c>
      <c r="D70" s="37">
        <v>80</v>
      </c>
      <c r="F70" s="37">
        <f>'Round 4 Data'!F70*'Round 4 Points'!L$2</f>
        <v>4</v>
      </c>
      <c r="G70" s="37">
        <f>'Round 4 Data'!G70*'Round 4 Points'!M$2</f>
        <v>0</v>
      </c>
      <c r="H70" s="37">
        <f>'Round 4 Data'!H70*'Round 4 Points'!N$2</f>
        <v>0</v>
      </c>
      <c r="I70" s="37">
        <f>'Round 4 Data'!I70*'Round 4 Points'!O$2</f>
        <v>5</v>
      </c>
      <c r="J70" s="37">
        <f>'Round 4 Data'!J70*'Round 4 Points'!P$2</f>
        <v>0</v>
      </c>
      <c r="K70" s="37">
        <f>'Round 4 Data'!K70*'Round 4 Points'!Q$2</f>
        <v>0</v>
      </c>
      <c r="L70" s="37">
        <f>'Round 4 Data'!L70*'Round 4 Points'!R$2</f>
        <v>0</v>
      </c>
      <c r="M70" s="37">
        <f>'Round 4 Data'!M70*'Round 4 Points'!S$2</f>
        <v>0</v>
      </c>
      <c r="N70" s="37">
        <f>'Round 4 Data'!N70*'Round 4 Points'!T$2</f>
        <v>0</v>
      </c>
      <c r="O70" s="37">
        <f>'Round 4 Data'!O70*'Round 4 Points'!U$2</f>
        <v>0</v>
      </c>
      <c r="P70" s="37">
        <f>'Round 4 Data'!P70*'Round 4 Points'!V$2</f>
        <v>0</v>
      </c>
      <c r="Q70" s="37">
        <f>'Round 4 Data'!Q70*'Round 4 Points'!W$2</f>
        <v>0</v>
      </c>
      <c r="R70" s="37">
        <f>'Round 4 Data'!R70*'Round 4 Points'!X$2</f>
        <v>0</v>
      </c>
      <c r="S70" s="37">
        <f>'Round 4 Data'!S70*'Round 4 Points'!Y$2</f>
        <v>0</v>
      </c>
      <c r="T70" s="38">
        <f t="shared" si="0"/>
        <v>9</v>
      </c>
      <c r="U70" s="37">
        <f>'Round 4 Data'!U70*'Round 4 Points'!$Z$2</f>
        <v>0</v>
      </c>
      <c r="V70" s="36">
        <f>IF('Round 4 Data'!D70='Round 4 Points'!$K$1,D70/80*$K$2,0)</f>
        <v>0</v>
      </c>
      <c r="W70">
        <f t="shared" si="1"/>
        <v>9</v>
      </c>
    </row>
    <row r="71" spans="1:23" x14ac:dyDescent="0.2">
      <c r="A71" s="36" t="s">
        <v>96</v>
      </c>
      <c r="B71" s="36" t="str" cm="1">
        <f t="array" ref="B71:C71">_xlfn.XLOOKUP(A71,'Player List'!$A$2:$A$177,'Player List'!$B$2:$C$177)</f>
        <v>England</v>
      </c>
      <c r="C71" s="36" t="str">
        <v>Second Row</v>
      </c>
      <c r="D71" s="37">
        <v>80</v>
      </c>
      <c r="F71" s="37">
        <f>'Round 4 Data'!F71*'Round 4 Points'!L$2</f>
        <v>8</v>
      </c>
      <c r="G71" s="37">
        <f>'Round 4 Data'!G71*'Round 4 Points'!M$2</f>
        <v>7</v>
      </c>
      <c r="H71" s="37">
        <f>'Round 4 Data'!H71*'Round 4 Points'!N$2</f>
        <v>0</v>
      </c>
      <c r="I71" s="37">
        <f>'Round 4 Data'!I71*'Round 4 Points'!O$2</f>
        <v>4.6000000000000005</v>
      </c>
      <c r="J71" s="37">
        <f>'Round 4 Data'!J71*'Round 4 Points'!P$2</f>
        <v>0</v>
      </c>
      <c r="K71" s="37">
        <f>'Round 4 Data'!K71*'Round 4 Points'!Q$2</f>
        <v>0</v>
      </c>
      <c r="L71" s="37">
        <f>'Round 4 Data'!L71*'Round 4 Points'!R$2</f>
        <v>14</v>
      </c>
      <c r="M71" s="37">
        <f>'Round 4 Data'!M71*'Round 4 Points'!S$2</f>
        <v>0</v>
      </c>
      <c r="N71" s="37">
        <f>'Round 4 Data'!N71*'Round 4 Points'!T$2</f>
        <v>0</v>
      </c>
      <c r="O71" s="37">
        <f>'Round 4 Data'!O71*'Round 4 Points'!U$2</f>
        <v>0</v>
      </c>
      <c r="P71" s="37">
        <f>'Round 4 Data'!P71*'Round 4 Points'!V$2</f>
        <v>0</v>
      </c>
      <c r="Q71" s="37">
        <f>'Round 4 Data'!Q71*'Round 4 Points'!W$2</f>
        <v>0</v>
      </c>
      <c r="R71" s="37">
        <f>'Round 4 Data'!R71*'Round 4 Points'!X$2</f>
        <v>0</v>
      </c>
      <c r="S71" s="37">
        <f>'Round 4 Data'!S71*'Round 4 Points'!Y$2</f>
        <v>0</v>
      </c>
      <c r="T71" s="38">
        <f t="shared" si="0"/>
        <v>33.6</v>
      </c>
      <c r="U71" s="37">
        <f>'Round 4 Data'!U71*'Round 4 Points'!$Z$2</f>
        <v>0</v>
      </c>
      <c r="V71" s="36">
        <f>IF('Round 4 Data'!D71='Round 4 Points'!$K$1,D71/80*$K$2,0)</f>
        <v>0</v>
      </c>
      <c r="W71">
        <f t="shared" si="1"/>
        <v>33.6</v>
      </c>
    </row>
    <row r="72" spans="1:23" x14ac:dyDescent="0.2">
      <c r="A72" s="36" t="s">
        <v>173</v>
      </c>
      <c r="B72" s="36" t="str" cm="1">
        <f t="array" ref="B72:C72">_xlfn.XLOOKUP(A72,'Player List'!$A$2:$A$177,'Player List'!$B$2:$C$177)</f>
        <v>England</v>
      </c>
      <c r="C72" s="36" t="str">
        <v>Second Row</v>
      </c>
      <c r="D72" s="37">
        <v>5</v>
      </c>
      <c r="F72" s="37">
        <f>'Round 4 Data'!F72*'Round 4 Points'!L$2</f>
        <v>0</v>
      </c>
      <c r="G72" s="37">
        <f>'Round 4 Data'!G72*'Round 4 Points'!M$2</f>
        <v>0</v>
      </c>
      <c r="H72" s="37">
        <f>'Round 4 Data'!H72*'Round 4 Points'!N$2</f>
        <v>0</v>
      </c>
      <c r="I72" s="37">
        <f>'Round 4 Data'!I72*'Round 4 Points'!O$2</f>
        <v>0.60000000000000009</v>
      </c>
      <c r="J72" s="37">
        <f>'Round 4 Data'!J72*'Round 4 Points'!P$2</f>
        <v>0</v>
      </c>
      <c r="K72" s="37">
        <f>'Round 4 Data'!K72*'Round 4 Points'!Q$2</f>
        <v>0</v>
      </c>
      <c r="L72" s="37">
        <f>'Round 4 Data'!L72*'Round 4 Points'!R$2</f>
        <v>0</v>
      </c>
      <c r="M72" s="37">
        <f>'Round 4 Data'!M72*'Round 4 Points'!S$2</f>
        <v>0</v>
      </c>
      <c r="N72" s="37">
        <f>'Round 4 Data'!N72*'Round 4 Points'!T$2</f>
        <v>0</v>
      </c>
      <c r="O72" s="37">
        <f>'Round 4 Data'!O72*'Round 4 Points'!U$2</f>
        <v>0</v>
      </c>
      <c r="P72" s="37">
        <f>'Round 4 Data'!P72*'Round 4 Points'!V$2</f>
        <v>0</v>
      </c>
      <c r="Q72" s="37">
        <f>'Round 4 Data'!Q72*'Round 4 Points'!W$2</f>
        <v>0</v>
      </c>
      <c r="R72" s="37">
        <f>'Round 4 Data'!R72*'Round 4 Points'!X$2</f>
        <v>0</v>
      </c>
      <c r="S72" s="37">
        <f>'Round 4 Data'!S72*'Round 4 Points'!Y$2</f>
        <v>0</v>
      </c>
      <c r="T72" s="38">
        <f t="shared" si="0"/>
        <v>0.60000000000000009</v>
      </c>
      <c r="U72" s="37">
        <f>'Round 4 Data'!U72*'Round 4 Points'!$Z$2</f>
        <v>0</v>
      </c>
      <c r="V72" s="36">
        <f>IF('Round 4 Data'!D72='Round 4 Points'!$K$1,D72/80*$K$2,0)</f>
        <v>0</v>
      </c>
      <c r="W72">
        <f t="shared" si="1"/>
        <v>0.60000000000000009</v>
      </c>
    </row>
    <row r="73" spans="1:23" x14ac:dyDescent="0.2">
      <c r="A73" s="36" t="s">
        <v>97</v>
      </c>
      <c r="B73" s="36" t="str" cm="1">
        <f t="array" ref="B73:C73">_xlfn.XLOOKUP(A73,'Player List'!$A$2:$A$177,'Player List'!$B$2:$C$177)</f>
        <v>England</v>
      </c>
      <c r="C73" s="36" t="str">
        <v>Prop</v>
      </c>
      <c r="D73" s="37">
        <v>15</v>
      </c>
      <c r="F73" s="37">
        <f>'Round 4 Data'!F73*'Round 4 Points'!L$2</f>
        <v>1</v>
      </c>
      <c r="G73" s="37">
        <f>'Round 4 Data'!G73*'Round 4 Points'!M$2</f>
        <v>0</v>
      </c>
      <c r="H73" s="37">
        <f>'Round 4 Data'!H73*'Round 4 Points'!N$2</f>
        <v>0</v>
      </c>
      <c r="I73" s="37">
        <f>'Round 4 Data'!I73*'Round 4 Points'!O$2</f>
        <v>0</v>
      </c>
      <c r="J73" s="37">
        <f>'Round 4 Data'!J73*'Round 4 Points'!P$2</f>
        <v>0</v>
      </c>
      <c r="K73" s="37">
        <f>'Round 4 Data'!K73*'Round 4 Points'!Q$2</f>
        <v>0</v>
      </c>
      <c r="L73" s="37">
        <f>'Round 4 Data'!L73*'Round 4 Points'!R$2</f>
        <v>0</v>
      </c>
      <c r="M73" s="37">
        <f>'Round 4 Data'!M73*'Round 4 Points'!S$2</f>
        <v>0</v>
      </c>
      <c r="N73" s="37">
        <f>'Round 4 Data'!N73*'Round 4 Points'!T$2</f>
        <v>0</v>
      </c>
      <c r="O73" s="37">
        <f>'Round 4 Data'!O73*'Round 4 Points'!U$2</f>
        <v>0</v>
      </c>
      <c r="P73" s="37">
        <f>'Round 4 Data'!P73*'Round 4 Points'!V$2</f>
        <v>0</v>
      </c>
      <c r="Q73" s="37">
        <f>'Round 4 Data'!Q73*'Round 4 Points'!W$2</f>
        <v>0</v>
      </c>
      <c r="R73" s="37">
        <f>'Round 4 Data'!R73*'Round 4 Points'!X$2</f>
        <v>0</v>
      </c>
      <c r="S73" s="37">
        <f>'Round 4 Data'!S73*'Round 4 Points'!Y$2</f>
        <v>0</v>
      </c>
      <c r="T73" s="38">
        <f t="shared" si="0"/>
        <v>1</v>
      </c>
      <c r="U73" s="37">
        <f>'Round 4 Data'!U73*'Round 4 Points'!$Z$2</f>
        <v>0</v>
      </c>
      <c r="V73" s="36">
        <f>IF('Round 4 Data'!D73='Round 4 Points'!$K$1,D73/80*$K$2,0)</f>
        <v>0</v>
      </c>
      <c r="W73">
        <f t="shared" si="1"/>
        <v>1</v>
      </c>
    </row>
    <row r="74" spans="1:23" x14ac:dyDescent="0.2">
      <c r="A74" s="36" t="s">
        <v>98</v>
      </c>
      <c r="B74" s="36" t="str" cm="1">
        <f t="array" ref="B74:C74">_xlfn.XLOOKUP(A74,'Player List'!$A$2:$A$177,'Player List'!$B$2:$C$177)</f>
        <v>England</v>
      </c>
      <c r="C74" s="36" t="str">
        <v>Prop</v>
      </c>
      <c r="D74" s="37">
        <v>65</v>
      </c>
      <c r="F74" s="37">
        <f>'Round 4 Data'!F74*'Round 4 Points'!L$2</f>
        <v>4</v>
      </c>
      <c r="G74" s="37">
        <f>'Round 4 Data'!G74*'Round 4 Points'!M$2</f>
        <v>7</v>
      </c>
      <c r="H74" s="37">
        <f>'Round 4 Data'!H74*'Round 4 Points'!N$2</f>
        <v>0</v>
      </c>
      <c r="I74" s="37">
        <f>'Round 4 Data'!I74*'Round 4 Points'!O$2</f>
        <v>3.4000000000000004</v>
      </c>
      <c r="J74" s="37">
        <f>'Round 4 Data'!J74*'Round 4 Points'!P$2</f>
        <v>0</v>
      </c>
      <c r="K74" s="37">
        <f>'Round 4 Data'!K74*'Round 4 Points'!Q$2</f>
        <v>0</v>
      </c>
      <c r="L74" s="37">
        <f>'Round 4 Data'!L74*'Round 4 Points'!R$2</f>
        <v>0</v>
      </c>
      <c r="M74" s="37">
        <f>'Round 4 Data'!M74*'Round 4 Points'!S$2</f>
        <v>0</v>
      </c>
      <c r="N74" s="37">
        <f>'Round 4 Data'!N74*'Round 4 Points'!T$2</f>
        <v>0</v>
      </c>
      <c r="O74" s="37">
        <f>'Round 4 Data'!O74*'Round 4 Points'!U$2</f>
        <v>0</v>
      </c>
      <c r="P74" s="37">
        <f>'Round 4 Data'!P74*'Round 4 Points'!V$2</f>
        <v>0</v>
      </c>
      <c r="Q74" s="37">
        <f>'Round 4 Data'!Q74*'Round 4 Points'!W$2</f>
        <v>0</v>
      </c>
      <c r="R74" s="37">
        <f>'Round 4 Data'!R74*'Round 4 Points'!X$2</f>
        <v>0</v>
      </c>
      <c r="S74" s="37">
        <f>'Round 4 Data'!S74*'Round 4 Points'!Y$2</f>
        <v>0</v>
      </c>
      <c r="T74" s="38">
        <f t="shared" si="0"/>
        <v>14.4</v>
      </c>
      <c r="U74" s="37">
        <f>'Round 4 Data'!U74*'Round 4 Points'!$Z$2</f>
        <v>0</v>
      </c>
      <c r="V74" s="36">
        <f>IF('Round 4 Data'!D74='Round 4 Points'!$K$1,D74/80*$K$2,0)</f>
        <v>0</v>
      </c>
      <c r="W74">
        <f t="shared" si="1"/>
        <v>14.4</v>
      </c>
    </row>
    <row r="75" spans="1:23" x14ac:dyDescent="0.2">
      <c r="A75" s="36" t="s">
        <v>99</v>
      </c>
      <c r="B75" s="36" t="str" cm="1">
        <f t="array" ref="B75:C75">_xlfn.XLOOKUP(A75,'Player List'!$A$2:$A$177,'Player List'!$B$2:$C$177)</f>
        <v>England</v>
      </c>
      <c r="C75" s="36" t="str">
        <v>Prop</v>
      </c>
      <c r="D75" s="37">
        <v>65</v>
      </c>
      <c r="F75" s="37">
        <f>'Round 4 Data'!F75*'Round 4 Points'!L$2</f>
        <v>8</v>
      </c>
      <c r="G75" s="37">
        <f>'Round 4 Data'!G75*'Round 4 Points'!M$2</f>
        <v>7</v>
      </c>
      <c r="H75" s="37">
        <f>'Round 4 Data'!H75*'Round 4 Points'!N$2</f>
        <v>0</v>
      </c>
      <c r="I75" s="37">
        <f>'Round 4 Data'!I75*'Round 4 Points'!O$2</f>
        <v>4.8000000000000007</v>
      </c>
      <c r="J75" s="37">
        <f>'Round 4 Data'!J75*'Round 4 Points'!P$2</f>
        <v>0</v>
      </c>
      <c r="K75" s="37">
        <f>'Round 4 Data'!K75*'Round 4 Points'!Q$2</f>
        <v>0</v>
      </c>
      <c r="L75" s="37">
        <f>'Round 4 Data'!L75*'Round 4 Points'!R$2</f>
        <v>0</v>
      </c>
      <c r="M75" s="37">
        <f>'Round 4 Data'!M75*'Round 4 Points'!S$2</f>
        <v>0</v>
      </c>
      <c r="N75" s="37">
        <f>'Round 4 Data'!N75*'Round 4 Points'!T$2</f>
        <v>0</v>
      </c>
      <c r="O75" s="37">
        <f>'Round 4 Data'!O75*'Round 4 Points'!U$2</f>
        <v>0</v>
      </c>
      <c r="P75" s="37">
        <f>'Round 4 Data'!P75*'Round 4 Points'!V$2</f>
        <v>0</v>
      </c>
      <c r="Q75" s="37">
        <f>'Round 4 Data'!Q75*'Round 4 Points'!W$2</f>
        <v>0</v>
      </c>
      <c r="R75" s="37">
        <f>'Round 4 Data'!R75*'Round 4 Points'!X$2</f>
        <v>0</v>
      </c>
      <c r="S75" s="37">
        <f>'Round 4 Data'!S75*'Round 4 Points'!Y$2</f>
        <v>0</v>
      </c>
      <c r="T75" s="38">
        <f t="shared" ref="T75:T138" si="2">SUM(F75:S75)</f>
        <v>19.8</v>
      </c>
      <c r="U75" s="37">
        <f>'Round 4 Data'!U75*'Round 4 Points'!$Z$2</f>
        <v>0</v>
      </c>
      <c r="V75" s="36">
        <f>IF('Round 4 Data'!D75='Round 4 Points'!$K$1,D75/80*$K$2,0)</f>
        <v>0</v>
      </c>
      <c r="W75">
        <f t="shared" ref="W75:W138" si="3">SUM(T75:V75)</f>
        <v>19.8</v>
      </c>
    </row>
    <row r="76" spans="1:23" x14ac:dyDescent="0.2">
      <c r="A76" s="36" t="s">
        <v>100</v>
      </c>
      <c r="B76" s="36" t="str" cm="1">
        <f t="array" ref="B76:C76">_xlfn.XLOOKUP(A76,'Player List'!$A$2:$A$177,'Player List'!$B$2:$C$177)</f>
        <v>England</v>
      </c>
      <c r="C76" s="36" t="str">
        <v>Prop</v>
      </c>
      <c r="D76" s="37">
        <v>15</v>
      </c>
      <c r="F76" s="37">
        <f>'Round 4 Data'!F76*'Round 4 Points'!L$2</f>
        <v>0</v>
      </c>
      <c r="G76" s="37">
        <f>'Round 4 Data'!G76*'Round 4 Points'!M$2</f>
        <v>0</v>
      </c>
      <c r="H76" s="37">
        <f>'Round 4 Data'!H76*'Round 4 Points'!N$2</f>
        <v>0</v>
      </c>
      <c r="I76" s="37">
        <f>'Round 4 Data'!I76*'Round 4 Points'!O$2</f>
        <v>2.8000000000000003</v>
      </c>
      <c r="J76" s="37">
        <f>'Round 4 Data'!J76*'Round 4 Points'!P$2</f>
        <v>0</v>
      </c>
      <c r="K76" s="37">
        <f>'Round 4 Data'!K76*'Round 4 Points'!Q$2</f>
        <v>0</v>
      </c>
      <c r="L76" s="37">
        <f>'Round 4 Data'!L76*'Round 4 Points'!R$2</f>
        <v>0</v>
      </c>
      <c r="M76" s="37">
        <f>'Round 4 Data'!M76*'Round 4 Points'!S$2</f>
        <v>0</v>
      </c>
      <c r="N76" s="37">
        <f>'Round 4 Data'!N76*'Round 4 Points'!T$2</f>
        <v>0</v>
      </c>
      <c r="O76" s="37">
        <f>'Round 4 Data'!O76*'Round 4 Points'!U$2</f>
        <v>0</v>
      </c>
      <c r="P76" s="37">
        <f>'Round 4 Data'!P76*'Round 4 Points'!V$2</f>
        <v>0</v>
      </c>
      <c r="Q76" s="37">
        <f>'Round 4 Data'!Q76*'Round 4 Points'!W$2</f>
        <v>0</v>
      </c>
      <c r="R76" s="37">
        <f>'Round 4 Data'!R76*'Round 4 Points'!X$2</f>
        <v>0</v>
      </c>
      <c r="S76" s="37">
        <f>'Round 4 Data'!S76*'Round 4 Points'!Y$2</f>
        <v>0</v>
      </c>
      <c r="T76" s="38">
        <f t="shared" si="2"/>
        <v>2.8000000000000003</v>
      </c>
      <c r="U76" s="37">
        <f>'Round 4 Data'!U76*'Round 4 Points'!$Z$2</f>
        <v>0</v>
      </c>
      <c r="V76" s="36">
        <f>IF('Round 4 Data'!D76='Round 4 Points'!$K$1,D76/80*$K$2,0)</f>
        <v>0</v>
      </c>
      <c r="W76">
        <f t="shared" si="3"/>
        <v>2.8000000000000003</v>
      </c>
    </row>
    <row r="77" spans="1:23" x14ac:dyDescent="0.2">
      <c r="A77" s="36" t="s">
        <v>101</v>
      </c>
      <c r="B77" s="36" t="str" cm="1">
        <f t="array" ref="B77:C77">_xlfn.XLOOKUP(A77,'Player List'!$A$2:$A$177,'Player List'!$B$2:$C$177)</f>
        <v>England</v>
      </c>
      <c r="C77" s="36" t="str">
        <v>Hooker</v>
      </c>
      <c r="D77" s="37">
        <v>80</v>
      </c>
      <c r="F77" s="37">
        <f>'Round 4 Data'!F77*'Round 4 Points'!L$2</f>
        <v>6</v>
      </c>
      <c r="G77" s="37">
        <f>'Round 4 Data'!G77*'Round 4 Points'!M$2</f>
        <v>0</v>
      </c>
      <c r="H77" s="37">
        <f>'Round 4 Data'!H77*'Round 4 Points'!N$2</f>
        <v>0</v>
      </c>
      <c r="I77" s="37">
        <f>'Round 4 Data'!I77*'Round 4 Points'!O$2</f>
        <v>2.8000000000000003</v>
      </c>
      <c r="J77" s="37">
        <f>'Round 4 Data'!J77*'Round 4 Points'!P$2</f>
        <v>0</v>
      </c>
      <c r="K77" s="37">
        <f>'Round 4 Data'!K77*'Round 4 Points'!Q$2</f>
        <v>0</v>
      </c>
      <c r="L77" s="37">
        <f>'Round 4 Data'!L77*'Round 4 Points'!R$2</f>
        <v>0</v>
      </c>
      <c r="M77" s="37">
        <f>'Round 4 Data'!M77*'Round 4 Points'!S$2</f>
        <v>0</v>
      </c>
      <c r="N77" s="37">
        <f>'Round 4 Data'!N77*'Round 4 Points'!T$2</f>
        <v>0</v>
      </c>
      <c r="O77" s="37">
        <f>'Round 4 Data'!O77*'Round 4 Points'!U$2</f>
        <v>0</v>
      </c>
      <c r="P77" s="37">
        <f>'Round 4 Data'!P77*'Round 4 Points'!V$2</f>
        <v>0</v>
      </c>
      <c r="Q77" s="37">
        <f>'Round 4 Data'!Q77*'Round 4 Points'!W$2</f>
        <v>0</v>
      </c>
      <c r="R77" s="37">
        <f>'Round 4 Data'!R77*'Round 4 Points'!X$2</f>
        <v>0</v>
      </c>
      <c r="S77" s="37">
        <f>'Round 4 Data'!S77*'Round 4 Points'!Y$2</f>
        <v>0</v>
      </c>
      <c r="T77" s="38">
        <f t="shared" si="2"/>
        <v>8.8000000000000007</v>
      </c>
      <c r="U77" s="37">
        <f>'Round 4 Data'!U77*'Round 4 Points'!$Z$2</f>
        <v>0</v>
      </c>
      <c r="V77" s="36">
        <f>IF('Round 4 Data'!D77='Round 4 Points'!$K$1,D77/80*$K$2,0)</f>
        <v>0</v>
      </c>
      <c r="W77">
        <f t="shared" si="3"/>
        <v>8.8000000000000007</v>
      </c>
    </row>
    <row r="78" spans="1:23" x14ac:dyDescent="0.2">
      <c r="A78" s="36" t="s">
        <v>102</v>
      </c>
      <c r="B78" s="36" t="str" cm="1">
        <f t="array" ref="B78:C78">_xlfn.XLOOKUP(A78,'Player List'!$A$2:$A$177,'Player List'!$B$2:$C$177)</f>
        <v>England</v>
      </c>
      <c r="C78" s="36" t="str">
        <v>Hooker</v>
      </c>
      <c r="D78" s="37">
        <v>19</v>
      </c>
      <c r="F78" s="37">
        <f>'Round 4 Data'!F78*'Round 4 Points'!L$2</f>
        <v>3</v>
      </c>
      <c r="G78" s="37">
        <f>'Round 4 Data'!G78*'Round 4 Points'!M$2</f>
        <v>0</v>
      </c>
      <c r="H78" s="37">
        <f>'Round 4 Data'!H78*'Round 4 Points'!N$2</f>
        <v>0</v>
      </c>
      <c r="I78" s="37">
        <f>'Round 4 Data'!I78*'Round 4 Points'!O$2</f>
        <v>4.2</v>
      </c>
      <c r="J78" s="37">
        <f>'Round 4 Data'!J78*'Round 4 Points'!P$2</f>
        <v>0</v>
      </c>
      <c r="K78" s="37">
        <f>'Round 4 Data'!K78*'Round 4 Points'!Q$2</f>
        <v>0</v>
      </c>
      <c r="L78" s="37">
        <f>'Round 4 Data'!L78*'Round 4 Points'!R$2</f>
        <v>0</v>
      </c>
      <c r="M78" s="37">
        <f>'Round 4 Data'!M78*'Round 4 Points'!S$2</f>
        <v>0</v>
      </c>
      <c r="N78" s="37">
        <f>'Round 4 Data'!N78*'Round 4 Points'!T$2</f>
        <v>0</v>
      </c>
      <c r="O78" s="37">
        <f>'Round 4 Data'!O78*'Round 4 Points'!U$2</f>
        <v>0</v>
      </c>
      <c r="P78" s="37">
        <f>'Round 4 Data'!P78*'Round 4 Points'!V$2</f>
        <v>0</v>
      </c>
      <c r="Q78" s="37">
        <f>'Round 4 Data'!Q78*'Round 4 Points'!W$2</f>
        <v>0</v>
      </c>
      <c r="R78" s="37">
        <f>'Round 4 Data'!R78*'Round 4 Points'!X$2</f>
        <v>0</v>
      </c>
      <c r="S78" s="37">
        <f>'Round 4 Data'!S78*'Round 4 Points'!Y$2</f>
        <v>0</v>
      </c>
      <c r="T78" s="38">
        <f t="shared" si="2"/>
        <v>7.2</v>
      </c>
      <c r="U78" s="37">
        <f>'Round 4 Data'!U78*'Round 4 Points'!$Z$2</f>
        <v>0</v>
      </c>
      <c r="V78" s="36">
        <f>IF('Round 4 Data'!D78='Round 4 Points'!$K$1,D78/80*$K$2,0)</f>
        <v>0</v>
      </c>
      <c r="W78">
        <f t="shared" si="3"/>
        <v>7.2</v>
      </c>
    </row>
    <row r="79" spans="1:23" x14ac:dyDescent="0.2">
      <c r="A79" s="36" t="s">
        <v>174</v>
      </c>
      <c r="B79" s="36" t="str" cm="1">
        <f t="array" ref="B79:C79">_xlfn.XLOOKUP(A79,'Player List'!$A$2:$A$177,'Player List'!$B$2:$C$177)</f>
        <v>France</v>
      </c>
      <c r="C79" s="36" t="str">
        <v>Back Three</v>
      </c>
      <c r="D79" s="37">
        <v>7</v>
      </c>
      <c r="F79" s="37">
        <f>'Round 4 Data'!F79*'Round 4 Points'!L$2</f>
        <v>2</v>
      </c>
      <c r="G79" s="37">
        <f>'Round 4 Data'!G79*'Round 4 Points'!M$2</f>
        <v>0</v>
      </c>
      <c r="H79" s="37">
        <f>'Round 4 Data'!H79*'Round 4 Points'!N$2</f>
        <v>0</v>
      </c>
      <c r="I79" s="37">
        <f>'Round 4 Data'!I79*'Round 4 Points'!O$2</f>
        <v>2.2000000000000002</v>
      </c>
      <c r="J79" s="37">
        <f>'Round 4 Data'!J79*'Round 4 Points'!P$2</f>
        <v>0</v>
      </c>
      <c r="K79" s="37">
        <f>'Round 4 Data'!K79*'Round 4 Points'!Q$2</f>
        <v>0</v>
      </c>
      <c r="L79" s="37">
        <f>'Round 4 Data'!L79*'Round 4 Points'!R$2</f>
        <v>0</v>
      </c>
      <c r="M79" s="37">
        <f>'Round 4 Data'!M79*'Round 4 Points'!S$2</f>
        <v>0</v>
      </c>
      <c r="N79" s="37">
        <f>'Round 4 Data'!N79*'Round 4 Points'!T$2</f>
        <v>7</v>
      </c>
      <c r="O79" s="37">
        <f>'Round 4 Data'!O79*'Round 4 Points'!U$2</f>
        <v>0</v>
      </c>
      <c r="P79" s="37">
        <f>'Round 4 Data'!P79*'Round 4 Points'!V$2</f>
        <v>0</v>
      </c>
      <c r="Q79" s="37">
        <f>'Round 4 Data'!Q79*'Round 4 Points'!W$2</f>
        <v>0</v>
      </c>
      <c r="R79" s="37">
        <f>'Round 4 Data'!R79*'Round 4 Points'!X$2</f>
        <v>0</v>
      </c>
      <c r="S79" s="37">
        <f>'Round 4 Data'!S79*'Round 4 Points'!Y$2</f>
        <v>0</v>
      </c>
      <c r="T79" s="38">
        <f t="shared" si="2"/>
        <v>11.2</v>
      </c>
      <c r="U79" s="37">
        <f>'Round 4 Data'!U79*'Round 4 Points'!$Z$2</f>
        <v>0</v>
      </c>
      <c r="V79" s="36">
        <f>IF('Round 4 Data'!D79='Round 4 Points'!$K$1,D79/80*$K$2,0)</f>
        <v>0.7</v>
      </c>
      <c r="W79">
        <f t="shared" si="3"/>
        <v>11.899999999999999</v>
      </c>
    </row>
    <row r="80" spans="1:23" x14ac:dyDescent="0.2">
      <c r="A80" s="36" t="s">
        <v>12</v>
      </c>
      <c r="B80" s="36" t="str" cm="1">
        <f t="array" ref="B80:C80">_xlfn.XLOOKUP(A80,'Player List'!$A$2:$A$177,'Player List'!$B$2:$C$177)</f>
        <v>France</v>
      </c>
      <c r="C80" s="36" t="str">
        <v>Back Three</v>
      </c>
      <c r="D80" s="37">
        <v>80</v>
      </c>
      <c r="F80" s="37">
        <f>'Round 4 Data'!F80*'Round 4 Points'!L$2</f>
        <v>4</v>
      </c>
      <c r="G80" s="37">
        <f>'Round 4 Data'!G80*'Round 4 Points'!M$2</f>
        <v>0</v>
      </c>
      <c r="H80" s="37">
        <f>'Round 4 Data'!H80*'Round 4 Points'!N$2</f>
        <v>14</v>
      </c>
      <c r="I80" s="37">
        <f>'Round 4 Data'!I80*'Round 4 Points'!O$2</f>
        <v>17.2</v>
      </c>
      <c r="J80" s="37">
        <f>'Round 4 Data'!J80*'Round 4 Points'!P$2</f>
        <v>0</v>
      </c>
      <c r="K80" s="37">
        <f>'Round 4 Data'!K80*'Round 4 Points'!Q$2</f>
        <v>0</v>
      </c>
      <c r="L80" s="37">
        <f>'Round 4 Data'!L80*'Round 4 Points'!R$2</f>
        <v>0</v>
      </c>
      <c r="M80" s="37">
        <f>'Round 4 Data'!M80*'Round 4 Points'!S$2</f>
        <v>30</v>
      </c>
      <c r="N80" s="37">
        <f>'Round 4 Data'!N80*'Round 4 Points'!T$2</f>
        <v>0</v>
      </c>
      <c r="O80" s="37">
        <f>'Round 4 Data'!O80*'Round 4 Points'!U$2</f>
        <v>0</v>
      </c>
      <c r="P80" s="37">
        <f>'Round 4 Data'!P80*'Round 4 Points'!V$2</f>
        <v>0</v>
      </c>
      <c r="Q80" s="37">
        <f>'Round 4 Data'!Q80*'Round 4 Points'!W$2</f>
        <v>0</v>
      </c>
      <c r="R80" s="37">
        <f>'Round 4 Data'!R80*'Round 4 Points'!X$2</f>
        <v>0</v>
      </c>
      <c r="S80" s="37">
        <f>'Round 4 Data'!S80*'Round 4 Points'!Y$2</f>
        <v>0</v>
      </c>
      <c r="T80" s="38">
        <f t="shared" si="2"/>
        <v>65.2</v>
      </c>
      <c r="U80" s="37">
        <f>'Round 4 Data'!U80*'Round 4 Points'!$Z$2</f>
        <v>0</v>
      </c>
      <c r="V80" s="36">
        <f>IF('Round 4 Data'!D80='Round 4 Points'!$K$1,D80/80*$K$2,0)</f>
        <v>8</v>
      </c>
      <c r="W80">
        <f t="shared" si="3"/>
        <v>73.2</v>
      </c>
    </row>
    <row r="81" spans="1:23" x14ac:dyDescent="0.2">
      <c r="A81" s="36" t="s">
        <v>13</v>
      </c>
      <c r="B81" s="36" t="str" cm="1">
        <f t="array" ref="B81:C81">_xlfn.XLOOKUP(A81,'Player List'!$A$2:$A$177,'Player List'!$B$2:$C$177)</f>
        <v>France</v>
      </c>
      <c r="C81" s="36" t="str">
        <v>Back Three</v>
      </c>
      <c r="D81" s="37">
        <v>80</v>
      </c>
      <c r="F81" s="37">
        <f>'Round 4 Data'!F81*'Round 4 Points'!L$2</f>
        <v>0</v>
      </c>
      <c r="G81" s="37">
        <f>'Round 4 Data'!G81*'Round 4 Points'!M$2</f>
        <v>7</v>
      </c>
      <c r="H81" s="37">
        <f>'Round 4 Data'!H81*'Round 4 Points'!N$2</f>
        <v>7</v>
      </c>
      <c r="I81" s="37">
        <f>'Round 4 Data'!I81*'Round 4 Points'!O$2</f>
        <v>19.200000000000003</v>
      </c>
      <c r="J81" s="37">
        <f>'Round 4 Data'!J81*'Round 4 Points'!P$2</f>
        <v>0</v>
      </c>
      <c r="K81" s="37">
        <f>'Round 4 Data'!K81*'Round 4 Points'!Q$2</f>
        <v>0</v>
      </c>
      <c r="L81" s="37">
        <f>'Round 4 Data'!L81*'Round 4 Points'!R$2</f>
        <v>0</v>
      </c>
      <c r="M81" s="37">
        <f>'Round 4 Data'!M81*'Round 4 Points'!S$2</f>
        <v>15</v>
      </c>
      <c r="N81" s="37">
        <f>'Round 4 Data'!N81*'Round 4 Points'!T$2</f>
        <v>0</v>
      </c>
      <c r="O81" s="37">
        <f>'Round 4 Data'!O81*'Round 4 Points'!U$2</f>
        <v>12</v>
      </c>
      <c r="P81" s="37">
        <f>'Round 4 Data'!P81*'Round 4 Points'!V$2</f>
        <v>10</v>
      </c>
      <c r="Q81" s="37">
        <f>'Round 4 Data'!Q81*'Round 4 Points'!W$2</f>
        <v>0</v>
      </c>
      <c r="R81" s="37">
        <f>'Round 4 Data'!R81*'Round 4 Points'!X$2</f>
        <v>0</v>
      </c>
      <c r="S81" s="37">
        <f>'Round 4 Data'!S81*'Round 4 Points'!Y$2</f>
        <v>0</v>
      </c>
      <c r="T81" s="38">
        <f t="shared" si="2"/>
        <v>70.2</v>
      </c>
      <c r="U81" s="37">
        <f>'Round 4 Data'!U81*'Round 4 Points'!$Z$2</f>
        <v>15</v>
      </c>
      <c r="V81" s="36">
        <f>IF('Round 4 Data'!D81='Round 4 Points'!$K$1,D81/80*$K$2,0)</f>
        <v>8</v>
      </c>
      <c r="W81">
        <f t="shared" si="3"/>
        <v>93.2</v>
      </c>
    </row>
    <row r="82" spans="1:23" x14ac:dyDescent="0.2">
      <c r="A82" s="36" t="s">
        <v>175</v>
      </c>
      <c r="B82" s="36" t="str" cm="1">
        <f t="array" ref="B82:C82">_xlfn.XLOOKUP(A82,'Player List'!$A$2:$A$177,'Player List'!$B$2:$C$177)</f>
        <v>France</v>
      </c>
      <c r="C82" s="36" t="str">
        <v>Centre</v>
      </c>
      <c r="D82" s="37">
        <v>65</v>
      </c>
      <c r="F82" s="37">
        <f>'Round 4 Data'!F82*'Round 4 Points'!L$2</f>
        <v>8</v>
      </c>
      <c r="G82" s="37">
        <f>'Round 4 Data'!G82*'Round 4 Points'!M$2</f>
        <v>7</v>
      </c>
      <c r="H82" s="37">
        <f>'Round 4 Data'!H82*'Round 4 Points'!N$2</f>
        <v>0</v>
      </c>
      <c r="I82" s="37">
        <f>'Round 4 Data'!I82*'Round 4 Points'!O$2</f>
        <v>5.2</v>
      </c>
      <c r="J82" s="37">
        <f>'Round 4 Data'!J82*'Round 4 Points'!P$2</f>
        <v>0</v>
      </c>
      <c r="K82" s="37">
        <f>'Round 4 Data'!K82*'Round 4 Points'!Q$2</f>
        <v>0</v>
      </c>
      <c r="L82" s="37">
        <f>'Round 4 Data'!L82*'Round 4 Points'!R$2</f>
        <v>7</v>
      </c>
      <c r="M82" s="37">
        <f>'Round 4 Data'!M82*'Round 4 Points'!S$2</f>
        <v>0</v>
      </c>
      <c r="N82" s="37">
        <f>'Round 4 Data'!N82*'Round 4 Points'!T$2</f>
        <v>0</v>
      </c>
      <c r="O82" s="37">
        <f>'Round 4 Data'!O82*'Round 4 Points'!U$2</f>
        <v>0</v>
      </c>
      <c r="P82" s="37">
        <f>'Round 4 Data'!P82*'Round 4 Points'!V$2</f>
        <v>0</v>
      </c>
      <c r="Q82" s="37">
        <f>'Round 4 Data'!Q82*'Round 4 Points'!W$2</f>
        <v>0</v>
      </c>
      <c r="R82" s="37">
        <f>'Round 4 Data'!R82*'Round 4 Points'!X$2</f>
        <v>0</v>
      </c>
      <c r="S82" s="37">
        <f>'Round 4 Data'!S82*'Round 4 Points'!Y$2</f>
        <v>0</v>
      </c>
      <c r="T82" s="38">
        <f t="shared" si="2"/>
        <v>27.2</v>
      </c>
      <c r="U82" s="37">
        <f>'Round 4 Data'!U82*'Round 4 Points'!$Z$2</f>
        <v>0</v>
      </c>
      <c r="V82" s="36">
        <f>IF('Round 4 Data'!D82='Round 4 Points'!$K$1,D82/80*$K$2,0)</f>
        <v>6.5</v>
      </c>
      <c r="W82">
        <f t="shared" si="3"/>
        <v>33.700000000000003</v>
      </c>
    </row>
    <row r="83" spans="1:23" x14ac:dyDescent="0.2">
      <c r="A83" s="36" t="s">
        <v>14</v>
      </c>
      <c r="B83" s="36" t="str" cm="1">
        <f t="array" ref="B83:C83">_xlfn.XLOOKUP(A83,'Player List'!$A$2:$A$177,'Player List'!$B$2:$C$177)</f>
        <v>France</v>
      </c>
      <c r="C83" s="36" t="str">
        <v>Centre</v>
      </c>
      <c r="D83" s="37">
        <v>80</v>
      </c>
      <c r="F83" s="37">
        <f>'Round 4 Data'!F83*'Round 4 Points'!L$2</f>
        <v>0</v>
      </c>
      <c r="G83" s="37">
        <f>'Round 4 Data'!G83*'Round 4 Points'!M$2</f>
        <v>0</v>
      </c>
      <c r="H83" s="37">
        <f>'Round 4 Data'!H83*'Round 4 Points'!N$2</f>
        <v>7</v>
      </c>
      <c r="I83" s="37">
        <f>'Round 4 Data'!I83*'Round 4 Points'!O$2</f>
        <v>10</v>
      </c>
      <c r="J83" s="37">
        <f>'Round 4 Data'!J83*'Round 4 Points'!P$2</f>
        <v>0</v>
      </c>
      <c r="K83" s="37">
        <f>'Round 4 Data'!K83*'Round 4 Points'!Q$2</f>
        <v>0</v>
      </c>
      <c r="L83" s="37">
        <f>'Round 4 Data'!L83*'Round 4 Points'!R$2</f>
        <v>0</v>
      </c>
      <c r="M83" s="37">
        <f>'Round 4 Data'!M83*'Round 4 Points'!S$2</f>
        <v>0</v>
      </c>
      <c r="N83" s="37">
        <f>'Round 4 Data'!N83*'Round 4 Points'!T$2</f>
        <v>7</v>
      </c>
      <c r="O83" s="37">
        <f>'Round 4 Data'!O83*'Round 4 Points'!U$2</f>
        <v>0</v>
      </c>
      <c r="P83" s="37">
        <f>'Round 4 Data'!P83*'Round 4 Points'!V$2</f>
        <v>0</v>
      </c>
      <c r="Q83" s="37">
        <f>'Round 4 Data'!Q83*'Round 4 Points'!W$2</f>
        <v>0</v>
      </c>
      <c r="R83" s="37">
        <f>'Round 4 Data'!R83*'Round 4 Points'!X$2</f>
        <v>0</v>
      </c>
      <c r="S83" s="37">
        <f>'Round 4 Data'!S83*'Round 4 Points'!Y$2</f>
        <v>0</v>
      </c>
      <c r="T83" s="38">
        <f t="shared" si="2"/>
        <v>24</v>
      </c>
      <c r="U83" s="37">
        <f>'Round 4 Data'!U83*'Round 4 Points'!$Z$2</f>
        <v>0</v>
      </c>
      <c r="V83" s="36">
        <f>IF('Round 4 Data'!D83='Round 4 Points'!$K$1,D83/80*$K$2,0)</f>
        <v>8</v>
      </c>
      <c r="W83">
        <f t="shared" si="3"/>
        <v>32</v>
      </c>
    </row>
    <row r="84" spans="1:23" x14ac:dyDescent="0.2">
      <c r="A84" s="36" t="s">
        <v>15</v>
      </c>
      <c r="B84" s="36" t="str" cm="1">
        <f t="array" ref="B84:C84">_xlfn.XLOOKUP(A84,'Player List'!$A$2:$A$177,'Player List'!$B$2:$C$177)</f>
        <v>France</v>
      </c>
      <c r="C84" s="36" t="str">
        <v>Centre</v>
      </c>
      <c r="D84" s="37">
        <v>80</v>
      </c>
      <c r="F84" s="37">
        <f>'Round 4 Data'!F84*'Round 4 Points'!L$2</f>
        <v>12</v>
      </c>
      <c r="G84" s="37">
        <f>'Round 4 Data'!G84*'Round 4 Points'!M$2</f>
        <v>7</v>
      </c>
      <c r="H84" s="37">
        <f>'Round 4 Data'!H84*'Round 4 Points'!N$2</f>
        <v>0</v>
      </c>
      <c r="I84" s="37">
        <f>'Round 4 Data'!I84*'Round 4 Points'!O$2</f>
        <v>10.8</v>
      </c>
      <c r="J84" s="37">
        <f>'Round 4 Data'!J84*'Round 4 Points'!P$2</f>
        <v>0</v>
      </c>
      <c r="K84" s="37">
        <f>'Round 4 Data'!K84*'Round 4 Points'!Q$2</f>
        <v>0</v>
      </c>
      <c r="L84" s="37">
        <f>'Round 4 Data'!L84*'Round 4 Points'!R$2</f>
        <v>0</v>
      </c>
      <c r="M84" s="37">
        <f>'Round 4 Data'!M84*'Round 4 Points'!S$2</f>
        <v>0</v>
      </c>
      <c r="N84" s="37">
        <f>'Round 4 Data'!N84*'Round 4 Points'!T$2</f>
        <v>7</v>
      </c>
      <c r="O84" s="37">
        <f>'Round 4 Data'!O84*'Round 4 Points'!U$2</f>
        <v>0</v>
      </c>
      <c r="P84" s="37">
        <f>'Round 4 Data'!P84*'Round 4 Points'!V$2</f>
        <v>0</v>
      </c>
      <c r="Q84" s="37">
        <f>'Round 4 Data'!Q84*'Round 4 Points'!W$2</f>
        <v>0</v>
      </c>
      <c r="R84" s="37">
        <f>'Round 4 Data'!R84*'Round 4 Points'!X$2</f>
        <v>0</v>
      </c>
      <c r="S84" s="37">
        <f>'Round 4 Data'!S84*'Round 4 Points'!Y$2</f>
        <v>0</v>
      </c>
      <c r="T84" s="38">
        <f t="shared" si="2"/>
        <v>36.799999999999997</v>
      </c>
      <c r="U84" s="37">
        <f>'Round 4 Data'!U84*'Round 4 Points'!$Z$2</f>
        <v>0</v>
      </c>
      <c r="V84" s="36">
        <f>IF('Round 4 Data'!D84='Round 4 Points'!$K$1,D84/80*$K$2,0)</f>
        <v>8</v>
      </c>
      <c r="W84">
        <f t="shared" si="3"/>
        <v>44.8</v>
      </c>
    </row>
    <row r="85" spans="1:23" x14ac:dyDescent="0.2">
      <c r="A85" s="36" t="s">
        <v>16</v>
      </c>
      <c r="B85" s="36" t="str" cm="1">
        <f t="array" ref="B85:C85">_xlfn.XLOOKUP(A85,'Player List'!$A$2:$A$177,'Player List'!$B$2:$C$177)</f>
        <v>France</v>
      </c>
      <c r="C85" s="36" t="str">
        <v>Centre</v>
      </c>
      <c r="D85" s="37">
        <v>15</v>
      </c>
      <c r="F85" s="37">
        <f>'Round 4 Data'!F85*'Round 4 Points'!L$2</f>
        <v>2</v>
      </c>
      <c r="G85" s="37">
        <f>'Round 4 Data'!G85*'Round 4 Points'!M$2</f>
        <v>0</v>
      </c>
      <c r="H85" s="37">
        <f>'Round 4 Data'!H85*'Round 4 Points'!N$2</f>
        <v>0</v>
      </c>
      <c r="I85" s="37">
        <f>'Round 4 Data'!I85*'Round 4 Points'!O$2</f>
        <v>2.2000000000000002</v>
      </c>
      <c r="J85" s="37">
        <f>'Round 4 Data'!J85*'Round 4 Points'!P$2</f>
        <v>0</v>
      </c>
      <c r="K85" s="37">
        <f>'Round 4 Data'!K85*'Round 4 Points'!Q$2</f>
        <v>0</v>
      </c>
      <c r="L85" s="37">
        <f>'Round 4 Data'!L85*'Round 4 Points'!R$2</f>
        <v>0</v>
      </c>
      <c r="M85" s="37">
        <f>'Round 4 Data'!M85*'Round 4 Points'!S$2</f>
        <v>0</v>
      </c>
      <c r="N85" s="37">
        <f>'Round 4 Data'!N85*'Round 4 Points'!T$2</f>
        <v>0</v>
      </c>
      <c r="O85" s="37">
        <f>'Round 4 Data'!O85*'Round 4 Points'!U$2</f>
        <v>0</v>
      </c>
      <c r="P85" s="37">
        <f>'Round 4 Data'!P85*'Round 4 Points'!V$2</f>
        <v>0</v>
      </c>
      <c r="Q85" s="37">
        <f>'Round 4 Data'!Q85*'Round 4 Points'!W$2</f>
        <v>0</v>
      </c>
      <c r="R85" s="37">
        <f>'Round 4 Data'!R85*'Round 4 Points'!X$2</f>
        <v>0</v>
      </c>
      <c r="S85" s="37">
        <f>'Round 4 Data'!S85*'Round 4 Points'!Y$2</f>
        <v>0</v>
      </c>
      <c r="T85" s="38">
        <f t="shared" si="2"/>
        <v>4.2</v>
      </c>
      <c r="U85" s="37">
        <f>'Round 4 Data'!U85*'Round 4 Points'!$Z$2</f>
        <v>0</v>
      </c>
      <c r="V85" s="36">
        <f>IF('Round 4 Data'!D85='Round 4 Points'!$K$1,D85/80*$K$2,0)</f>
        <v>1.5</v>
      </c>
      <c r="W85">
        <f t="shared" si="3"/>
        <v>5.7</v>
      </c>
    </row>
    <row r="86" spans="1:23" x14ac:dyDescent="0.2">
      <c r="A86" s="36" t="s">
        <v>18</v>
      </c>
      <c r="B86" s="36" t="str" cm="1">
        <f t="array" ref="B86:C86">_xlfn.XLOOKUP(A86,'Player List'!$A$2:$A$177,'Player List'!$B$2:$C$177)</f>
        <v>France</v>
      </c>
      <c r="C86" s="36" t="str">
        <v>Fly Half</v>
      </c>
      <c r="D86" s="37">
        <v>73</v>
      </c>
      <c r="F86" s="37">
        <f>'Round 4 Data'!F86*'Round 4 Points'!L$2</f>
        <v>6</v>
      </c>
      <c r="G86" s="37">
        <f>'Round 4 Data'!G86*'Round 4 Points'!M$2</f>
        <v>0</v>
      </c>
      <c r="H86" s="37">
        <f>'Round 4 Data'!H86*'Round 4 Points'!N$2</f>
        <v>0</v>
      </c>
      <c r="I86" s="37">
        <f>'Round 4 Data'!I86*'Round 4 Points'!O$2</f>
        <v>3.2</v>
      </c>
      <c r="J86" s="37">
        <f>'Round 4 Data'!J86*'Round 4 Points'!P$2</f>
        <v>0</v>
      </c>
      <c r="K86" s="37">
        <f>'Round 4 Data'!K86*'Round 4 Points'!Q$2</f>
        <v>0</v>
      </c>
      <c r="L86" s="37">
        <f>'Round 4 Data'!L86*'Round 4 Points'!R$2</f>
        <v>0</v>
      </c>
      <c r="M86" s="37">
        <f>'Round 4 Data'!M86*'Round 4 Points'!S$2</f>
        <v>0</v>
      </c>
      <c r="N86" s="37">
        <f>'Round 4 Data'!N86*'Round 4 Points'!T$2</f>
        <v>7</v>
      </c>
      <c r="O86" s="37">
        <f>'Round 4 Data'!O86*'Round 4 Points'!U$2</f>
        <v>0</v>
      </c>
      <c r="P86" s="37">
        <f>'Round 4 Data'!P86*'Round 4 Points'!V$2</f>
        <v>0</v>
      </c>
      <c r="Q86" s="37">
        <f>'Round 4 Data'!Q86*'Round 4 Points'!W$2</f>
        <v>0</v>
      </c>
      <c r="R86" s="37">
        <f>'Round 4 Data'!R86*'Round 4 Points'!X$2</f>
        <v>0</v>
      </c>
      <c r="S86" s="37">
        <f>'Round 4 Data'!S86*'Round 4 Points'!Y$2</f>
        <v>0</v>
      </c>
      <c r="T86" s="38">
        <f t="shared" si="2"/>
        <v>16.2</v>
      </c>
      <c r="U86" s="37">
        <f>'Round 4 Data'!U86*'Round 4 Points'!$Z$2</f>
        <v>0</v>
      </c>
      <c r="V86" s="36">
        <f>IF('Round 4 Data'!D86='Round 4 Points'!$K$1,D86/80*$K$2,0)</f>
        <v>7.3</v>
      </c>
      <c r="W86">
        <f t="shared" si="3"/>
        <v>23.5</v>
      </c>
    </row>
    <row r="87" spans="1:23" x14ac:dyDescent="0.2">
      <c r="A87" s="36" t="s">
        <v>19</v>
      </c>
      <c r="B87" s="36" t="str" cm="1">
        <f t="array" ref="B87:C87">_xlfn.XLOOKUP(A87,'Player List'!$A$2:$A$177,'Player List'!$B$2:$C$177)</f>
        <v>France</v>
      </c>
      <c r="C87" s="36" t="str">
        <v>Scrum Half</v>
      </c>
      <c r="D87" s="37">
        <v>69</v>
      </c>
      <c r="F87" s="37">
        <f>'Round 4 Data'!F87*'Round 4 Points'!L$2</f>
        <v>9</v>
      </c>
      <c r="G87" s="37">
        <f>'Round 4 Data'!G87*'Round 4 Points'!M$2</f>
        <v>7</v>
      </c>
      <c r="H87" s="37">
        <f>'Round 4 Data'!H87*'Round 4 Points'!N$2</f>
        <v>7</v>
      </c>
      <c r="I87" s="37">
        <f>'Round 4 Data'!I87*'Round 4 Points'!O$2</f>
        <v>9</v>
      </c>
      <c r="J87" s="37">
        <f>'Round 4 Data'!J87*'Round 4 Points'!P$2</f>
        <v>10</v>
      </c>
      <c r="K87" s="37">
        <f>'Round 4 Data'!K87*'Round 4 Points'!Q$2</f>
        <v>0</v>
      </c>
      <c r="L87" s="37">
        <f>'Round 4 Data'!L87*'Round 4 Points'!R$2</f>
        <v>0</v>
      </c>
      <c r="M87" s="37">
        <f>'Round 4 Data'!M87*'Round 4 Points'!S$2</f>
        <v>0</v>
      </c>
      <c r="N87" s="37">
        <f>'Round 4 Data'!N87*'Round 4 Points'!T$2</f>
        <v>7</v>
      </c>
      <c r="O87" s="37">
        <f>'Round 4 Data'!O87*'Round 4 Points'!U$2</f>
        <v>0</v>
      </c>
      <c r="P87" s="37">
        <f>'Round 4 Data'!P87*'Round 4 Points'!V$2</f>
        <v>0</v>
      </c>
      <c r="Q87" s="37">
        <f>'Round 4 Data'!Q87*'Round 4 Points'!W$2</f>
        <v>0</v>
      </c>
      <c r="R87" s="37">
        <f>'Round 4 Data'!R87*'Round 4 Points'!X$2</f>
        <v>0</v>
      </c>
      <c r="S87" s="37">
        <f>'Round 4 Data'!S87*'Round 4 Points'!Y$2</f>
        <v>0</v>
      </c>
      <c r="T87" s="38">
        <f t="shared" si="2"/>
        <v>49</v>
      </c>
      <c r="U87" s="37">
        <f>'Round 4 Data'!U87*'Round 4 Points'!$Z$2</f>
        <v>0</v>
      </c>
      <c r="V87" s="36">
        <f>IF('Round 4 Data'!D87='Round 4 Points'!$K$1,D87/80*$K$2,0)</f>
        <v>6.9</v>
      </c>
      <c r="W87">
        <f t="shared" si="3"/>
        <v>55.9</v>
      </c>
    </row>
    <row r="88" spans="1:23" x14ac:dyDescent="0.2">
      <c r="A88" s="36" t="s">
        <v>176</v>
      </c>
      <c r="B88" s="36" t="str" cm="1">
        <f t="array" ref="B88:C88">_xlfn.XLOOKUP(A88,'Player List'!$A$2:$A$177,'Player List'!$B$2:$C$177)</f>
        <v>France</v>
      </c>
      <c r="C88" s="36" t="str">
        <v>Scrum Half</v>
      </c>
      <c r="D88" s="37">
        <v>11</v>
      </c>
      <c r="F88" s="37">
        <f>'Round 4 Data'!F88*'Round 4 Points'!L$2</f>
        <v>0</v>
      </c>
      <c r="G88" s="37">
        <f>'Round 4 Data'!G88*'Round 4 Points'!M$2</f>
        <v>0</v>
      </c>
      <c r="H88" s="37">
        <f>'Round 4 Data'!H88*'Round 4 Points'!N$2</f>
        <v>0</v>
      </c>
      <c r="I88" s="37">
        <f>'Round 4 Data'!I88*'Round 4 Points'!O$2</f>
        <v>0.4</v>
      </c>
      <c r="J88" s="37">
        <f>'Round 4 Data'!J88*'Round 4 Points'!P$2</f>
        <v>0</v>
      </c>
      <c r="K88" s="37">
        <f>'Round 4 Data'!K88*'Round 4 Points'!Q$2</f>
        <v>0</v>
      </c>
      <c r="L88" s="37">
        <f>'Round 4 Data'!L88*'Round 4 Points'!R$2</f>
        <v>0</v>
      </c>
      <c r="M88" s="37">
        <f>'Round 4 Data'!M88*'Round 4 Points'!S$2</f>
        <v>0</v>
      </c>
      <c r="N88" s="37">
        <f>'Round 4 Data'!N88*'Round 4 Points'!T$2</f>
        <v>0</v>
      </c>
      <c r="O88" s="37">
        <f>'Round 4 Data'!O88*'Round 4 Points'!U$2</f>
        <v>0</v>
      </c>
      <c r="P88" s="37">
        <f>'Round 4 Data'!P88*'Round 4 Points'!V$2</f>
        <v>0</v>
      </c>
      <c r="Q88" s="37">
        <f>'Round 4 Data'!Q88*'Round 4 Points'!W$2</f>
        <v>0</v>
      </c>
      <c r="R88" s="37">
        <f>'Round 4 Data'!R88*'Round 4 Points'!X$2</f>
        <v>0</v>
      </c>
      <c r="S88" s="37">
        <f>'Round 4 Data'!S88*'Round 4 Points'!Y$2</f>
        <v>0</v>
      </c>
      <c r="T88" s="38">
        <f t="shared" si="2"/>
        <v>0.4</v>
      </c>
      <c r="U88" s="37">
        <f>'Round 4 Data'!U88*'Round 4 Points'!$Z$2</f>
        <v>0</v>
      </c>
      <c r="V88" s="36">
        <f>IF('Round 4 Data'!D88='Round 4 Points'!$K$1,D88/80*$K$2,0)</f>
        <v>1.1000000000000001</v>
      </c>
      <c r="W88">
        <f t="shared" si="3"/>
        <v>1.5</v>
      </c>
    </row>
    <row r="89" spans="1:23" x14ac:dyDescent="0.2">
      <c r="A89" s="36" t="s">
        <v>20</v>
      </c>
      <c r="B89" s="36" t="str" cm="1">
        <f t="array" ref="B89:C89">_xlfn.XLOOKUP(A89,'Player List'!$A$2:$A$177,'Player List'!$B$2:$C$177)</f>
        <v>France</v>
      </c>
      <c r="C89" s="36" t="str">
        <v>Back Row</v>
      </c>
      <c r="D89" s="37">
        <v>80</v>
      </c>
      <c r="F89" s="37">
        <f>'Round 4 Data'!F89*'Round 4 Points'!L$2</f>
        <v>7</v>
      </c>
      <c r="G89" s="37">
        <f>'Round 4 Data'!G89*'Round 4 Points'!M$2</f>
        <v>7</v>
      </c>
      <c r="H89" s="37">
        <f>'Round 4 Data'!H89*'Round 4 Points'!N$2</f>
        <v>7</v>
      </c>
      <c r="I89" s="37">
        <f>'Round 4 Data'!I89*'Round 4 Points'!O$2</f>
        <v>18.600000000000001</v>
      </c>
      <c r="J89" s="37">
        <f>'Round 4 Data'!J89*'Round 4 Points'!P$2</f>
        <v>0</v>
      </c>
      <c r="K89" s="37">
        <f>'Round 4 Data'!K89*'Round 4 Points'!Q$2</f>
        <v>0</v>
      </c>
      <c r="L89" s="37">
        <f>'Round 4 Data'!L89*'Round 4 Points'!R$2</f>
        <v>14</v>
      </c>
      <c r="M89" s="37">
        <f>'Round 4 Data'!M89*'Round 4 Points'!S$2</f>
        <v>0</v>
      </c>
      <c r="N89" s="37">
        <f>'Round 4 Data'!N89*'Round 4 Points'!T$2</f>
        <v>7</v>
      </c>
      <c r="O89" s="37">
        <f>'Round 4 Data'!O89*'Round 4 Points'!U$2</f>
        <v>0</v>
      </c>
      <c r="P89" s="37">
        <f>'Round 4 Data'!P89*'Round 4 Points'!V$2</f>
        <v>0</v>
      </c>
      <c r="Q89" s="37">
        <f>'Round 4 Data'!Q89*'Round 4 Points'!W$2</f>
        <v>0</v>
      </c>
      <c r="R89" s="37">
        <f>'Round 4 Data'!R89*'Round 4 Points'!X$2</f>
        <v>0</v>
      </c>
      <c r="S89" s="37">
        <f>'Round 4 Data'!S89*'Round 4 Points'!Y$2</f>
        <v>0</v>
      </c>
      <c r="T89" s="38">
        <f t="shared" si="2"/>
        <v>60.6</v>
      </c>
      <c r="U89" s="37">
        <f>'Round 4 Data'!U89*'Round 4 Points'!$Z$2</f>
        <v>0</v>
      </c>
      <c r="V89" s="36">
        <f>IF('Round 4 Data'!D89='Round 4 Points'!$K$1,D89/80*$K$2,0)</f>
        <v>8</v>
      </c>
      <c r="W89">
        <f t="shared" si="3"/>
        <v>68.599999999999994</v>
      </c>
    </row>
    <row r="90" spans="1:23" x14ac:dyDescent="0.2">
      <c r="A90" s="36" t="s">
        <v>21</v>
      </c>
      <c r="B90" s="36" t="str" cm="1">
        <f t="array" ref="B90:C90">_xlfn.XLOOKUP(A90,'Player List'!$A$2:$A$177,'Player List'!$B$2:$C$177)</f>
        <v>France</v>
      </c>
      <c r="C90" s="36" t="str">
        <v>Back Row</v>
      </c>
      <c r="D90" s="37">
        <v>80</v>
      </c>
      <c r="F90" s="37">
        <f>'Round 4 Data'!F90*'Round 4 Points'!L$2</f>
        <v>12</v>
      </c>
      <c r="G90" s="37">
        <f>'Round 4 Data'!G90*'Round 4 Points'!M$2</f>
        <v>7</v>
      </c>
      <c r="H90" s="37">
        <f>'Round 4 Data'!H90*'Round 4 Points'!N$2</f>
        <v>0</v>
      </c>
      <c r="I90" s="37">
        <f>'Round 4 Data'!I90*'Round 4 Points'!O$2</f>
        <v>6.6000000000000005</v>
      </c>
      <c r="J90" s="37">
        <f>'Round 4 Data'!J90*'Round 4 Points'!P$2</f>
        <v>0</v>
      </c>
      <c r="K90" s="37">
        <f>'Round 4 Data'!K90*'Round 4 Points'!Q$2</f>
        <v>0</v>
      </c>
      <c r="L90" s="37">
        <f>'Round 4 Data'!L90*'Round 4 Points'!R$2</f>
        <v>0</v>
      </c>
      <c r="M90" s="37">
        <f>'Round 4 Data'!M90*'Round 4 Points'!S$2</f>
        <v>0</v>
      </c>
      <c r="N90" s="37">
        <f>'Round 4 Data'!N90*'Round 4 Points'!T$2</f>
        <v>0</v>
      </c>
      <c r="O90" s="37">
        <f>'Round 4 Data'!O90*'Round 4 Points'!U$2</f>
        <v>0</v>
      </c>
      <c r="P90" s="37">
        <f>'Round 4 Data'!P90*'Round 4 Points'!V$2</f>
        <v>0</v>
      </c>
      <c r="Q90" s="37">
        <f>'Round 4 Data'!Q90*'Round 4 Points'!W$2</f>
        <v>0</v>
      </c>
      <c r="R90" s="37">
        <f>'Round 4 Data'!R90*'Round 4 Points'!X$2</f>
        <v>0</v>
      </c>
      <c r="S90" s="37">
        <f>'Round 4 Data'!S90*'Round 4 Points'!Y$2</f>
        <v>0</v>
      </c>
      <c r="T90" s="38">
        <f t="shared" si="2"/>
        <v>25.6</v>
      </c>
      <c r="U90" s="37">
        <f>'Round 4 Data'!U90*'Round 4 Points'!$Z$2</f>
        <v>0</v>
      </c>
      <c r="V90" s="36">
        <f>IF('Round 4 Data'!D90='Round 4 Points'!$K$1,D90/80*$K$2,0)</f>
        <v>8</v>
      </c>
      <c r="W90">
        <f t="shared" si="3"/>
        <v>33.6</v>
      </c>
    </row>
    <row r="91" spans="1:23" x14ac:dyDescent="0.2">
      <c r="A91" s="36" t="s">
        <v>23</v>
      </c>
      <c r="B91" s="36" t="str" cm="1">
        <f t="array" ref="B91:C91">_xlfn.XLOOKUP(A91,'Player List'!$A$2:$A$177,'Player List'!$B$2:$C$177)</f>
        <v>France</v>
      </c>
      <c r="C91" s="36" t="str">
        <v>Back Row</v>
      </c>
      <c r="D91" s="37">
        <v>18</v>
      </c>
      <c r="F91" s="37">
        <f>'Round 4 Data'!F91*'Round 4 Points'!L$2</f>
        <v>2</v>
      </c>
      <c r="G91" s="37">
        <f>'Round 4 Data'!G91*'Round 4 Points'!M$2</f>
        <v>0</v>
      </c>
      <c r="H91" s="37">
        <f>'Round 4 Data'!H91*'Round 4 Points'!N$2</f>
        <v>0</v>
      </c>
      <c r="I91" s="37">
        <f>'Round 4 Data'!I91*'Round 4 Points'!O$2</f>
        <v>0</v>
      </c>
      <c r="J91" s="37">
        <f>'Round 4 Data'!J91*'Round 4 Points'!P$2</f>
        <v>0</v>
      </c>
      <c r="K91" s="37">
        <f>'Round 4 Data'!K91*'Round 4 Points'!Q$2</f>
        <v>0</v>
      </c>
      <c r="L91" s="37">
        <f>'Round 4 Data'!L91*'Round 4 Points'!R$2</f>
        <v>0</v>
      </c>
      <c r="M91" s="37">
        <f>'Round 4 Data'!M91*'Round 4 Points'!S$2</f>
        <v>0</v>
      </c>
      <c r="N91" s="37">
        <f>'Round 4 Data'!N91*'Round 4 Points'!T$2</f>
        <v>0</v>
      </c>
      <c r="O91" s="37">
        <f>'Round 4 Data'!O91*'Round 4 Points'!U$2</f>
        <v>0</v>
      </c>
      <c r="P91" s="37">
        <f>'Round 4 Data'!P91*'Round 4 Points'!V$2</f>
        <v>0</v>
      </c>
      <c r="Q91" s="37">
        <f>'Round 4 Data'!Q91*'Round 4 Points'!W$2</f>
        <v>0</v>
      </c>
      <c r="R91" s="37">
        <f>'Round 4 Data'!R91*'Round 4 Points'!X$2</f>
        <v>0</v>
      </c>
      <c r="S91" s="37">
        <f>'Round 4 Data'!S91*'Round 4 Points'!Y$2</f>
        <v>0</v>
      </c>
      <c r="T91" s="38">
        <f t="shared" si="2"/>
        <v>2</v>
      </c>
      <c r="U91" s="37">
        <f>'Round 4 Data'!U91*'Round 4 Points'!$Z$2</f>
        <v>0</v>
      </c>
      <c r="V91" s="36">
        <f>IF('Round 4 Data'!D91='Round 4 Points'!$K$1,D91/80*$K$2,0)</f>
        <v>1.8</v>
      </c>
      <c r="W91">
        <f t="shared" si="3"/>
        <v>3.8</v>
      </c>
    </row>
    <row r="92" spans="1:23" x14ac:dyDescent="0.2">
      <c r="A92" s="36" t="s">
        <v>24</v>
      </c>
      <c r="B92" s="36" t="str" cm="1">
        <f t="array" ref="B92:C92">_xlfn.XLOOKUP(A92,'Player List'!$A$2:$A$177,'Player List'!$B$2:$C$177)</f>
        <v>France</v>
      </c>
      <c r="C92" s="36" t="str">
        <v>Back Row</v>
      </c>
      <c r="D92" s="37">
        <v>62</v>
      </c>
      <c r="F92" s="37">
        <f>'Round 4 Data'!F92*'Round 4 Points'!L$2</f>
        <v>5</v>
      </c>
      <c r="G92" s="37">
        <f>'Round 4 Data'!G92*'Round 4 Points'!M$2</f>
        <v>7</v>
      </c>
      <c r="H92" s="37">
        <f>'Round 4 Data'!H92*'Round 4 Points'!N$2</f>
        <v>7</v>
      </c>
      <c r="I92" s="37">
        <f>'Round 4 Data'!I92*'Round 4 Points'!O$2</f>
        <v>11.8</v>
      </c>
      <c r="J92" s="37">
        <f>'Round 4 Data'!J92*'Round 4 Points'!P$2</f>
        <v>0</v>
      </c>
      <c r="K92" s="37">
        <f>'Round 4 Data'!K92*'Round 4 Points'!Q$2</f>
        <v>0</v>
      </c>
      <c r="L92" s="37">
        <f>'Round 4 Data'!L92*'Round 4 Points'!R$2</f>
        <v>0</v>
      </c>
      <c r="M92" s="37">
        <f>'Round 4 Data'!M92*'Round 4 Points'!S$2</f>
        <v>30</v>
      </c>
      <c r="N92" s="37">
        <f>'Round 4 Data'!N92*'Round 4 Points'!T$2</f>
        <v>0</v>
      </c>
      <c r="O92" s="37">
        <f>'Round 4 Data'!O92*'Round 4 Points'!U$2</f>
        <v>0</v>
      </c>
      <c r="P92" s="37">
        <f>'Round 4 Data'!P92*'Round 4 Points'!V$2</f>
        <v>0</v>
      </c>
      <c r="Q92" s="37">
        <f>'Round 4 Data'!Q92*'Round 4 Points'!W$2</f>
        <v>0</v>
      </c>
      <c r="R92" s="37">
        <f>'Round 4 Data'!R92*'Round 4 Points'!X$2</f>
        <v>0</v>
      </c>
      <c r="S92" s="37">
        <f>'Round 4 Data'!S92*'Round 4 Points'!Y$2</f>
        <v>0</v>
      </c>
      <c r="T92" s="38">
        <f t="shared" si="2"/>
        <v>60.8</v>
      </c>
      <c r="U92" s="37">
        <f>'Round 4 Data'!U92*'Round 4 Points'!$Z$2</f>
        <v>0</v>
      </c>
      <c r="V92" s="36">
        <f>IF('Round 4 Data'!D92='Round 4 Points'!$K$1,D92/80*$K$2,0)</f>
        <v>6.2</v>
      </c>
      <c r="W92">
        <f t="shared" si="3"/>
        <v>67</v>
      </c>
    </row>
    <row r="93" spans="1:23" x14ac:dyDescent="0.2">
      <c r="A93" s="36" t="s">
        <v>25</v>
      </c>
      <c r="B93" s="36" t="str" cm="1">
        <f t="array" ref="B93:C93">_xlfn.XLOOKUP(A93,'Player List'!$A$2:$A$177,'Player List'!$B$2:$C$177)</f>
        <v>France</v>
      </c>
      <c r="C93" s="36" t="str">
        <v>Second Row</v>
      </c>
      <c r="D93" s="37">
        <v>80</v>
      </c>
      <c r="F93" s="37">
        <f>'Round 4 Data'!F93*'Round 4 Points'!L$2</f>
        <v>9</v>
      </c>
      <c r="G93" s="37">
        <f>'Round 4 Data'!G93*'Round 4 Points'!M$2</f>
        <v>0</v>
      </c>
      <c r="H93" s="37">
        <f>'Round 4 Data'!H93*'Round 4 Points'!N$2</f>
        <v>14</v>
      </c>
      <c r="I93" s="37">
        <f>'Round 4 Data'!I93*'Round 4 Points'!O$2</f>
        <v>9.6000000000000014</v>
      </c>
      <c r="J93" s="37">
        <f>'Round 4 Data'!J93*'Round 4 Points'!P$2</f>
        <v>0</v>
      </c>
      <c r="K93" s="37">
        <f>'Round 4 Data'!K93*'Round 4 Points'!Q$2</f>
        <v>0</v>
      </c>
      <c r="L93" s="37">
        <f>'Round 4 Data'!L93*'Round 4 Points'!R$2</f>
        <v>0</v>
      </c>
      <c r="M93" s="37">
        <f>'Round 4 Data'!M93*'Round 4 Points'!S$2</f>
        <v>30</v>
      </c>
      <c r="N93" s="37">
        <f>'Round 4 Data'!N93*'Round 4 Points'!T$2</f>
        <v>0</v>
      </c>
      <c r="O93" s="37">
        <f>'Round 4 Data'!O93*'Round 4 Points'!U$2</f>
        <v>0</v>
      </c>
      <c r="P93" s="37">
        <f>'Round 4 Data'!P93*'Round 4 Points'!V$2</f>
        <v>0</v>
      </c>
      <c r="Q93" s="37">
        <f>'Round 4 Data'!Q93*'Round 4 Points'!W$2</f>
        <v>0</v>
      </c>
      <c r="R93" s="37">
        <f>'Round 4 Data'!R93*'Round 4 Points'!X$2</f>
        <v>0</v>
      </c>
      <c r="S93" s="37">
        <f>'Round 4 Data'!S93*'Round 4 Points'!Y$2</f>
        <v>0</v>
      </c>
      <c r="T93" s="38">
        <f t="shared" si="2"/>
        <v>62.6</v>
      </c>
      <c r="U93" s="37">
        <f>'Round 4 Data'!U93*'Round 4 Points'!$Z$2</f>
        <v>0</v>
      </c>
      <c r="V93" s="36">
        <f>IF('Round 4 Data'!D93='Round 4 Points'!$K$1,D93/80*$K$2,0)</f>
        <v>8</v>
      </c>
      <c r="W93">
        <f t="shared" si="3"/>
        <v>70.599999999999994</v>
      </c>
    </row>
    <row r="94" spans="1:23" x14ac:dyDescent="0.2">
      <c r="A94" s="36" t="s">
        <v>26</v>
      </c>
      <c r="B94" s="36" t="str" cm="1">
        <f t="array" ref="B94:C94">_xlfn.XLOOKUP(A94,'Player List'!$A$2:$A$177,'Player List'!$B$2:$C$177)</f>
        <v>France</v>
      </c>
      <c r="C94" s="36" t="str">
        <v>Second Row</v>
      </c>
      <c r="D94" s="37">
        <v>30</v>
      </c>
      <c r="F94" s="37">
        <f>'Round 4 Data'!F94*'Round 4 Points'!L$2</f>
        <v>7</v>
      </c>
      <c r="G94" s="37">
        <f>'Round 4 Data'!G94*'Round 4 Points'!M$2</f>
        <v>0</v>
      </c>
      <c r="H94" s="37">
        <f>'Round 4 Data'!H94*'Round 4 Points'!N$2</f>
        <v>0</v>
      </c>
      <c r="I94" s="37">
        <f>'Round 4 Data'!I94*'Round 4 Points'!O$2</f>
        <v>2.6</v>
      </c>
      <c r="J94" s="37">
        <f>'Round 4 Data'!J94*'Round 4 Points'!P$2</f>
        <v>0</v>
      </c>
      <c r="K94" s="37">
        <f>'Round 4 Data'!K94*'Round 4 Points'!Q$2</f>
        <v>0</v>
      </c>
      <c r="L94" s="37">
        <f>'Round 4 Data'!L94*'Round 4 Points'!R$2</f>
        <v>0</v>
      </c>
      <c r="M94" s="37">
        <f>'Round 4 Data'!M94*'Round 4 Points'!S$2</f>
        <v>0</v>
      </c>
      <c r="N94" s="37">
        <f>'Round 4 Data'!N94*'Round 4 Points'!T$2</f>
        <v>0</v>
      </c>
      <c r="O94" s="37">
        <f>'Round 4 Data'!O94*'Round 4 Points'!U$2</f>
        <v>0</v>
      </c>
      <c r="P94" s="37">
        <f>'Round 4 Data'!P94*'Round 4 Points'!V$2</f>
        <v>0</v>
      </c>
      <c r="Q94" s="37">
        <f>'Round 4 Data'!Q94*'Round 4 Points'!W$2</f>
        <v>0</v>
      </c>
      <c r="R94" s="37">
        <f>'Round 4 Data'!R94*'Round 4 Points'!X$2</f>
        <v>0</v>
      </c>
      <c r="S94" s="37">
        <f>'Round 4 Data'!S94*'Round 4 Points'!Y$2</f>
        <v>0</v>
      </c>
      <c r="T94" s="38">
        <f t="shared" si="2"/>
        <v>9.6</v>
      </c>
      <c r="U94" s="37">
        <f>'Round 4 Data'!U94*'Round 4 Points'!$Z$2</f>
        <v>0</v>
      </c>
      <c r="V94" s="36">
        <f>IF('Round 4 Data'!D94='Round 4 Points'!$K$1,D94/80*$K$2,0)</f>
        <v>3</v>
      </c>
      <c r="W94">
        <f t="shared" si="3"/>
        <v>12.6</v>
      </c>
    </row>
    <row r="95" spans="1:23" x14ac:dyDescent="0.2">
      <c r="A95" s="36" t="s">
        <v>27</v>
      </c>
      <c r="B95" s="36" t="str" cm="1">
        <f t="array" ref="B95:C95">_xlfn.XLOOKUP(A95,'Player List'!$A$2:$A$177,'Player List'!$B$2:$C$177)</f>
        <v>France</v>
      </c>
      <c r="C95" s="36" t="str">
        <v>Second Row</v>
      </c>
      <c r="D95" s="37">
        <v>50</v>
      </c>
      <c r="F95" s="37">
        <f>'Round 4 Data'!F95*'Round 4 Points'!L$2</f>
        <v>8</v>
      </c>
      <c r="G95" s="37">
        <f>'Round 4 Data'!G95*'Round 4 Points'!M$2</f>
        <v>0</v>
      </c>
      <c r="H95" s="37">
        <f>'Round 4 Data'!H95*'Round 4 Points'!N$2</f>
        <v>0</v>
      </c>
      <c r="I95" s="37">
        <f>'Round 4 Data'!I95*'Round 4 Points'!O$2</f>
        <v>0</v>
      </c>
      <c r="J95" s="37">
        <f>'Round 4 Data'!J95*'Round 4 Points'!P$2</f>
        <v>0</v>
      </c>
      <c r="K95" s="37">
        <f>'Round 4 Data'!K95*'Round 4 Points'!Q$2</f>
        <v>0</v>
      </c>
      <c r="L95" s="37">
        <f>'Round 4 Data'!L95*'Round 4 Points'!R$2</f>
        <v>0</v>
      </c>
      <c r="M95" s="37">
        <f>'Round 4 Data'!M95*'Round 4 Points'!S$2</f>
        <v>0</v>
      </c>
      <c r="N95" s="37">
        <f>'Round 4 Data'!N95*'Round 4 Points'!T$2</f>
        <v>0</v>
      </c>
      <c r="O95" s="37">
        <f>'Round 4 Data'!O95*'Round 4 Points'!U$2</f>
        <v>0</v>
      </c>
      <c r="P95" s="37">
        <f>'Round 4 Data'!P95*'Round 4 Points'!V$2</f>
        <v>0</v>
      </c>
      <c r="Q95" s="37">
        <f>'Round 4 Data'!Q95*'Round 4 Points'!W$2</f>
        <v>0</v>
      </c>
      <c r="R95" s="37">
        <f>'Round 4 Data'!R95*'Round 4 Points'!X$2</f>
        <v>0</v>
      </c>
      <c r="S95" s="37">
        <f>'Round 4 Data'!S95*'Round 4 Points'!Y$2</f>
        <v>0</v>
      </c>
      <c r="T95" s="38">
        <f t="shared" si="2"/>
        <v>8</v>
      </c>
      <c r="U95" s="37">
        <f>'Round 4 Data'!U95*'Round 4 Points'!$Z$2</f>
        <v>0</v>
      </c>
      <c r="V95" s="36">
        <f>IF('Round 4 Data'!D95='Round 4 Points'!$K$1,D95/80*$K$2,0)</f>
        <v>5</v>
      </c>
      <c r="W95">
        <f t="shared" si="3"/>
        <v>13</v>
      </c>
    </row>
    <row r="96" spans="1:23" x14ac:dyDescent="0.2">
      <c r="A96" s="36" t="s">
        <v>177</v>
      </c>
      <c r="B96" s="36" t="str" cm="1">
        <f t="array" ref="B96:C96">_xlfn.XLOOKUP(A96,'Player List'!$A$2:$A$177,'Player List'!$B$2:$C$177)</f>
        <v>France</v>
      </c>
      <c r="C96" s="36" t="str">
        <v>Prop</v>
      </c>
      <c r="D96" s="37">
        <v>50</v>
      </c>
      <c r="F96" s="37">
        <f>'Round 4 Data'!F96*'Round 4 Points'!L$2</f>
        <v>6</v>
      </c>
      <c r="G96" s="37">
        <f>'Round 4 Data'!G96*'Round 4 Points'!M$2</f>
        <v>0</v>
      </c>
      <c r="H96" s="37">
        <f>'Round 4 Data'!H96*'Round 4 Points'!N$2</f>
        <v>0</v>
      </c>
      <c r="I96" s="37">
        <f>'Round 4 Data'!I96*'Round 4 Points'!O$2</f>
        <v>0</v>
      </c>
      <c r="J96" s="37">
        <f>'Round 4 Data'!J96*'Round 4 Points'!P$2</f>
        <v>0</v>
      </c>
      <c r="K96" s="37">
        <f>'Round 4 Data'!K96*'Round 4 Points'!Q$2</f>
        <v>0</v>
      </c>
      <c r="L96" s="37">
        <f>'Round 4 Data'!L96*'Round 4 Points'!R$2</f>
        <v>0</v>
      </c>
      <c r="M96" s="37">
        <f>'Round 4 Data'!M96*'Round 4 Points'!S$2</f>
        <v>0</v>
      </c>
      <c r="N96" s="37">
        <f>'Round 4 Data'!N96*'Round 4 Points'!T$2</f>
        <v>0</v>
      </c>
      <c r="O96" s="37">
        <f>'Round 4 Data'!O96*'Round 4 Points'!U$2</f>
        <v>0</v>
      </c>
      <c r="P96" s="37">
        <f>'Round 4 Data'!P96*'Round 4 Points'!V$2</f>
        <v>0</v>
      </c>
      <c r="Q96" s="37">
        <f>'Round 4 Data'!Q96*'Round 4 Points'!W$2</f>
        <v>0</v>
      </c>
      <c r="R96" s="37">
        <f>'Round 4 Data'!R96*'Round 4 Points'!X$2</f>
        <v>0</v>
      </c>
      <c r="S96" s="37">
        <f>'Round 4 Data'!S96*'Round 4 Points'!Y$2</f>
        <v>0</v>
      </c>
      <c r="T96" s="38">
        <f t="shared" si="2"/>
        <v>6</v>
      </c>
      <c r="U96" s="37">
        <f>'Round 4 Data'!U96*'Round 4 Points'!$Z$2</f>
        <v>0</v>
      </c>
      <c r="V96" s="36">
        <f>IF('Round 4 Data'!D96='Round 4 Points'!$K$1,D96/80*$K$2,0)</f>
        <v>5</v>
      </c>
      <c r="W96">
        <f t="shared" si="3"/>
        <v>11</v>
      </c>
    </row>
    <row r="97" spans="1:23" x14ac:dyDescent="0.2">
      <c r="A97" s="36" t="s">
        <v>29</v>
      </c>
      <c r="B97" s="36" t="str" cm="1">
        <f t="array" ref="B97:C97">_xlfn.XLOOKUP(A97,'Player List'!$A$2:$A$177,'Player List'!$B$2:$C$177)</f>
        <v>France</v>
      </c>
      <c r="C97" s="36" t="str">
        <v>Prop</v>
      </c>
      <c r="D97" s="37">
        <v>61</v>
      </c>
      <c r="F97" s="37">
        <f>'Round 4 Data'!F97*'Round 4 Points'!L$2</f>
        <v>5</v>
      </c>
      <c r="G97" s="37">
        <f>'Round 4 Data'!G97*'Round 4 Points'!M$2</f>
        <v>0</v>
      </c>
      <c r="H97" s="37">
        <f>'Round 4 Data'!H97*'Round 4 Points'!N$2</f>
        <v>0</v>
      </c>
      <c r="I97" s="37">
        <f>'Round 4 Data'!I97*'Round 4 Points'!O$2</f>
        <v>7.6000000000000005</v>
      </c>
      <c r="J97" s="37">
        <f>'Round 4 Data'!J97*'Round 4 Points'!P$2</f>
        <v>0</v>
      </c>
      <c r="K97" s="37">
        <f>'Round 4 Data'!K97*'Round 4 Points'!Q$2</f>
        <v>0</v>
      </c>
      <c r="L97" s="37">
        <f>'Round 4 Data'!L97*'Round 4 Points'!R$2</f>
        <v>0</v>
      </c>
      <c r="M97" s="37">
        <f>'Round 4 Data'!M97*'Round 4 Points'!S$2</f>
        <v>0</v>
      </c>
      <c r="N97" s="37">
        <f>'Round 4 Data'!N97*'Round 4 Points'!T$2</f>
        <v>0</v>
      </c>
      <c r="O97" s="37">
        <f>'Round 4 Data'!O97*'Round 4 Points'!U$2</f>
        <v>0</v>
      </c>
      <c r="P97" s="37">
        <f>'Round 4 Data'!P97*'Round 4 Points'!V$2</f>
        <v>0</v>
      </c>
      <c r="Q97" s="37">
        <f>'Round 4 Data'!Q97*'Round 4 Points'!W$2</f>
        <v>0</v>
      </c>
      <c r="R97" s="37">
        <f>'Round 4 Data'!R97*'Round 4 Points'!X$2</f>
        <v>0</v>
      </c>
      <c r="S97" s="37">
        <f>'Round 4 Data'!S97*'Round 4 Points'!Y$2</f>
        <v>0</v>
      </c>
      <c r="T97" s="38">
        <f t="shared" si="2"/>
        <v>12.600000000000001</v>
      </c>
      <c r="U97" s="37">
        <f>'Round 4 Data'!U97*'Round 4 Points'!$Z$2</f>
        <v>0</v>
      </c>
      <c r="V97" s="36">
        <f>IF('Round 4 Data'!D97='Round 4 Points'!$K$1,D97/80*$K$2,0)</f>
        <v>6.1</v>
      </c>
      <c r="W97">
        <f t="shared" si="3"/>
        <v>18.700000000000003</v>
      </c>
    </row>
    <row r="98" spans="1:23" x14ac:dyDescent="0.2">
      <c r="A98" s="36" t="s">
        <v>30</v>
      </c>
      <c r="B98" s="36" t="str" cm="1">
        <f t="array" ref="B98:C98">_xlfn.XLOOKUP(A98,'Player List'!$A$2:$A$177,'Player List'!$B$2:$C$177)</f>
        <v>France</v>
      </c>
      <c r="C98" s="36" t="str">
        <v>Prop</v>
      </c>
      <c r="D98" s="37">
        <v>30</v>
      </c>
      <c r="F98" s="37">
        <f>'Round 4 Data'!F98*'Round 4 Points'!L$2</f>
        <v>2</v>
      </c>
      <c r="G98" s="37">
        <f>'Round 4 Data'!G98*'Round 4 Points'!M$2</f>
        <v>0</v>
      </c>
      <c r="H98" s="37">
        <f>'Round 4 Data'!H98*'Round 4 Points'!N$2</f>
        <v>0</v>
      </c>
      <c r="I98" s="37">
        <f>'Round 4 Data'!I98*'Round 4 Points'!O$2</f>
        <v>0</v>
      </c>
      <c r="J98" s="37">
        <f>'Round 4 Data'!J98*'Round 4 Points'!P$2</f>
        <v>0</v>
      </c>
      <c r="K98" s="37">
        <f>'Round 4 Data'!K98*'Round 4 Points'!Q$2</f>
        <v>0</v>
      </c>
      <c r="L98" s="37">
        <f>'Round 4 Data'!L98*'Round 4 Points'!R$2</f>
        <v>0</v>
      </c>
      <c r="M98" s="37">
        <f>'Round 4 Data'!M98*'Round 4 Points'!S$2</f>
        <v>0</v>
      </c>
      <c r="N98" s="37">
        <f>'Round 4 Data'!N98*'Round 4 Points'!T$2</f>
        <v>0</v>
      </c>
      <c r="O98" s="37">
        <f>'Round 4 Data'!O98*'Round 4 Points'!U$2</f>
        <v>0</v>
      </c>
      <c r="P98" s="37">
        <f>'Round 4 Data'!P98*'Round 4 Points'!V$2</f>
        <v>0</v>
      </c>
      <c r="Q98" s="37">
        <f>'Round 4 Data'!Q98*'Round 4 Points'!W$2</f>
        <v>0</v>
      </c>
      <c r="R98" s="37">
        <f>'Round 4 Data'!R98*'Round 4 Points'!X$2</f>
        <v>0</v>
      </c>
      <c r="S98" s="37">
        <f>'Round 4 Data'!S98*'Round 4 Points'!Y$2</f>
        <v>0</v>
      </c>
      <c r="T98" s="38">
        <f t="shared" si="2"/>
        <v>2</v>
      </c>
      <c r="U98" s="37">
        <f>'Round 4 Data'!U98*'Round 4 Points'!$Z$2</f>
        <v>0</v>
      </c>
      <c r="V98" s="36">
        <f>IF('Round 4 Data'!D98='Round 4 Points'!$K$1,D98/80*$K$2,0)</f>
        <v>3</v>
      </c>
      <c r="W98">
        <f t="shared" si="3"/>
        <v>5</v>
      </c>
    </row>
    <row r="99" spans="1:23" x14ac:dyDescent="0.2">
      <c r="A99" s="36" t="s">
        <v>31</v>
      </c>
      <c r="B99" s="36" t="str" cm="1">
        <f t="array" ref="B99:C99">_xlfn.XLOOKUP(A99,'Player List'!$A$2:$A$177,'Player List'!$B$2:$C$177)</f>
        <v>France</v>
      </c>
      <c r="C99" s="36" t="str">
        <v>Prop</v>
      </c>
      <c r="D99" s="37">
        <v>19</v>
      </c>
      <c r="F99" s="37">
        <f>'Round 4 Data'!F99*'Round 4 Points'!L$2</f>
        <v>5</v>
      </c>
      <c r="G99" s="37">
        <f>'Round 4 Data'!G99*'Round 4 Points'!M$2</f>
        <v>0</v>
      </c>
      <c r="H99" s="37">
        <f>'Round 4 Data'!H99*'Round 4 Points'!N$2</f>
        <v>0</v>
      </c>
      <c r="I99" s="37">
        <f>'Round 4 Data'!I99*'Round 4 Points'!O$2</f>
        <v>0</v>
      </c>
      <c r="J99" s="37">
        <f>'Round 4 Data'!J99*'Round 4 Points'!P$2</f>
        <v>0</v>
      </c>
      <c r="K99" s="37">
        <f>'Round 4 Data'!K99*'Round 4 Points'!Q$2</f>
        <v>0</v>
      </c>
      <c r="L99" s="37">
        <f>'Round 4 Data'!L99*'Round 4 Points'!R$2</f>
        <v>0</v>
      </c>
      <c r="M99" s="37">
        <f>'Round 4 Data'!M99*'Round 4 Points'!S$2</f>
        <v>0</v>
      </c>
      <c r="N99" s="37">
        <f>'Round 4 Data'!N99*'Round 4 Points'!T$2</f>
        <v>0</v>
      </c>
      <c r="O99" s="37">
        <f>'Round 4 Data'!O99*'Round 4 Points'!U$2</f>
        <v>0</v>
      </c>
      <c r="P99" s="37">
        <f>'Round 4 Data'!P99*'Round 4 Points'!V$2</f>
        <v>0</v>
      </c>
      <c r="Q99" s="37">
        <f>'Round 4 Data'!Q99*'Round 4 Points'!W$2</f>
        <v>0</v>
      </c>
      <c r="R99" s="37">
        <f>'Round 4 Data'!R99*'Round 4 Points'!X$2</f>
        <v>0</v>
      </c>
      <c r="S99" s="37">
        <f>'Round 4 Data'!S99*'Round 4 Points'!Y$2</f>
        <v>0</v>
      </c>
      <c r="T99" s="38">
        <f t="shared" si="2"/>
        <v>5</v>
      </c>
      <c r="U99" s="37">
        <f>'Round 4 Data'!U99*'Round 4 Points'!$Z$2</f>
        <v>0</v>
      </c>
      <c r="V99" s="36">
        <f>IF('Round 4 Data'!D99='Round 4 Points'!$K$1,D99/80*$K$2,0)</f>
        <v>1.9</v>
      </c>
      <c r="W99">
        <f t="shared" si="3"/>
        <v>6.9</v>
      </c>
    </row>
    <row r="100" spans="1:23" x14ac:dyDescent="0.2">
      <c r="A100" s="36" t="s">
        <v>33</v>
      </c>
      <c r="B100" s="36" t="str" cm="1">
        <f t="array" ref="B100:C100">_xlfn.XLOOKUP(A100,'Player List'!$A$2:$A$177,'Player List'!$B$2:$C$177)</f>
        <v>France</v>
      </c>
      <c r="C100" s="36" t="str">
        <v>Hooker</v>
      </c>
      <c r="D100" s="37">
        <v>61</v>
      </c>
      <c r="F100" s="37">
        <f>'Round 4 Data'!F100*'Round 4 Points'!L$2</f>
        <v>2</v>
      </c>
      <c r="G100" s="37">
        <f>'Round 4 Data'!G100*'Round 4 Points'!M$2</f>
        <v>0</v>
      </c>
      <c r="H100" s="37">
        <f>'Round 4 Data'!H100*'Round 4 Points'!N$2</f>
        <v>0</v>
      </c>
      <c r="I100" s="37">
        <f>'Round 4 Data'!I100*'Round 4 Points'!O$2</f>
        <v>3.2</v>
      </c>
      <c r="J100" s="37">
        <f>'Round 4 Data'!J100*'Round 4 Points'!P$2</f>
        <v>0</v>
      </c>
      <c r="K100" s="37">
        <f>'Round 4 Data'!K100*'Round 4 Points'!Q$2</f>
        <v>0</v>
      </c>
      <c r="L100" s="37">
        <f>'Round 4 Data'!L100*'Round 4 Points'!R$2</f>
        <v>0</v>
      </c>
      <c r="M100" s="37">
        <f>'Round 4 Data'!M100*'Round 4 Points'!S$2</f>
        <v>0</v>
      </c>
      <c r="N100" s="37">
        <f>'Round 4 Data'!N100*'Round 4 Points'!T$2</f>
        <v>0</v>
      </c>
      <c r="O100" s="37">
        <f>'Round 4 Data'!O100*'Round 4 Points'!U$2</f>
        <v>0</v>
      </c>
      <c r="P100" s="37">
        <f>'Round 4 Data'!P100*'Round 4 Points'!V$2</f>
        <v>0</v>
      </c>
      <c r="Q100" s="37">
        <f>'Round 4 Data'!Q100*'Round 4 Points'!W$2</f>
        <v>0</v>
      </c>
      <c r="R100" s="37">
        <f>'Round 4 Data'!R100*'Round 4 Points'!X$2</f>
        <v>0</v>
      </c>
      <c r="S100" s="37">
        <f>'Round 4 Data'!S100*'Round 4 Points'!Y$2</f>
        <v>0</v>
      </c>
      <c r="T100" s="38">
        <f t="shared" si="2"/>
        <v>5.2</v>
      </c>
      <c r="U100" s="37">
        <f>'Round 4 Data'!U100*'Round 4 Points'!$Z$2</f>
        <v>0</v>
      </c>
      <c r="V100" s="36">
        <f>IF('Round 4 Data'!D100='Round 4 Points'!$K$1,D100/80*$K$2,0)</f>
        <v>6.1</v>
      </c>
      <c r="W100">
        <f t="shared" si="3"/>
        <v>11.3</v>
      </c>
    </row>
    <row r="101" spans="1:23" x14ac:dyDescent="0.2">
      <c r="A101" s="36" t="s">
        <v>178</v>
      </c>
      <c r="B101" s="36" t="str" cm="1">
        <f t="array" ref="B101:C101">_xlfn.XLOOKUP(A101,'Player List'!$A$2:$A$177,'Player List'!$B$2:$C$177)</f>
        <v>France</v>
      </c>
      <c r="C101" s="36" t="str">
        <v>Hooker</v>
      </c>
      <c r="D101" s="37">
        <v>19</v>
      </c>
      <c r="F101" s="37">
        <f>'Round 4 Data'!F101*'Round 4 Points'!L$2</f>
        <v>4</v>
      </c>
      <c r="G101" s="37">
        <f>'Round 4 Data'!G101*'Round 4 Points'!M$2</f>
        <v>0</v>
      </c>
      <c r="H101" s="37">
        <f>'Round 4 Data'!H101*'Round 4 Points'!N$2</f>
        <v>0</v>
      </c>
      <c r="I101" s="37">
        <f>'Round 4 Data'!I101*'Round 4 Points'!O$2</f>
        <v>0.2</v>
      </c>
      <c r="J101" s="37">
        <f>'Round 4 Data'!J101*'Round 4 Points'!P$2</f>
        <v>0</v>
      </c>
      <c r="K101" s="37">
        <f>'Round 4 Data'!K101*'Round 4 Points'!Q$2</f>
        <v>0</v>
      </c>
      <c r="L101" s="37">
        <f>'Round 4 Data'!L101*'Round 4 Points'!R$2</f>
        <v>0</v>
      </c>
      <c r="M101" s="37">
        <f>'Round 4 Data'!M101*'Round 4 Points'!S$2</f>
        <v>0</v>
      </c>
      <c r="N101" s="37">
        <f>'Round 4 Data'!N101*'Round 4 Points'!T$2</f>
        <v>0</v>
      </c>
      <c r="O101" s="37">
        <f>'Round 4 Data'!O101*'Round 4 Points'!U$2</f>
        <v>0</v>
      </c>
      <c r="P101" s="37">
        <f>'Round 4 Data'!P101*'Round 4 Points'!V$2</f>
        <v>0</v>
      </c>
      <c r="Q101" s="37">
        <f>'Round 4 Data'!Q101*'Round 4 Points'!W$2</f>
        <v>0</v>
      </c>
      <c r="R101" s="37">
        <f>'Round 4 Data'!R101*'Round 4 Points'!X$2</f>
        <v>0</v>
      </c>
      <c r="S101" s="37">
        <f>'Round 4 Data'!S101*'Round 4 Points'!Y$2</f>
        <v>0</v>
      </c>
      <c r="T101" s="38">
        <f t="shared" si="2"/>
        <v>4.2</v>
      </c>
      <c r="U101" s="37">
        <f>'Round 4 Data'!U101*'Round 4 Points'!$Z$2</f>
        <v>0</v>
      </c>
      <c r="V101" s="36">
        <f>IF('Round 4 Data'!D101='Round 4 Points'!$K$1,D101/80*$K$2,0)</f>
        <v>1.9</v>
      </c>
      <c r="W101">
        <f t="shared" si="3"/>
        <v>6.1</v>
      </c>
    </row>
    <row r="102" spans="1:23" x14ac:dyDescent="0.2">
      <c r="A102" s="36" t="s">
        <v>34</v>
      </c>
      <c r="B102" s="36" t="str" cm="1">
        <f t="array" ref="B102:C102">_xlfn.XLOOKUP(A102,'Player List'!$A$2:$A$177,'Player List'!$B$2:$C$177)</f>
        <v>Scotland</v>
      </c>
      <c r="C102" s="36" t="str">
        <v>Back Three</v>
      </c>
      <c r="D102" s="37">
        <v>65</v>
      </c>
      <c r="F102" s="37">
        <f>'Round 4 Data'!F102*'Round 4 Points'!L$2</f>
        <v>4</v>
      </c>
      <c r="G102" s="37">
        <f>'Round 4 Data'!G102*'Round 4 Points'!M$2</f>
        <v>0</v>
      </c>
      <c r="H102" s="37">
        <f>'Round 4 Data'!H102*'Round 4 Points'!N$2</f>
        <v>0</v>
      </c>
      <c r="I102" s="37">
        <f>'Round 4 Data'!I102*'Round 4 Points'!O$2</f>
        <v>13</v>
      </c>
      <c r="J102" s="37">
        <f>'Round 4 Data'!J102*'Round 4 Points'!P$2</f>
        <v>0</v>
      </c>
      <c r="K102" s="37">
        <f>'Round 4 Data'!K102*'Round 4 Points'!Q$2</f>
        <v>0</v>
      </c>
      <c r="L102" s="37">
        <f>'Round 4 Data'!L102*'Round 4 Points'!R$2</f>
        <v>0</v>
      </c>
      <c r="M102" s="37">
        <f>'Round 4 Data'!M102*'Round 4 Points'!S$2</f>
        <v>0</v>
      </c>
      <c r="N102" s="37">
        <f>'Round 4 Data'!N102*'Round 4 Points'!T$2</f>
        <v>0</v>
      </c>
      <c r="O102" s="37">
        <f>'Round 4 Data'!O102*'Round 4 Points'!U$2</f>
        <v>0</v>
      </c>
      <c r="P102" s="37">
        <f>'Round 4 Data'!P102*'Round 4 Points'!V$2</f>
        <v>0</v>
      </c>
      <c r="Q102" s="37">
        <f>'Round 4 Data'!Q102*'Round 4 Points'!W$2</f>
        <v>0</v>
      </c>
      <c r="R102" s="37">
        <f>'Round 4 Data'!R102*'Round 4 Points'!X$2</f>
        <v>0</v>
      </c>
      <c r="S102" s="37">
        <f>'Round 4 Data'!S102*'Round 4 Points'!Y$2</f>
        <v>0</v>
      </c>
      <c r="T102" s="38">
        <f t="shared" si="2"/>
        <v>17</v>
      </c>
      <c r="U102" s="37">
        <f>'Round 4 Data'!U102*'Round 4 Points'!$Z$2</f>
        <v>0</v>
      </c>
      <c r="V102" s="36">
        <f>IF('Round 4 Data'!D102='Round 4 Points'!$K$1,D102/80*$K$2,0)</f>
        <v>0</v>
      </c>
      <c r="W102">
        <f t="shared" si="3"/>
        <v>17</v>
      </c>
    </row>
    <row r="103" spans="1:23" x14ac:dyDescent="0.2">
      <c r="A103" s="36" t="s">
        <v>35</v>
      </c>
      <c r="B103" s="36" t="str" cm="1">
        <f t="array" ref="B103:C103">_xlfn.XLOOKUP(A103,'Player List'!$A$2:$A$177,'Player List'!$B$2:$C$177)</f>
        <v>Scotland</v>
      </c>
      <c r="C103" s="36" t="str">
        <v>Back Three</v>
      </c>
      <c r="D103" s="37">
        <v>15</v>
      </c>
      <c r="F103" s="37">
        <f>'Round 4 Data'!F103*'Round 4 Points'!L$2</f>
        <v>1</v>
      </c>
      <c r="G103" s="37">
        <f>'Round 4 Data'!G103*'Round 4 Points'!M$2</f>
        <v>0</v>
      </c>
      <c r="H103" s="37">
        <f>'Round 4 Data'!H103*'Round 4 Points'!N$2</f>
        <v>0</v>
      </c>
      <c r="I103" s="37">
        <f>'Round 4 Data'!I103*'Round 4 Points'!O$2</f>
        <v>11.8</v>
      </c>
      <c r="J103" s="37">
        <f>'Round 4 Data'!J103*'Round 4 Points'!P$2</f>
        <v>0</v>
      </c>
      <c r="K103" s="37">
        <f>'Round 4 Data'!K103*'Round 4 Points'!Q$2</f>
        <v>0</v>
      </c>
      <c r="L103" s="37">
        <f>'Round 4 Data'!L103*'Round 4 Points'!R$2</f>
        <v>0</v>
      </c>
      <c r="M103" s="37">
        <f>'Round 4 Data'!M103*'Round 4 Points'!S$2</f>
        <v>0</v>
      </c>
      <c r="N103" s="37">
        <f>'Round 4 Data'!N103*'Round 4 Points'!T$2</f>
        <v>0</v>
      </c>
      <c r="O103" s="37">
        <f>'Round 4 Data'!O103*'Round 4 Points'!U$2</f>
        <v>0</v>
      </c>
      <c r="P103" s="37">
        <f>'Round 4 Data'!P103*'Round 4 Points'!V$2</f>
        <v>0</v>
      </c>
      <c r="Q103" s="37">
        <f>'Round 4 Data'!Q103*'Round 4 Points'!W$2</f>
        <v>0</v>
      </c>
      <c r="R103" s="37">
        <f>'Round 4 Data'!R103*'Round 4 Points'!X$2</f>
        <v>0</v>
      </c>
      <c r="S103" s="37">
        <f>'Round 4 Data'!S103*'Round 4 Points'!Y$2</f>
        <v>0</v>
      </c>
      <c r="T103" s="38">
        <f t="shared" si="2"/>
        <v>12.8</v>
      </c>
      <c r="U103" s="37">
        <f>'Round 4 Data'!U103*'Round 4 Points'!$Z$2</f>
        <v>0</v>
      </c>
      <c r="V103" s="36">
        <f>IF('Round 4 Data'!D103='Round 4 Points'!$K$1,D103/80*$K$2,0)</f>
        <v>0</v>
      </c>
      <c r="W103">
        <f t="shared" si="3"/>
        <v>12.8</v>
      </c>
    </row>
    <row r="104" spans="1:23" x14ac:dyDescent="0.2">
      <c r="A104" s="36" t="s">
        <v>36</v>
      </c>
      <c r="B104" s="36" t="str" cm="1">
        <f t="array" ref="B104:C104">_xlfn.XLOOKUP(A104,'Player List'!$A$2:$A$177,'Player List'!$B$2:$C$177)</f>
        <v>Scotland</v>
      </c>
      <c r="C104" s="36" t="str">
        <v>Back Three</v>
      </c>
      <c r="D104" s="37">
        <v>80</v>
      </c>
      <c r="F104" s="37">
        <f>'Round 4 Data'!F104*'Round 4 Points'!L$2</f>
        <v>2</v>
      </c>
      <c r="G104" s="37">
        <f>'Round 4 Data'!G104*'Round 4 Points'!M$2</f>
        <v>0</v>
      </c>
      <c r="H104" s="37">
        <f>'Round 4 Data'!H104*'Round 4 Points'!N$2</f>
        <v>0</v>
      </c>
      <c r="I104" s="37">
        <f>'Round 4 Data'!I104*'Round 4 Points'!O$2</f>
        <v>6.4</v>
      </c>
      <c r="J104" s="37">
        <f>'Round 4 Data'!J104*'Round 4 Points'!P$2</f>
        <v>0</v>
      </c>
      <c r="K104" s="37">
        <f>'Round 4 Data'!K104*'Round 4 Points'!Q$2</f>
        <v>0</v>
      </c>
      <c r="L104" s="37">
        <f>'Round 4 Data'!L104*'Round 4 Points'!R$2</f>
        <v>0</v>
      </c>
      <c r="M104" s="37">
        <f>'Round 4 Data'!M104*'Round 4 Points'!S$2</f>
        <v>0</v>
      </c>
      <c r="N104" s="37">
        <f>'Round 4 Data'!N104*'Round 4 Points'!T$2</f>
        <v>0</v>
      </c>
      <c r="O104" s="37">
        <f>'Round 4 Data'!O104*'Round 4 Points'!U$2</f>
        <v>0</v>
      </c>
      <c r="P104" s="37">
        <f>'Round 4 Data'!P104*'Round 4 Points'!V$2</f>
        <v>0</v>
      </c>
      <c r="Q104" s="37">
        <f>'Round 4 Data'!Q104*'Round 4 Points'!W$2</f>
        <v>0</v>
      </c>
      <c r="R104" s="37">
        <f>'Round 4 Data'!R104*'Round 4 Points'!X$2</f>
        <v>0</v>
      </c>
      <c r="S104" s="37">
        <f>'Round 4 Data'!S104*'Round 4 Points'!Y$2</f>
        <v>0</v>
      </c>
      <c r="T104" s="38">
        <f t="shared" si="2"/>
        <v>8.4</v>
      </c>
      <c r="U104" s="37">
        <f>'Round 4 Data'!U104*'Round 4 Points'!$Z$2</f>
        <v>0</v>
      </c>
      <c r="V104" s="36">
        <f>IF('Round 4 Data'!D104='Round 4 Points'!$K$1,D104/80*$K$2,0)</f>
        <v>0</v>
      </c>
      <c r="W104">
        <f t="shared" si="3"/>
        <v>8.4</v>
      </c>
    </row>
    <row r="105" spans="1:23" x14ac:dyDescent="0.2">
      <c r="A105" s="36" t="s">
        <v>37</v>
      </c>
      <c r="B105" s="36" t="str" cm="1">
        <f t="array" ref="B105:C105">_xlfn.XLOOKUP(A105,'Player List'!$A$2:$A$177,'Player List'!$B$2:$C$177)</f>
        <v>Scotland</v>
      </c>
      <c r="C105" s="36" t="str">
        <v>Back Three</v>
      </c>
      <c r="D105" s="37">
        <v>80</v>
      </c>
      <c r="F105" s="37">
        <f>'Round 4 Data'!F105*'Round 4 Points'!L$2</f>
        <v>2</v>
      </c>
      <c r="G105" s="37">
        <f>'Round 4 Data'!G105*'Round 4 Points'!M$2</f>
        <v>0</v>
      </c>
      <c r="H105" s="37">
        <f>'Round 4 Data'!H105*'Round 4 Points'!N$2</f>
        <v>7</v>
      </c>
      <c r="I105" s="37">
        <f>'Round 4 Data'!I105*'Round 4 Points'!O$2</f>
        <v>19.600000000000001</v>
      </c>
      <c r="J105" s="37">
        <f>'Round 4 Data'!J105*'Round 4 Points'!P$2</f>
        <v>0</v>
      </c>
      <c r="K105" s="37">
        <f>'Round 4 Data'!K105*'Round 4 Points'!Q$2</f>
        <v>0</v>
      </c>
      <c r="L105" s="37">
        <f>'Round 4 Data'!L105*'Round 4 Points'!R$2</f>
        <v>0</v>
      </c>
      <c r="M105" s="37">
        <f>'Round 4 Data'!M105*'Round 4 Points'!S$2</f>
        <v>0</v>
      </c>
      <c r="N105" s="37">
        <f>'Round 4 Data'!N105*'Round 4 Points'!T$2</f>
        <v>0</v>
      </c>
      <c r="O105" s="37">
        <f>'Round 4 Data'!O105*'Round 4 Points'!U$2</f>
        <v>0</v>
      </c>
      <c r="P105" s="37">
        <f>'Round 4 Data'!P105*'Round 4 Points'!V$2</f>
        <v>0</v>
      </c>
      <c r="Q105" s="37">
        <f>'Round 4 Data'!Q105*'Round 4 Points'!W$2</f>
        <v>0</v>
      </c>
      <c r="R105" s="37">
        <f>'Round 4 Data'!R105*'Round 4 Points'!X$2</f>
        <v>0</v>
      </c>
      <c r="S105" s="37">
        <f>'Round 4 Data'!S105*'Round 4 Points'!Y$2</f>
        <v>0</v>
      </c>
      <c r="T105" s="38">
        <f t="shared" si="2"/>
        <v>28.6</v>
      </c>
      <c r="U105" s="37">
        <f>'Round 4 Data'!U105*'Round 4 Points'!$Z$2</f>
        <v>0</v>
      </c>
      <c r="V105" s="36">
        <f>IF('Round 4 Data'!D105='Round 4 Points'!$K$1,D105/80*$K$2,0)</f>
        <v>0</v>
      </c>
      <c r="W105">
        <f t="shared" si="3"/>
        <v>28.6</v>
      </c>
    </row>
    <row r="106" spans="1:23" x14ac:dyDescent="0.2">
      <c r="A106" s="36" t="s">
        <v>38</v>
      </c>
      <c r="B106" s="36" t="str" cm="1">
        <f t="array" ref="B106:C106">_xlfn.XLOOKUP(A106,'Player List'!$A$2:$A$177,'Player List'!$B$2:$C$177)</f>
        <v>Scotland</v>
      </c>
      <c r="C106" s="36" t="str">
        <v>Centre</v>
      </c>
      <c r="D106" s="37">
        <v>1</v>
      </c>
      <c r="F106" s="37">
        <f>'Round 4 Data'!F106*'Round 4 Points'!L$2</f>
        <v>1</v>
      </c>
      <c r="G106" s="37">
        <f>'Round 4 Data'!G106*'Round 4 Points'!M$2</f>
        <v>0</v>
      </c>
      <c r="H106" s="37">
        <f>'Round 4 Data'!H106*'Round 4 Points'!N$2</f>
        <v>0</v>
      </c>
      <c r="I106" s="37">
        <f>'Round 4 Data'!I106*'Round 4 Points'!O$2</f>
        <v>0</v>
      </c>
      <c r="J106" s="37">
        <f>'Round 4 Data'!J106*'Round 4 Points'!P$2</f>
        <v>0</v>
      </c>
      <c r="K106" s="37">
        <f>'Round 4 Data'!K106*'Round 4 Points'!Q$2</f>
        <v>0</v>
      </c>
      <c r="L106" s="37">
        <f>'Round 4 Data'!L106*'Round 4 Points'!R$2</f>
        <v>0</v>
      </c>
      <c r="M106" s="37">
        <f>'Round 4 Data'!M106*'Round 4 Points'!S$2</f>
        <v>0</v>
      </c>
      <c r="N106" s="37">
        <f>'Round 4 Data'!N106*'Round 4 Points'!T$2</f>
        <v>0</v>
      </c>
      <c r="O106" s="37">
        <f>'Round 4 Data'!O106*'Round 4 Points'!U$2</f>
        <v>0</v>
      </c>
      <c r="P106" s="37">
        <f>'Round 4 Data'!P106*'Round 4 Points'!V$2</f>
        <v>0</v>
      </c>
      <c r="Q106" s="37">
        <f>'Round 4 Data'!Q106*'Round 4 Points'!W$2</f>
        <v>0</v>
      </c>
      <c r="R106" s="37">
        <f>'Round 4 Data'!R106*'Round 4 Points'!X$2</f>
        <v>0</v>
      </c>
      <c r="S106" s="37">
        <f>'Round 4 Data'!S106*'Round 4 Points'!Y$2</f>
        <v>0</v>
      </c>
      <c r="T106" s="38">
        <f t="shared" si="2"/>
        <v>1</v>
      </c>
      <c r="U106" s="37">
        <f>'Round 4 Data'!U106*'Round 4 Points'!$Z$2</f>
        <v>0</v>
      </c>
      <c r="V106" s="36">
        <f>IF('Round 4 Data'!D106='Round 4 Points'!$K$1,D106/80*$K$2,0)</f>
        <v>0</v>
      </c>
      <c r="W106">
        <f t="shared" si="3"/>
        <v>1</v>
      </c>
    </row>
    <row r="107" spans="1:23" x14ac:dyDescent="0.2">
      <c r="A107" s="36" t="s">
        <v>39</v>
      </c>
      <c r="B107" s="36" t="str" cm="1">
        <f t="array" ref="B107:C107">_xlfn.XLOOKUP(A107,'Player List'!$A$2:$A$177,'Player List'!$B$2:$C$177)</f>
        <v>Scotland</v>
      </c>
      <c r="C107" s="36" t="str">
        <v>Centre</v>
      </c>
      <c r="D107" s="37">
        <v>80</v>
      </c>
      <c r="F107" s="37">
        <f>'Round 4 Data'!F107*'Round 4 Points'!L$2</f>
        <v>6</v>
      </c>
      <c r="G107" s="37">
        <f>'Round 4 Data'!G107*'Round 4 Points'!M$2</f>
        <v>0</v>
      </c>
      <c r="H107" s="37">
        <f>'Round 4 Data'!H107*'Round 4 Points'!N$2</f>
        <v>7</v>
      </c>
      <c r="I107" s="37">
        <f>'Round 4 Data'!I107*'Round 4 Points'!O$2</f>
        <v>23.400000000000002</v>
      </c>
      <c r="J107" s="37">
        <f>'Round 4 Data'!J107*'Round 4 Points'!P$2</f>
        <v>0</v>
      </c>
      <c r="K107" s="37">
        <f>'Round 4 Data'!K107*'Round 4 Points'!Q$2</f>
        <v>0</v>
      </c>
      <c r="L107" s="37">
        <f>'Round 4 Data'!L107*'Round 4 Points'!R$2</f>
        <v>0</v>
      </c>
      <c r="M107" s="37">
        <f>'Round 4 Data'!M107*'Round 4 Points'!S$2</f>
        <v>15</v>
      </c>
      <c r="N107" s="37">
        <f>'Round 4 Data'!N107*'Round 4 Points'!T$2</f>
        <v>0</v>
      </c>
      <c r="O107" s="37">
        <f>'Round 4 Data'!O107*'Round 4 Points'!U$2</f>
        <v>0</v>
      </c>
      <c r="P107" s="37">
        <f>'Round 4 Data'!P107*'Round 4 Points'!V$2</f>
        <v>0</v>
      </c>
      <c r="Q107" s="37">
        <f>'Round 4 Data'!Q107*'Round 4 Points'!W$2</f>
        <v>0</v>
      </c>
      <c r="R107" s="37">
        <f>'Round 4 Data'!R107*'Round 4 Points'!X$2</f>
        <v>0</v>
      </c>
      <c r="S107" s="37">
        <f>'Round 4 Data'!S107*'Round 4 Points'!Y$2</f>
        <v>0</v>
      </c>
      <c r="T107" s="38">
        <f t="shared" si="2"/>
        <v>51.400000000000006</v>
      </c>
      <c r="U107" s="37">
        <f>'Round 4 Data'!U107*'Round 4 Points'!$Z$2</f>
        <v>0</v>
      </c>
      <c r="V107" s="36">
        <f>IF('Round 4 Data'!D107='Round 4 Points'!$K$1,D107/80*$K$2,0)</f>
        <v>0</v>
      </c>
      <c r="W107">
        <f t="shared" si="3"/>
        <v>51.400000000000006</v>
      </c>
    </row>
    <row r="108" spans="1:23" x14ac:dyDescent="0.2">
      <c r="A108" s="36" t="s">
        <v>40</v>
      </c>
      <c r="B108" s="36" t="str" cm="1">
        <f t="array" ref="B108:C108">_xlfn.XLOOKUP(A108,'Player List'!$A$2:$A$177,'Player List'!$B$2:$C$177)</f>
        <v>Scotland</v>
      </c>
      <c r="C108" s="36" t="str">
        <v>Centre</v>
      </c>
      <c r="D108" s="37">
        <v>80</v>
      </c>
      <c r="F108" s="37">
        <f>'Round 4 Data'!F108*'Round 4 Points'!L$2</f>
        <v>11</v>
      </c>
      <c r="G108" s="37">
        <f>'Round 4 Data'!G108*'Round 4 Points'!M$2</f>
        <v>0</v>
      </c>
      <c r="H108" s="37">
        <f>'Round 4 Data'!H108*'Round 4 Points'!N$2</f>
        <v>0</v>
      </c>
      <c r="I108" s="37">
        <f>'Round 4 Data'!I108*'Round 4 Points'!O$2</f>
        <v>18</v>
      </c>
      <c r="J108" s="37">
        <f>'Round 4 Data'!J108*'Round 4 Points'!P$2</f>
        <v>0</v>
      </c>
      <c r="K108" s="37">
        <f>'Round 4 Data'!K108*'Round 4 Points'!Q$2</f>
        <v>0</v>
      </c>
      <c r="L108" s="37">
        <f>'Round 4 Data'!L108*'Round 4 Points'!R$2</f>
        <v>7</v>
      </c>
      <c r="M108" s="37">
        <f>'Round 4 Data'!M108*'Round 4 Points'!S$2</f>
        <v>0</v>
      </c>
      <c r="N108" s="37">
        <f>'Round 4 Data'!N108*'Round 4 Points'!T$2</f>
        <v>7</v>
      </c>
      <c r="O108" s="37">
        <f>'Round 4 Data'!O108*'Round 4 Points'!U$2</f>
        <v>0</v>
      </c>
      <c r="P108" s="37">
        <f>'Round 4 Data'!P108*'Round 4 Points'!V$2</f>
        <v>0</v>
      </c>
      <c r="Q108" s="37">
        <f>'Round 4 Data'!Q108*'Round 4 Points'!W$2</f>
        <v>0</v>
      </c>
      <c r="R108" s="37">
        <f>'Round 4 Data'!R108*'Round 4 Points'!X$2</f>
        <v>0</v>
      </c>
      <c r="S108" s="37">
        <f>'Round 4 Data'!S108*'Round 4 Points'!Y$2</f>
        <v>0</v>
      </c>
      <c r="T108" s="38">
        <f t="shared" si="2"/>
        <v>43</v>
      </c>
      <c r="U108" s="37">
        <f>'Round 4 Data'!U108*'Round 4 Points'!$Z$2</f>
        <v>0</v>
      </c>
      <c r="V108" s="36">
        <f>IF('Round 4 Data'!D108='Round 4 Points'!$K$1,D108/80*$K$2,0)</f>
        <v>0</v>
      </c>
      <c r="W108">
        <f t="shared" si="3"/>
        <v>43</v>
      </c>
    </row>
    <row r="109" spans="1:23" x14ac:dyDescent="0.2">
      <c r="A109" s="36" t="s">
        <v>41</v>
      </c>
      <c r="B109" s="36" t="str" cm="1">
        <f t="array" ref="B109:C109">_xlfn.XLOOKUP(A109,'Player List'!$A$2:$A$177,'Player List'!$B$2:$C$177)</f>
        <v>Scotland</v>
      </c>
      <c r="C109" s="36" t="str">
        <v>Fly Half</v>
      </c>
      <c r="D109" s="37">
        <v>80</v>
      </c>
      <c r="F109" s="37">
        <f>'Round 4 Data'!F109*'Round 4 Points'!L$2</f>
        <v>5</v>
      </c>
      <c r="G109" s="37">
        <f>'Round 4 Data'!G109*'Round 4 Points'!M$2</f>
        <v>0</v>
      </c>
      <c r="H109" s="37">
        <f>'Round 4 Data'!H109*'Round 4 Points'!N$2</f>
        <v>0</v>
      </c>
      <c r="I109" s="37">
        <f>'Round 4 Data'!I109*'Round 4 Points'!O$2</f>
        <v>12.600000000000001</v>
      </c>
      <c r="J109" s="37">
        <f>'Round 4 Data'!J109*'Round 4 Points'!P$2</f>
        <v>0</v>
      </c>
      <c r="K109" s="37">
        <f>'Round 4 Data'!K109*'Round 4 Points'!Q$2</f>
        <v>0</v>
      </c>
      <c r="L109" s="37">
        <f>'Round 4 Data'!L109*'Round 4 Points'!R$2</f>
        <v>0</v>
      </c>
      <c r="M109" s="37">
        <f>'Round 4 Data'!M109*'Round 4 Points'!S$2</f>
        <v>0</v>
      </c>
      <c r="N109" s="37">
        <f>'Round 4 Data'!N109*'Round 4 Points'!T$2</f>
        <v>0</v>
      </c>
      <c r="O109" s="37">
        <f>'Round 4 Data'!O109*'Round 4 Points'!U$2</f>
        <v>2</v>
      </c>
      <c r="P109" s="37">
        <f>'Round 4 Data'!P109*'Round 4 Points'!V$2</f>
        <v>0</v>
      </c>
      <c r="Q109" s="37">
        <f>'Round 4 Data'!Q109*'Round 4 Points'!W$2</f>
        <v>0</v>
      </c>
      <c r="R109" s="37">
        <f>'Round 4 Data'!R109*'Round 4 Points'!X$2</f>
        <v>0</v>
      </c>
      <c r="S109" s="37">
        <f>'Round 4 Data'!S109*'Round 4 Points'!Y$2</f>
        <v>0</v>
      </c>
      <c r="T109" s="38">
        <f t="shared" si="2"/>
        <v>19.600000000000001</v>
      </c>
      <c r="U109" s="37">
        <f>'Round 4 Data'!U109*'Round 4 Points'!$Z$2</f>
        <v>0</v>
      </c>
      <c r="V109" s="36">
        <f>IF('Round 4 Data'!D109='Round 4 Points'!$K$1,D109/80*$K$2,0)</f>
        <v>0</v>
      </c>
      <c r="W109">
        <f t="shared" si="3"/>
        <v>19.600000000000001</v>
      </c>
    </row>
    <row r="110" spans="1:23" x14ac:dyDescent="0.2">
      <c r="A110" s="36" t="s">
        <v>170</v>
      </c>
      <c r="B110" s="36" t="str" cm="1">
        <f t="array" ref="B110:C110">_xlfn.XLOOKUP(A110,'Player List'!$A$2:$A$177,'Player List'!$B$2:$C$177)</f>
        <v>Scotland</v>
      </c>
      <c r="C110" s="36" t="str">
        <v>Scrum Half</v>
      </c>
      <c r="D110" s="37">
        <v>22</v>
      </c>
      <c r="F110" s="37">
        <f>'Round 4 Data'!F110*'Round 4 Points'!L$2</f>
        <v>2</v>
      </c>
      <c r="G110" s="37">
        <f>'Round 4 Data'!G110*'Round 4 Points'!M$2</f>
        <v>0</v>
      </c>
      <c r="H110" s="37">
        <f>'Round 4 Data'!H110*'Round 4 Points'!N$2</f>
        <v>0</v>
      </c>
      <c r="I110" s="37">
        <f>'Round 4 Data'!I110*'Round 4 Points'!O$2</f>
        <v>0</v>
      </c>
      <c r="J110" s="37">
        <f>'Round 4 Data'!J110*'Round 4 Points'!P$2</f>
        <v>0</v>
      </c>
      <c r="K110" s="37">
        <f>'Round 4 Data'!K110*'Round 4 Points'!Q$2</f>
        <v>0</v>
      </c>
      <c r="L110" s="37">
        <f>'Round 4 Data'!L110*'Round 4 Points'!R$2</f>
        <v>0</v>
      </c>
      <c r="M110" s="37">
        <f>'Round 4 Data'!M110*'Round 4 Points'!S$2</f>
        <v>0</v>
      </c>
      <c r="N110" s="37">
        <f>'Round 4 Data'!N110*'Round 4 Points'!T$2</f>
        <v>0</v>
      </c>
      <c r="O110" s="37">
        <f>'Round 4 Data'!O110*'Round 4 Points'!U$2</f>
        <v>0</v>
      </c>
      <c r="P110" s="37">
        <f>'Round 4 Data'!P110*'Round 4 Points'!V$2</f>
        <v>0</v>
      </c>
      <c r="Q110" s="37">
        <f>'Round 4 Data'!Q110*'Round 4 Points'!W$2</f>
        <v>0</v>
      </c>
      <c r="R110" s="37">
        <f>'Round 4 Data'!R110*'Round 4 Points'!X$2</f>
        <v>0</v>
      </c>
      <c r="S110" s="37">
        <f>'Round 4 Data'!S110*'Round 4 Points'!Y$2</f>
        <v>0</v>
      </c>
      <c r="T110" s="38">
        <f t="shared" si="2"/>
        <v>2</v>
      </c>
      <c r="U110" s="37">
        <f>'Round 4 Data'!U110*'Round 4 Points'!$Z$2</f>
        <v>0</v>
      </c>
      <c r="V110" s="36">
        <f>IF('Round 4 Data'!D110='Round 4 Points'!$K$1,D110/80*$K$2,0)</f>
        <v>0</v>
      </c>
      <c r="W110">
        <f t="shared" si="3"/>
        <v>2</v>
      </c>
    </row>
    <row r="111" spans="1:23" x14ac:dyDescent="0.2">
      <c r="A111" s="36" t="s">
        <v>43</v>
      </c>
      <c r="B111" s="36" t="str" cm="1">
        <f t="array" ref="B111:C111">_xlfn.XLOOKUP(A111,'Player List'!$A$2:$A$177,'Player List'!$B$2:$C$177)</f>
        <v>Scotland</v>
      </c>
      <c r="C111" s="36" t="str">
        <v>Scrum Half</v>
      </c>
      <c r="D111" s="37">
        <v>58</v>
      </c>
      <c r="F111" s="37">
        <f>'Round 4 Data'!F111*'Round 4 Points'!L$2</f>
        <v>5</v>
      </c>
      <c r="G111" s="37">
        <f>'Round 4 Data'!G111*'Round 4 Points'!M$2</f>
        <v>0</v>
      </c>
      <c r="H111" s="37">
        <f>'Round 4 Data'!H111*'Round 4 Points'!N$2</f>
        <v>0</v>
      </c>
      <c r="I111" s="37">
        <f>'Round 4 Data'!I111*'Round 4 Points'!O$2</f>
        <v>2</v>
      </c>
      <c r="J111" s="37">
        <f>'Round 4 Data'!J111*'Round 4 Points'!P$2</f>
        <v>0</v>
      </c>
      <c r="K111" s="37">
        <f>'Round 4 Data'!K111*'Round 4 Points'!Q$2</f>
        <v>0</v>
      </c>
      <c r="L111" s="37">
        <f>'Round 4 Data'!L111*'Round 4 Points'!R$2</f>
        <v>0</v>
      </c>
      <c r="M111" s="37">
        <f>'Round 4 Data'!M111*'Round 4 Points'!S$2</f>
        <v>0</v>
      </c>
      <c r="N111" s="37">
        <f>'Round 4 Data'!N111*'Round 4 Points'!T$2</f>
        <v>0</v>
      </c>
      <c r="O111" s="37">
        <f>'Round 4 Data'!O111*'Round 4 Points'!U$2</f>
        <v>0</v>
      </c>
      <c r="P111" s="37">
        <f>'Round 4 Data'!P111*'Round 4 Points'!V$2</f>
        <v>0</v>
      </c>
      <c r="Q111" s="37">
        <f>'Round 4 Data'!Q111*'Round 4 Points'!W$2</f>
        <v>0</v>
      </c>
      <c r="R111" s="37">
        <f>'Round 4 Data'!R111*'Round 4 Points'!X$2</f>
        <v>0</v>
      </c>
      <c r="S111" s="37">
        <f>'Round 4 Data'!S111*'Round 4 Points'!Y$2</f>
        <v>0</v>
      </c>
      <c r="T111" s="38">
        <f t="shared" si="2"/>
        <v>7</v>
      </c>
      <c r="U111" s="37">
        <f>'Round 4 Data'!U111*'Round 4 Points'!$Z$2</f>
        <v>0</v>
      </c>
      <c r="V111" s="36">
        <f>IF('Round 4 Data'!D111='Round 4 Points'!$K$1,D111/80*$K$2,0)</f>
        <v>0</v>
      </c>
      <c r="W111">
        <f t="shared" si="3"/>
        <v>7</v>
      </c>
    </row>
    <row r="112" spans="1:23" x14ac:dyDescent="0.2">
      <c r="A112" s="36" t="s">
        <v>45</v>
      </c>
      <c r="B112" s="36" t="str" cm="1">
        <f t="array" ref="B112:C112">_xlfn.XLOOKUP(A112,'Player List'!$A$2:$A$177,'Player List'!$B$2:$C$177)</f>
        <v>Scotland</v>
      </c>
      <c r="C112" s="36" t="str">
        <v>Back Row</v>
      </c>
      <c r="D112" s="37">
        <v>80</v>
      </c>
      <c r="F112" s="37">
        <f>'Round 4 Data'!F112*'Round 4 Points'!L$2</f>
        <v>20</v>
      </c>
      <c r="G112" s="37">
        <f>'Round 4 Data'!G112*'Round 4 Points'!M$2</f>
        <v>7</v>
      </c>
      <c r="H112" s="37">
        <f>'Round 4 Data'!H112*'Round 4 Points'!N$2</f>
        <v>0</v>
      </c>
      <c r="I112" s="37">
        <f>'Round 4 Data'!I112*'Round 4 Points'!O$2</f>
        <v>14</v>
      </c>
      <c r="J112" s="37">
        <f>'Round 4 Data'!J112*'Round 4 Points'!P$2</f>
        <v>0</v>
      </c>
      <c r="K112" s="37">
        <f>'Round 4 Data'!K112*'Round 4 Points'!Q$2</f>
        <v>0</v>
      </c>
      <c r="L112" s="37">
        <f>'Round 4 Data'!L112*'Round 4 Points'!R$2</f>
        <v>0</v>
      </c>
      <c r="M112" s="37">
        <f>'Round 4 Data'!M112*'Round 4 Points'!S$2</f>
        <v>0</v>
      </c>
      <c r="N112" s="37">
        <f>'Round 4 Data'!N112*'Round 4 Points'!T$2</f>
        <v>0</v>
      </c>
      <c r="O112" s="37">
        <f>'Round 4 Data'!O112*'Round 4 Points'!U$2</f>
        <v>0</v>
      </c>
      <c r="P112" s="37">
        <f>'Round 4 Data'!P112*'Round 4 Points'!V$2</f>
        <v>0</v>
      </c>
      <c r="Q112" s="37">
        <f>'Round 4 Data'!Q112*'Round 4 Points'!W$2</f>
        <v>0</v>
      </c>
      <c r="R112" s="37">
        <f>'Round 4 Data'!R112*'Round 4 Points'!X$2</f>
        <v>0</v>
      </c>
      <c r="S112" s="37">
        <f>'Round 4 Data'!S112*'Round 4 Points'!Y$2</f>
        <v>0</v>
      </c>
      <c r="T112" s="38">
        <f t="shared" si="2"/>
        <v>41</v>
      </c>
      <c r="U112" s="37">
        <f>'Round 4 Data'!U112*'Round 4 Points'!$Z$2</f>
        <v>0</v>
      </c>
      <c r="V112" s="36">
        <f>IF('Round 4 Data'!D112='Round 4 Points'!$K$1,D112/80*$K$2,0)</f>
        <v>0</v>
      </c>
      <c r="W112">
        <f t="shared" si="3"/>
        <v>41</v>
      </c>
    </row>
    <row r="113" spans="1:23" x14ac:dyDescent="0.2">
      <c r="A113" s="36" t="s">
        <v>46</v>
      </c>
      <c r="B113" s="36" t="str" cm="1">
        <f t="array" ref="B113:C113">_xlfn.XLOOKUP(A113,'Player List'!$A$2:$A$177,'Player List'!$B$2:$C$177)</f>
        <v>Scotland</v>
      </c>
      <c r="C113" s="36" t="str">
        <v>Back Row</v>
      </c>
      <c r="D113" s="37">
        <v>66</v>
      </c>
      <c r="F113" s="37">
        <f>'Round 4 Data'!F113*'Round 4 Points'!L$2</f>
        <v>14</v>
      </c>
      <c r="G113" s="37">
        <f>'Round 4 Data'!G113*'Round 4 Points'!M$2</f>
        <v>0</v>
      </c>
      <c r="H113" s="37">
        <f>'Round 4 Data'!H113*'Round 4 Points'!N$2</f>
        <v>0</v>
      </c>
      <c r="I113" s="37">
        <f>'Round 4 Data'!I113*'Round 4 Points'!O$2</f>
        <v>6.6000000000000005</v>
      </c>
      <c r="J113" s="37">
        <f>'Round 4 Data'!J113*'Round 4 Points'!P$2</f>
        <v>0</v>
      </c>
      <c r="K113" s="37">
        <f>'Round 4 Data'!K113*'Round 4 Points'!Q$2</f>
        <v>0</v>
      </c>
      <c r="L113" s="37">
        <f>'Round 4 Data'!L113*'Round 4 Points'!R$2</f>
        <v>0</v>
      </c>
      <c r="M113" s="37">
        <f>'Round 4 Data'!M113*'Round 4 Points'!S$2</f>
        <v>0</v>
      </c>
      <c r="N113" s="37">
        <f>'Round 4 Data'!N113*'Round 4 Points'!T$2</f>
        <v>0</v>
      </c>
      <c r="O113" s="37">
        <f>'Round 4 Data'!O113*'Round 4 Points'!U$2</f>
        <v>0</v>
      </c>
      <c r="P113" s="37">
        <f>'Round 4 Data'!P113*'Round 4 Points'!V$2</f>
        <v>0</v>
      </c>
      <c r="Q113" s="37">
        <f>'Round 4 Data'!Q113*'Round 4 Points'!W$2</f>
        <v>0</v>
      </c>
      <c r="R113" s="37">
        <f>'Round 4 Data'!R113*'Round 4 Points'!X$2</f>
        <v>0</v>
      </c>
      <c r="S113" s="37">
        <f>'Round 4 Data'!S113*'Round 4 Points'!Y$2</f>
        <v>0</v>
      </c>
      <c r="T113" s="38">
        <f t="shared" si="2"/>
        <v>20.6</v>
      </c>
      <c r="U113" s="37">
        <f>'Round 4 Data'!U113*'Round 4 Points'!$Z$2</f>
        <v>0</v>
      </c>
      <c r="V113" s="36">
        <f>IF('Round 4 Data'!D113='Round 4 Points'!$K$1,D113/80*$K$2,0)</f>
        <v>0</v>
      </c>
      <c r="W113">
        <f t="shared" si="3"/>
        <v>20.6</v>
      </c>
    </row>
    <row r="114" spans="1:23" x14ac:dyDescent="0.2">
      <c r="A114" s="36" t="s">
        <v>47</v>
      </c>
      <c r="B114" s="36" t="str" cm="1">
        <f t="array" ref="B114:C114">_xlfn.XLOOKUP(A114,'Player List'!$A$2:$A$177,'Player List'!$B$2:$C$177)</f>
        <v>Scotland</v>
      </c>
      <c r="C114" s="36" t="str">
        <v>Back Row</v>
      </c>
      <c r="D114" s="37">
        <v>80</v>
      </c>
      <c r="F114" s="37">
        <f>'Round 4 Data'!F114*'Round 4 Points'!L$2</f>
        <v>15</v>
      </c>
      <c r="G114" s="37">
        <f>'Round 4 Data'!G114*'Round 4 Points'!M$2</f>
        <v>14</v>
      </c>
      <c r="H114" s="37">
        <f>'Round 4 Data'!H114*'Round 4 Points'!N$2</f>
        <v>0</v>
      </c>
      <c r="I114" s="37">
        <f>'Round 4 Data'!I114*'Round 4 Points'!O$2</f>
        <v>5</v>
      </c>
      <c r="J114" s="37">
        <f>'Round 4 Data'!J114*'Round 4 Points'!P$2</f>
        <v>0</v>
      </c>
      <c r="K114" s="37">
        <f>'Round 4 Data'!K114*'Round 4 Points'!Q$2</f>
        <v>0</v>
      </c>
      <c r="L114" s="37">
        <f>'Round 4 Data'!L114*'Round 4 Points'!R$2</f>
        <v>0</v>
      </c>
      <c r="M114" s="37">
        <f>'Round 4 Data'!M114*'Round 4 Points'!S$2</f>
        <v>0</v>
      </c>
      <c r="N114" s="37">
        <f>'Round 4 Data'!N114*'Round 4 Points'!T$2</f>
        <v>0</v>
      </c>
      <c r="O114" s="37">
        <f>'Round 4 Data'!O114*'Round 4 Points'!U$2</f>
        <v>0</v>
      </c>
      <c r="P114" s="37">
        <f>'Round 4 Data'!P114*'Round 4 Points'!V$2</f>
        <v>0</v>
      </c>
      <c r="Q114" s="37">
        <f>'Round 4 Data'!Q114*'Round 4 Points'!W$2</f>
        <v>0</v>
      </c>
      <c r="R114" s="37">
        <f>'Round 4 Data'!R114*'Round 4 Points'!X$2</f>
        <v>0</v>
      </c>
      <c r="S114" s="37">
        <f>'Round 4 Data'!S114*'Round 4 Points'!Y$2</f>
        <v>0</v>
      </c>
      <c r="T114" s="38">
        <f t="shared" si="2"/>
        <v>34</v>
      </c>
      <c r="U114" s="37">
        <f>'Round 4 Data'!U114*'Round 4 Points'!$Z$2</f>
        <v>0</v>
      </c>
      <c r="V114" s="36">
        <f>IF('Round 4 Data'!D114='Round 4 Points'!$K$1,D114/80*$K$2,0)</f>
        <v>0</v>
      </c>
      <c r="W114">
        <f t="shared" si="3"/>
        <v>34</v>
      </c>
    </row>
    <row r="115" spans="1:23" x14ac:dyDescent="0.2">
      <c r="A115" s="36" t="s">
        <v>172</v>
      </c>
      <c r="B115" s="36" t="str" cm="1">
        <f t="array" ref="B115:C115">_xlfn.XLOOKUP(A115,'Player List'!$A$2:$A$177,'Player List'!$B$2:$C$177)</f>
        <v>Scotland</v>
      </c>
      <c r="C115" s="36" t="str">
        <v>Back Row</v>
      </c>
      <c r="D115" s="37">
        <v>14</v>
      </c>
      <c r="F115" s="37">
        <f>'Round 4 Data'!F115*'Round 4 Points'!L$2</f>
        <v>1</v>
      </c>
      <c r="G115" s="37">
        <f>'Round 4 Data'!G115*'Round 4 Points'!M$2</f>
        <v>0</v>
      </c>
      <c r="H115" s="37">
        <f>'Round 4 Data'!H115*'Round 4 Points'!N$2</f>
        <v>0</v>
      </c>
      <c r="I115" s="37">
        <f>'Round 4 Data'!I115*'Round 4 Points'!O$2</f>
        <v>1.6</v>
      </c>
      <c r="J115" s="37">
        <f>'Round 4 Data'!J115*'Round 4 Points'!P$2</f>
        <v>0</v>
      </c>
      <c r="K115" s="37">
        <f>'Round 4 Data'!K115*'Round 4 Points'!Q$2</f>
        <v>0</v>
      </c>
      <c r="L115" s="37">
        <f>'Round 4 Data'!L115*'Round 4 Points'!R$2</f>
        <v>0</v>
      </c>
      <c r="M115" s="37">
        <f>'Round 4 Data'!M115*'Round 4 Points'!S$2</f>
        <v>0</v>
      </c>
      <c r="N115" s="37">
        <f>'Round 4 Data'!N115*'Round 4 Points'!T$2</f>
        <v>0</v>
      </c>
      <c r="O115" s="37">
        <f>'Round 4 Data'!O115*'Round 4 Points'!U$2</f>
        <v>0</v>
      </c>
      <c r="P115" s="37">
        <f>'Round 4 Data'!P115*'Round 4 Points'!V$2</f>
        <v>0</v>
      </c>
      <c r="Q115" s="37">
        <f>'Round 4 Data'!Q115*'Round 4 Points'!W$2</f>
        <v>0</v>
      </c>
      <c r="R115" s="37">
        <f>'Round 4 Data'!R115*'Round 4 Points'!X$2</f>
        <v>0</v>
      </c>
      <c r="S115" s="37">
        <f>'Round 4 Data'!S115*'Round 4 Points'!Y$2</f>
        <v>0</v>
      </c>
      <c r="T115" s="38">
        <f t="shared" si="2"/>
        <v>2.6</v>
      </c>
      <c r="U115" s="37">
        <f>'Round 4 Data'!U115*'Round 4 Points'!$Z$2</f>
        <v>0</v>
      </c>
      <c r="V115" s="36">
        <f>IF('Round 4 Data'!D115='Round 4 Points'!$K$1,D115/80*$K$2,0)</f>
        <v>0</v>
      </c>
      <c r="W115">
        <f t="shared" si="3"/>
        <v>2.6</v>
      </c>
    </row>
    <row r="116" spans="1:23" x14ac:dyDescent="0.2">
      <c r="A116" s="36" t="s">
        <v>179</v>
      </c>
      <c r="B116" s="36" t="str" cm="1">
        <f t="array" ref="B116:C116">_xlfn.XLOOKUP(A116,'Player List'!$A$2:$A$177,'Player List'!$B$2:$C$177)</f>
        <v>Scotland</v>
      </c>
      <c r="C116" s="36" t="str">
        <v>Second Row</v>
      </c>
      <c r="D116" s="37">
        <v>75</v>
      </c>
      <c r="F116" s="37">
        <f>'Round 4 Data'!F116*'Round 4 Points'!L$2</f>
        <v>9</v>
      </c>
      <c r="G116" s="37">
        <f>'Round 4 Data'!G116*'Round 4 Points'!M$2</f>
        <v>0</v>
      </c>
      <c r="H116" s="37">
        <f>'Round 4 Data'!H116*'Round 4 Points'!N$2</f>
        <v>0</v>
      </c>
      <c r="I116" s="37">
        <f>'Round 4 Data'!I116*'Round 4 Points'!O$2</f>
        <v>1.8</v>
      </c>
      <c r="J116" s="37">
        <f>'Round 4 Data'!J116*'Round 4 Points'!P$2</f>
        <v>0</v>
      </c>
      <c r="K116" s="37">
        <f>'Round 4 Data'!K116*'Round 4 Points'!Q$2</f>
        <v>0</v>
      </c>
      <c r="L116" s="37">
        <f>'Round 4 Data'!L116*'Round 4 Points'!R$2</f>
        <v>0</v>
      </c>
      <c r="M116" s="37">
        <f>'Round 4 Data'!M116*'Round 4 Points'!S$2</f>
        <v>0</v>
      </c>
      <c r="N116" s="37">
        <f>'Round 4 Data'!N116*'Round 4 Points'!T$2</f>
        <v>0</v>
      </c>
      <c r="O116" s="37">
        <f>'Round 4 Data'!O116*'Round 4 Points'!U$2</f>
        <v>0</v>
      </c>
      <c r="P116" s="37">
        <f>'Round 4 Data'!P116*'Round 4 Points'!V$2</f>
        <v>0</v>
      </c>
      <c r="Q116" s="37">
        <f>'Round 4 Data'!Q116*'Round 4 Points'!W$2</f>
        <v>0</v>
      </c>
      <c r="R116" s="37">
        <f>'Round 4 Data'!R116*'Round 4 Points'!X$2</f>
        <v>0</v>
      </c>
      <c r="S116" s="37">
        <f>'Round 4 Data'!S116*'Round 4 Points'!Y$2</f>
        <v>0</v>
      </c>
      <c r="T116" s="38">
        <f t="shared" si="2"/>
        <v>10.8</v>
      </c>
      <c r="U116" s="37">
        <f>'Round 4 Data'!U116*'Round 4 Points'!$Z$2</f>
        <v>0</v>
      </c>
      <c r="V116" s="36">
        <f>IF('Round 4 Data'!D116='Round 4 Points'!$K$1,D116/80*$K$2,0)</f>
        <v>0</v>
      </c>
      <c r="W116">
        <f t="shared" si="3"/>
        <v>10.8</v>
      </c>
    </row>
    <row r="117" spans="1:23" x14ac:dyDescent="0.2">
      <c r="A117" s="36" t="s">
        <v>49</v>
      </c>
      <c r="B117" s="36" t="str" cm="1">
        <f t="array" ref="B117:C117">_xlfn.XLOOKUP(A117,'Player List'!$A$2:$A$177,'Player List'!$B$2:$C$177)</f>
        <v>Scotland</v>
      </c>
      <c r="C117" s="36" t="str">
        <v>Second Row</v>
      </c>
      <c r="D117" s="37">
        <v>80</v>
      </c>
      <c r="F117" s="37">
        <f>'Round 4 Data'!F117*'Round 4 Points'!L$2</f>
        <v>18</v>
      </c>
      <c r="G117" s="37">
        <f>'Round 4 Data'!G117*'Round 4 Points'!M$2</f>
        <v>14</v>
      </c>
      <c r="H117" s="37">
        <f>'Round 4 Data'!H117*'Round 4 Points'!N$2</f>
        <v>0</v>
      </c>
      <c r="I117" s="37">
        <f>'Round 4 Data'!I117*'Round 4 Points'!O$2</f>
        <v>3.8000000000000003</v>
      </c>
      <c r="J117" s="37">
        <f>'Round 4 Data'!J117*'Round 4 Points'!P$2</f>
        <v>0</v>
      </c>
      <c r="K117" s="37">
        <f>'Round 4 Data'!K117*'Round 4 Points'!Q$2</f>
        <v>0</v>
      </c>
      <c r="L117" s="37">
        <f>'Round 4 Data'!L117*'Round 4 Points'!R$2</f>
        <v>0</v>
      </c>
      <c r="M117" s="37">
        <f>'Round 4 Data'!M117*'Round 4 Points'!S$2</f>
        <v>0</v>
      </c>
      <c r="N117" s="37">
        <f>'Round 4 Data'!N117*'Round 4 Points'!T$2</f>
        <v>0</v>
      </c>
      <c r="O117" s="37">
        <f>'Round 4 Data'!O117*'Round 4 Points'!U$2</f>
        <v>0</v>
      </c>
      <c r="P117" s="37">
        <f>'Round 4 Data'!P117*'Round 4 Points'!V$2</f>
        <v>0</v>
      </c>
      <c r="Q117" s="37">
        <f>'Round 4 Data'!Q117*'Round 4 Points'!W$2</f>
        <v>0</v>
      </c>
      <c r="R117" s="37">
        <f>'Round 4 Data'!R117*'Round 4 Points'!X$2</f>
        <v>0</v>
      </c>
      <c r="S117" s="37">
        <f>'Round 4 Data'!S117*'Round 4 Points'!Y$2</f>
        <v>0</v>
      </c>
      <c r="T117" s="38">
        <f t="shared" si="2"/>
        <v>35.799999999999997</v>
      </c>
      <c r="U117" s="37">
        <f>'Round 4 Data'!U117*'Round 4 Points'!$Z$2</f>
        <v>0</v>
      </c>
      <c r="V117" s="36">
        <f>IF('Round 4 Data'!D117='Round 4 Points'!$K$1,D117/80*$K$2,0)</f>
        <v>0</v>
      </c>
      <c r="W117">
        <f t="shared" si="3"/>
        <v>35.799999999999997</v>
      </c>
    </row>
    <row r="118" spans="1:23" x14ac:dyDescent="0.2">
      <c r="A118" s="36" t="s">
        <v>50</v>
      </c>
      <c r="B118" s="36" t="str" cm="1">
        <f t="array" ref="B118:C118">_xlfn.XLOOKUP(A118,'Player List'!$A$2:$A$177,'Player List'!$B$2:$C$177)</f>
        <v>Scotland</v>
      </c>
      <c r="C118" s="36" t="str">
        <v>Second Row</v>
      </c>
      <c r="D118" s="37">
        <v>5</v>
      </c>
      <c r="F118" s="37">
        <f>'Round 4 Data'!F118*'Round 4 Points'!L$2</f>
        <v>2</v>
      </c>
      <c r="G118" s="37">
        <f>'Round 4 Data'!G118*'Round 4 Points'!M$2</f>
        <v>0</v>
      </c>
      <c r="H118" s="37">
        <f>'Round 4 Data'!H118*'Round 4 Points'!N$2</f>
        <v>0</v>
      </c>
      <c r="I118" s="37">
        <f>'Round 4 Data'!I118*'Round 4 Points'!O$2</f>
        <v>0.60000000000000009</v>
      </c>
      <c r="J118" s="37">
        <f>'Round 4 Data'!J118*'Round 4 Points'!P$2</f>
        <v>0</v>
      </c>
      <c r="K118" s="37">
        <f>'Round 4 Data'!K118*'Round 4 Points'!Q$2</f>
        <v>0</v>
      </c>
      <c r="L118" s="37">
        <f>'Round 4 Data'!L118*'Round 4 Points'!R$2</f>
        <v>0</v>
      </c>
      <c r="M118" s="37">
        <f>'Round 4 Data'!M118*'Round 4 Points'!S$2</f>
        <v>0</v>
      </c>
      <c r="N118" s="37">
        <f>'Round 4 Data'!N118*'Round 4 Points'!T$2</f>
        <v>0</v>
      </c>
      <c r="O118" s="37">
        <f>'Round 4 Data'!O118*'Round 4 Points'!U$2</f>
        <v>0</v>
      </c>
      <c r="P118" s="37">
        <f>'Round 4 Data'!P118*'Round 4 Points'!V$2</f>
        <v>0</v>
      </c>
      <c r="Q118" s="37">
        <f>'Round 4 Data'!Q118*'Round 4 Points'!W$2</f>
        <v>0</v>
      </c>
      <c r="R118" s="37">
        <f>'Round 4 Data'!R118*'Round 4 Points'!X$2</f>
        <v>0</v>
      </c>
      <c r="S118" s="37">
        <f>'Round 4 Data'!S118*'Round 4 Points'!Y$2</f>
        <v>0</v>
      </c>
      <c r="T118" s="38">
        <f t="shared" si="2"/>
        <v>2.6</v>
      </c>
      <c r="U118" s="37">
        <f>'Round 4 Data'!U118*'Round 4 Points'!$Z$2</f>
        <v>0</v>
      </c>
      <c r="V118" s="36">
        <f>IF('Round 4 Data'!D118='Round 4 Points'!$K$1,D118/80*$K$2,0)</f>
        <v>0</v>
      </c>
      <c r="W118">
        <f t="shared" si="3"/>
        <v>2.6</v>
      </c>
    </row>
    <row r="119" spans="1:23" x14ac:dyDescent="0.2">
      <c r="A119" s="36" t="s">
        <v>180</v>
      </c>
      <c r="B119" s="36" t="str" cm="1">
        <f t="array" ref="B119:C119">_xlfn.XLOOKUP(A119,'Player List'!$A$2:$A$177,'Player List'!$B$2:$C$177)</f>
        <v>Scotland</v>
      </c>
      <c r="C119" s="36" t="str">
        <v>Prop</v>
      </c>
      <c r="D119" s="37">
        <v>27</v>
      </c>
      <c r="F119" s="37">
        <f>'Round 4 Data'!F119*'Round 4 Points'!L$2</f>
        <v>5</v>
      </c>
      <c r="G119" s="37">
        <f>'Round 4 Data'!G119*'Round 4 Points'!M$2</f>
        <v>0</v>
      </c>
      <c r="H119" s="37">
        <f>'Round 4 Data'!H119*'Round 4 Points'!N$2</f>
        <v>0</v>
      </c>
      <c r="I119" s="37">
        <f>'Round 4 Data'!I119*'Round 4 Points'!O$2</f>
        <v>2.8000000000000003</v>
      </c>
      <c r="J119" s="37">
        <f>'Round 4 Data'!J119*'Round 4 Points'!P$2</f>
        <v>0</v>
      </c>
      <c r="K119" s="37">
        <f>'Round 4 Data'!K119*'Round 4 Points'!Q$2</f>
        <v>0</v>
      </c>
      <c r="L119" s="37">
        <f>'Round 4 Data'!L119*'Round 4 Points'!R$2</f>
        <v>0</v>
      </c>
      <c r="M119" s="37">
        <f>'Round 4 Data'!M119*'Round 4 Points'!S$2</f>
        <v>0</v>
      </c>
      <c r="N119" s="37">
        <f>'Round 4 Data'!N119*'Round 4 Points'!T$2</f>
        <v>0</v>
      </c>
      <c r="O119" s="37">
        <f>'Round 4 Data'!O119*'Round 4 Points'!U$2</f>
        <v>0</v>
      </c>
      <c r="P119" s="37">
        <f>'Round 4 Data'!P119*'Round 4 Points'!V$2</f>
        <v>0</v>
      </c>
      <c r="Q119" s="37">
        <f>'Round 4 Data'!Q119*'Round 4 Points'!W$2</f>
        <v>0</v>
      </c>
      <c r="R119" s="37">
        <f>'Round 4 Data'!R119*'Round 4 Points'!X$2</f>
        <v>0</v>
      </c>
      <c r="S119" s="37">
        <f>'Round 4 Data'!S119*'Round 4 Points'!Y$2</f>
        <v>0</v>
      </c>
      <c r="T119" s="38">
        <f t="shared" si="2"/>
        <v>7.8000000000000007</v>
      </c>
      <c r="U119" s="37">
        <f>'Round 4 Data'!U119*'Round 4 Points'!$Z$2</f>
        <v>0</v>
      </c>
      <c r="V119" s="36">
        <f>IF('Round 4 Data'!D119='Round 4 Points'!$K$1,D119/80*$K$2,0)</f>
        <v>0</v>
      </c>
      <c r="W119">
        <f t="shared" si="3"/>
        <v>7.8000000000000007</v>
      </c>
    </row>
    <row r="120" spans="1:23" x14ac:dyDescent="0.2">
      <c r="A120" s="36" t="s">
        <v>51</v>
      </c>
      <c r="B120" s="36" t="str" cm="1">
        <f t="array" ref="B120:C120">_xlfn.XLOOKUP(A120,'Player List'!$A$2:$A$177,'Player List'!$B$2:$C$177)</f>
        <v>Scotland</v>
      </c>
      <c r="C120" s="36" t="str">
        <v>Prop</v>
      </c>
      <c r="D120" s="37">
        <v>27</v>
      </c>
      <c r="F120" s="37">
        <f>'Round 4 Data'!F120*'Round 4 Points'!L$2</f>
        <v>6</v>
      </c>
      <c r="G120" s="37">
        <f>'Round 4 Data'!G120*'Round 4 Points'!M$2</f>
        <v>0</v>
      </c>
      <c r="H120" s="37">
        <f>'Round 4 Data'!H120*'Round 4 Points'!N$2</f>
        <v>0</v>
      </c>
      <c r="I120" s="37">
        <f>'Round 4 Data'!I120*'Round 4 Points'!O$2</f>
        <v>1</v>
      </c>
      <c r="J120" s="37">
        <f>'Round 4 Data'!J120*'Round 4 Points'!P$2</f>
        <v>0</v>
      </c>
      <c r="K120" s="37">
        <f>'Round 4 Data'!K120*'Round 4 Points'!Q$2</f>
        <v>0</v>
      </c>
      <c r="L120" s="37">
        <f>'Round 4 Data'!L120*'Round 4 Points'!R$2</f>
        <v>0</v>
      </c>
      <c r="M120" s="37">
        <f>'Round 4 Data'!M120*'Round 4 Points'!S$2</f>
        <v>0</v>
      </c>
      <c r="N120" s="37">
        <f>'Round 4 Data'!N120*'Round 4 Points'!T$2</f>
        <v>0</v>
      </c>
      <c r="O120" s="37">
        <f>'Round 4 Data'!O120*'Round 4 Points'!U$2</f>
        <v>0</v>
      </c>
      <c r="P120" s="37">
        <f>'Round 4 Data'!P120*'Round 4 Points'!V$2</f>
        <v>0</v>
      </c>
      <c r="Q120" s="37">
        <f>'Round 4 Data'!Q120*'Round 4 Points'!W$2</f>
        <v>0</v>
      </c>
      <c r="R120" s="37">
        <f>'Round 4 Data'!R120*'Round 4 Points'!X$2</f>
        <v>0</v>
      </c>
      <c r="S120" s="37">
        <f>'Round 4 Data'!S120*'Round 4 Points'!Y$2</f>
        <v>0</v>
      </c>
      <c r="T120" s="38">
        <f t="shared" si="2"/>
        <v>7</v>
      </c>
      <c r="U120" s="37">
        <f>'Round 4 Data'!U120*'Round 4 Points'!$Z$2</f>
        <v>0</v>
      </c>
      <c r="V120" s="36">
        <f>IF('Round 4 Data'!D120='Round 4 Points'!$K$1,D120/80*$K$2,0)</f>
        <v>0</v>
      </c>
      <c r="W120">
        <f t="shared" si="3"/>
        <v>7</v>
      </c>
    </row>
    <row r="121" spans="1:23" x14ac:dyDescent="0.2">
      <c r="A121" s="36" t="s">
        <v>52</v>
      </c>
      <c r="B121" s="36" t="str" cm="1">
        <f t="array" ref="B121:C121">_xlfn.XLOOKUP(A121,'Player List'!$A$2:$A$177,'Player List'!$B$2:$C$177)</f>
        <v>Scotland</v>
      </c>
      <c r="C121" s="36" t="str">
        <v>Prop</v>
      </c>
      <c r="D121" s="37">
        <v>53</v>
      </c>
      <c r="F121" s="37">
        <f>'Round 4 Data'!F121*'Round 4 Points'!L$2</f>
        <v>7</v>
      </c>
      <c r="G121" s="37">
        <f>'Round 4 Data'!G121*'Round 4 Points'!M$2</f>
        <v>0</v>
      </c>
      <c r="H121" s="37">
        <f>'Round 4 Data'!H121*'Round 4 Points'!N$2</f>
        <v>0</v>
      </c>
      <c r="I121" s="37">
        <f>'Round 4 Data'!I121*'Round 4 Points'!O$2</f>
        <v>4.6000000000000005</v>
      </c>
      <c r="J121" s="37">
        <f>'Round 4 Data'!J121*'Round 4 Points'!P$2</f>
        <v>0</v>
      </c>
      <c r="K121" s="37">
        <f>'Round 4 Data'!K121*'Round 4 Points'!Q$2</f>
        <v>0</v>
      </c>
      <c r="L121" s="37">
        <f>'Round 4 Data'!L121*'Round 4 Points'!R$2</f>
        <v>7</v>
      </c>
      <c r="M121" s="37">
        <f>'Round 4 Data'!M121*'Round 4 Points'!S$2</f>
        <v>0</v>
      </c>
      <c r="N121" s="37">
        <f>'Round 4 Data'!N121*'Round 4 Points'!T$2</f>
        <v>0</v>
      </c>
      <c r="O121" s="37">
        <f>'Round 4 Data'!O121*'Round 4 Points'!U$2</f>
        <v>0</v>
      </c>
      <c r="P121" s="37">
        <f>'Round 4 Data'!P121*'Round 4 Points'!V$2</f>
        <v>0</v>
      </c>
      <c r="Q121" s="37">
        <f>'Round 4 Data'!Q121*'Round 4 Points'!W$2</f>
        <v>0</v>
      </c>
      <c r="R121" s="37">
        <f>'Round 4 Data'!R121*'Round 4 Points'!X$2</f>
        <v>0</v>
      </c>
      <c r="S121" s="37">
        <f>'Round 4 Data'!S121*'Round 4 Points'!Y$2</f>
        <v>0</v>
      </c>
      <c r="T121" s="38">
        <f t="shared" si="2"/>
        <v>18.600000000000001</v>
      </c>
      <c r="U121" s="37">
        <f>'Round 4 Data'!U121*'Round 4 Points'!$Z$2</f>
        <v>0</v>
      </c>
      <c r="V121" s="36">
        <f>IF('Round 4 Data'!D121='Round 4 Points'!$K$1,D121/80*$K$2,0)</f>
        <v>0</v>
      </c>
      <c r="W121">
        <f t="shared" si="3"/>
        <v>18.600000000000001</v>
      </c>
    </row>
    <row r="122" spans="1:23" x14ac:dyDescent="0.2">
      <c r="A122" s="36" t="s">
        <v>54</v>
      </c>
      <c r="B122" s="36" t="str" cm="1">
        <f t="array" ref="B122:C122">_xlfn.XLOOKUP(A122,'Player List'!$A$2:$A$177,'Player List'!$B$2:$C$177)</f>
        <v>Scotland</v>
      </c>
      <c r="C122" s="36" t="str">
        <v>Prop</v>
      </c>
      <c r="D122" s="37">
        <v>53</v>
      </c>
      <c r="F122" s="37">
        <f>'Round 4 Data'!F122*'Round 4 Points'!L$2</f>
        <v>5</v>
      </c>
      <c r="G122" s="37">
        <f>'Round 4 Data'!G122*'Round 4 Points'!M$2</f>
        <v>0</v>
      </c>
      <c r="H122" s="37">
        <f>'Round 4 Data'!H122*'Round 4 Points'!N$2</f>
        <v>0</v>
      </c>
      <c r="I122" s="37">
        <f>'Round 4 Data'!I122*'Round 4 Points'!O$2</f>
        <v>13</v>
      </c>
      <c r="J122" s="37">
        <f>'Round 4 Data'!J122*'Round 4 Points'!P$2</f>
        <v>0</v>
      </c>
      <c r="K122" s="37">
        <f>'Round 4 Data'!K122*'Round 4 Points'!Q$2</f>
        <v>0</v>
      </c>
      <c r="L122" s="37">
        <f>'Round 4 Data'!L122*'Round 4 Points'!R$2</f>
        <v>0</v>
      </c>
      <c r="M122" s="37">
        <f>'Round 4 Data'!M122*'Round 4 Points'!S$2</f>
        <v>0</v>
      </c>
      <c r="N122" s="37">
        <f>'Round 4 Data'!N122*'Round 4 Points'!T$2</f>
        <v>0</v>
      </c>
      <c r="O122" s="37">
        <f>'Round 4 Data'!O122*'Round 4 Points'!U$2</f>
        <v>0</v>
      </c>
      <c r="P122" s="37">
        <f>'Round 4 Data'!P122*'Round 4 Points'!V$2</f>
        <v>0</v>
      </c>
      <c r="Q122" s="37">
        <f>'Round 4 Data'!Q122*'Round 4 Points'!W$2</f>
        <v>0</v>
      </c>
      <c r="R122" s="37">
        <f>'Round 4 Data'!R122*'Round 4 Points'!X$2</f>
        <v>0</v>
      </c>
      <c r="S122" s="37">
        <f>'Round 4 Data'!S122*'Round 4 Points'!Y$2</f>
        <v>0</v>
      </c>
      <c r="T122" s="38">
        <f t="shared" si="2"/>
        <v>18</v>
      </c>
      <c r="U122" s="37">
        <f>'Round 4 Data'!U122*'Round 4 Points'!$Z$2</f>
        <v>0</v>
      </c>
      <c r="V122" s="36">
        <f>IF('Round 4 Data'!D122='Round 4 Points'!$K$1,D122/80*$K$2,0)</f>
        <v>0</v>
      </c>
      <c r="W122">
        <f t="shared" si="3"/>
        <v>18</v>
      </c>
    </row>
    <row r="123" spans="1:23" x14ac:dyDescent="0.2">
      <c r="A123" s="36" t="s">
        <v>55</v>
      </c>
      <c r="B123" s="36" t="str" cm="1">
        <f t="array" ref="B123:C123">_xlfn.XLOOKUP(A123,'Player List'!$A$2:$A$177,'Player List'!$B$2:$C$177)</f>
        <v>Scotland</v>
      </c>
      <c r="C123" s="36" t="str">
        <v>Hooker</v>
      </c>
      <c r="D123" s="37">
        <v>22</v>
      </c>
      <c r="F123" s="37">
        <f>'Round 4 Data'!F123*'Round 4 Points'!L$2</f>
        <v>3</v>
      </c>
      <c r="G123" s="37">
        <f>'Round 4 Data'!G123*'Round 4 Points'!M$2</f>
        <v>0</v>
      </c>
      <c r="H123" s="37">
        <f>'Round 4 Data'!H123*'Round 4 Points'!N$2</f>
        <v>0</v>
      </c>
      <c r="I123" s="37">
        <f>'Round 4 Data'!I123*'Round 4 Points'!O$2</f>
        <v>0</v>
      </c>
      <c r="J123" s="37">
        <f>'Round 4 Data'!J123*'Round 4 Points'!P$2</f>
        <v>0</v>
      </c>
      <c r="K123" s="37">
        <f>'Round 4 Data'!K123*'Round 4 Points'!Q$2</f>
        <v>7</v>
      </c>
      <c r="L123" s="37">
        <f>'Round 4 Data'!L123*'Round 4 Points'!R$2</f>
        <v>0</v>
      </c>
      <c r="M123" s="37">
        <f>'Round 4 Data'!M123*'Round 4 Points'!S$2</f>
        <v>0</v>
      </c>
      <c r="N123" s="37">
        <f>'Round 4 Data'!N123*'Round 4 Points'!T$2</f>
        <v>0</v>
      </c>
      <c r="O123" s="37">
        <f>'Round 4 Data'!O123*'Round 4 Points'!U$2</f>
        <v>0</v>
      </c>
      <c r="P123" s="37">
        <f>'Round 4 Data'!P123*'Round 4 Points'!V$2</f>
        <v>0</v>
      </c>
      <c r="Q123" s="37">
        <f>'Round 4 Data'!Q123*'Round 4 Points'!W$2</f>
        <v>0</v>
      </c>
      <c r="R123" s="37">
        <f>'Round 4 Data'!R123*'Round 4 Points'!X$2</f>
        <v>0</v>
      </c>
      <c r="S123" s="37">
        <f>'Round 4 Data'!S123*'Round 4 Points'!Y$2</f>
        <v>0</v>
      </c>
      <c r="T123" s="38">
        <f t="shared" si="2"/>
        <v>10</v>
      </c>
      <c r="U123" s="37">
        <f>'Round 4 Data'!U123*'Round 4 Points'!$Z$2</f>
        <v>0</v>
      </c>
      <c r="V123" s="36">
        <f>IF('Round 4 Data'!D123='Round 4 Points'!$K$1,D123/80*$K$2,0)</f>
        <v>0</v>
      </c>
      <c r="W123">
        <f t="shared" si="3"/>
        <v>10</v>
      </c>
    </row>
    <row r="124" spans="1:23" x14ac:dyDescent="0.2">
      <c r="A124" s="36" t="s">
        <v>56</v>
      </c>
      <c r="B124" s="36" t="str" cm="1">
        <f t="array" ref="B124:C124">_xlfn.XLOOKUP(A124,'Player List'!$A$2:$A$177,'Player List'!$B$2:$C$177)</f>
        <v>Scotland</v>
      </c>
      <c r="C124" s="36" t="str">
        <v>Hooker</v>
      </c>
      <c r="D124" s="37">
        <v>58</v>
      </c>
      <c r="F124" s="37">
        <f>'Round 4 Data'!F124*'Round 4 Points'!L$2</f>
        <v>10</v>
      </c>
      <c r="G124" s="37">
        <f>'Round 4 Data'!G124*'Round 4 Points'!M$2</f>
        <v>7</v>
      </c>
      <c r="H124" s="37">
        <f>'Round 4 Data'!H124*'Round 4 Points'!N$2</f>
        <v>0</v>
      </c>
      <c r="I124" s="37">
        <f>'Round 4 Data'!I124*'Round 4 Points'!O$2</f>
        <v>6.8000000000000007</v>
      </c>
      <c r="J124" s="37">
        <f>'Round 4 Data'!J124*'Round 4 Points'!P$2</f>
        <v>0</v>
      </c>
      <c r="K124" s="37">
        <f>'Round 4 Data'!K124*'Round 4 Points'!Q$2</f>
        <v>7</v>
      </c>
      <c r="L124" s="37">
        <f>'Round 4 Data'!L124*'Round 4 Points'!R$2</f>
        <v>0</v>
      </c>
      <c r="M124" s="37">
        <f>'Round 4 Data'!M124*'Round 4 Points'!S$2</f>
        <v>0</v>
      </c>
      <c r="N124" s="37">
        <f>'Round 4 Data'!N124*'Round 4 Points'!T$2</f>
        <v>0</v>
      </c>
      <c r="O124" s="37">
        <f>'Round 4 Data'!O124*'Round 4 Points'!U$2</f>
        <v>0</v>
      </c>
      <c r="P124" s="37">
        <f>'Round 4 Data'!P124*'Round 4 Points'!V$2</f>
        <v>0</v>
      </c>
      <c r="Q124" s="37">
        <f>'Round 4 Data'!Q124*'Round 4 Points'!W$2</f>
        <v>0</v>
      </c>
      <c r="R124" s="37">
        <f>'Round 4 Data'!R124*'Round 4 Points'!X$2</f>
        <v>0</v>
      </c>
      <c r="S124" s="37">
        <f>'Round 4 Data'!S124*'Round 4 Points'!Y$2</f>
        <v>0</v>
      </c>
      <c r="T124" s="38">
        <f t="shared" si="2"/>
        <v>30.8</v>
      </c>
      <c r="U124" s="37">
        <f>'Round 4 Data'!U124*'Round 4 Points'!$Z$2</f>
        <v>0</v>
      </c>
      <c r="V124" s="36">
        <f>IF('Round 4 Data'!D124='Round 4 Points'!$K$1,D124/80*$K$2,0)</f>
        <v>0</v>
      </c>
      <c r="W124">
        <f t="shared" si="3"/>
        <v>30.8</v>
      </c>
    </row>
    <row r="125" spans="1:23" x14ac:dyDescent="0.2">
      <c r="A125" s="36" t="s">
        <v>126</v>
      </c>
      <c r="B125" s="36" t="str" cm="1">
        <f t="array" ref="B125:C125">_xlfn.XLOOKUP(A125,'Player List'!$A$2:$A$177,'Player List'!$B$2:$C$177)</f>
        <v>Ireland</v>
      </c>
      <c r="C125" s="36" t="str">
        <v>Back Three</v>
      </c>
      <c r="D125" s="37">
        <v>80</v>
      </c>
      <c r="F125" s="37">
        <f>'Round 4 Data'!F125*'Round 4 Points'!L$2</f>
        <v>4</v>
      </c>
      <c r="G125" s="37">
        <f>'Round 4 Data'!G125*'Round 4 Points'!M$2</f>
        <v>0</v>
      </c>
      <c r="H125" s="37">
        <f>'Round 4 Data'!H125*'Round 4 Points'!N$2</f>
        <v>14</v>
      </c>
      <c r="I125" s="37">
        <f>'Round 4 Data'!I125*'Round 4 Points'!O$2</f>
        <v>18.8</v>
      </c>
      <c r="J125" s="37">
        <f>'Round 4 Data'!J125*'Round 4 Points'!P$2</f>
        <v>0</v>
      </c>
      <c r="K125" s="37">
        <f>'Round 4 Data'!K125*'Round 4 Points'!Q$2</f>
        <v>0</v>
      </c>
      <c r="L125" s="37">
        <f>'Round 4 Data'!L125*'Round 4 Points'!R$2</f>
        <v>14</v>
      </c>
      <c r="M125" s="37">
        <f>'Round 4 Data'!M125*'Round 4 Points'!S$2</f>
        <v>15</v>
      </c>
      <c r="N125" s="37">
        <f>'Round 4 Data'!N125*'Round 4 Points'!T$2</f>
        <v>7</v>
      </c>
      <c r="O125" s="37">
        <f>'Round 4 Data'!O125*'Round 4 Points'!U$2</f>
        <v>0</v>
      </c>
      <c r="P125" s="37">
        <f>'Round 4 Data'!P125*'Round 4 Points'!V$2</f>
        <v>0</v>
      </c>
      <c r="Q125" s="37">
        <f>'Round 4 Data'!Q125*'Round 4 Points'!W$2</f>
        <v>0</v>
      </c>
      <c r="R125" s="37">
        <f>'Round 4 Data'!R125*'Round 4 Points'!X$2</f>
        <v>0</v>
      </c>
      <c r="S125" s="37">
        <f>'Round 4 Data'!S125*'Round 4 Points'!Y$2</f>
        <v>0</v>
      </c>
      <c r="T125" s="38">
        <f t="shared" si="2"/>
        <v>72.8</v>
      </c>
      <c r="U125" s="37">
        <f>'Round 4 Data'!U125*'Round 4 Points'!$Z$2</f>
        <v>15</v>
      </c>
      <c r="V125" s="36">
        <f>IF('Round 4 Data'!D125='Round 4 Points'!$K$1,D125/80*$K$2,0)</f>
        <v>8</v>
      </c>
      <c r="W125">
        <f t="shared" si="3"/>
        <v>95.8</v>
      </c>
    </row>
    <row r="126" spans="1:23" x14ac:dyDescent="0.2">
      <c r="A126" s="36" t="s">
        <v>127</v>
      </c>
      <c r="B126" s="36" t="str" cm="1">
        <f t="array" ref="B126:C126">_xlfn.XLOOKUP(A126,'Player List'!$A$2:$A$177,'Player List'!$B$2:$C$177)</f>
        <v>Ireland</v>
      </c>
      <c r="C126" s="36" t="str">
        <v>Back Three</v>
      </c>
      <c r="D126" s="37">
        <v>80</v>
      </c>
      <c r="F126" s="37">
        <f>'Round 4 Data'!F126*'Round 4 Points'!L$2</f>
        <v>6</v>
      </c>
      <c r="G126" s="37">
        <f>'Round 4 Data'!G126*'Round 4 Points'!M$2</f>
        <v>0</v>
      </c>
      <c r="H126" s="37">
        <f>'Round 4 Data'!H126*'Round 4 Points'!N$2</f>
        <v>7</v>
      </c>
      <c r="I126" s="37">
        <f>'Round 4 Data'!I126*'Round 4 Points'!O$2</f>
        <v>16.400000000000002</v>
      </c>
      <c r="J126" s="37">
        <f>'Round 4 Data'!J126*'Round 4 Points'!P$2</f>
        <v>0</v>
      </c>
      <c r="K126" s="37">
        <f>'Round 4 Data'!K126*'Round 4 Points'!Q$2</f>
        <v>0</v>
      </c>
      <c r="L126" s="37">
        <f>'Round 4 Data'!L126*'Round 4 Points'!R$2</f>
        <v>0</v>
      </c>
      <c r="M126" s="37">
        <f>'Round 4 Data'!M126*'Round 4 Points'!S$2</f>
        <v>0</v>
      </c>
      <c r="N126" s="37">
        <f>'Round 4 Data'!N126*'Round 4 Points'!T$2</f>
        <v>7</v>
      </c>
      <c r="O126" s="37">
        <f>'Round 4 Data'!O126*'Round 4 Points'!U$2</f>
        <v>0</v>
      </c>
      <c r="P126" s="37">
        <f>'Round 4 Data'!P126*'Round 4 Points'!V$2</f>
        <v>0</v>
      </c>
      <c r="Q126" s="37">
        <f>'Round 4 Data'!Q126*'Round 4 Points'!W$2</f>
        <v>0</v>
      </c>
      <c r="R126" s="37">
        <f>'Round 4 Data'!R126*'Round 4 Points'!X$2</f>
        <v>0</v>
      </c>
      <c r="S126" s="37">
        <f>'Round 4 Data'!S126*'Round 4 Points'!Y$2</f>
        <v>0</v>
      </c>
      <c r="T126" s="38">
        <f t="shared" si="2"/>
        <v>36.400000000000006</v>
      </c>
      <c r="U126" s="37">
        <f>'Round 4 Data'!U126*'Round 4 Points'!$Z$2</f>
        <v>0</v>
      </c>
      <c r="V126" s="36">
        <f>IF('Round 4 Data'!D126='Round 4 Points'!$K$1,D126/80*$K$2,0)</f>
        <v>8</v>
      </c>
      <c r="W126">
        <f t="shared" si="3"/>
        <v>44.400000000000006</v>
      </c>
    </row>
    <row r="127" spans="1:23" x14ac:dyDescent="0.2">
      <c r="A127" s="36" t="s">
        <v>128</v>
      </c>
      <c r="B127" s="36" t="str" cm="1">
        <f t="array" ref="B127:C127">_xlfn.XLOOKUP(A127,'Player List'!$A$2:$A$177,'Player List'!$B$2:$C$177)</f>
        <v>Ireland</v>
      </c>
      <c r="C127" s="36" t="str">
        <v>Back Three</v>
      </c>
      <c r="D127" s="37">
        <v>80</v>
      </c>
      <c r="F127" s="37">
        <f>'Round 4 Data'!F127*'Round 4 Points'!L$2</f>
        <v>4</v>
      </c>
      <c r="G127" s="37">
        <f>'Round 4 Data'!G127*'Round 4 Points'!M$2</f>
        <v>0</v>
      </c>
      <c r="H127" s="37">
        <f>'Round 4 Data'!H127*'Round 4 Points'!N$2</f>
        <v>14</v>
      </c>
      <c r="I127" s="37">
        <f>'Round 4 Data'!I127*'Round 4 Points'!O$2</f>
        <v>30</v>
      </c>
      <c r="J127" s="37">
        <f>'Round 4 Data'!J127*'Round 4 Points'!P$2</f>
        <v>0</v>
      </c>
      <c r="K127" s="37">
        <f>'Round 4 Data'!K127*'Round 4 Points'!Q$2</f>
        <v>0</v>
      </c>
      <c r="L127" s="37">
        <f>'Round 4 Data'!L127*'Round 4 Points'!R$2</f>
        <v>0</v>
      </c>
      <c r="M127" s="37">
        <f>'Round 4 Data'!M127*'Round 4 Points'!S$2</f>
        <v>15</v>
      </c>
      <c r="N127" s="37">
        <f>'Round 4 Data'!N127*'Round 4 Points'!T$2</f>
        <v>0</v>
      </c>
      <c r="O127" s="37">
        <f>'Round 4 Data'!O127*'Round 4 Points'!U$2</f>
        <v>0</v>
      </c>
      <c r="P127" s="37">
        <f>'Round 4 Data'!P127*'Round 4 Points'!V$2</f>
        <v>0</v>
      </c>
      <c r="Q127" s="37">
        <f>'Round 4 Data'!Q127*'Round 4 Points'!W$2</f>
        <v>0</v>
      </c>
      <c r="R127" s="37">
        <f>'Round 4 Data'!R127*'Round 4 Points'!X$2</f>
        <v>0</v>
      </c>
      <c r="S127" s="37">
        <f>'Round 4 Data'!S127*'Round 4 Points'!Y$2</f>
        <v>0</v>
      </c>
      <c r="T127" s="38">
        <f t="shared" si="2"/>
        <v>63</v>
      </c>
      <c r="U127" s="37">
        <f>'Round 4 Data'!U127*'Round 4 Points'!$Z$2</f>
        <v>0</v>
      </c>
      <c r="V127" s="36">
        <f>IF('Round 4 Data'!D127='Round 4 Points'!$K$1,D127/80*$K$2,0)</f>
        <v>8</v>
      </c>
      <c r="W127">
        <f t="shared" si="3"/>
        <v>71</v>
      </c>
    </row>
    <row r="128" spans="1:23" x14ac:dyDescent="0.2">
      <c r="A128" s="36" t="s">
        <v>129</v>
      </c>
      <c r="B128" s="36" t="str" cm="1">
        <f t="array" ref="B128:C128">_xlfn.XLOOKUP(A128,'Player List'!$A$2:$A$177,'Player List'!$B$2:$C$177)</f>
        <v>Ireland</v>
      </c>
      <c r="C128" s="36" t="str">
        <v>Centre</v>
      </c>
      <c r="D128" s="37">
        <v>74</v>
      </c>
      <c r="F128" s="37">
        <f>'Round 4 Data'!F128*'Round 4 Points'!L$2</f>
        <v>9</v>
      </c>
      <c r="G128" s="37">
        <f>'Round 4 Data'!G128*'Round 4 Points'!M$2</f>
        <v>7</v>
      </c>
      <c r="H128" s="37">
        <f>'Round 4 Data'!H128*'Round 4 Points'!N$2</f>
        <v>0</v>
      </c>
      <c r="I128" s="37">
        <f>'Round 4 Data'!I128*'Round 4 Points'!O$2</f>
        <v>9.8000000000000007</v>
      </c>
      <c r="J128" s="37">
        <f>'Round 4 Data'!J128*'Round 4 Points'!P$2</f>
        <v>0</v>
      </c>
      <c r="K128" s="37">
        <f>'Round 4 Data'!K128*'Round 4 Points'!Q$2</f>
        <v>0</v>
      </c>
      <c r="L128" s="37">
        <f>'Round 4 Data'!L128*'Round 4 Points'!R$2</f>
        <v>0</v>
      </c>
      <c r="M128" s="37">
        <f>'Round 4 Data'!M128*'Round 4 Points'!S$2</f>
        <v>0</v>
      </c>
      <c r="N128" s="37">
        <f>'Round 4 Data'!N128*'Round 4 Points'!T$2</f>
        <v>0</v>
      </c>
      <c r="O128" s="37">
        <f>'Round 4 Data'!O128*'Round 4 Points'!U$2</f>
        <v>0</v>
      </c>
      <c r="P128" s="37">
        <f>'Round 4 Data'!P128*'Round 4 Points'!V$2</f>
        <v>0</v>
      </c>
      <c r="Q128" s="37">
        <f>'Round 4 Data'!Q128*'Round 4 Points'!W$2</f>
        <v>0</v>
      </c>
      <c r="R128" s="37">
        <f>'Round 4 Data'!R128*'Round 4 Points'!X$2</f>
        <v>0</v>
      </c>
      <c r="S128" s="37">
        <f>'Round 4 Data'!S128*'Round 4 Points'!Y$2</f>
        <v>0</v>
      </c>
      <c r="T128" s="38">
        <f t="shared" si="2"/>
        <v>25.8</v>
      </c>
      <c r="U128" s="37">
        <f>'Round 4 Data'!U128*'Round 4 Points'!$Z$2</f>
        <v>0</v>
      </c>
      <c r="V128" s="36">
        <f>IF('Round 4 Data'!D128='Round 4 Points'!$K$1,D128/80*$K$2,0)</f>
        <v>7.4</v>
      </c>
      <c r="W128">
        <f t="shared" si="3"/>
        <v>33.200000000000003</v>
      </c>
    </row>
    <row r="129" spans="1:23" x14ac:dyDescent="0.2">
      <c r="A129" s="36" t="s">
        <v>181</v>
      </c>
      <c r="B129" s="36" t="str" cm="1">
        <f t="array" ref="B129:C129">_xlfn.XLOOKUP(A129,'Player List'!$A$2:$A$177,'Player List'!$B$2:$C$177)</f>
        <v>Ireland</v>
      </c>
      <c r="C129" s="36" t="str">
        <v>Centre</v>
      </c>
      <c r="D129" s="37">
        <v>14</v>
      </c>
      <c r="F129" s="37">
        <f>'Round 4 Data'!F129*'Round 4 Points'!L$2</f>
        <v>6</v>
      </c>
      <c r="G129" s="37">
        <f>'Round 4 Data'!G129*'Round 4 Points'!M$2</f>
        <v>0</v>
      </c>
      <c r="H129" s="37">
        <f>'Round 4 Data'!H129*'Round 4 Points'!N$2</f>
        <v>0</v>
      </c>
      <c r="I129" s="37">
        <f>'Round 4 Data'!I129*'Round 4 Points'!O$2</f>
        <v>0.8</v>
      </c>
      <c r="J129" s="37">
        <f>'Round 4 Data'!J129*'Round 4 Points'!P$2</f>
        <v>0</v>
      </c>
      <c r="K129" s="37">
        <f>'Round 4 Data'!K129*'Round 4 Points'!Q$2</f>
        <v>0</v>
      </c>
      <c r="L129" s="37">
        <f>'Round 4 Data'!L129*'Round 4 Points'!R$2</f>
        <v>0</v>
      </c>
      <c r="M129" s="37">
        <f>'Round 4 Data'!M129*'Round 4 Points'!S$2</f>
        <v>0</v>
      </c>
      <c r="N129" s="37">
        <f>'Round 4 Data'!N129*'Round 4 Points'!T$2</f>
        <v>0</v>
      </c>
      <c r="O129" s="37">
        <f>'Round 4 Data'!O129*'Round 4 Points'!U$2</f>
        <v>0</v>
      </c>
      <c r="P129" s="37">
        <f>'Round 4 Data'!P129*'Round 4 Points'!V$2</f>
        <v>0</v>
      </c>
      <c r="Q129" s="37">
        <f>'Round 4 Data'!Q129*'Round 4 Points'!W$2</f>
        <v>0</v>
      </c>
      <c r="R129" s="37">
        <f>'Round 4 Data'!R129*'Round 4 Points'!X$2</f>
        <v>0</v>
      </c>
      <c r="S129" s="37">
        <f>'Round 4 Data'!S129*'Round 4 Points'!Y$2</f>
        <v>0</v>
      </c>
      <c r="T129" s="38">
        <f t="shared" si="2"/>
        <v>6.8</v>
      </c>
      <c r="U129" s="37">
        <f>'Round 4 Data'!U129*'Round 4 Points'!$Z$2</f>
        <v>0</v>
      </c>
      <c r="V129" s="36">
        <f>IF('Round 4 Data'!D129='Round 4 Points'!$K$1,D129/80*$K$2,0)</f>
        <v>1.4</v>
      </c>
      <c r="W129">
        <f t="shared" si="3"/>
        <v>8.1999999999999993</v>
      </c>
    </row>
    <row r="130" spans="1:23" x14ac:dyDescent="0.2">
      <c r="A130" s="36" t="s">
        <v>131</v>
      </c>
      <c r="B130" s="36" t="str" cm="1">
        <f t="array" ref="B130:C130">_xlfn.XLOOKUP(A130,'Player List'!$A$2:$A$177,'Player List'!$B$2:$C$177)</f>
        <v>Ireland</v>
      </c>
      <c r="C130" s="36" t="str">
        <v>Centre</v>
      </c>
      <c r="D130" s="37">
        <v>72</v>
      </c>
      <c r="F130" s="37">
        <f>'Round 4 Data'!F130*'Round 4 Points'!L$2</f>
        <v>2</v>
      </c>
      <c r="G130" s="37">
        <f>'Round 4 Data'!G130*'Round 4 Points'!M$2</f>
        <v>0</v>
      </c>
      <c r="H130" s="37">
        <f>'Round 4 Data'!H130*'Round 4 Points'!N$2</f>
        <v>7</v>
      </c>
      <c r="I130" s="37">
        <f>'Round 4 Data'!I130*'Round 4 Points'!O$2</f>
        <v>10.8</v>
      </c>
      <c r="J130" s="37">
        <f>'Round 4 Data'!J130*'Round 4 Points'!P$2</f>
        <v>0</v>
      </c>
      <c r="K130" s="37">
        <f>'Round 4 Data'!K130*'Round 4 Points'!Q$2</f>
        <v>0</v>
      </c>
      <c r="L130" s="37">
        <f>'Round 4 Data'!L130*'Round 4 Points'!R$2</f>
        <v>0</v>
      </c>
      <c r="M130" s="37">
        <f>'Round 4 Data'!M130*'Round 4 Points'!S$2</f>
        <v>0</v>
      </c>
      <c r="N130" s="37">
        <f>'Round 4 Data'!N130*'Round 4 Points'!T$2</f>
        <v>0</v>
      </c>
      <c r="O130" s="37">
        <f>'Round 4 Data'!O130*'Round 4 Points'!U$2</f>
        <v>0</v>
      </c>
      <c r="P130" s="37">
        <f>'Round 4 Data'!P130*'Round 4 Points'!V$2</f>
        <v>0</v>
      </c>
      <c r="Q130" s="37">
        <f>'Round 4 Data'!Q130*'Round 4 Points'!W$2</f>
        <v>0</v>
      </c>
      <c r="R130" s="37">
        <f>'Round 4 Data'!R130*'Round 4 Points'!X$2</f>
        <v>0</v>
      </c>
      <c r="S130" s="37">
        <f>'Round 4 Data'!S130*'Round 4 Points'!Y$2</f>
        <v>0</v>
      </c>
      <c r="T130" s="38">
        <f t="shared" si="2"/>
        <v>19.8</v>
      </c>
      <c r="U130" s="37">
        <f>'Round 4 Data'!U130*'Round 4 Points'!$Z$2</f>
        <v>0</v>
      </c>
      <c r="V130" s="36">
        <f>IF('Round 4 Data'!D130='Round 4 Points'!$K$1,D130/80*$K$2,0)</f>
        <v>7.2</v>
      </c>
      <c r="W130">
        <f t="shared" si="3"/>
        <v>27</v>
      </c>
    </row>
    <row r="131" spans="1:23" x14ac:dyDescent="0.2">
      <c r="A131" s="36" t="s">
        <v>132</v>
      </c>
      <c r="B131" s="36" t="str" cm="1">
        <f t="array" ref="B131:C131">_xlfn.XLOOKUP(A131,'Player List'!$A$2:$A$177,'Player List'!$B$2:$C$177)</f>
        <v>Ireland</v>
      </c>
      <c r="C131" s="36" t="str">
        <v>Fly Half</v>
      </c>
      <c r="D131" s="37">
        <v>10</v>
      </c>
      <c r="F131" s="37">
        <f>'Round 4 Data'!F131*'Round 4 Points'!L$2</f>
        <v>2</v>
      </c>
      <c r="G131" s="37">
        <f>'Round 4 Data'!G131*'Round 4 Points'!M$2</f>
        <v>0</v>
      </c>
      <c r="H131" s="37">
        <f>'Round 4 Data'!H131*'Round 4 Points'!N$2</f>
        <v>0</v>
      </c>
      <c r="I131" s="37">
        <f>'Round 4 Data'!I131*'Round 4 Points'!O$2</f>
        <v>0</v>
      </c>
      <c r="J131" s="37">
        <f>'Round 4 Data'!J131*'Round 4 Points'!P$2</f>
        <v>0</v>
      </c>
      <c r="K131" s="37">
        <f>'Round 4 Data'!K131*'Round 4 Points'!Q$2</f>
        <v>0</v>
      </c>
      <c r="L131" s="37">
        <f>'Round 4 Data'!L131*'Round 4 Points'!R$2</f>
        <v>0</v>
      </c>
      <c r="M131" s="37">
        <f>'Round 4 Data'!M131*'Round 4 Points'!S$2</f>
        <v>0</v>
      </c>
      <c r="N131" s="37">
        <f>'Round 4 Data'!N131*'Round 4 Points'!T$2</f>
        <v>0</v>
      </c>
      <c r="O131" s="37">
        <f>'Round 4 Data'!O131*'Round 4 Points'!U$2</f>
        <v>0</v>
      </c>
      <c r="P131" s="37">
        <f>'Round 4 Data'!P131*'Round 4 Points'!V$2</f>
        <v>0</v>
      </c>
      <c r="Q131" s="37">
        <f>'Round 4 Data'!Q131*'Round 4 Points'!W$2</f>
        <v>0</v>
      </c>
      <c r="R131" s="37">
        <f>'Round 4 Data'!R131*'Round 4 Points'!X$2</f>
        <v>0</v>
      </c>
      <c r="S131" s="37">
        <f>'Round 4 Data'!S131*'Round 4 Points'!Y$2</f>
        <v>0</v>
      </c>
      <c r="T131" s="38">
        <f t="shared" si="2"/>
        <v>2</v>
      </c>
      <c r="U131" s="37">
        <f>'Round 4 Data'!U131*'Round 4 Points'!$Z$2</f>
        <v>0</v>
      </c>
      <c r="V131" s="36">
        <f>IF('Round 4 Data'!D131='Round 4 Points'!$K$1,D131/80*$K$2,0)</f>
        <v>1</v>
      </c>
      <c r="W131">
        <f t="shared" si="3"/>
        <v>3</v>
      </c>
    </row>
    <row r="132" spans="1:23" x14ac:dyDescent="0.2">
      <c r="A132" s="36" t="s">
        <v>133</v>
      </c>
      <c r="B132" s="36" t="str" cm="1">
        <f t="array" ref="B132:C132">_xlfn.XLOOKUP(A132,'Player List'!$A$2:$A$177,'Player List'!$B$2:$C$177)</f>
        <v>Ireland</v>
      </c>
      <c r="C132" s="36" t="str">
        <v>Fly Half</v>
      </c>
      <c r="D132" s="37">
        <v>70</v>
      </c>
      <c r="F132" s="37">
        <f>'Round 4 Data'!F132*'Round 4 Points'!L$2</f>
        <v>9</v>
      </c>
      <c r="G132" s="37">
        <f>'Round 4 Data'!G132*'Round 4 Points'!M$2</f>
        <v>0</v>
      </c>
      <c r="H132" s="37">
        <f>'Round 4 Data'!H132*'Round 4 Points'!N$2</f>
        <v>0</v>
      </c>
      <c r="I132" s="37">
        <f>'Round 4 Data'!I132*'Round 4 Points'!O$2</f>
        <v>6.4</v>
      </c>
      <c r="J132" s="37">
        <f>'Round 4 Data'!J132*'Round 4 Points'!P$2</f>
        <v>0</v>
      </c>
      <c r="K132" s="37">
        <f>'Round 4 Data'!K132*'Round 4 Points'!Q$2</f>
        <v>0</v>
      </c>
      <c r="L132" s="37">
        <f>'Round 4 Data'!L132*'Round 4 Points'!R$2</f>
        <v>0</v>
      </c>
      <c r="M132" s="37">
        <f>'Round 4 Data'!M132*'Round 4 Points'!S$2</f>
        <v>0</v>
      </c>
      <c r="N132" s="37">
        <f>'Round 4 Data'!N132*'Round 4 Points'!T$2</f>
        <v>0</v>
      </c>
      <c r="O132" s="37">
        <f>'Round 4 Data'!O132*'Round 4 Points'!U$2</f>
        <v>4</v>
      </c>
      <c r="P132" s="37">
        <f>'Round 4 Data'!P132*'Round 4 Points'!V$2</f>
        <v>5</v>
      </c>
      <c r="Q132" s="37">
        <f>'Round 4 Data'!Q132*'Round 4 Points'!W$2</f>
        <v>0</v>
      </c>
      <c r="R132" s="37">
        <f>'Round 4 Data'!R132*'Round 4 Points'!X$2</f>
        <v>0</v>
      </c>
      <c r="S132" s="37">
        <f>'Round 4 Data'!S132*'Round 4 Points'!Y$2</f>
        <v>0</v>
      </c>
      <c r="T132" s="38">
        <f t="shared" si="2"/>
        <v>24.4</v>
      </c>
      <c r="U132" s="37">
        <f>'Round 4 Data'!U132*'Round 4 Points'!$Z$2</f>
        <v>0</v>
      </c>
      <c r="V132" s="36">
        <f>IF('Round 4 Data'!D132='Round 4 Points'!$K$1,D132/80*$K$2,0)</f>
        <v>7</v>
      </c>
      <c r="W132">
        <f t="shared" si="3"/>
        <v>31.4</v>
      </c>
    </row>
    <row r="133" spans="1:23" x14ac:dyDescent="0.2">
      <c r="A133" s="36" t="s">
        <v>182</v>
      </c>
      <c r="B133" s="36" t="str" cm="1">
        <f t="array" ref="B133:C133">_xlfn.XLOOKUP(A133,'Player List'!$A$2:$A$177,'Player List'!$B$2:$C$177)</f>
        <v>Ireland</v>
      </c>
      <c r="C133" s="36" t="str">
        <v>Scrum Half</v>
      </c>
      <c r="D133" s="37">
        <v>27</v>
      </c>
      <c r="F133" s="37">
        <f>'Round 4 Data'!F133*'Round 4 Points'!L$2</f>
        <v>2</v>
      </c>
      <c r="G133" s="37">
        <f>'Round 4 Data'!G133*'Round 4 Points'!M$2</f>
        <v>0</v>
      </c>
      <c r="H133" s="37">
        <f>'Round 4 Data'!H133*'Round 4 Points'!N$2</f>
        <v>7</v>
      </c>
      <c r="I133" s="37">
        <f>'Round 4 Data'!I133*'Round 4 Points'!O$2</f>
        <v>6.8000000000000007</v>
      </c>
      <c r="J133" s="37">
        <f>'Round 4 Data'!J133*'Round 4 Points'!P$2</f>
        <v>0</v>
      </c>
      <c r="K133" s="37">
        <f>'Round 4 Data'!K133*'Round 4 Points'!Q$2</f>
        <v>0</v>
      </c>
      <c r="L133" s="37">
        <f>'Round 4 Data'!L133*'Round 4 Points'!R$2</f>
        <v>0</v>
      </c>
      <c r="M133" s="37">
        <f>'Round 4 Data'!M133*'Round 4 Points'!S$2</f>
        <v>0</v>
      </c>
      <c r="N133" s="37">
        <f>'Round 4 Data'!N133*'Round 4 Points'!T$2</f>
        <v>7</v>
      </c>
      <c r="O133" s="37">
        <f>'Round 4 Data'!O133*'Round 4 Points'!U$2</f>
        <v>0</v>
      </c>
      <c r="P133" s="37">
        <f>'Round 4 Data'!P133*'Round 4 Points'!V$2</f>
        <v>0</v>
      </c>
      <c r="Q133" s="37">
        <f>'Round 4 Data'!Q133*'Round 4 Points'!W$2</f>
        <v>0</v>
      </c>
      <c r="R133" s="37">
        <f>'Round 4 Data'!R133*'Round 4 Points'!X$2</f>
        <v>0</v>
      </c>
      <c r="S133" s="37">
        <f>'Round 4 Data'!S133*'Round 4 Points'!Y$2</f>
        <v>0</v>
      </c>
      <c r="T133" s="38">
        <f t="shared" si="2"/>
        <v>22.8</v>
      </c>
      <c r="U133" s="37">
        <f>'Round 4 Data'!U133*'Round 4 Points'!$Z$2</f>
        <v>0</v>
      </c>
      <c r="V133" s="36">
        <f>IF('Round 4 Data'!D133='Round 4 Points'!$K$1,D133/80*$K$2,0)</f>
        <v>2.7</v>
      </c>
      <c r="W133">
        <f t="shared" si="3"/>
        <v>25.5</v>
      </c>
    </row>
    <row r="134" spans="1:23" x14ac:dyDescent="0.2">
      <c r="A134" s="36" t="s">
        <v>135</v>
      </c>
      <c r="B134" s="36" t="str" cm="1">
        <f t="array" ref="B134:C134">_xlfn.XLOOKUP(A134,'Player List'!$A$2:$A$177,'Player List'!$B$2:$C$177)</f>
        <v>Ireland</v>
      </c>
      <c r="C134" s="36" t="str">
        <v>Scrum Half</v>
      </c>
      <c r="D134" s="37">
        <v>53</v>
      </c>
      <c r="F134" s="37">
        <f>'Round 4 Data'!F134*'Round 4 Points'!L$2</f>
        <v>9</v>
      </c>
      <c r="G134" s="37">
        <f>'Round 4 Data'!G134*'Round 4 Points'!M$2</f>
        <v>0</v>
      </c>
      <c r="H134" s="37">
        <f>'Round 4 Data'!H134*'Round 4 Points'!N$2</f>
        <v>0</v>
      </c>
      <c r="I134" s="37">
        <f>'Round 4 Data'!I134*'Round 4 Points'!O$2</f>
        <v>1</v>
      </c>
      <c r="J134" s="37">
        <f>'Round 4 Data'!J134*'Round 4 Points'!P$2</f>
        <v>0</v>
      </c>
      <c r="K134" s="37">
        <f>'Round 4 Data'!K134*'Round 4 Points'!Q$2</f>
        <v>0</v>
      </c>
      <c r="L134" s="37">
        <f>'Round 4 Data'!L134*'Round 4 Points'!R$2</f>
        <v>0</v>
      </c>
      <c r="M134" s="37">
        <f>'Round 4 Data'!M134*'Round 4 Points'!S$2</f>
        <v>0</v>
      </c>
      <c r="N134" s="37">
        <f>'Round 4 Data'!N134*'Round 4 Points'!T$2</f>
        <v>0</v>
      </c>
      <c r="O134" s="37">
        <f>'Round 4 Data'!O134*'Round 4 Points'!U$2</f>
        <v>0</v>
      </c>
      <c r="P134" s="37">
        <f>'Round 4 Data'!P134*'Round 4 Points'!V$2</f>
        <v>0</v>
      </c>
      <c r="Q134" s="37">
        <f>'Round 4 Data'!Q134*'Round 4 Points'!W$2</f>
        <v>0</v>
      </c>
      <c r="R134" s="37">
        <f>'Round 4 Data'!R134*'Round 4 Points'!X$2</f>
        <v>0</v>
      </c>
      <c r="S134" s="37">
        <f>'Round 4 Data'!S134*'Round 4 Points'!Y$2</f>
        <v>0</v>
      </c>
      <c r="T134" s="38">
        <f t="shared" si="2"/>
        <v>10</v>
      </c>
      <c r="U134" s="37">
        <f>'Round 4 Data'!U134*'Round 4 Points'!$Z$2</f>
        <v>0</v>
      </c>
      <c r="V134" s="36">
        <f>IF('Round 4 Data'!D134='Round 4 Points'!$K$1,D134/80*$K$2,0)</f>
        <v>5.3</v>
      </c>
      <c r="W134">
        <f t="shared" si="3"/>
        <v>15.3</v>
      </c>
    </row>
    <row r="135" spans="1:23" x14ac:dyDescent="0.2">
      <c r="A135" s="36" t="s">
        <v>136</v>
      </c>
      <c r="B135" s="36" t="str" cm="1">
        <f t="array" ref="B135:C135">_xlfn.XLOOKUP(A135,'Player List'!$A$2:$A$177,'Player List'!$B$2:$C$177)</f>
        <v>Ireland</v>
      </c>
      <c r="C135" s="36" t="str">
        <v>Back Row</v>
      </c>
      <c r="D135" s="37">
        <v>68</v>
      </c>
      <c r="F135" s="37">
        <f>'Round 4 Data'!F135*'Round 4 Points'!L$2</f>
        <v>10</v>
      </c>
      <c r="G135" s="37">
        <f>'Round 4 Data'!G135*'Round 4 Points'!M$2</f>
        <v>0</v>
      </c>
      <c r="H135" s="37">
        <f>'Round 4 Data'!H135*'Round 4 Points'!N$2</f>
        <v>0</v>
      </c>
      <c r="I135" s="37">
        <f>'Round 4 Data'!I135*'Round 4 Points'!O$2</f>
        <v>21.200000000000003</v>
      </c>
      <c r="J135" s="37">
        <f>'Round 4 Data'!J135*'Round 4 Points'!P$2</f>
        <v>0</v>
      </c>
      <c r="K135" s="37">
        <f>'Round 4 Data'!K135*'Round 4 Points'!Q$2</f>
        <v>0</v>
      </c>
      <c r="L135" s="37">
        <f>'Round 4 Data'!L135*'Round 4 Points'!R$2</f>
        <v>0</v>
      </c>
      <c r="M135" s="37">
        <f>'Round 4 Data'!M135*'Round 4 Points'!S$2</f>
        <v>15</v>
      </c>
      <c r="N135" s="37">
        <f>'Round 4 Data'!N135*'Round 4 Points'!T$2</f>
        <v>0</v>
      </c>
      <c r="O135" s="37">
        <f>'Round 4 Data'!O135*'Round 4 Points'!U$2</f>
        <v>0</v>
      </c>
      <c r="P135" s="37">
        <f>'Round 4 Data'!P135*'Round 4 Points'!V$2</f>
        <v>0</v>
      </c>
      <c r="Q135" s="37">
        <f>'Round 4 Data'!Q135*'Round 4 Points'!W$2</f>
        <v>0</v>
      </c>
      <c r="R135" s="37">
        <f>'Round 4 Data'!R135*'Round 4 Points'!X$2</f>
        <v>0</v>
      </c>
      <c r="S135" s="37">
        <f>'Round 4 Data'!S135*'Round 4 Points'!Y$2</f>
        <v>0</v>
      </c>
      <c r="T135" s="38">
        <f t="shared" si="2"/>
        <v>46.2</v>
      </c>
      <c r="U135" s="37">
        <f>'Round 4 Data'!U135*'Round 4 Points'!$Z$2</f>
        <v>0</v>
      </c>
      <c r="V135" s="36">
        <f>IF('Round 4 Data'!D135='Round 4 Points'!$K$1,D135/80*$K$2,0)</f>
        <v>6.8</v>
      </c>
      <c r="W135">
        <f t="shared" si="3"/>
        <v>53</v>
      </c>
    </row>
    <row r="136" spans="1:23" x14ac:dyDescent="0.2">
      <c r="A136" s="36" t="s">
        <v>137</v>
      </c>
      <c r="B136" s="36" t="str" cm="1">
        <f t="array" ref="B136:C136">_xlfn.XLOOKUP(A136,'Player List'!$A$2:$A$177,'Player List'!$B$2:$C$177)</f>
        <v>Ireland</v>
      </c>
      <c r="C136" s="36" t="str">
        <v>Back Row</v>
      </c>
      <c r="D136" s="37">
        <v>12</v>
      </c>
      <c r="F136" s="37">
        <f>'Round 4 Data'!F136*'Round 4 Points'!L$2</f>
        <v>4</v>
      </c>
      <c r="G136" s="37">
        <f>'Round 4 Data'!G136*'Round 4 Points'!M$2</f>
        <v>0</v>
      </c>
      <c r="H136" s="37">
        <f>'Round 4 Data'!H136*'Round 4 Points'!N$2</f>
        <v>0</v>
      </c>
      <c r="I136" s="37">
        <f>'Round 4 Data'!I136*'Round 4 Points'!O$2</f>
        <v>4.6000000000000005</v>
      </c>
      <c r="J136" s="37">
        <f>'Round 4 Data'!J136*'Round 4 Points'!P$2</f>
        <v>0</v>
      </c>
      <c r="K136" s="37">
        <f>'Round 4 Data'!K136*'Round 4 Points'!Q$2</f>
        <v>0</v>
      </c>
      <c r="L136" s="37">
        <f>'Round 4 Data'!L136*'Round 4 Points'!R$2</f>
        <v>0</v>
      </c>
      <c r="M136" s="37">
        <f>'Round 4 Data'!M136*'Round 4 Points'!S$2</f>
        <v>0</v>
      </c>
      <c r="N136" s="37">
        <f>'Round 4 Data'!N136*'Round 4 Points'!T$2</f>
        <v>0</v>
      </c>
      <c r="O136" s="37">
        <f>'Round 4 Data'!O136*'Round 4 Points'!U$2</f>
        <v>0</v>
      </c>
      <c r="P136" s="37">
        <f>'Round 4 Data'!P136*'Round 4 Points'!V$2</f>
        <v>0</v>
      </c>
      <c r="Q136" s="37">
        <f>'Round 4 Data'!Q136*'Round 4 Points'!W$2</f>
        <v>0</v>
      </c>
      <c r="R136" s="37">
        <f>'Round 4 Data'!R136*'Round 4 Points'!X$2</f>
        <v>0</v>
      </c>
      <c r="S136" s="37">
        <f>'Round 4 Data'!S136*'Round 4 Points'!Y$2</f>
        <v>0</v>
      </c>
      <c r="T136" s="38">
        <f t="shared" si="2"/>
        <v>8.6000000000000014</v>
      </c>
      <c r="U136" s="37">
        <f>'Round 4 Data'!U136*'Round 4 Points'!$Z$2</f>
        <v>0</v>
      </c>
      <c r="V136" s="36">
        <f>IF('Round 4 Data'!D136='Round 4 Points'!$K$1,D136/80*$K$2,0)</f>
        <v>1.2</v>
      </c>
      <c r="W136">
        <f t="shared" si="3"/>
        <v>9.8000000000000007</v>
      </c>
    </row>
    <row r="137" spans="1:23" x14ac:dyDescent="0.2">
      <c r="A137" s="36" t="s">
        <v>138</v>
      </c>
      <c r="B137" s="36" t="str" cm="1">
        <f t="array" ref="B137:C137">_xlfn.XLOOKUP(A137,'Player List'!$A$2:$A$177,'Player List'!$B$2:$C$177)</f>
        <v>Ireland</v>
      </c>
      <c r="C137" s="36" t="str">
        <v>Back Row</v>
      </c>
      <c r="D137" s="37">
        <v>80</v>
      </c>
      <c r="F137" s="37">
        <f>'Round 4 Data'!F137*'Round 4 Points'!L$2</f>
        <v>12</v>
      </c>
      <c r="G137" s="37">
        <f>'Round 4 Data'!G137*'Round 4 Points'!M$2</f>
        <v>0</v>
      </c>
      <c r="H137" s="37">
        <f>'Round 4 Data'!H137*'Round 4 Points'!N$2</f>
        <v>0</v>
      </c>
      <c r="I137" s="37">
        <f>'Round 4 Data'!I137*'Round 4 Points'!O$2</f>
        <v>6.2</v>
      </c>
      <c r="J137" s="37">
        <f>'Round 4 Data'!J137*'Round 4 Points'!P$2</f>
        <v>0</v>
      </c>
      <c r="K137" s="37">
        <f>'Round 4 Data'!K137*'Round 4 Points'!Q$2</f>
        <v>0</v>
      </c>
      <c r="L137" s="37">
        <f>'Round 4 Data'!L137*'Round 4 Points'!R$2</f>
        <v>0</v>
      </c>
      <c r="M137" s="37">
        <f>'Round 4 Data'!M137*'Round 4 Points'!S$2</f>
        <v>0</v>
      </c>
      <c r="N137" s="37">
        <f>'Round 4 Data'!N137*'Round 4 Points'!T$2</f>
        <v>0</v>
      </c>
      <c r="O137" s="37">
        <f>'Round 4 Data'!O137*'Round 4 Points'!U$2</f>
        <v>0</v>
      </c>
      <c r="P137" s="37">
        <f>'Round 4 Data'!P137*'Round 4 Points'!V$2</f>
        <v>0</v>
      </c>
      <c r="Q137" s="37">
        <f>'Round 4 Data'!Q137*'Round 4 Points'!W$2</f>
        <v>0</v>
      </c>
      <c r="R137" s="37">
        <f>'Round 4 Data'!R137*'Round 4 Points'!X$2</f>
        <v>0</v>
      </c>
      <c r="S137" s="37">
        <f>'Round 4 Data'!S137*'Round 4 Points'!Y$2</f>
        <v>0</v>
      </c>
      <c r="T137" s="38">
        <f t="shared" si="2"/>
        <v>18.2</v>
      </c>
      <c r="U137" s="37">
        <f>'Round 4 Data'!U137*'Round 4 Points'!$Z$2</f>
        <v>0</v>
      </c>
      <c r="V137" s="36">
        <f>IF('Round 4 Data'!D137='Round 4 Points'!$K$1,D137/80*$K$2,0)</f>
        <v>8</v>
      </c>
      <c r="W137">
        <f t="shared" si="3"/>
        <v>26.2</v>
      </c>
    </row>
    <row r="138" spans="1:23" x14ac:dyDescent="0.2">
      <c r="A138" s="36" t="s">
        <v>139</v>
      </c>
      <c r="B138" s="36" t="str" cm="1">
        <f t="array" ref="B138:C138">_xlfn.XLOOKUP(A138,'Player List'!$A$2:$A$177,'Player List'!$B$2:$C$177)</f>
        <v>Ireland</v>
      </c>
      <c r="C138" s="36" t="str">
        <v>Back Row</v>
      </c>
      <c r="D138" s="37">
        <v>80</v>
      </c>
      <c r="F138" s="37">
        <f>'Round 4 Data'!F138*'Round 4 Points'!L$2</f>
        <v>15</v>
      </c>
      <c r="G138" s="37">
        <f>'Round 4 Data'!G138*'Round 4 Points'!M$2</f>
        <v>14</v>
      </c>
      <c r="H138" s="37">
        <f>'Round 4 Data'!H138*'Round 4 Points'!N$2</f>
        <v>0</v>
      </c>
      <c r="I138" s="37">
        <f>'Round 4 Data'!I138*'Round 4 Points'!O$2</f>
        <v>5.2</v>
      </c>
      <c r="J138" s="37">
        <f>'Round 4 Data'!J138*'Round 4 Points'!P$2</f>
        <v>0</v>
      </c>
      <c r="K138" s="37">
        <f>'Round 4 Data'!K138*'Round 4 Points'!Q$2</f>
        <v>0</v>
      </c>
      <c r="L138" s="37">
        <f>'Round 4 Data'!L138*'Round 4 Points'!R$2</f>
        <v>7</v>
      </c>
      <c r="M138" s="37">
        <f>'Round 4 Data'!M138*'Round 4 Points'!S$2</f>
        <v>0</v>
      </c>
      <c r="N138" s="37">
        <f>'Round 4 Data'!N138*'Round 4 Points'!T$2</f>
        <v>0</v>
      </c>
      <c r="O138" s="37">
        <f>'Round 4 Data'!O138*'Round 4 Points'!U$2</f>
        <v>0</v>
      </c>
      <c r="P138" s="37">
        <f>'Round 4 Data'!P138*'Round 4 Points'!V$2</f>
        <v>0</v>
      </c>
      <c r="Q138" s="37">
        <f>'Round 4 Data'!Q138*'Round 4 Points'!W$2</f>
        <v>0</v>
      </c>
      <c r="R138" s="37">
        <f>'Round 4 Data'!R138*'Round 4 Points'!X$2</f>
        <v>0</v>
      </c>
      <c r="S138" s="37">
        <f>'Round 4 Data'!S138*'Round 4 Points'!Y$2</f>
        <v>0</v>
      </c>
      <c r="T138" s="38">
        <f t="shared" si="2"/>
        <v>41.2</v>
      </c>
      <c r="U138" s="37">
        <f>'Round 4 Data'!U138*'Round 4 Points'!$Z$2</f>
        <v>0</v>
      </c>
      <c r="V138" s="36">
        <f>IF('Round 4 Data'!D138='Round 4 Points'!$K$1,D138/80*$K$2,0)</f>
        <v>8</v>
      </c>
      <c r="W138">
        <f t="shared" si="3"/>
        <v>49.2</v>
      </c>
    </row>
    <row r="139" spans="1:23" x14ac:dyDescent="0.2">
      <c r="A139" s="36" t="s">
        <v>151</v>
      </c>
      <c r="B139" s="36" t="str" cm="1">
        <f t="array" ref="B139:C139">_xlfn.XLOOKUP(A139,'Player List'!$A$2:$A$177,'Player List'!$B$2:$C$177)</f>
        <v>Ireland</v>
      </c>
      <c r="C139" s="36" t="str">
        <v>Second Row</v>
      </c>
      <c r="D139" s="37">
        <v>56</v>
      </c>
      <c r="F139" s="37">
        <f>'Round 4 Data'!F139*'Round 4 Points'!L$2</f>
        <v>4</v>
      </c>
      <c r="G139" s="37">
        <f>'Round 4 Data'!G139*'Round 4 Points'!M$2</f>
        <v>0</v>
      </c>
      <c r="H139" s="37">
        <f>'Round 4 Data'!H139*'Round 4 Points'!N$2</f>
        <v>0</v>
      </c>
      <c r="I139" s="37">
        <f>'Round 4 Data'!I139*'Round 4 Points'!O$2</f>
        <v>4.2</v>
      </c>
      <c r="J139" s="37">
        <f>'Round 4 Data'!J139*'Round 4 Points'!P$2</f>
        <v>0</v>
      </c>
      <c r="K139" s="37">
        <f>'Round 4 Data'!K139*'Round 4 Points'!Q$2</f>
        <v>0</v>
      </c>
      <c r="L139" s="37">
        <f>'Round 4 Data'!L139*'Round 4 Points'!R$2</f>
        <v>0</v>
      </c>
      <c r="M139" s="37">
        <f>'Round 4 Data'!M139*'Round 4 Points'!S$2</f>
        <v>0</v>
      </c>
      <c r="N139" s="37">
        <f>'Round 4 Data'!N139*'Round 4 Points'!T$2</f>
        <v>0</v>
      </c>
      <c r="O139" s="37">
        <f>'Round 4 Data'!O139*'Round 4 Points'!U$2</f>
        <v>0</v>
      </c>
      <c r="P139" s="37">
        <f>'Round 4 Data'!P139*'Round 4 Points'!V$2</f>
        <v>0</v>
      </c>
      <c r="Q139" s="37">
        <f>'Round 4 Data'!Q139*'Round 4 Points'!W$2</f>
        <v>0</v>
      </c>
      <c r="R139" s="37">
        <f>'Round 4 Data'!R139*'Round 4 Points'!X$2</f>
        <v>0</v>
      </c>
      <c r="S139" s="37">
        <f>'Round 4 Data'!S139*'Round 4 Points'!Y$2</f>
        <v>0</v>
      </c>
      <c r="T139" s="38">
        <f t="shared" ref="T139:T147" si="4">SUM(F139:S139)</f>
        <v>8.1999999999999993</v>
      </c>
      <c r="U139" s="37">
        <f>'Round 4 Data'!U139*'Round 4 Points'!$Z$2</f>
        <v>0</v>
      </c>
      <c r="V139" s="36">
        <f>IF('Round 4 Data'!D139='Round 4 Points'!$K$1,D139/80*$K$2,0)</f>
        <v>5.6</v>
      </c>
      <c r="W139">
        <f t="shared" ref="W139:W147" si="5">SUM(T139:V139)</f>
        <v>13.799999999999999</v>
      </c>
    </row>
    <row r="140" spans="1:23" x14ac:dyDescent="0.2">
      <c r="A140" s="36" t="s">
        <v>141</v>
      </c>
      <c r="B140" s="36" t="str" cm="1">
        <f t="array" ref="B140:C140">_xlfn.XLOOKUP(A140,'Player List'!$A$2:$A$177,'Player List'!$B$2:$C$177)</f>
        <v>Ireland</v>
      </c>
      <c r="C140" s="36" t="str">
        <v>Second Row</v>
      </c>
      <c r="D140" s="37">
        <v>24</v>
      </c>
      <c r="F140" s="37">
        <f>'Round 4 Data'!F140*'Round 4 Points'!L$2</f>
        <v>7</v>
      </c>
      <c r="G140" s="37">
        <f>'Round 4 Data'!G140*'Round 4 Points'!M$2</f>
        <v>0</v>
      </c>
      <c r="H140" s="37">
        <f>'Round 4 Data'!H140*'Round 4 Points'!N$2</f>
        <v>0</v>
      </c>
      <c r="I140" s="37">
        <f>'Round 4 Data'!I140*'Round 4 Points'!O$2</f>
        <v>1.8</v>
      </c>
      <c r="J140" s="37">
        <f>'Round 4 Data'!J140*'Round 4 Points'!P$2</f>
        <v>0</v>
      </c>
      <c r="K140" s="37">
        <f>'Round 4 Data'!K140*'Round 4 Points'!Q$2</f>
        <v>0</v>
      </c>
      <c r="L140" s="37">
        <f>'Round 4 Data'!L140*'Round 4 Points'!R$2</f>
        <v>0</v>
      </c>
      <c r="M140" s="37">
        <f>'Round 4 Data'!M140*'Round 4 Points'!S$2</f>
        <v>0</v>
      </c>
      <c r="N140" s="37">
        <f>'Round 4 Data'!N140*'Round 4 Points'!T$2</f>
        <v>0</v>
      </c>
      <c r="O140" s="37">
        <f>'Round 4 Data'!O140*'Round 4 Points'!U$2</f>
        <v>0</v>
      </c>
      <c r="P140" s="37">
        <f>'Round 4 Data'!P140*'Round 4 Points'!V$2</f>
        <v>0</v>
      </c>
      <c r="Q140" s="37">
        <f>'Round 4 Data'!Q140*'Round 4 Points'!W$2</f>
        <v>0</v>
      </c>
      <c r="R140" s="37">
        <f>'Round 4 Data'!R140*'Round 4 Points'!X$2</f>
        <v>0</v>
      </c>
      <c r="S140" s="37">
        <f>'Round 4 Data'!S140*'Round 4 Points'!Y$2</f>
        <v>0</v>
      </c>
      <c r="T140" s="38">
        <f t="shared" si="4"/>
        <v>8.8000000000000007</v>
      </c>
      <c r="U140" s="37">
        <f>'Round 4 Data'!U140*'Round 4 Points'!$Z$2</f>
        <v>0</v>
      </c>
      <c r="V140" s="36">
        <f>IF('Round 4 Data'!D140='Round 4 Points'!$K$1,D140/80*$K$2,0)</f>
        <v>2.4</v>
      </c>
      <c r="W140">
        <f t="shared" si="5"/>
        <v>11.200000000000001</v>
      </c>
    </row>
    <row r="141" spans="1:23" x14ac:dyDescent="0.2">
      <c r="A141" s="36" t="s">
        <v>142</v>
      </c>
      <c r="B141" s="36" t="str" cm="1">
        <f t="array" ref="B141:C141">_xlfn.XLOOKUP(A141,'Player List'!$A$2:$A$177,'Player List'!$B$2:$C$177)</f>
        <v>Ireland</v>
      </c>
      <c r="C141" s="36" t="str">
        <v>Second Row</v>
      </c>
      <c r="D141" s="37">
        <v>80</v>
      </c>
      <c r="F141" s="37">
        <f>'Round 4 Data'!F141*'Round 4 Points'!L$2</f>
        <v>9</v>
      </c>
      <c r="G141" s="37">
        <f>'Round 4 Data'!G141*'Round 4 Points'!M$2</f>
        <v>14</v>
      </c>
      <c r="H141" s="37">
        <f>'Round 4 Data'!H141*'Round 4 Points'!N$2</f>
        <v>0</v>
      </c>
      <c r="I141" s="37">
        <f>'Round 4 Data'!I141*'Round 4 Points'!O$2</f>
        <v>18</v>
      </c>
      <c r="J141" s="37">
        <f>'Round 4 Data'!J141*'Round 4 Points'!P$2</f>
        <v>0</v>
      </c>
      <c r="K141" s="37">
        <f>'Round 4 Data'!K141*'Round 4 Points'!Q$2</f>
        <v>21</v>
      </c>
      <c r="L141" s="37">
        <f>'Round 4 Data'!L141*'Round 4 Points'!R$2</f>
        <v>0</v>
      </c>
      <c r="M141" s="37">
        <f>'Round 4 Data'!M141*'Round 4 Points'!S$2</f>
        <v>0</v>
      </c>
      <c r="N141" s="37">
        <f>'Round 4 Data'!N141*'Round 4 Points'!T$2</f>
        <v>0</v>
      </c>
      <c r="O141" s="37">
        <f>'Round 4 Data'!O141*'Round 4 Points'!U$2</f>
        <v>0</v>
      </c>
      <c r="P141" s="37">
        <f>'Round 4 Data'!P141*'Round 4 Points'!V$2</f>
        <v>0</v>
      </c>
      <c r="Q141" s="37">
        <f>'Round 4 Data'!Q141*'Round 4 Points'!W$2</f>
        <v>0</v>
      </c>
      <c r="R141" s="37">
        <f>'Round 4 Data'!R141*'Round 4 Points'!X$2</f>
        <v>0</v>
      </c>
      <c r="S141" s="37">
        <f>'Round 4 Data'!S141*'Round 4 Points'!Y$2</f>
        <v>0</v>
      </c>
      <c r="T141" s="38">
        <f t="shared" si="4"/>
        <v>62</v>
      </c>
      <c r="U141" s="37">
        <f>'Round 4 Data'!U141*'Round 4 Points'!$Z$2</f>
        <v>0</v>
      </c>
      <c r="V141" s="36">
        <f>IF('Round 4 Data'!D141='Round 4 Points'!$K$1,D141/80*$K$2,0)</f>
        <v>8</v>
      </c>
      <c r="W141">
        <f t="shared" si="5"/>
        <v>70</v>
      </c>
    </row>
    <row r="142" spans="1:23" x14ac:dyDescent="0.2">
      <c r="A142" s="36" t="s">
        <v>183</v>
      </c>
      <c r="B142" s="36" t="str" cm="1">
        <f t="array" ref="B142:C142">_xlfn.XLOOKUP(A142,'Player List'!$A$2:$A$177,'Player List'!$B$2:$C$177)</f>
        <v>Ireland</v>
      </c>
      <c r="C142" s="36" t="str">
        <v>Prop</v>
      </c>
      <c r="D142" s="37">
        <v>65</v>
      </c>
      <c r="F142" s="37">
        <f>'Round 4 Data'!F142*'Round 4 Points'!L$2</f>
        <v>11</v>
      </c>
      <c r="G142" s="37">
        <f>'Round 4 Data'!G142*'Round 4 Points'!M$2</f>
        <v>0</v>
      </c>
      <c r="H142" s="37">
        <f>'Round 4 Data'!H142*'Round 4 Points'!N$2</f>
        <v>0</v>
      </c>
      <c r="I142" s="37">
        <f>'Round 4 Data'!I142*'Round 4 Points'!O$2</f>
        <v>8.2000000000000011</v>
      </c>
      <c r="J142" s="37">
        <f>'Round 4 Data'!J142*'Round 4 Points'!P$2</f>
        <v>0</v>
      </c>
      <c r="K142" s="37">
        <f>'Round 4 Data'!K142*'Round 4 Points'!Q$2</f>
        <v>0</v>
      </c>
      <c r="L142" s="37">
        <f>'Round 4 Data'!L142*'Round 4 Points'!R$2</f>
        <v>0</v>
      </c>
      <c r="M142" s="37">
        <f>'Round 4 Data'!M142*'Round 4 Points'!S$2</f>
        <v>0</v>
      </c>
      <c r="N142" s="37">
        <f>'Round 4 Data'!N142*'Round 4 Points'!T$2</f>
        <v>0</v>
      </c>
      <c r="O142" s="37">
        <f>'Round 4 Data'!O142*'Round 4 Points'!U$2</f>
        <v>0</v>
      </c>
      <c r="P142" s="37">
        <f>'Round 4 Data'!P142*'Round 4 Points'!V$2</f>
        <v>0</v>
      </c>
      <c r="Q142" s="37">
        <f>'Round 4 Data'!Q142*'Round 4 Points'!W$2</f>
        <v>0</v>
      </c>
      <c r="R142" s="37">
        <f>'Round 4 Data'!R142*'Round 4 Points'!X$2</f>
        <v>0</v>
      </c>
      <c r="S142" s="37">
        <f>'Round 4 Data'!S142*'Round 4 Points'!Y$2</f>
        <v>0</v>
      </c>
      <c r="T142" s="38">
        <f t="shared" si="4"/>
        <v>19.200000000000003</v>
      </c>
      <c r="U142" s="37">
        <f>'Round 4 Data'!U142*'Round 4 Points'!$Z$2</f>
        <v>0</v>
      </c>
      <c r="V142" s="36">
        <f>IF('Round 4 Data'!D142='Round 4 Points'!$K$1,D142/80*$K$2,0)</f>
        <v>6.5</v>
      </c>
      <c r="W142">
        <f t="shared" si="5"/>
        <v>25.700000000000003</v>
      </c>
    </row>
    <row r="143" spans="1:23" x14ac:dyDescent="0.2">
      <c r="A143" s="36" t="s">
        <v>184</v>
      </c>
      <c r="B143" s="36" t="str" cm="1">
        <f t="array" ref="B143:C143">_xlfn.XLOOKUP(A143,'Player List'!$A$2:$A$177,'Player List'!$B$2:$C$177)</f>
        <v>Ireland</v>
      </c>
      <c r="C143" s="36" t="str">
        <v>Prop</v>
      </c>
      <c r="D143" s="37">
        <v>32</v>
      </c>
      <c r="F143" s="37">
        <f>'Round 4 Data'!F143*'Round 4 Points'!L$2</f>
        <v>1</v>
      </c>
      <c r="G143" s="37">
        <f>'Round 4 Data'!G143*'Round 4 Points'!M$2</f>
        <v>0</v>
      </c>
      <c r="H143" s="37">
        <f>'Round 4 Data'!H143*'Round 4 Points'!N$2</f>
        <v>0</v>
      </c>
      <c r="I143" s="37">
        <f>'Round 4 Data'!I143*'Round 4 Points'!O$2</f>
        <v>3</v>
      </c>
      <c r="J143" s="37">
        <f>'Round 4 Data'!J143*'Round 4 Points'!P$2</f>
        <v>0</v>
      </c>
      <c r="K143" s="37">
        <f>'Round 4 Data'!K143*'Round 4 Points'!Q$2</f>
        <v>0</v>
      </c>
      <c r="L143" s="37">
        <f>'Round 4 Data'!L143*'Round 4 Points'!R$2</f>
        <v>0</v>
      </c>
      <c r="M143" s="37">
        <f>'Round 4 Data'!M143*'Round 4 Points'!S$2</f>
        <v>0</v>
      </c>
      <c r="N143" s="37">
        <f>'Round 4 Data'!N143*'Round 4 Points'!T$2</f>
        <v>0</v>
      </c>
      <c r="O143" s="37">
        <f>'Round 4 Data'!O143*'Round 4 Points'!U$2</f>
        <v>0</v>
      </c>
      <c r="P143" s="37">
        <f>'Round 4 Data'!P143*'Round 4 Points'!V$2</f>
        <v>0</v>
      </c>
      <c r="Q143" s="37">
        <f>'Round 4 Data'!Q143*'Round 4 Points'!W$2</f>
        <v>0</v>
      </c>
      <c r="R143" s="37">
        <f>'Round 4 Data'!R143*'Round 4 Points'!X$2</f>
        <v>0</v>
      </c>
      <c r="S143" s="37">
        <f>'Round 4 Data'!S143*'Round 4 Points'!Y$2</f>
        <v>0</v>
      </c>
      <c r="T143" s="38">
        <f t="shared" si="4"/>
        <v>4</v>
      </c>
      <c r="U143" s="37">
        <f>'Round 4 Data'!U143*'Round 4 Points'!$Z$2</f>
        <v>0</v>
      </c>
      <c r="V143" s="36">
        <f>IF('Round 4 Data'!D143='Round 4 Points'!$K$1,D143/80*$K$2,0)</f>
        <v>3.2</v>
      </c>
      <c r="W143">
        <f t="shared" si="5"/>
        <v>7.2</v>
      </c>
    </row>
    <row r="144" spans="1:23" x14ac:dyDescent="0.2">
      <c r="A144" s="36" t="s">
        <v>145</v>
      </c>
      <c r="B144" s="36" t="str" cm="1">
        <f t="array" ref="B144:C144">_xlfn.XLOOKUP(A144,'Player List'!$A$2:$A$177,'Player List'!$B$2:$C$177)</f>
        <v>Ireland</v>
      </c>
      <c r="C144" s="36" t="str">
        <v>Prop</v>
      </c>
      <c r="D144" s="37">
        <v>15</v>
      </c>
      <c r="F144" s="37">
        <f>'Round 4 Data'!F144*'Round 4 Points'!L$2</f>
        <v>1</v>
      </c>
      <c r="G144" s="37">
        <f>'Round 4 Data'!G144*'Round 4 Points'!M$2</f>
        <v>0</v>
      </c>
      <c r="H144" s="37">
        <f>'Round 4 Data'!H144*'Round 4 Points'!N$2</f>
        <v>0</v>
      </c>
      <c r="I144" s="37">
        <f>'Round 4 Data'!I144*'Round 4 Points'!O$2</f>
        <v>0</v>
      </c>
      <c r="J144" s="37">
        <f>'Round 4 Data'!J144*'Round 4 Points'!P$2</f>
        <v>0</v>
      </c>
      <c r="K144" s="37">
        <f>'Round 4 Data'!K144*'Round 4 Points'!Q$2</f>
        <v>0</v>
      </c>
      <c r="L144" s="37">
        <f>'Round 4 Data'!L144*'Round 4 Points'!R$2</f>
        <v>0</v>
      </c>
      <c r="M144" s="37">
        <f>'Round 4 Data'!M144*'Round 4 Points'!S$2</f>
        <v>0</v>
      </c>
      <c r="N144" s="37">
        <f>'Round 4 Data'!N144*'Round 4 Points'!T$2</f>
        <v>0</v>
      </c>
      <c r="O144" s="37">
        <f>'Round 4 Data'!O144*'Round 4 Points'!U$2</f>
        <v>0</v>
      </c>
      <c r="P144" s="37">
        <f>'Round 4 Data'!P144*'Round 4 Points'!V$2</f>
        <v>0</v>
      </c>
      <c r="Q144" s="37">
        <f>'Round 4 Data'!Q144*'Round 4 Points'!W$2</f>
        <v>0</v>
      </c>
      <c r="R144" s="37">
        <f>'Round 4 Data'!R144*'Round 4 Points'!X$2</f>
        <v>0</v>
      </c>
      <c r="S144" s="37">
        <f>'Round 4 Data'!S144*'Round 4 Points'!Y$2</f>
        <v>0</v>
      </c>
      <c r="T144" s="38">
        <f t="shared" si="4"/>
        <v>1</v>
      </c>
      <c r="U144" s="37">
        <f>'Round 4 Data'!U144*'Round 4 Points'!$Z$2</f>
        <v>0</v>
      </c>
      <c r="V144" s="36">
        <f>IF('Round 4 Data'!D144='Round 4 Points'!$K$1,D144/80*$K$2,0)</f>
        <v>1.5</v>
      </c>
      <c r="W144">
        <f t="shared" si="5"/>
        <v>2.5</v>
      </c>
    </row>
    <row r="145" spans="1:23" x14ac:dyDescent="0.2">
      <c r="A145" s="36" t="s">
        <v>146</v>
      </c>
      <c r="B145" s="36" t="str" cm="1">
        <f t="array" ref="B145:C145">_xlfn.XLOOKUP(A145,'Player List'!$A$2:$A$177,'Player List'!$B$2:$C$177)</f>
        <v>Ireland</v>
      </c>
      <c r="C145" s="36" t="str">
        <v>Prop</v>
      </c>
      <c r="D145" s="37">
        <v>80</v>
      </c>
      <c r="F145" s="37">
        <f>'Round 4 Data'!F145*'Round 4 Points'!L$2</f>
        <v>10</v>
      </c>
      <c r="G145" s="37">
        <f>'Round 4 Data'!G145*'Round 4 Points'!M$2</f>
        <v>0</v>
      </c>
      <c r="H145" s="37">
        <f>'Round 4 Data'!H145*'Round 4 Points'!N$2</f>
        <v>0</v>
      </c>
      <c r="I145" s="37">
        <f>'Round 4 Data'!I145*'Round 4 Points'!O$2</f>
        <v>4.8000000000000007</v>
      </c>
      <c r="J145" s="37">
        <f>'Round 4 Data'!J145*'Round 4 Points'!P$2</f>
        <v>0</v>
      </c>
      <c r="K145" s="37">
        <f>'Round 4 Data'!K145*'Round 4 Points'!Q$2</f>
        <v>0</v>
      </c>
      <c r="L145" s="37">
        <f>'Round 4 Data'!L145*'Round 4 Points'!R$2</f>
        <v>0</v>
      </c>
      <c r="M145" s="37">
        <f>'Round 4 Data'!M145*'Round 4 Points'!S$2</f>
        <v>0</v>
      </c>
      <c r="N145" s="37">
        <f>'Round 4 Data'!N145*'Round 4 Points'!T$2</f>
        <v>0</v>
      </c>
      <c r="O145" s="37">
        <f>'Round 4 Data'!O145*'Round 4 Points'!U$2</f>
        <v>0</v>
      </c>
      <c r="P145" s="37">
        <f>'Round 4 Data'!P145*'Round 4 Points'!V$2</f>
        <v>0</v>
      </c>
      <c r="Q145" s="37">
        <f>'Round 4 Data'!Q145*'Round 4 Points'!W$2</f>
        <v>0</v>
      </c>
      <c r="R145" s="37">
        <f>'Round 4 Data'!R145*'Round 4 Points'!X$2</f>
        <v>0</v>
      </c>
      <c r="S145" s="37">
        <f>'Round 4 Data'!S145*'Round 4 Points'!Y$2</f>
        <v>0</v>
      </c>
      <c r="T145" s="38">
        <f t="shared" si="4"/>
        <v>14.8</v>
      </c>
      <c r="U145" s="37">
        <f>'Round 4 Data'!U145*'Round 4 Points'!$Z$2</f>
        <v>0</v>
      </c>
      <c r="V145" s="36">
        <f>IF('Round 4 Data'!D145='Round 4 Points'!$K$1,D145/80*$K$2,0)</f>
        <v>8</v>
      </c>
      <c r="W145">
        <f t="shared" si="5"/>
        <v>22.8</v>
      </c>
    </row>
    <row r="146" spans="1:23" x14ac:dyDescent="0.2">
      <c r="A146" s="36" t="s">
        <v>148</v>
      </c>
      <c r="B146" s="36" t="str" cm="1">
        <f t="array" ref="B146:C146">_xlfn.XLOOKUP(A146,'Player List'!$A$2:$A$177,'Player List'!$B$2:$C$177)</f>
        <v>Ireland</v>
      </c>
      <c r="C146" s="36" t="str">
        <v>Hooker</v>
      </c>
      <c r="D146" s="37">
        <v>30</v>
      </c>
      <c r="F146" s="37">
        <f>'Round 4 Data'!F146*'Round 4 Points'!L$2</f>
        <v>2</v>
      </c>
      <c r="G146" s="37">
        <f>'Round 4 Data'!G146*'Round 4 Points'!M$2</f>
        <v>0</v>
      </c>
      <c r="H146" s="37">
        <f>'Round 4 Data'!H146*'Round 4 Points'!N$2</f>
        <v>0</v>
      </c>
      <c r="I146" s="37">
        <f>'Round 4 Data'!I146*'Round 4 Points'!O$2</f>
        <v>4.6000000000000005</v>
      </c>
      <c r="J146" s="37">
        <f>'Round 4 Data'!J146*'Round 4 Points'!P$2</f>
        <v>0</v>
      </c>
      <c r="K146" s="37">
        <f>'Round 4 Data'!K146*'Round 4 Points'!Q$2</f>
        <v>0</v>
      </c>
      <c r="L146" s="37">
        <f>'Round 4 Data'!L146*'Round 4 Points'!R$2</f>
        <v>0</v>
      </c>
      <c r="M146" s="37">
        <f>'Round 4 Data'!M146*'Round 4 Points'!S$2</f>
        <v>0</v>
      </c>
      <c r="N146" s="37">
        <f>'Round 4 Data'!N146*'Round 4 Points'!T$2</f>
        <v>0</v>
      </c>
      <c r="O146" s="37">
        <f>'Round 4 Data'!O146*'Round 4 Points'!U$2</f>
        <v>0</v>
      </c>
      <c r="P146" s="37">
        <f>'Round 4 Data'!P146*'Round 4 Points'!V$2</f>
        <v>0</v>
      </c>
      <c r="Q146" s="37">
        <f>'Round 4 Data'!Q146*'Round 4 Points'!W$2</f>
        <v>0</v>
      </c>
      <c r="R146" s="37">
        <f>'Round 4 Data'!R146*'Round 4 Points'!X$2</f>
        <v>0</v>
      </c>
      <c r="S146" s="37">
        <f>'Round 4 Data'!S146*'Round 4 Points'!Y$2</f>
        <v>0</v>
      </c>
      <c r="T146" s="38">
        <f t="shared" si="4"/>
        <v>6.6000000000000005</v>
      </c>
      <c r="U146" s="37">
        <f>'Round 4 Data'!U146*'Round 4 Points'!$Z$2</f>
        <v>0</v>
      </c>
      <c r="V146" s="36">
        <f>IF('Round 4 Data'!D146='Round 4 Points'!$K$1,D146/80*$K$2,0)</f>
        <v>3</v>
      </c>
      <c r="W146">
        <f t="shared" si="5"/>
        <v>9.6000000000000014</v>
      </c>
    </row>
    <row r="147" spans="1:23" x14ac:dyDescent="0.2">
      <c r="A147" s="36" t="s">
        <v>152</v>
      </c>
      <c r="B147" s="36" t="str" cm="1">
        <f t="array" ref="B147:C147">_xlfn.XLOOKUP(A147,'Player List'!$A$2:$A$177,'Player List'!$B$2:$C$177)</f>
        <v>Ireland</v>
      </c>
      <c r="C147" s="36" t="str">
        <v>Hooker</v>
      </c>
      <c r="D147" s="37">
        <v>18</v>
      </c>
      <c r="F147" s="37">
        <f>'Round 4 Data'!F147*'Round 4 Points'!L$2</f>
        <v>4</v>
      </c>
      <c r="G147" s="37">
        <f>'Round 4 Data'!G147*'Round 4 Points'!M$2</f>
        <v>0</v>
      </c>
      <c r="H147" s="37">
        <f>'Round 4 Data'!H147*'Round 4 Points'!N$2</f>
        <v>0</v>
      </c>
      <c r="I147" s="37">
        <f>'Round 4 Data'!I147*'Round 4 Points'!O$2</f>
        <v>0</v>
      </c>
      <c r="J147" s="37">
        <f>'Round 4 Data'!J147*'Round 4 Points'!P$2</f>
        <v>0</v>
      </c>
      <c r="K147" s="37">
        <f>'Round 4 Data'!K147*'Round 4 Points'!Q$2</f>
        <v>0</v>
      </c>
      <c r="L147" s="37">
        <f>'Round 4 Data'!L147*'Round 4 Points'!R$2</f>
        <v>0</v>
      </c>
      <c r="M147" s="37">
        <f>'Round 4 Data'!M147*'Round 4 Points'!S$2</f>
        <v>0</v>
      </c>
      <c r="N147" s="37">
        <f>'Round 4 Data'!N147*'Round 4 Points'!T$2</f>
        <v>0</v>
      </c>
      <c r="O147" s="37">
        <f>'Round 4 Data'!O147*'Round 4 Points'!U$2</f>
        <v>0</v>
      </c>
      <c r="P147" s="37">
        <f>'Round 4 Data'!P147*'Round 4 Points'!V$2</f>
        <v>0</v>
      </c>
      <c r="Q147" s="37">
        <f>'Round 4 Data'!Q147*'Round 4 Points'!W$2</f>
        <v>0</v>
      </c>
      <c r="R147" s="37">
        <f>'Round 4 Data'!R147*'Round 4 Points'!X$2</f>
        <v>0</v>
      </c>
      <c r="S147" s="37">
        <f>'Round 4 Data'!S147*'Round 4 Points'!Y$2</f>
        <v>0</v>
      </c>
      <c r="T147" s="38">
        <f t="shared" si="4"/>
        <v>4</v>
      </c>
      <c r="U147" s="37">
        <f>'Round 4 Data'!U147*'Round 4 Points'!$Z$2</f>
        <v>0</v>
      </c>
      <c r="V147" s="36">
        <f>IF('Round 4 Data'!D147='Round 4 Points'!$K$1,D147/80*$K$2,0)</f>
        <v>1.8</v>
      </c>
      <c r="W147">
        <f t="shared" si="5"/>
        <v>5.8</v>
      </c>
    </row>
  </sheetData>
  <autoFilter ref="A9:W147" xr:uid="{7F1DF2EA-540B-4BE1-8F72-DA076B98DBC3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05F-F4AF-413A-80DE-840C89502FB6}">
  <sheetPr>
    <tabColor theme="9" tint="0.79998168889431442"/>
  </sheetPr>
  <dimension ref="A1:X182"/>
  <sheetViews>
    <sheetView workbookViewId="0">
      <selection activeCell="U7" sqref="U7"/>
    </sheetView>
  </sheetViews>
  <sheetFormatPr baseColWidth="10" defaultColWidth="8.83203125" defaultRowHeight="15" x14ac:dyDescent="0.2"/>
  <cols>
    <col min="1" max="1" width="12.83203125" customWidth="1"/>
    <col min="3" max="3" width="11.1640625" customWidth="1"/>
    <col min="4" max="4" width="13.5" customWidth="1"/>
    <col min="23" max="23" width="13.1640625" customWidth="1"/>
  </cols>
  <sheetData>
    <row r="1" spans="1:24" ht="16" thickBot="1" x14ac:dyDescent="0.25"/>
    <row r="2" spans="1:24" ht="30" x14ac:dyDescent="0.2">
      <c r="A2" s="43"/>
      <c r="B2" s="44" t="s">
        <v>204</v>
      </c>
      <c r="C2" s="45" t="s">
        <v>207</v>
      </c>
      <c r="D2" s="45" t="s">
        <v>1</v>
      </c>
      <c r="E2" s="45" t="s">
        <v>2</v>
      </c>
      <c r="F2" s="45" t="s">
        <v>208</v>
      </c>
      <c r="G2" s="45" t="s">
        <v>3</v>
      </c>
      <c r="H2" s="45" t="s">
        <v>4</v>
      </c>
      <c r="I2" s="45" t="s">
        <v>5</v>
      </c>
      <c r="J2" s="45" t="s">
        <v>6</v>
      </c>
      <c r="K2" s="45" t="s">
        <v>209</v>
      </c>
      <c r="L2" s="45" t="s">
        <v>7</v>
      </c>
      <c r="M2" s="45" t="s">
        <v>8</v>
      </c>
      <c r="N2" s="45" t="s">
        <v>9</v>
      </c>
      <c r="O2" s="45" t="s">
        <v>10</v>
      </c>
      <c r="P2" s="45" t="s">
        <v>11</v>
      </c>
      <c r="Q2" s="46" t="s">
        <v>215</v>
      </c>
    </row>
    <row r="3" spans="1:24" ht="16" thickBot="1" x14ac:dyDescent="0.25">
      <c r="A3" s="47" t="s">
        <v>214</v>
      </c>
      <c r="B3" s="48">
        <v>8</v>
      </c>
      <c r="C3" s="48">
        <v>1</v>
      </c>
      <c r="D3" s="48">
        <v>7</v>
      </c>
      <c r="E3" s="48">
        <v>7</v>
      </c>
      <c r="F3" s="48">
        <v>0.2</v>
      </c>
      <c r="G3" s="48">
        <v>10</v>
      </c>
      <c r="H3" s="48">
        <v>7</v>
      </c>
      <c r="I3" s="48">
        <v>7</v>
      </c>
      <c r="J3" s="48">
        <v>15</v>
      </c>
      <c r="K3" s="48">
        <v>7</v>
      </c>
      <c r="L3" s="48">
        <v>2</v>
      </c>
      <c r="M3" s="48">
        <v>5</v>
      </c>
      <c r="N3" s="48">
        <v>7</v>
      </c>
      <c r="O3" s="48">
        <v>-5</v>
      </c>
      <c r="P3" s="48">
        <v>-10</v>
      </c>
      <c r="Q3" s="49">
        <v>15</v>
      </c>
    </row>
    <row r="4" spans="1:24" ht="16" thickBot="1" x14ac:dyDescent="0.25"/>
    <row r="5" spans="1:24" ht="16" thickBot="1" x14ac:dyDescent="0.25">
      <c r="E5" s="98" t="s">
        <v>219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100"/>
    </row>
    <row r="6" spans="1:24" ht="33" thickBot="1" x14ac:dyDescent="0.25">
      <c r="A6" s="39" t="s">
        <v>0</v>
      </c>
      <c r="B6" s="40" t="s">
        <v>203</v>
      </c>
      <c r="C6" s="40" t="s">
        <v>202</v>
      </c>
      <c r="D6" s="59" t="s">
        <v>217</v>
      </c>
      <c r="E6" s="58" t="s">
        <v>205</v>
      </c>
      <c r="F6" s="41" t="s">
        <v>207</v>
      </c>
      <c r="G6" s="41" t="s">
        <v>1</v>
      </c>
      <c r="H6" s="41" t="s">
        <v>2</v>
      </c>
      <c r="I6" s="41" t="s">
        <v>208</v>
      </c>
      <c r="J6" s="41" t="s">
        <v>3</v>
      </c>
      <c r="K6" s="41" t="s">
        <v>4</v>
      </c>
      <c r="L6" s="41" t="s">
        <v>5</v>
      </c>
      <c r="M6" s="41" t="s">
        <v>6</v>
      </c>
      <c r="N6" s="41" t="s">
        <v>209</v>
      </c>
      <c r="O6" s="41" t="s">
        <v>7</v>
      </c>
      <c r="P6" s="41" t="s">
        <v>8</v>
      </c>
      <c r="Q6" s="41" t="s">
        <v>9</v>
      </c>
      <c r="R6" s="41" t="s">
        <v>10</v>
      </c>
      <c r="S6" s="41" t="s">
        <v>11</v>
      </c>
      <c r="T6" s="42" t="s">
        <v>211</v>
      </c>
      <c r="U6" s="71" t="s">
        <v>215</v>
      </c>
      <c r="V6" s="41" t="s">
        <v>216</v>
      </c>
      <c r="W6" s="42" t="s">
        <v>220</v>
      </c>
      <c r="X6" s="35"/>
    </row>
    <row r="7" spans="1:24" ht="16" thickBot="1" x14ac:dyDescent="0.25">
      <c r="A7" s="61" t="s">
        <v>57</v>
      </c>
      <c r="B7" t="s">
        <v>188</v>
      </c>
      <c r="C7" t="s">
        <v>194</v>
      </c>
      <c r="D7" t="e">
        <f>'Summary Data'!D4</f>
        <v>#VALUE!</v>
      </c>
      <c r="E7" s="57" t="e">
        <f>'Summary Data'!E4</f>
        <v>#VALUE!</v>
      </c>
      <c r="F7" s="57" t="e">
        <f>'Summary Data'!F4*C$3</f>
        <v>#VALUE!</v>
      </c>
      <c r="G7" s="57" t="e">
        <f>'Summary Data'!G4*D$3</f>
        <v>#VALUE!</v>
      </c>
      <c r="H7" s="57" t="e">
        <f>'Summary Data'!H4*E$3</f>
        <v>#VALUE!</v>
      </c>
      <c r="I7" s="57" t="e">
        <f>'Summary Data'!I4*F$3</f>
        <v>#VALUE!</v>
      </c>
      <c r="J7" s="57" t="e">
        <f>'Summary Data'!J4*G$3</f>
        <v>#VALUE!</v>
      </c>
      <c r="K7" s="57" t="e">
        <f>'Summary Data'!K4*H$3</f>
        <v>#VALUE!</v>
      </c>
      <c r="L7" s="57" t="e">
        <f>'Summary Data'!L4*I$3</f>
        <v>#VALUE!</v>
      </c>
      <c r="M7" s="57" t="e">
        <f>'Summary Data'!M4*J$3</f>
        <v>#VALUE!</v>
      </c>
      <c r="N7" s="57" t="e">
        <f>'Summary Data'!N4*K$3</f>
        <v>#VALUE!</v>
      </c>
      <c r="O7" s="57" t="e">
        <f>'Summary Data'!O4*L$3</f>
        <v>#VALUE!</v>
      </c>
      <c r="P7" s="57" t="e">
        <f>'Summary Data'!P4*M$3</f>
        <v>#VALUE!</v>
      </c>
      <c r="Q7" s="57" t="e">
        <f>'Summary Data'!Q4*N$3</f>
        <v>#VALUE!</v>
      </c>
      <c r="R7" s="57" t="e">
        <f>'Summary Data'!R4*O$3</f>
        <v>#VALUE!</v>
      </c>
      <c r="S7" s="57" t="e">
        <f>'Summary Data'!S4*P$3</f>
        <v>#VALUE!</v>
      </c>
      <c r="T7" s="57" t="e">
        <f>(_xlfn.XLOOKUP(A7,'Round 1 Points'!$A$10:$A$144,'Round 1 Points'!$T$10:$T$144,0)+_xlfn.XLOOKUP(A7,'Round 2 Points'!$A$10:$A$146,'Round 2 Points'!$T$10:$T$146,0)+_xlfn.XLOOKUP(A7,'Round 3 Points'!$A$10:$A$145,'Round 3 Points'!$T$10:$T$145,0)+_xlfn.XLOOKUP(A7,'Round 4 Points'!$A$10:$A$147,'Round 4 Points'!$T$10:$T$147,0))/D7</f>
        <v>#VALUE!</v>
      </c>
      <c r="U7" s="57" t="e">
        <f>'Summary Data'!T4*Q$3</f>
        <v>#VALUE!</v>
      </c>
      <c r="V7" s="57">
        <f>(_xlfn.XLOOKUP(A7,'Round 1 Points'!$A$10:$A$144,'Round 1 Points'!$V$10:$V$144,0)+_xlfn.XLOOKUP(A7,'Round 2 Points'!$A$10:$A$146,'Round 2 Points'!$V$10:$V$146,0)+_xlfn.XLOOKUP(A7,'Round 3 Points'!$A$10:$A$145,'Round 3 Points'!$V$10:$V$145,0)+_xlfn.XLOOKUP(A7,'Round 4 Points'!$A$10:$A$147,'Round 4 Points'!$V$10:$V$147,0))</f>
        <v>5.0999999999999996</v>
      </c>
      <c r="W7" s="72" t="e">
        <f>T7+U7/D7+V7/D7</f>
        <v>#VALUE!</v>
      </c>
      <c r="X7" s="57"/>
    </row>
    <row r="8" spans="1:24" ht="16" thickBot="1" x14ac:dyDescent="0.25">
      <c r="A8" s="63" t="s">
        <v>58</v>
      </c>
      <c r="B8" t="s">
        <v>188</v>
      </c>
      <c r="C8" t="s">
        <v>194</v>
      </c>
      <c r="D8" t="e">
        <f>'Summary Data'!D5</f>
        <v>#VALUE!</v>
      </c>
      <c r="E8" s="57" t="e">
        <f>'Summary Data'!E5</f>
        <v>#VALUE!</v>
      </c>
      <c r="F8" s="57" t="e">
        <f>'Summary Data'!F5*C$3</f>
        <v>#VALUE!</v>
      </c>
      <c r="G8" s="57" t="e">
        <f>'Summary Data'!G5*D$3</f>
        <v>#VALUE!</v>
      </c>
      <c r="H8" s="57" t="e">
        <f>'Summary Data'!H5*E$3</f>
        <v>#VALUE!</v>
      </c>
      <c r="I8" s="57" t="e">
        <f>'Summary Data'!I5*F$3</f>
        <v>#VALUE!</v>
      </c>
      <c r="J8" s="57" t="e">
        <f>'Summary Data'!J5*G$3</f>
        <v>#VALUE!</v>
      </c>
      <c r="K8" s="57" t="e">
        <f>'Summary Data'!K5*H$3</f>
        <v>#VALUE!</v>
      </c>
      <c r="L8" s="57" t="e">
        <f>'Summary Data'!L5*I$3</f>
        <v>#VALUE!</v>
      </c>
      <c r="M8" s="57" t="e">
        <f>'Summary Data'!M5*J$3</f>
        <v>#VALUE!</v>
      </c>
      <c r="N8" s="57" t="e">
        <f>'Summary Data'!N5*K$3</f>
        <v>#VALUE!</v>
      </c>
      <c r="O8" s="57" t="e">
        <f>'Summary Data'!O5*L$3</f>
        <v>#VALUE!</v>
      </c>
      <c r="P8" s="57" t="e">
        <f>'Summary Data'!P5*M$3</f>
        <v>#VALUE!</v>
      </c>
      <c r="Q8" s="57" t="e">
        <f>'Summary Data'!Q5*N$3</f>
        <v>#VALUE!</v>
      </c>
      <c r="R8" s="57" t="e">
        <f>'Summary Data'!R5*O$3</f>
        <v>#VALUE!</v>
      </c>
      <c r="S8" s="57" t="e">
        <f>'Summary Data'!S5*P$3</f>
        <v>#VALUE!</v>
      </c>
      <c r="T8" s="57" t="e">
        <f>(_xlfn.XLOOKUP(A8,'Round 1 Points'!$A$10:$A$144,'Round 1 Points'!$T$10:$T$144,0)+_xlfn.XLOOKUP(A8,'Round 2 Points'!$A$10:$A$146,'Round 2 Points'!$T$10:$T$146,0)+_xlfn.XLOOKUP(A8,'Round 3 Points'!$A$10:$A$145,'Round 3 Points'!$T$10:$T$145,0)+_xlfn.XLOOKUP(A8,'Round 4 Points'!$A$10:$A$147,'Round 4 Points'!$T$10:$T$147,0))/D8</f>
        <v>#VALUE!</v>
      </c>
      <c r="U8" s="57" t="e">
        <f>'Summary Data'!T5*Q$3</f>
        <v>#VALUE!</v>
      </c>
      <c r="V8" s="57">
        <f>(_xlfn.XLOOKUP(A8,'Round 1 Points'!$A$10:$A$144,'Round 1 Points'!$V$10:$V$144,0)+_xlfn.XLOOKUP(A8,'Round 2 Points'!$A$10:$A$146,'Round 2 Points'!$V$10:$V$146,0)+_xlfn.XLOOKUP(A8,'Round 3 Points'!$A$10:$A$145,'Round 3 Points'!$V$10:$V$145,0)+_xlfn.XLOOKUP(A8,'Round 4 Points'!$A$10:$A$147,'Round 4 Points'!$V$10:$V$147,0))</f>
        <v>0</v>
      </c>
      <c r="W8" s="72" t="e">
        <f t="shared" ref="W8:W71" si="0">T8+U8/D8+V8/D8</f>
        <v>#VALUE!</v>
      </c>
    </row>
    <row r="9" spans="1:24" ht="16" thickBot="1" x14ac:dyDescent="0.25">
      <c r="A9" s="61" t="s">
        <v>59</v>
      </c>
      <c r="B9" t="s">
        <v>188</v>
      </c>
      <c r="C9" t="s">
        <v>194</v>
      </c>
      <c r="D9" t="e">
        <f>'Summary Data'!D6</f>
        <v>#VALUE!</v>
      </c>
      <c r="E9" s="57" t="e">
        <f>'Summary Data'!E6</f>
        <v>#VALUE!</v>
      </c>
      <c r="F9" s="57" t="e">
        <f>'Summary Data'!F6*C$3</f>
        <v>#VALUE!</v>
      </c>
      <c r="G9" s="57" t="e">
        <f>'Summary Data'!G6*D$3</f>
        <v>#VALUE!</v>
      </c>
      <c r="H9" s="57" t="e">
        <f>'Summary Data'!H6*E$3</f>
        <v>#VALUE!</v>
      </c>
      <c r="I9" s="57" t="e">
        <f>'Summary Data'!I6*F$3</f>
        <v>#VALUE!</v>
      </c>
      <c r="J9" s="57" t="e">
        <f>'Summary Data'!J6*G$3</f>
        <v>#VALUE!</v>
      </c>
      <c r="K9" s="57" t="e">
        <f>'Summary Data'!K6*H$3</f>
        <v>#VALUE!</v>
      </c>
      <c r="L9" s="57" t="e">
        <f>'Summary Data'!L6*I$3</f>
        <v>#VALUE!</v>
      </c>
      <c r="M9" s="57" t="e">
        <f>'Summary Data'!M6*J$3</f>
        <v>#VALUE!</v>
      </c>
      <c r="N9" s="57" t="e">
        <f>'Summary Data'!N6*K$3</f>
        <v>#VALUE!</v>
      </c>
      <c r="O9" s="57" t="e">
        <f>'Summary Data'!O6*L$3</f>
        <v>#VALUE!</v>
      </c>
      <c r="P9" s="57" t="e">
        <f>'Summary Data'!P6*M$3</f>
        <v>#VALUE!</v>
      </c>
      <c r="Q9" s="57" t="e">
        <f>'Summary Data'!Q6*N$3</f>
        <v>#VALUE!</v>
      </c>
      <c r="R9" s="57" t="e">
        <f>'Summary Data'!R6*O$3</f>
        <v>#VALUE!</v>
      </c>
      <c r="S9" s="57" t="e">
        <f>'Summary Data'!S6*P$3</f>
        <v>#VALUE!</v>
      </c>
      <c r="T9" s="57" t="e">
        <f>(_xlfn.XLOOKUP(A9,'Round 1 Points'!$A$10:$A$144,'Round 1 Points'!$T$10:$T$144,0)+_xlfn.XLOOKUP(A9,'Round 2 Points'!$A$10:$A$146,'Round 2 Points'!$T$10:$T$146,0)+_xlfn.XLOOKUP(A9,'Round 3 Points'!$A$10:$A$145,'Round 3 Points'!$T$10:$T$145,0)+_xlfn.XLOOKUP(A9,'Round 4 Points'!$A$10:$A$147,'Round 4 Points'!$T$10:$T$147,0))/D9</f>
        <v>#VALUE!</v>
      </c>
      <c r="U9" s="57" t="e">
        <f>'Summary Data'!T6*Q$3</f>
        <v>#VALUE!</v>
      </c>
      <c r="V9" s="57">
        <f>(_xlfn.XLOOKUP(A9,'Round 1 Points'!$A$10:$A$144,'Round 1 Points'!$V$10:$V$144,0)+_xlfn.XLOOKUP(A9,'Round 2 Points'!$A$10:$A$146,'Round 2 Points'!$V$10:$V$146,0)+_xlfn.XLOOKUP(A9,'Round 3 Points'!$A$10:$A$145,'Round 3 Points'!$V$10:$V$145,0)+_xlfn.XLOOKUP(A9,'Round 4 Points'!$A$10:$A$147,'Round 4 Points'!$V$10:$V$147,0))</f>
        <v>8</v>
      </c>
      <c r="W9" s="72" t="e">
        <f t="shared" si="0"/>
        <v>#VALUE!</v>
      </c>
    </row>
    <row r="10" spans="1:24" ht="16" thickBot="1" x14ac:dyDescent="0.25">
      <c r="A10" s="63" t="s">
        <v>60</v>
      </c>
      <c r="B10" t="s">
        <v>188</v>
      </c>
      <c r="C10" t="s">
        <v>194</v>
      </c>
      <c r="D10" t="e">
        <f>'Summary Data'!D7</f>
        <v>#VALUE!</v>
      </c>
      <c r="E10" s="57" t="e">
        <f>'Summary Data'!E7</f>
        <v>#VALUE!</v>
      </c>
      <c r="F10" s="57" t="e">
        <f>'Summary Data'!F7*C$3</f>
        <v>#VALUE!</v>
      </c>
      <c r="G10" s="57" t="e">
        <f>'Summary Data'!G7*D$3</f>
        <v>#VALUE!</v>
      </c>
      <c r="H10" s="57" t="e">
        <f>'Summary Data'!H7*E$3</f>
        <v>#VALUE!</v>
      </c>
      <c r="I10" s="57" t="e">
        <f>'Summary Data'!I7*F$3</f>
        <v>#VALUE!</v>
      </c>
      <c r="J10" s="57" t="e">
        <f>'Summary Data'!J7*G$3</f>
        <v>#VALUE!</v>
      </c>
      <c r="K10" s="57" t="e">
        <f>'Summary Data'!K7*H$3</f>
        <v>#VALUE!</v>
      </c>
      <c r="L10" s="57" t="e">
        <f>'Summary Data'!L7*I$3</f>
        <v>#VALUE!</v>
      </c>
      <c r="M10" s="57" t="e">
        <f>'Summary Data'!M7*J$3</f>
        <v>#VALUE!</v>
      </c>
      <c r="N10" s="57" t="e">
        <f>'Summary Data'!N7*K$3</f>
        <v>#VALUE!</v>
      </c>
      <c r="O10" s="57" t="e">
        <f>'Summary Data'!O7*L$3</f>
        <v>#VALUE!</v>
      </c>
      <c r="P10" s="57" t="e">
        <f>'Summary Data'!P7*M$3</f>
        <v>#VALUE!</v>
      </c>
      <c r="Q10" s="57" t="e">
        <f>'Summary Data'!Q7*N$3</f>
        <v>#VALUE!</v>
      </c>
      <c r="R10" s="57" t="e">
        <f>'Summary Data'!R7*O$3</f>
        <v>#VALUE!</v>
      </c>
      <c r="S10" s="57" t="e">
        <f>'Summary Data'!S7*P$3</f>
        <v>#VALUE!</v>
      </c>
      <c r="T10" s="57" t="e">
        <f>(_xlfn.XLOOKUP(A10,'Round 1 Points'!$A$10:$A$144,'Round 1 Points'!$T$10:$T$144,0)+_xlfn.XLOOKUP(A10,'Round 2 Points'!$A$10:$A$146,'Round 2 Points'!$T$10:$T$146,0)+_xlfn.XLOOKUP(A10,'Round 3 Points'!$A$10:$A$145,'Round 3 Points'!$T$10:$T$145,0)+_xlfn.XLOOKUP(A10,'Round 4 Points'!$A$10:$A$147,'Round 4 Points'!$T$10:$T$147,0))/D10</f>
        <v>#VALUE!</v>
      </c>
      <c r="U10" s="57" t="e">
        <f>'Summary Data'!T7*Q$3</f>
        <v>#VALUE!</v>
      </c>
      <c r="V10" s="57">
        <f>(_xlfn.XLOOKUP(A10,'Round 1 Points'!$A$10:$A$144,'Round 1 Points'!$V$10:$V$144,0)+_xlfn.XLOOKUP(A10,'Round 2 Points'!$A$10:$A$146,'Round 2 Points'!$V$10:$V$146,0)+_xlfn.XLOOKUP(A10,'Round 3 Points'!$A$10:$A$145,'Round 3 Points'!$V$10:$V$145,0)+_xlfn.XLOOKUP(A10,'Round 4 Points'!$A$10:$A$147,'Round 4 Points'!$V$10:$V$147,0))</f>
        <v>6.2</v>
      </c>
      <c r="W10" s="72" t="e">
        <f t="shared" si="0"/>
        <v>#VALUE!</v>
      </c>
    </row>
    <row r="11" spans="1:24" ht="16" thickBot="1" x14ac:dyDescent="0.25">
      <c r="A11" s="61" t="s">
        <v>61</v>
      </c>
      <c r="B11" t="s">
        <v>188</v>
      </c>
      <c r="C11" t="s">
        <v>195</v>
      </c>
      <c r="D11" t="e">
        <f>'Summary Data'!D8</f>
        <v>#VALUE!</v>
      </c>
      <c r="E11" s="57" t="e">
        <f>'Summary Data'!E8</f>
        <v>#VALUE!</v>
      </c>
      <c r="F11" s="57" t="e">
        <f>'Summary Data'!F8*C$3</f>
        <v>#VALUE!</v>
      </c>
      <c r="G11" s="57" t="e">
        <f>'Summary Data'!G8*D$3</f>
        <v>#VALUE!</v>
      </c>
      <c r="H11" s="57" t="e">
        <f>'Summary Data'!H8*E$3</f>
        <v>#VALUE!</v>
      </c>
      <c r="I11" s="57" t="e">
        <f>'Summary Data'!I8*F$3</f>
        <v>#VALUE!</v>
      </c>
      <c r="J11" s="57" t="e">
        <f>'Summary Data'!J8*G$3</f>
        <v>#VALUE!</v>
      </c>
      <c r="K11" s="57" t="e">
        <f>'Summary Data'!K8*H$3</f>
        <v>#VALUE!</v>
      </c>
      <c r="L11" s="57" t="e">
        <f>'Summary Data'!L8*I$3</f>
        <v>#VALUE!</v>
      </c>
      <c r="M11" s="57" t="e">
        <f>'Summary Data'!M8*J$3</f>
        <v>#VALUE!</v>
      </c>
      <c r="N11" s="57" t="e">
        <f>'Summary Data'!N8*K$3</f>
        <v>#VALUE!</v>
      </c>
      <c r="O11" s="57" t="e">
        <f>'Summary Data'!O8*L$3</f>
        <v>#VALUE!</v>
      </c>
      <c r="P11" s="57" t="e">
        <f>'Summary Data'!P8*M$3</f>
        <v>#VALUE!</v>
      </c>
      <c r="Q11" s="57" t="e">
        <f>'Summary Data'!Q8*N$3</f>
        <v>#VALUE!</v>
      </c>
      <c r="R11" s="57" t="e">
        <f>'Summary Data'!R8*O$3</f>
        <v>#VALUE!</v>
      </c>
      <c r="S11" s="57" t="e">
        <f>'Summary Data'!S8*P$3</f>
        <v>#VALUE!</v>
      </c>
      <c r="T11" s="57" t="e">
        <f>(_xlfn.XLOOKUP(A11,'Round 1 Points'!$A$10:$A$144,'Round 1 Points'!$T$10:$T$144,0)+_xlfn.XLOOKUP(A11,'Round 2 Points'!$A$10:$A$146,'Round 2 Points'!$T$10:$T$146,0)+_xlfn.XLOOKUP(A11,'Round 3 Points'!$A$10:$A$145,'Round 3 Points'!$T$10:$T$145,0)+_xlfn.XLOOKUP(A11,'Round 4 Points'!$A$10:$A$147,'Round 4 Points'!$T$10:$T$147,0))/D11</f>
        <v>#VALUE!</v>
      </c>
      <c r="U11" s="57" t="e">
        <f>'Summary Data'!T8*Q$3</f>
        <v>#VALUE!</v>
      </c>
      <c r="V11" s="57">
        <f>(_xlfn.XLOOKUP(A11,'Round 1 Points'!$A$10:$A$144,'Round 1 Points'!$V$10:$V$144,0)+_xlfn.XLOOKUP(A11,'Round 2 Points'!$A$10:$A$146,'Round 2 Points'!$V$10:$V$146,0)+_xlfn.XLOOKUP(A11,'Round 3 Points'!$A$10:$A$145,'Round 3 Points'!$V$10:$V$145,0)+_xlfn.XLOOKUP(A11,'Round 4 Points'!$A$10:$A$147,'Round 4 Points'!$V$10:$V$147,0))</f>
        <v>8</v>
      </c>
      <c r="W11" s="72" t="e">
        <f t="shared" si="0"/>
        <v>#VALUE!</v>
      </c>
    </row>
    <row r="12" spans="1:24" ht="16" thickBot="1" x14ac:dyDescent="0.25">
      <c r="A12" s="63" t="s">
        <v>62</v>
      </c>
      <c r="B12" t="s">
        <v>188</v>
      </c>
      <c r="C12" t="s">
        <v>195</v>
      </c>
      <c r="D12" t="e">
        <f>'Summary Data'!D9</f>
        <v>#VALUE!</v>
      </c>
      <c r="E12" s="57" t="e">
        <f>'Summary Data'!E9</f>
        <v>#VALUE!</v>
      </c>
      <c r="F12" s="57" t="e">
        <f>'Summary Data'!F9*C$3</f>
        <v>#VALUE!</v>
      </c>
      <c r="G12" s="57" t="e">
        <f>'Summary Data'!G9*D$3</f>
        <v>#VALUE!</v>
      </c>
      <c r="H12" s="57" t="e">
        <f>'Summary Data'!H9*E$3</f>
        <v>#VALUE!</v>
      </c>
      <c r="I12" s="57" t="e">
        <f>'Summary Data'!I9*F$3</f>
        <v>#VALUE!</v>
      </c>
      <c r="J12" s="57" t="e">
        <f>'Summary Data'!J9*G$3</f>
        <v>#VALUE!</v>
      </c>
      <c r="K12" s="57" t="e">
        <f>'Summary Data'!K9*H$3</f>
        <v>#VALUE!</v>
      </c>
      <c r="L12" s="57" t="e">
        <f>'Summary Data'!L9*I$3</f>
        <v>#VALUE!</v>
      </c>
      <c r="M12" s="57" t="e">
        <f>'Summary Data'!M9*J$3</f>
        <v>#VALUE!</v>
      </c>
      <c r="N12" s="57" t="e">
        <f>'Summary Data'!N9*K$3</f>
        <v>#VALUE!</v>
      </c>
      <c r="O12" s="57" t="e">
        <f>'Summary Data'!O9*L$3</f>
        <v>#VALUE!</v>
      </c>
      <c r="P12" s="57" t="e">
        <f>'Summary Data'!P9*M$3</f>
        <v>#VALUE!</v>
      </c>
      <c r="Q12" s="57" t="e">
        <f>'Summary Data'!Q9*N$3</f>
        <v>#VALUE!</v>
      </c>
      <c r="R12" s="57" t="e">
        <f>'Summary Data'!R9*O$3</f>
        <v>#VALUE!</v>
      </c>
      <c r="S12" s="57" t="e">
        <f>'Summary Data'!S9*P$3</f>
        <v>#VALUE!</v>
      </c>
      <c r="T12" s="57" t="e">
        <f>(_xlfn.XLOOKUP(A12,'Round 1 Points'!$A$10:$A$144,'Round 1 Points'!$T$10:$T$144,0)+_xlfn.XLOOKUP(A12,'Round 2 Points'!$A$10:$A$146,'Round 2 Points'!$T$10:$T$146,0)+_xlfn.XLOOKUP(A12,'Round 3 Points'!$A$10:$A$145,'Round 3 Points'!$T$10:$T$145,0)+_xlfn.XLOOKUP(A12,'Round 4 Points'!$A$10:$A$147,'Round 4 Points'!$T$10:$T$147,0))/D12</f>
        <v>#VALUE!</v>
      </c>
      <c r="U12" s="57" t="e">
        <f>'Summary Data'!T9*Q$3</f>
        <v>#VALUE!</v>
      </c>
      <c r="V12" s="57">
        <f>(_xlfn.XLOOKUP(A12,'Round 1 Points'!$A$10:$A$144,'Round 1 Points'!$V$10:$V$144,0)+_xlfn.XLOOKUP(A12,'Round 2 Points'!$A$10:$A$146,'Round 2 Points'!$V$10:$V$146,0)+_xlfn.XLOOKUP(A12,'Round 3 Points'!$A$10:$A$145,'Round 3 Points'!$V$10:$V$145,0)+_xlfn.XLOOKUP(A12,'Round 4 Points'!$A$10:$A$147,'Round 4 Points'!$V$10:$V$147,0))</f>
        <v>1.8</v>
      </c>
      <c r="W12" s="72" t="e">
        <f t="shared" si="0"/>
        <v>#VALUE!</v>
      </c>
    </row>
    <row r="13" spans="1:24" ht="16" thickBot="1" x14ac:dyDescent="0.25">
      <c r="A13" s="61" t="s">
        <v>63</v>
      </c>
      <c r="B13" t="s">
        <v>188</v>
      </c>
      <c r="C13" t="s">
        <v>196</v>
      </c>
      <c r="D13" t="e">
        <f>'Summary Data'!D10</f>
        <v>#VALUE!</v>
      </c>
      <c r="E13" s="57" t="e">
        <f>'Summary Data'!E10</f>
        <v>#VALUE!</v>
      </c>
      <c r="F13" s="57" t="e">
        <f>'Summary Data'!F10*C$3</f>
        <v>#VALUE!</v>
      </c>
      <c r="G13" s="57" t="e">
        <f>'Summary Data'!G10*D$3</f>
        <v>#VALUE!</v>
      </c>
      <c r="H13" s="57" t="e">
        <f>'Summary Data'!H10*E$3</f>
        <v>#VALUE!</v>
      </c>
      <c r="I13" s="57" t="e">
        <f>'Summary Data'!I10*F$3</f>
        <v>#VALUE!</v>
      </c>
      <c r="J13" s="57" t="e">
        <f>'Summary Data'!J10*G$3</f>
        <v>#VALUE!</v>
      </c>
      <c r="K13" s="57" t="e">
        <f>'Summary Data'!K10*H$3</f>
        <v>#VALUE!</v>
      </c>
      <c r="L13" s="57" t="e">
        <f>'Summary Data'!L10*I$3</f>
        <v>#VALUE!</v>
      </c>
      <c r="M13" s="57" t="e">
        <f>'Summary Data'!M10*J$3</f>
        <v>#VALUE!</v>
      </c>
      <c r="N13" s="57" t="e">
        <f>'Summary Data'!N10*K$3</f>
        <v>#VALUE!</v>
      </c>
      <c r="O13" s="57" t="e">
        <f>'Summary Data'!O10*L$3</f>
        <v>#VALUE!</v>
      </c>
      <c r="P13" s="57" t="e">
        <f>'Summary Data'!P10*M$3</f>
        <v>#VALUE!</v>
      </c>
      <c r="Q13" s="57" t="e">
        <f>'Summary Data'!Q10*N$3</f>
        <v>#VALUE!</v>
      </c>
      <c r="R13" s="57" t="e">
        <f>'Summary Data'!R10*O$3</f>
        <v>#VALUE!</v>
      </c>
      <c r="S13" s="57" t="e">
        <f>'Summary Data'!S10*P$3</f>
        <v>#VALUE!</v>
      </c>
      <c r="T13" s="57" t="e">
        <f>(_xlfn.XLOOKUP(A13,'Round 1 Points'!$A$10:$A$144,'Round 1 Points'!$T$10:$T$144,0)+_xlfn.XLOOKUP(A13,'Round 2 Points'!$A$10:$A$146,'Round 2 Points'!$T$10:$T$146,0)+_xlfn.XLOOKUP(A13,'Round 3 Points'!$A$10:$A$145,'Round 3 Points'!$T$10:$T$145,0)+_xlfn.XLOOKUP(A13,'Round 4 Points'!$A$10:$A$147,'Round 4 Points'!$T$10:$T$147,0))/D13</f>
        <v>#VALUE!</v>
      </c>
      <c r="U13" s="57" t="e">
        <f>'Summary Data'!T10*Q$3</f>
        <v>#VALUE!</v>
      </c>
      <c r="V13" s="57">
        <f>(_xlfn.XLOOKUP(A13,'Round 1 Points'!$A$10:$A$144,'Round 1 Points'!$V$10:$V$144,0)+_xlfn.XLOOKUP(A13,'Round 2 Points'!$A$10:$A$146,'Round 2 Points'!$V$10:$V$146,0)+_xlfn.XLOOKUP(A13,'Round 3 Points'!$A$10:$A$145,'Round 3 Points'!$V$10:$V$145,0)+_xlfn.XLOOKUP(A13,'Round 4 Points'!$A$10:$A$147,'Round 4 Points'!$V$10:$V$147,0))</f>
        <v>0</v>
      </c>
      <c r="W13" s="72" t="e">
        <f t="shared" si="0"/>
        <v>#VALUE!</v>
      </c>
    </row>
    <row r="14" spans="1:24" ht="16" thickBot="1" x14ac:dyDescent="0.25">
      <c r="A14" s="63" t="s">
        <v>159</v>
      </c>
      <c r="B14" t="s">
        <v>188</v>
      </c>
      <c r="C14" t="s">
        <v>196</v>
      </c>
      <c r="D14" t="e">
        <f>'Summary Data'!D11</f>
        <v>#VALUE!</v>
      </c>
      <c r="E14" s="57" t="e">
        <f>'Summary Data'!E11</f>
        <v>#VALUE!</v>
      </c>
      <c r="F14" s="57" t="e">
        <f>'Summary Data'!F11*C$3</f>
        <v>#VALUE!</v>
      </c>
      <c r="G14" s="57" t="e">
        <f>'Summary Data'!G11*D$3</f>
        <v>#VALUE!</v>
      </c>
      <c r="H14" s="57" t="e">
        <f>'Summary Data'!H11*E$3</f>
        <v>#VALUE!</v>
      </c>
      <c r="I14" s="57" t="e">
        <f>'Summary Data'!I11*F$3</f>
        <v>#VALUE!</v>
      </c>
      <c r="J14" s="57" t="e">
        <f>'Summary Data'!J11*G$3</f>
        <v>#VALUE!</v>
      </c>
      <c r="K14" s="57" t="e">
        <f>'Summary Data'!K11*H$3</f>
        <v>#VALUE!</v>
      </c>
      <c r="L14" s="57" t="e">
        <f>'Summary Data'!L11*I$3</f>
        <v>#VALUE!</v>
      </c>
      <c r="M14" s="57" t="e">
        <f>'Summary Data'!M11*J$3</f>
        <v>#VALUE!</v>
      </c>
      <c r="N14" s="57" t="e">
        <f>'Summary Data'!N11*K$3</f>
        <v>#VALUE!</v>
      </c>
      <c r="O14" s="57" t="e">
        <f>'Summary Data'!O11*L$3</f>
        <v>#VALUE!</v>
      </c>
      <c r="P14" s="57" t="e">
        <f>'Summary Data'!P11*M$3</f>
        <v>#VALUE!</v>
      </c>
      <c r="Q14" s="57" t="e">
        <f>'Summary Data'!Q11*N$3</f>
        <v>#VALUE!</v>
      </c>
      <c r="R14" s="57" t="e">
        <f>'Summary Data'!R11*O$3</f>
        <v>#VALUE!</v>
      </c>
      <c r="S14" s="57" t="e">
        <f>'Summary Data'!S11*P$3</f>
        <v>#VALUE!</v>
      </c>
      <c r="T14" s="57" t="e">
        <f>(_xlfn.XLOOKUP(A14,'Round 1 Points'!$A$10:$A$144,'Round 1 Points'!$T$10:$T$144,0)+_xlfn.XLOOKUP(A14,'Round 2 Points'!$A$10:$A$146,'Round 2 Points'!$T$10:$T$146,0)+_xlfn.XLOOKUP(A14,'Round 3 Points'!$A$10:$A$145,'Round 3 Points'!$T$10:$T$145,0)+_xlfn.XLOOKUP(A14,'Round 4 Points'!$A$10:$A$147,'Round 4 Points'!$T$10:$T$147,0))/D14</f>
        <v>#VALUE!</v>
      </c>
      <c r="U14" s="57" t="e">
        <f>'Summary Data'!T11*Q$3</f>
        <v>#VALUE!</v>
      </c>
      <c r="V14" s="57">
        <f>(_xlfn.XLOOKUP(A14,'Round 1 Points'!$A$10:$A$144,'Round 1 Points'!$V$10:$V$144,0)+_xlfn.XLOOKUP(A14,'Round 2 Points'!$A$10:$A$146,'Round 2 Points'!$V$10:$V$146,0)+_xlfn.XLOOKUP(A14,'Round 3 Points'!$A$10:$A$145,'Round 3 Points'!$V$10:$V$145,0)+_xlfn.XLOOKUP(A14,'Round 4 Points'!$A$10:$A$147,'Round 4 Points'!$V$10:$V$147,0))</f>
        <v>8</v>
      </c>
      <c r="W14" s="72" t="e">
        <f t="shared" si="0"/>
        <v>#VALUE!</v>
      </c>
    </row>
    <row r="15" spans="1:24" ht="16" thickBot="1" x14ac:dyDescent="0.25">
      <c r="A15" s="61" t="s">
        <v>65</v>
      </c>
      <c r="B15" t="s">
        <v>188</v>
      </c>
      <c r="C15" t="s">
        <v>197</v>
      </c>
      <c r="D15" t="e">
        <f>'Summary Data'!D12</f>
        <v>#VALUE!</v>
      </c>
      <c r="E15" s="57" t="e">
        <f>'Summary Data'!E12</f>
        <v>#VALUE!</v>
      </c>
      <c r="F15" s="57" t="e">
        <f>'Summary Data'!F12*C$3</f>
        <v>#VALUE!</v>
      </c>
      <c r="G15" s="57" t="e">
        <f>'Summary Data'!G12*D$3</f>
        <v>#VALUE!</v>
      </c>
      <c r="H15" s="57" t="e">
        <f>'Summary Data'!H12*E$3</f>
        <v>#VALUE!</v>
      </c>
      <c r="I15" s="57" t="e">
        <f>'Summary Data'!I12*F$3</f>
        <v>#VALUE!</v>
      </c>
      <c r="J15" s="57" t="e">
        <f>'Summary Data'!J12*G$3</f>
        <v>#VALUE!</v>
      </c>
      <c r="K15" s="57" t="e">
        <f>'Summary Data'!K12*H$3</f>
        <v>#VALUE!</v>
      </c>
      <c r="L15" s="57" t="e">
        <f>'Summary Data'!L12*I$3</f>
        <v>#VALUE!</v>
      </c>
      <c r="M15" s="57" t="e">
        <f>'Summary Data'!M12*J$3</f>
        <v>#VALUE!</v>
      </c>
      <c r="N15" s="57" t="e">
        <f>'Summary Data'!N12*K$3</f>
        <v>#VALUE!</v>
      </c>
      <c r="O15" s="57" t="e">
        <f>'Summary Data'!O12*L$3</f>
        <v>#VALUE!</v>
      </c>
      <c r="P15" s="57" t="e">
        <f>'Summary Data'!P12*M$3</f>
        <v>#VALUE!</v>
      </c>
      <c r="Q15" s="57" t="e">
        <f>'Summary Data'!Q12*N$3</f>
        <v>#VALUE!</v>
      </c>
      <c r="R15" s="57" t="e">
        <f>'Summary Data'!R12*O$3</f>
        <v>#VALUE!</v>
      </c>
      <c r="S15" s="57" t="e">
        <f>'Summary Data'!S12*P$3</f>
        <v>#VALUE!</v>
      </c>
      <c r="T15" s="57" t="e">
        <f>(_xlfn.XLOOKUP(A15,'Round 1 Points'!$A$10:$A$144,'Round 1 Points'!$T$10:$T$144,0)+_xlfn.XLOOKUP(A15,'Round 2 Points'!$A$10:$A$146,'Round 2 Points'!$T$10:$T$146,0)+_xlfn.XLOOKUP(A15,'Round 3 Points'!$A$10:$A$145,'Round 3 Points'!$T$10:$T$145,0)+_xlfn.XLOOKUP(A15,'Round 4 Points'!$A$10:$A$147,'Round 4 Points'!$T$10:$T$147,0))/D15</f>
        <v>#VALUE!</v>
      </c>
      <c r="U15" s="57" t="e">
        <f>'Summary Data'!T12*Q$3</f>
        <v>#VALUE!</v>
      </c>
      <c r="V15" s="57">
        <f>(_xlfn.XLOOKUP(A15,'Round 1 Points'!$A$10:$A$144,'Round 1 Points'!$V$10:$V$144,0)+_xlfn.XLOOKUP(A15,'Round 2 Points'!$A$10:$A$146,'Round 2 Points'!$V$10:$V$146,0)+_xlfn.XLOOKUP(A15,'Round 3 Points'!$A$10:$A$145,'Round 3 Points'!$V$10:$V$145,0)+_xlfn.XLOOKUP(A15,'Round 4 Points'!$A$10:$A$147,'Round 4 Points'!$V$10:$V$147,0))</f>
        <v>5.4</v>
      </c>
      <c r="W15" s="72" t="e">
        <f t="shared" si="0"/>
        <v>#VALUE!</v>
      </c>
    </row>
    <row r="16" spans="1:24" ht="16" thickBot="1" x14ac:dyDescent="0.25">
      <c r="A16" s="63" t="s">
        <v>66</v>
      </c>
      <c r="B16" t="s">
        <v>188</v>
      </c>
      <c r="C16" t="s">
        <v>197</v>
      </c>
      <c r="D16" t="e">
        <f>'Summary Data'!D13</f>
        <v>#VALUE!</v>
      </c>
      <c r="E16" s="57" t="e">
        <f>'Summary Data'!E13</f>
        <v>#VALUE!</v>
      </c>
      <c r="F16" s="57" t="e">
        <f>'Summary Data'!F13*C$3</f>
        <v>#VALUE!</v>
      </c>
      <c r="G16" s="57" t="e">
        <f>'Summary Data'!G13*D$3</f>
        <v>#VALUE!</v>
      </c>
      <c r="H16" s="57" t="e">
        <f>'Summary Data'!H13*E$3</f>
        <v>#VALUE!</v>
      </c>
      <c r="I16" s="57" t="e">
        <f>'Summary Data'!I13*F$3</f>
        <v>#VALUE!</v>
      </c>
      <c r="J16" s="57" t="e">
        <f>'Summary Data'!J13*G$3</f>
        <v>#VALUE!</v>
      </c>
      <c r="K16" s="57" t="e">
        <f>'Summary Data'!K13*H$3</f>
        <v>#VALUE!</v>
      </c>
      <c r="L16" s="57" t="e">
        <f>'Summary Data'!L13*I$3</f>
        <v>#VALUE!</v>
      </c>
      <c r="M16" s="57" t="e">
        <f>'Summary Data'!M13*J$3</f>
        <v>#VALUE!</v>
      </c>
      <c r="N16" s="57" t="e">
        <f>'Summary Data'!N13*K$3</f>
        <v>#VALUE!</v>
      </c>
      <c r="O16" s="57" t="e">
        <f>'Summary Data'!O13*L$3</f>
        <v>#VALUE!</v>
      </c>
      <c r="P16" s="57" t="e">
        <f>'Summary Data'!P13*M$3</f>
        <v>#VALUE!</v>
      </c>
      <c r="Q16" s="57" t="e">
        <f>'Summary Data'!Q13*N$3</f>
        <v>#VALUE!</v>
      </c>
      <c r="R16" s="57" t="e">
        <f>'Summary Data'!R13*O$3</f>
        <v>#VALUE!</v>
      </c>
      <c r="S16" s="57" t="e">
        <f>'Summary Data'!S13*P$3</f>
        <v>#VALUE!</v>
      </c>
      <c r="T16" s="57" t="e">
        <f>(_xlfn.XLOOKUP(A16,'Round 1 Points'!$A$10:$A$144,'Round 1 Points'!$T$10:$T$144,0)+_xlfn.XLOOKUP(A16,'Round 2 Points'!$A$10:$A$146,'Round 2 Points'!$T$10:$T$146,0)+_xlfn.XLOOKUP(A16,'Round 3 Points'!$A$10:$A$145,'Round 3 Points'!$T$10:$T$145,0)+_xlfn.XLOOKUP(A16,'Round 4 Points'!$A$10:$A$147,'Round 4 Points'!$T$10:$T$147,0))/D16</f>
        <v>#VALUE!</v>
      </c>
      <c r="U16" s="57" t="e">
        <f>'Summary Data'!T13*Q$3</f>
        <v>#VALUE!</v>
      </c>
      <c r="V16" s="57">
        <f>(_xlfn.XLOOKUP(A16,'Round 1 Points'!$A$10:$A$144,'Round 1 Points'!$V$10:$V$144,0)+_xlfn.XLOOKUP(A16,'Round 2 Points'!$A$10:$A$146,'Round 2 Points'!$V$10:$V$146,0)+_xlfn.XLOOKUP(A16,'Round 3 Points'!$A$10:$A$145,'Round 3 Points'!$V$10:$V$145,0)+_xlfn.XLOOKUP(A16,'Round 4 Points'!$A$10:$A$147,'Round 4 Points'!$V$10:$V$147,0))</f>
        <v>2.6</v>
      </c>
      <c r="W16" s="72" t="e">
        <f t="shared" si="0"/>
        <v>#VALUE!</v>
      </c>
    </row>
    <row r="17" spans="1:23" ht="16" thickBot="1" x14ac:dyDescent="0.25">
      <c r="A17" s="61" t="s">
        <v>67</v>
      </c>
      <c r="B17" t="s">
        <v>188</v>
      </c>
      <c r="C17" t="s">
        <v>198</v>
      </c>
      <c r="D17" t="e">
        <f>'Summary Data'!D14</f>
        <v>#VALUE!</v>
      </c>
      <c r="E17" s="57" t="e">
        <f>'Summary Data'!E14</f>
        <v>#VALUE!</v>
      </c>
      <c r="F17" s="57" t="e">
        <f>'Summary Data'!F14*C$3</f>
        <v>#VALUE!</v>
      </c>
      <c r="G17" s="57" t="e">
        <f>'Summary Data'!G14*D$3</f>
        <v>#VALUE!</v>
      </c>
      <c r="H17" s="57" t="e">
        <f>'Summary Data'!H14*E$3</f>
        <v>#VALUE!</v>
      </c>
      <c r="I17" s="57" t="e">
        <f>'Summary Data'!I14*F$3</f>
        <v>#VALUE!</v>
      </c>
      <c r="J17" s="57" t="e">
        <f>'Summary Data'!J14*G$3</f>
        <v>#VALUE!</v>
      </c>
      <c r="K17" s="57" t="e">
        <f>'Summary Data'!K14*H$3</f>
        <v>#VALUE!</v>
      </c>
      <c r="L17" s="57" t="e">
        <f>'Summary Data'!L14*I$3</f>
        <v>#VALUE!</v>
      </c>
      <c r="M17" s="57" t="e">
        <f>'Summary Data'!M14*J$3</f>
        <v>#VALUE!</v>
      </c>
      <c r="N17" s="57" t="e">
        <f>'Summary Data'!N14*K$3</f>
        <v>#VALUE!</v>
      </c>
      <c r="O17" s="57" t="e">
        <f>'Summary Data'!O14*L$3</f>
        <v>#VALUE!</v>
      </c>
      <c r="P17" s="57" t="e">
        <f>'Summary Data'!P14*M$3</f>
        <v>#VALUE!</v>
      </c>
      <c r="Q17" s="57" t="e">
        <f>'Summary Data'!Q14*N$3</f>
        <v>#VALUE!</v>
      </c>
      <c r="R17" s="57" t="e">
        <f>'Summary Data'!R14*O$3</f>
        <v>#VALUE!</v>
      </c>
      <c r="S17" s="57" t="e">
        <f>'Summary Data'!S14*P$3</f>
        <v>#VALUE!</v>
      </c>
      <c r="T17" s="57" t="e">
        <f>(_xlfn.XLOOKUP(A17,'Round 1 Points'!$A$10:$A$144,'Round 1 Points'!$T$10:$T$144,0)+_xlfn.XLOOKUP(A17,'Round 2 Points'!$A$10:$A$146,'Round 2 Points'!$T$10:$T$146,0)+_xlfn.XLOOKUP(A17,'Round 3 Points'!$A$10:$A$145,'Round 3 Points'!$T$10:$T$145,0)+_xlfn.XLOOKUP(A17,'Round 4 Points'!$A$10:$A$147,'Round 4 Points'!$T$10:$T$147,0))/D17</f>
        <v>#VALUE!</v>
      </c>
      <c r="U17" s="57" t="e">
        <f>'Summary Data'!T14*Q$3</f>
        <v>#VALUE!</v>
      </c>
      <c r="V17" s="57">
        <f>(_xlfn.XLOOKUP(A17,'Round 1 Points'!$A$10:$A$144,'Round 1 Points'!$V$10:$V$144,0)+_xlfn.XLOOKUP(A17,'Round 2 Points'!$A$10:$A$146,'Round 2 Points'!$V$10:$V$146,0)+_xlfn.XLOOKUP(A17,'Round 3 Points'!$A$10:$A$145,'Round 3 Points'!$V$10:$V$145,0)+_xlfn.XLOOKUP(A17,'Round 4 Points'!$A$10:$A$147,'Round 4 Points'!$V$10:$V$147,0))</f>
        <v>8</v>
      </c>
      <c r="W17" s="72" t="e">
        <f t="shared" si="0"/>
        <v>#VALUE!</v>
      </c>
    </row>
    <row r="18" spans="1:23" ht="16" thickBot="1" x14ac:dyDescent="0.25">
      <c r="A18" s="63" t="s">
        <v>68</v>
      </c>
      <c r="B18" t="s">
        <v>188</v>
      </c>
      <c r="C18" t="s">
        <v>198</v>
      </c>
      <c r="D18" t="e">
        <f>'Summary Data'!D15</f>
        <v>#VALUE!</v>
      </c>
      <c r="E18" s="57" t="e">
        <f>'Summary Data'!E15</f>
        <v>#VALUE!</v>
      </c>
      <c r="F18" s="57" t="e">
        <f>'Summary Data'!F15*C$3</f>
        <v>#VALUE!</v>
      </c>
      <c r="G18" s="57" t="e">
        <f>'Summary Data'!G15*D$3</f>
        <v>#VALUE!</v>
      </c>
      <c r="H18" s="57" t="e">
        <f>'Summary Data'!H15*E$3</f>
        <v>#VALUE!</v>
      </c>
      <c r="I18" s="57" t="e">
        <f>'Summary Data'!I15*F$3</f>
        <v>#VALUE!</v>
      </c>
      <c r="J18" s="57" t="e">
        <f>'Summary Data'!J15*G$3</f>
        <v>#VALUE!</v>
      </c>
      <c r="K18" s="57" t="e">
        <f>'Summary Data'!K15*H$3</f>
        <v>#VALUE!</v>
      </c>
      <c r="L18" s="57" t="e">
        <f>'Summary Data'!L15*I$3</f>
        <v>#VALUE!</v>
      </c>
      <c r="M18" s="57" t="e">
        <f>'Summary Data'!M15*J$3</f>
        <v>#VALUE!</v>
      </c>
      <c r="N18" s="57" t="e">
        <f>'Summary Data'!N15*K$3</f>
        <v>#VALUE!</v>
      </c>
      <c r="O18" s="57" t="e">
        <f>'Summary Data'!O15*L$3</f>
        <v>#VALUE!</v>
      </c>
      <c r="P18" s="57" t="e">
        <f>'Summary Data'!P15*M$3</f>
        <v>#VALUE!</v>
      </c>
      <c r="Q18" s="57" t="e">
        <f>'Summary Data'!Q15*N$3</f>
        <v>#VALUE!</v>
      </c>
      <c r="R18" s="57" t="e">
        <f>'Summary Data'!R15*O$3</f>
        <v>#VALUE!</v>
      </c>
      <c r="S18" s="57" t="e">
        <f>'Summary Data'!S15*P$3</f>
        <v>#VALUE!</v>
      </c>
      <c r="T18" s="57" t="e">
        <f>(_xlfn.XLOOKUP(A18,'Round 1 Points'!$A$10:$A$144,'Round 1 Points'!$T$10:$T$144,0)+_xlfn.XLOOKUP(A18,'Round 2 Points'!$A$10:$A$146,'Round 2 Points'!$T$10:$T$146,0)+_xlfn.XLOOKUP(A18,'Round 3 Points'!$A$10:$A$145,'Round 3 Points'!$T$10:$T$145,0)+_xlfn.XLOOKUP(A18,'Round 4 Points'!$A$10:$A$147,'Round 4 Points'!$T$10:$T$147,0))/D18</f>
        <v>#VALUE!</v>
      </c>
      <c r="U18" s="57" t="e">
        <f>'Summary Data'!T15*Q$3</f>
        <v>#VALUE!</v>
      </c>
      <c r="V18" s="57">
        <f>(_xlfn.XLOOKUP(A18,'Round 1 Points'!$A$10:$A$144,'Round 1 Points'!$V$10:$V$144,0)+_xlfn.XLOOKUP(A18,'Round 2 Points'!$A$10:$A$146,'Round 2 Points'!$V$10:$V$146,0)+_xlfn.XLOOKUP(A18,'Round 3 Points'!$A$10:$A$145,'Round 3 Points'!$V$10:$V$145,0)+_xlfn.XLOOKUP(A18,'Round 4 Points'!$A$10:$A$147,'Round 4 Points'!$V$10:$V$147,0))</f>
        <v>6</v>
      </c>
      <c r="W18" s="72" t="e">
        <f t="shared" si="0"/>
        <v>#VALUE!</v>
      </c>
    </row>
    <row r="19" spans="1:23" ht="16" thickBot="1" x14ac:dyDescent="0.25">
      <c r="A19" s="61" t="s">
        <v>69</v>
      </c>
      <c r="B19" t="s">
        <v>188</v>
      </c>
      <c r="C19" t="s">
        <v>198</v>
      </c>
      <c r="D19" t="e">
        <f>'Summary Data'!D16</f>
        <v>#VALUE!</v>
      </c>
      <c r="E19" s="57" t="e">
        <f>'Summary Data'!E16</f>
        <v>#VALUE!</v>
      </c>
      <c r="F19" s="57" t="e">
        <f>'Summary Data'!F16*C$3</f>
        <v>#VALUE!</v>
      </c>
      <c r="G19" s="57" t="e">
        <f>'Summary Data'!G16*D$3</f>
        <v>#VALUE!</v>
      </c>
      <c r="H19" s="57" t="e">
        <f>'Summary Data'!H16*E$3</f>
        <v>#VALUE!</v>
      </c>
      <c r="I19" s="57" t="e">
        <f>'Summary Data'!I16*F$3</f>
        <v>#VALUE!</v>
      </c>
      <c r="J19" s="57" t="e">
        <f>'Summary Data'!J16*G$3</f>
        <v>#VALUE!</v>
      </c>
      <c r="K19" s="57" t="e">
        <f>'Summary Data'!K16*H$3</f>
        <v>#VALUE!</v>
      </c>
      <c r="L19" s="57" t="e">
        <f>'Summary Data'!L16*I$3</f>
        <v>#VALUE!</v>
      </c>
      <c r="M19" s="57" t="e">
        <f>'Summary Data'!M16*J$3</f>
        <v>#VALUE!</v>
      </c>
      <c r="N19" s="57" t="e">
        <f>'Summary Data'!N16*K$3</f>
        <v>#VALUE!</v>
      </c>
      <c r="O19" s="57" t="e">
        <f>'Summary Data'!O16*L$3</f>
        <v>#VALUE!</v>
      </c>
      <c r="P19" s="57" t="e">
        <f>'Summary Data'!P16*M$3</f>
        <v>#VALUE!</v>
      </c>
      <c r="Q19" s="57" t="e">
        <f>'Summary Data'!Q16*N$3</f>
        <v>#VALUE!</v>
      </c>
      <c r="R19" s="57" t="e">
        <f>'Summary Data'!R16*O$3</f>
        <v>#VALUE!</v>
      </c>
      <c r="S19" s="57" t="e">
        <f>'Summary Data'!S16*P$3</f>
        <v>#VALUE!</v>
      </c>
      <c r="T19" s="57" t="e">
        <f>(_xlfn.XLOOKUP(A19,'Round 1 Points'!$A$10:$A$144,'Round 1 Points'!$T$10:$T$144,0)+_xlfn.XLOOKUP(A19,'Round 2 Points'!$A$10:$A$146,'Round 2 Points'!$T$10:$T$146,0)+_xlfn.XLOOKUP(A19,'Round 3 Points'!$A$10:$A$145,'Round 3 Points'!$T$10:$T$145,0)+_xlfn.XLOOKUP(A19,'Round 4 Points'!$A$10:$A$147,'Round 4 Points'!$T$10:$T$147,0))/D19</f>
        <v>#VALUE!</v>
      </c>
      <c r="U19" s="57" t="e">
        <f>'Summary Data'!T16*Q$3</f>
        <v>#VALUE!</v>
      </c>
      <c r="V19" s="57">
        <f>(_xlfn.XLOOKUP(A19,'Round 1 Points'!$A$10:$A$144,'Round 1 Points'!$V$10:$V$144,0)+_xlfn.XLOOKUP(A19,'Round 2 Points'!$A$10:$A$146,'Round 2 Points'!$V$10:$V$146,0)+_xlfn.XLOOKUP(A19,'Round 3 Points'!$A$10:$A$145,'Round 3 Points'!$V$10:$V$145,0)+_xlfn.XLOOKUP(A19,'Round 4 Points'!$A$10:$A$147,'Round 4 Points'!$V$10:$V$147,0))</f>
        <v>2</v>
      </c>
      <c r="W19" s="72" t="e">
        <f t="shared" si="0"/>
        <v>#VALUE!</v>
      </c>
    </row>
    <row r="20" spans="1:23" ht="16" thickBot="1" x14ac:dyDescent="0.25">
      <c r="A20" s="63" t="s">
        <v>161</v>
      </c>
      <c r="B20" t="s">
        <v>188</v>
      </c>
      <c r="C20" t="s">
        <v>198</v>
      </c>
      <c r="D20" t="e">
        <f>'Summary Data'!D17</f>
        <v>#VALUE!</v>
      </c>
      <c r="E20" s="57" t="e">
        <f>'Summary Data'!E17</f>
        <v>#VALUE!</v>
      </c>
      <c r="F20" s="57" t="e">
        <f>'Summary Data'!F17*C$3</f>
        <v>#VALUE!</v>
      </c>
      <c r="G20" s="57" t="e">
        <f>'Summary Data'!G17*D$3</f>
        <v>#VALUE!</v>
      </c>
      <c r="H20" s="57" t="e">
        <f>'Summary Data'!H17*E$3</f>
        <v>#VALUE!</v>
      </c>
      <c r="I20" s="57" t="e">
        <f>'Summary Data'!I17*F$3</f>
        <v>#VALUE!</v>
      </c>
      <c r="J20" s="57" t="e">
        <f>'Summary Data'!J17*G$3</f>
        <v>#VALUE!</v>
      </c>
      <c r="K20" s="57" t="e">
        <f>'Summary Data'!K17*H$3</f>
        <v>#VALUE!</v>
      </c>
      <c r="L20" s="57" t="e">
        <f>'Summary Data'!L17*I$3</f>
        <v>#VALUE!</v>
      </c>
      <c r="M20" s="57" t="e">
        <f>'Summary Data'!M17*J$3</f>
        <v>#VALUE!</v>
      </c>
      <c r="N20" s="57" t="e">
        <f>'Summary Data'!N17*K$3</f>
        <v>#VALUE!</v>
      </c>
      <c r="O20" s="57" t="e">
        <f>'Summary Data'!O17*L$3</f>
        <v>#VALUE!</v>
      </c>
      <c r="P20" s="57" t="e">
        <f>'Summary Data'!P17*M$3</f>
        <v>#VALUE!</v>
      </c>
      <c r="Q20" s="57" t="e">
        <f>'Summary Data'!Q17*N$3</f>
        <v>#VALUE!</v>
      </c>
      <c r="R20" s="57" t="e">
        <f>'Summary Data'!R17*O$3</f>
        <v>#VALUE!</v>
      </c>
      <c r="S20" s="57" t="e">
        <f>'Summary Data'!S17*P$3</f>
        <v>#VALUE!</v>
      </c>
      <c r="T20" s="57" t="e">
        <f>(_xlfn.XLOOKUP(A20,'Round 1 Points'!$A$10:$A$144,'Round 1 Points'!$T$10:$T$144,0)+_xlfn.XLOOKUP(A20,'Round 2 Points'!$A$10:$A$146,'Round 2 Points'!$T$10:$T$146,0)+_xlfn.XLOOKUP(A20,'Round 3 Points'!$A$10:$A$145,'Round 3 Points'!$T$10:$T$145,0)+_xlfn.XLOOKUP(A20,'Round 4 Points'!$A$10:$A$147,'Round 4 Points'!$T$10:$T$147,0))/D20</f>
        <v>#VALUE!</v>
      </c>
      <c r="U20" s="57" t="e">
        <f>'Summary Data'!T17*Q$3</f>
        <v>#VALUE!</v>
      </c>
      <c r="V20" s="57">
        <f>(_xlfn.XLOOKUP(A20,'Round 1 Points'!$A$10:$A$144,'Round 1 Points'!$V$10:$V$144,0)+_xlfn.XLOOKUP(A20,'Round 2 Points'!$A$10:$A$146,'Round 2 Points'!$V$10:$V$146,0)+_xlfn.XLOOKUP(A20,'Round 3 Points'!$A$10:$A$145,'Round 3 Points'!$V$10:$V$145,0)+_xlfn.XLOOKUP(A20,'Round 4 Points'!$A$10:$A$147,'Round 4 Points'!$V$10:$V$147,0))</f>
        <v>8</v>
      </c>
      <c r="W20" s="72" t="e">
        <f t="shared" si="0"/>
        <v>#VALUE!</v>
      </c>
    </row>
    <row r="21" spans="1:23" ht="16" thickBot="1" x14ac:dyDescent="0.25">
      <c r="A21" s="61" t="s">
        <v>70</v>
      </c>
      <c r="B21" t="s">
        <v>188</v>
      </c>
      <c r="C21" t="s">
        <v>199</v>
      </c>
      <c r="D21" t="e">
        <f>'Summary Data'!D18</f>
        <v>#VALUE!</v>
      </c>
      <c r="E21" s="57" t="e">
        <f>'Summary Data'!E18</f>
        <v>#VALUE!</v>
      </c>
      <c r="F21" s="57" t="e">
        <f>'Summary Data'!F18*C$3</f>
        <v>#VALUE!</v>
      </c>
      <c r="G21" s="57" t="e">
        <f>'Summary Data'!G18*D$3</f>
        <v>#VALUE!</v>
      </c>
      <c r="H21" s="57" t="e">
        <f>'Summary Data'!H18*E$3</f>
        <v>#VALUE!</v>
      </c>
      <c r="I21" s="57" t="e">
        <f>'Summary Data'!I18*F$3</f>
        <v>#VALUE!</v>
      </c>
      <c r="J21" s="57" t="e">
        <f>'Summary Data'!J18*G$3</f>
        <v>#VALUE!</v>
      </c>
      <c r="K21" s="57" t="e">
        <f>'Summary Data'!K18*H$3</f>
        <v>#VALUE!</v>
      </c>
      <c r="L21" s="57" t="e">
        <f>'Summary Data'!L18*I$3</f>
        <v>#VALUE!</v>
      </c>
      <c r="M21" s="57" t="e">
        <f>'Summary Data'!M18*J$3</f>
        <v>#VALUE!</v>
      </c>
      <c r="N21" s="57" t="e">
        <f>'Summary Data'!N18*K$3</f>
        <v>#VALUE!</v>
      </c>
      <c r="O21" s="57" t="e">
        <f>'Summary Data'!O18*L$3</f>
        <v>#VALUE!</v>
      </c>
      <c r="P21" s="57" t="e">
        <f>'Summary Data'!P18*M$3</f>
        <v>#VALUE!</v>
      </c>
      <c r="Q21" s="57" t="e">
        <f>'Summary Data'!Q18*N$3</f>
        <v>#VALUE!</v>
      </c>
      <c r="R21" s="57" t="e">
        <f>'Summary Data'!R18*O$3</f>
        <v>#VALUE!</v>
      </c>
      <c r="S21" s="57" t="e">
        <f>'Summary Data'!S18*P$3</f>
        <v>#VALUE!</v>
      </c>
      <c r="T21" s="57" t="e">
        <f>(_xlfn.XLOOKUP(A21,'Round 1 Points'!$A$10:$A$144,'Round 1 Points'!$T$10:$T$144,0)+_xlfn.XLOOKUP(A21,'Round 2 Points'!$A$10:$A$146,'Round 2 Points'!$T$10:$T$146,0)+_xlfn.XLOOKUP(A21,'Round 3 Points'!$A$10:$A$145,'Round 3 Points'!$T$10:$T$145,0)+_xlfn.XLOOKUP(A21,'Round 4 Points'!$A$10:$A$147,'Round 4 Points'!$T$10:$T$147,0))/D21</f>
        <v>#VALUE!</v>
      </c>
      <c r="U21" s="57" t="e">
        <f>'Summary Data'!T18*Q$3</f>
        <v>#VALUE!</v>
      </c>
      <c r="V21" s="57">
        <f>(_xlfn.XLOOKUP(A21,'Round 1 Points'!$A$10:$A$144,'Round 1 Points'!$V$10:$V$144,0)+_xlfn.XLOOKUP(A21,'Round 2 Points'!$A$10:$A$146,'Round 2 Points'!$V$10:$V$146,0)+_xlfn.XLOOKUP(A21,'Round 3 Points'!$A$10:$A$145,'Round 3 Points'!$V$10:$V$145,0)+_xlfn.XLOOKUP(A21,'Round 4 Points'!$A$10:$A$147,'Round 4 Points'!$V$10:$V$147,0))</f>
        <v>8</v>
      </c>
      <c r="W21" s="72" t="e">
        <f t="shared" si="0"/>
        <v>#VALUE!</v>
      </c>
    </row>
    <row r="22" spans="1:23" ht="16" thickBot="1" x14ac:dyDescent="0.25">
      <c r="A22" s="63" t="s">
        <v>72</v>
      </c>
      <c r="B22" t="s">
        <v>188</v>
      </c>
      <c r="C22" t="s">
        <v>199</v>
      </c>
      <c r="D22" t="e">
        <f>'Summary Data'!D19</f>
        <v>#VALUE!</v>
      </c>
      <c r="E22" s="57" t="e">
        <f>'Summary Data'!E19</f>
        <v>#VALUE!</v>
      </c>
      <c r="F22" s="57" t="e">
        <f>'Summary Data'!F19*C$3</f>
        <v>#VALUE!</v>
      </c>
      <c r="G22" s="57" t="e">
        <f>'Summary Data'!G19*D$3</f>
        <v>#VALUE!</v>
      </c>
      <c r="H22" s="57" t="e">
        <f>'Summary Data'!H19*E$3</f>
        <v>#VALUE!</v>
      </c>
      <c r="I22" s="57" t="e">
        <f>'Summary Data'!I19*F$3</f>
        <v>#VALUE!</v>
      </c>
      <c r="J22" s="57" t="e">
        <f>'Summary Data'!J19*G$3</f>
        <v>#VALUE!</v>
      </c>
      <c r="K22" s="57" t="e">
        <f>'Summary Data'!K19*H$3</f>
        <v>#VALUE!</v>
      </c>
      <c r="L22" s="57" t="e">
        <f>'Summary Data'!L19*I$3</f>
        <v>#VALUE!</v>
      </c>
      <c r="M22" s="57" t="e">
        <f>'Summary Data'!M19*J$3</f>
        <v>#VALUE!</v>
      </c>
      <c r="N22" s="57" t="e">
        <f>'Summary Data'!N19*K$3</f>
        <v>#VALUE!</v>
      </c>
      <c r="O22" s="57" t="e">
        <f>'Summary Data'!O19*L$3</f>
        <v>#VALUE!</v>
      </c>
      <c r="P22" s="57" t="e">
        <f>'Summary Data'!P19*M$3</f>
        <v>#VALUE!</v>
      </c>
      <c r="Q22" s="57" t="e">
        <f>'Summary Data'!Q19*N$3</f>
        <v>#VALUE!</v>
      </c>
      <c r="R22" s="57" t="e">
        <f>'Summary Data'!R19*O$3</f>
        <v>#VALUE!</v>
      </c>
      <c r="S22" s="57" t="e">
        <f>'Summary Data'!S19*P$3</f>
        <v>#VALUE!</v>
      </c>
      <c r="T22" s="57" t="e">
        <f>(_xlfn.XLOOKUP(A22,'Round 1 Points'!$A$10:$A$144,'Round 1 Points'!$T$10:$T$144,0)+_xlfn.XLOOKUP(A22,'Round 2 Points'!$A$10:$A$146,'Round 2 Points'!$T$10:$T$146,0)+_xlfn.XLOOKUP(A22,'Round 3 Points'!$A$10:$A$145,'Round 3 Points'!$T$10:$T$145,0)+_xlfn.XLOOKUP(A22,'Round 4 Points'!$A$10:$A$147,'Round 4 Points'!$T$10:$T$147,0))/D22</f>
        <v>#VALUE!</v>
      </c>
      <c r="U22" s="57" t="e">
        <f>'Summary Data'!T19*Q$3</f>
        <v>#VALUE!</v>
      </c>
      <c r="V22" s="57">
        <f>(_xlfn.XLOOKUP(A22,'Round 1 Points'!$A$10:$A$144,'Round 1 Points'!$V$10:$V$144,0)+_xlfn.XLOOKUP(A22,'Round 2 Points'!$A$10:$A$146,'Round 2 Points'!$V$10:$V$146,0)+_xlfn.XLOOKUP(A22,'Round 3 Points'!$A$10:$A$145,'Round 3 Points'!$V$10:$V$145,0)+_xlfn.XLOOKUP(A22,'Round 4 Points'!$A$10:$A$147,'Round 4 Points'!$V$10:$V$147,0))</f>
        <v>6.9</v>
      </c>
      <c r="W22" s="72" t="e">
        <f t="shared" si="0"/>
        <v>#VALUE!</v>
      </c>
    </row>
    <row r="23" spans="1:23" ht="16" thickBot="1" x14ac:dyDescent="0.25">
      <c r="A23" s="61" t="s">
        <v>162</v>
      </c>
      <c r="B23" t="s">
        <v>188</v>
      </c>
      <c r="C23" t="s">
        <v>199</v>
      </c>
      <c r="D23" t="e">
        <f>'Summary Data'!D20</f>
        <v>#VALUE!</v>
      </c>
      <c r="E23" s="57" t="e">
        <f>'Summary Data'!E20</f>
        <v>#VALUE!</v>
      </c>
      <c r="F23" s="57" t="e">
        <f>'Summary Data'!F20*C$3</f>
        <v>#VALUE!</v>
      </c>
      <c r="G23" s="57" t="e">
        <f>'Summary Data'!G20*D$3</f>
        <v>#VALUE!</v>
      </c>
      <c r="H23" s="57" t="e">
        <f>'Summary Data'!H20*E$3</f>
        <v>#VALUE!</v>
      </c>
      <c r="I23" s="57" t="e">
        <f>'Summary Data'!I20*F$3</f>
        <v>#VALUE!</v>
      </c>
      <c r="J23" s="57" t="e">
        <f>'Summary Data'!J20*G$3</f>
        <v>#VALUE!</v>
      </c>
      <c r="K23" s="57" t="e">
        <f>'Summary Data'!K20*H$3</f>
        <v>#VALUE!</v>
      </c>
      <c r="L23" s="57" t="e">
        <f>'Summary Data'!L20*I$3</f>
        <v>#VALUE!</v>
      </c>
      <c r="M23" s="57" t="e">
        <f>'Summary Data'!M20*J$3</f>
        <v>#VALUE!</v>
      </c>
      <c r="N23" s="57" t="e">
        <f>'Summary Data'!N20*K$3</f>
        <v>#VALUE!</v>
      </c>
      <c r="O23" s="57" t="e">
        <f>'Summary Data'!O20*L$3</f>
        <v>#VALUE!</v>
      </c>
      <c r="P23" s="57" t="e">
        <f>'Summary Data'!P20*M$3</f>
        <v>#VALUE!</v>
      </c>
      <c r="Q23" s="57" t="e">
        <f>'Summary Data'!Q20*N$3</f>
        <v>#VALUE!</v>
      </c>
      <c r="R23" s="57" t="e">
        <f>'Summary Data'!R20*O$3</f>
        <v>#VALUE!</v>
      </c>
      <c r="S23" s="57" t="e">
        <f>'Summary Data'!S20*P$3</f>
        <v>#VALUE!</v>
      </c>
      <c r="T23" s="57" t="e">
        <f>(_xlfn.XLOOKUP(A23,'Round 1 Points'!$A$10:$A$144,'Round 1 Points'!$T$10:$T$144,0)+_xlfn.XLOOKUP(A23,'Round 2 Points'!$A$10:$A$146,'Round 2 Points'!$T$10:$T$146,0)+_xlfn.XLOOKUP(A23,'Round 3 Points'!$A$10:$A$145,'Round 3 Points'!$T$10:$T$145,0)+_xlfn.XLOOKUP(A23,'Round 4 Points'!$A$10:$A$147,'Round 4 Points'!$T$10:$T$147,0))/D23</f>
        <v>#VALUE!</v>
      </c>
      <c r="U23" s="57" t="e">
        <f>'Summary Data'!T20*Q$3</f>
        <v>#VALUE!</v>
      </c>
      <c r="V23" s="57">
        <f>(_xlfn.XLOOKUP(A23,'Round 1 Points'!$A$10:$A$144,'Round 1 Points'!$V$10:$V$144,0)+_xlfn.XLOOKUP(A23,'Round 2 Points'!$A$10:$A$146,'Round 2 Points'!$V$10:$V$146,0)+_xlfn.XLOOKUP(A23,'Round 3 Points'!$A$10:$A$145,'Round 3 Points'!$V$10:$V$145,0)+_xlfn.XLOOKUP(A23,'Round 4 Points'!$A$10:$A$147,'Round 4 Points'!$V$10:$V$147,0))</f>
        <v>0</v>
      </c>
      <c r="W23" s="72" t="e">
        <f t="shared" si="0"/>
        <v>#VALUE!</v>
      </c>
    </row>
    <row r="24" spans="1:23" ht="16" thickBot="1" x14ac:dyDescent="0.25">
      <c r="A24" s="63" t="s">
        <v>75</v>
      </c>
      <c r="B24" t="s">
        <v>188</v>
      </c>
      <c r="C24" t="s">
        <v>200</v>
      </c>
      <c r="D24" t="e">
        <f>'Summary Data'!D21</f>
        <v>#VALUE!</v>
      </c>
      <c r="E24" s="57" t="e">
        <f>'Summary Data'!E21</f>
        <v>#VALUE!</v>
      </c>
      <c r="F24" s="57" t="e">
        <f>'Summary Data'!F21*C$3</f>
        <v>#VALUE!</v>
      </c>
      <c r="G24" s="57" t="e">
        <f>'Summary Data'!G21*D$3</f>
        <v>#VALUE!</v>
      </c>
      <c r="H24" s="57" t="e">
        <f>'Summary Data'!H21*E$3</f>
        <v>#VALUE!</v>
      </c>
      <c r="I24" s="57" t="e">
        <f>'Summary Data'!I21*F$3</f>
        <v>#VALUE!</v>
      </c>
      <c r="J24" s="57" t="e">
        <f>'Summary Data'!J21*G$3</f>
        <v>#VALUE!</v>
      </c>
      <c r="K24" s="57" t="e">
        <f>'Summary Data'!K21*H$3</f>
        <v>#VALUE!</v>
      </c>
      <c r="L24" s="57" t="e">
        <f>'Summary Data'!L21*I$3</f>
        <v>#VALUE!</v>
      </c>
      <c r="M24" s="57" t="e">
        <f>'Summary Data'!M21*J$3</f>
        <v>#VALUE!</v>
      </c>
      <c r="N24" s="57" t="e">
        <f>'Summary Data'!N21*K$3</f>
        <v>#VALUE!</v>
      </c>
      <c r="O24" s="57" t="e">
        <f>'Summary Data'!O21*L$3</f>
        <v>#VALUE!</v>
      </c>
      <c r="P24" s="57" t="e">
        <f>'Summary Data'!P21*M$3</f>
        <v>#VALUE!</v>
      </c>
      <c r="Q24" s="57" t="e">
        <f>'Summary Data'!Q21*N$3</f>
        <v>#VALUE!</v>
      </c>
      <c r="R24" s="57" t="e">
        <f>'Summary Data'!R21*O$3</f>
        <v>#VALUE!</v>
      </c>
      <c r="S24" s="57" t="e">
        <f>'Summary Data'!S21*P$3</f>
        <v>#VALUE!</v>
      </c>
      <c r="T24" s="57" t="e">
        <f>(_xlfn.XLOOKUP(A24,'Round 1 Points'!$A$10:$A$144,'Round 1 Points'!$T$10:$T$144,0)+_xlfn.XLOOKUP(A24,'Round 2 Points'!$A$10:$A$146,'Round 2 Points'!$T$10:$T$146,0)+_xlfn.XLOOKUP(A24,'Round 3 Points'!$A$10:$A$145,'Round 3 Points'!$T$10:$T$145,0)+_xlfn.XLOOKUP(A24,'Round 4 Points'!$A$10:$A$147,'Round 4 Points'!$T$10:$T$147,0))/D24</f>
        <v>#VALUE!</v>
      </c>
      <c r="U24" s="57" t="e">
        <f>'Summary Data'!T21*Q$3</f>
        <v>#VALUE!</v>
      </c>
      <c r="V24" s="57">
        <f>(_xlfn.XLOOKUP(A24,'Round 1 Points'!$A$10:$A$144,'Round 1 Points'!$V$10:$V$144,0)+_xlfn.XLOOKUP(A24,'Round 2 Points'!$A$10:$A$146,'Round 2 Points'!$V$10:$V$146,0)+_xlfn.XLOOKUP(A24,'Round 3 Points'!$A$10:$A$145,'Round 3 Points'!$V$10:$V$145,0)+_xlfn.XLOOKUP(A24,'Round 4 Points'!$A$10:$A$147,'Round 4 Points'!$V$10:$V$147,0))</f>
        <v>0</v>
      </c>
      <c r="W24" s="72" t="e">
        <f t="shared" si="0"/>
        <v>#VALUE!</v>
      </c>
    </row>
    <row r="25" spans="1:23" ht="16" thickBot="1" x14ac:dyDescent="0.25">
      <c r="A25" s="61" t="s">
        <v>163</v>
      </c>
      <c r="B25" t="s">
        <v>188</v>
      </c>
      <c r="C25" t="s">
        <v>200</v>
      </c>
      <c r="D25" t="e">
        <f>'Summary Data'!D22</f>
        <v>#VALUE!</v>
      </c>
      <c r="E25" s="57" t="e">
        <f>'Summary Data'!E22</f>
        <v>#VALUE!</v>
      </c>
      <c r="F25" s="57" t="e">
        <f>'Summary Data'!F22*C$3</f>
        <v>#VALUE!</v>
      </c>
      <c r="G25" s="57" t="e">
        <f>'Summary Data'!G22*D$3</f>
        <v>#VALUE!</v>
      </c>
      <c r="H25" s="57" t="e">
        <f>'Summary Data'!H22*E$3</f>
        <v>#VALUE!</v>
      </c>
      <c r="I25" s="57" t="e">
        <f>'Summary Data'!I22*F$3</f>
        <v>#VALUE!</v>
      </c>
      <c r="J25" s="57" t="e">
        <f>'Summary Data'!J22*G$3</f>
        <v>#VALUE!</v>
      </c>
      <c r="K25" s="57" t="e">
        <f>'Summary Data'!K22*H$3</f>
        <v>#VALUE!</v>
      </c>
      <c r="L25" s="57" t="e">
        <f>'Summary Data'!L22*I$3</f>
        <v>#VALUE!</v>
      </c>
      <c r="M25" s="57" t="e">
        <f>'Summary Data'!M22*J$3</f>
        <v>#VALUE!</v>
      </c>
      <c r="N25" s="57" t="e">
        <f>'Summary Data'!N22*K$3</f>
        <v>#VALUE!</v>
      </c>
      <c r="O25" s="57" t="e">
        <f>'Summary Data'!O22*L$3</f>
        <v>#VALUE!</v>
      </c>
      <c r="P25" s="57" t="e">
        <f>'Summary Data'!P22*M$3</f>
        <v>#VALUE!</v>
      </c>
      <c r="Q25" s="57" t="e">
        <f>'Summary Data'!Q22*N$3</f>
        <v>#VALUE!</v>
      </c>
      <c r="R25" s="57" t="e">
        <f>'Summary Data'!R22*O$3</f>
        <v>#VALUE!</v>
      </c>
      <c r="S25" s="57" t="e">
        <f>'Summary Data'!S22*P$3</f>
        <v>#VALUE!</v>
      </c>
      <c r="T25" s="57" t="e">
        <f>(_xlfn.XLOOKUP(A25,'Round 1 Points'!$A$10:$A$144,'Round 1 Points'!$T$10:$T$144,0)+_xlfn.XLOOKUP(A25,'Round 2 Points'!$A$10:$A$146,'Round 2 Points'!$T$10:$T$146,0)+_xlfn.XLOOKUP(A25,'Round 3 Points'!$A$10:$A$145,'Round 3 Points'!$T$10:$T$145,0)+_xlfn.XLOOKUP(A25,'Round 4 Points'!$A$10:$A$147,'Round 4 Points'!$T$10:$T$147,0))/D25</f>
        <v>#VALUE!</v>
      </c>
      <c r="U25" s="57" t="e">
        <f>'Summary Data'!T22*Q$3</f>
        <v>#VALUE!</v>
      </c>
      <c r="V25" s="57">
        <f>(_xlfn.XLOOKUP(A25,'Round 1 Points'!$A$10:$A$144,'Round 1 Points'!$V$10:$V$144,0)+_xlfn.XLOOKUP(A25,'Round 2 Points'!$A$10:$A$146,'Round 2 Points'!$V$10:$V$146,0)+_xlfn.XLOOKUP(A25,'Round 3 Points'!$A$10:$A$145,'Round 3 Points'!$V$10:$V$145,0)+_xlfn.XLOOKUP(A25,'Round 4 Points'!$A$10:$A$147,'Round 4 Points'!$V$10:$V$147,0))</f>
        <v>5.3</v>
      </c>
      <c r="W25" s="72" t="e">
        <f t="shared" si="0"/>
        <v>#VALUE!</v>
      </c>
    </row>
    <row r="26" spans="1:23" ht="16" thickBot="1" x14ac:dyDescent="0.25">
      <c r="A26" s="63" t="s">
        <v>77</v>
      </c>
      <c r="B26" t="s">
        <v>188</v>
      </c>
      <c r="C26" t="s">
        <v>200</v>
      </c>
      <c r="D26" t="e">
        <f>'Summary Data'!D23</f>
        <v>#VALUE!</v>
      </c>
      <c r="E26" s="57" t="e">
        <f>'Summary Data'!E23</f>
        <v>#VALUE!</v>
      </c>
      <c r="F26" s="57" t="e">
        <f>'Summary Data'!F23*C$3</f>
        <v>#VALUE!</v>
      </c>
      <c r="G26" s="57" t="e">
        <f>'Summary Data'!G23*D$3</f>
        <v>#VALUE!</v>
      </c>
      <c r="H26" s="57" t="e">
        <f>'Summary Data'!H23*E$3</f>
        <v>#VALUE!</v>
      </c>
      <c r="I26" s="57" t="e">
        <f>'Summary Data'!I23*F$3</f>
        <v>#VALUE!</v>
      </c>
      <c r="J26" s="57" t="e">
        <f>'Summary Data'!J23*G$3</f>
        <v>#VALUE!</v>
      </c>
      <c r="K26" s="57" t="e">
        <f>'Summary Data'!K23*H$3</f>
        <v>#VALUE!</v>
      </c>
      <c r="L26" s="57" t="e">
        <f>'Summary Data'!L23*I$3</f>
        <v>#VALUE!</v>
      </c>
      <c r="M26" s="57" t="e">
        <f>'Summary Data'!M23*J$3</f>
        <v>#VALUE!</v>
      </c>
      <c r="N26" s="57" t="e">
        <f>'Summary Data'!N23*K$3</f>
        <v>#VALUE!</v>
      </c>
      <c r="O26" s="57" t="e">
        <f>'Summary Data'!O23*L$3</f>
        <v>#VALUE!</v>
      </c>
      <c r="P26" s="57" t="e">
        <f>'Summary Data'!P23*M$3</f>
        <v>#VALUE!</v>
      </c>
      <c r="Q26" s="57" t="e">
        <f>'Summary Data'!Q23*N$3</f>
        <v>#VALUE!</v>
      </c>
      <c r="R26" s="57" t="e">
        <f>'Summary Data'!R23*O$3</f>
        <v>#VALUE!</v>
      </c>
      <c r="S26" s="57" t="e">
        <f>'Summary Data'!S23*P$3</f>
        <v>#VALUE!</v>
      </c>
      <c r="T26" s="57" t="e">
        <f>(_xlfn.XLOOKUP(A26,'Round 1 Points'!$A$10:$A$144,'Round 1 Points'!$T$10:$T$144,0)+_xlfn.XLOOKUP(A26,'Round 2 Points'!$A$10:$A$146,'Round 2 Points'!$T$10:$T$146,0)+_xlfn.XLOOKUP(A26,'Round 3 Points'!$A$10:$A$145,'Round 3 Points'!$T$10:$T$145,0)+_xlfn.XLOOKUP(A26,'Round 4 Points'!$A$10:$A$147,'Round 4 Points'!$T$10:$T$147,0))/D26</f>
        <v>#VALUE!</v>
      </c>
      <c r="U26" s="57" t="e">
        <f>'Summary Data'!T23*Q$3</f>
        <v>#VALUE!</v>
      </c>
      <c r="V26" s="57">
        <f>(_xlfn.XLOOKUP(A26,'Round 1 Points'!$A$10:$A$144,'Round 1 Points'!$V$10:$V$144,0)+_xlfn.XLOOKUP(A26,'Round 2 Points'!$A$10:$A$146,'Round 2 Points'!$V$10:$V$146,0)+_xlfn.XLOOKUP(A26,'Round 3 Points'!$A$10:$A$145,'Round 3 Points'!$V$10:$V$145,0)+_xlfn.XLOOKUP(A26,'Round 4 Points'!$A$10:$A$147,'Round 4 Points'!$V$10:$V$147,0))</f>
        <v>2.7</v>
      </c>
      <c r="W26" s="72" t="e">
        <f t="shared" si="0"/>
        <v>#VALUE!</v>
      </c>
    </row>
    <row r="27" spans="1:23" ht="16" thickBot="1" x14ac:dyDescent="0.25">
      <c r="A27" s="61" t="s">
        <v>164</v>
      </c>
      <c r="B27" t="s">
        <v>188</v>
      </c>
      <c r="C27" t="s">
        <v>200</v>
      </c>
      <c r="D27" t="e">
        <f>'Summary Data'!D24</f>
        <v>#VALUE!</v>
      </c>
      <c r="E27" s="57" t="e">
        <f>'Summary Data'!E24</f>
        <v>#VALUE!</v>
      </c>
      <c r="F27" s="57" t="e">
        <f>'Summary Data'!F24*C$3</f>
        <v>#VALUE!</v>
      </c>
      <c r="G27" s="57" t="e">
        <f>'Summary Data'!G24*D$3</f>
        <v>#VALUE!</v>
      </c>
      <c r="H27" s="57" t="e">
        <f>'Summary Data'!H24*E$3</f>
        <v>#VALUE!</v>
      </c>
      <c r="I27" s="57" t="e">
        <f>'Summary Data'!I24*F$3</f>
        <v>#VALUE!</v>
      </c>
      <c r="J27" s="57" t="e">
        <f>'Summary Data'!J24*G$3</f>
        <v>#VALUE!</v>
      </c>
      <c r="K27" s="57" t="e">
        <f>'Summary Data'!K24*H$3</f>
        <v>#VALUE!</v>
      </c>
      <c r="L27" s="57" t="e">
        <f>'Summary Data'!L24*I$3</f>
        <v>#VALUE!</v>
      </c>
      <c r="M27" s="57" t="e">
        <f>'Summary Data'!M24*J$3</f>
        <v>#VALUE!</v>
      </c>
      <c r="N27" s="57" t="e">
        <f>'Summary Data'!N24*K$3</f>
        <v>#VALUE!</v>
      </c>
      <c r="O27" s="57" t="e">
        <f>'Summary Data'!O24*L$3</f>
        <v>#VALUE!</v>
      </c>
      <c r="P27" s="57" t="e">
        <f>'Summary Data'!P24*M$3</f>
        <v>#VALUE!</v>
      </c>
      <c r="Q27" s="57" t="e">
        <f>'Summary Data'!Q24*N$3</f>
        <v>#VALUE!</v>
      </c>
      <c r="R27" s="57" t="e">
        <f>'Summary Data'!R24*O$3</f>
        <v>#VALUE!</v>
      </c>
      <c r="S27" s="57" t="e">
        <f>'Summary Data'!S24*P$3</f>
        <v>#VALUE!</v>
      </c>
      <c r="T27" s="57" t="e">
        <f>(_xlfn.XLOOKUP(A27,'Round 1 Points'!$A$10:$A$144,'Round 1 Points'!$T$10:$T$144,0)+_xlfn.XLOOKUP(A27,'Round 2 Points'!$A$10:$A$146,'Round 2 Points'!$T$10:$T$146,0)+_xlfn.XLOOKUP(A27,'Round 3 Points'!$A$10:$A$145,'Round 3 Points'!$T$10:$T$145,0)+_xlfn.XLOOKUP(A27,'Round 4 Points'!$A$10:$A$147,'Round 4 Points'!$T$10:$T$147,0))/D27</f>
        <v>#VALUE!</v>
      </c>
      <c r="U27" s="57" t="e">
        <f>'Summary Data'!T24*Q$3</f>
        <v>#VALUE!</v>
      </c>
      <c r="V27" s="57">
        <f>(_xlfn.XLOOKUP(A27,'Round 1 Points'!$A$10:$A$144,'Round 1 Points'!$V$10:$V$144,0)+_xlfn.XLOOKUP(A27,'Round 2 Points'!$A$10:$A$146,'Round 2 Points'!$V$10:$V$146,0)+_xlfn.XLOOKUP(A27,'Round 3 Points'!$A$10:$A$145,'Round 3 Points'!$V$10:$V$145,0)+_xlfn.XLOOKUP(A27,'Round 4 Points'!$A$10:$A$147,'Round 4 Points'!$V$10:$V$147,0))</f>
        <v>3.5</v>
      </c>
      <c r="W27" s="72" t="e">
        <f t="shared" si="0"/>
        <v>#VALUE!</v>
      </c>
    </row>
    <row r="28" spans="1:23" ht="16" thickBot="1" x14ac:dyDescent="0.25">
      <c r="A28" s="63" t="s">
        <v>78</v>
      </c>
      <c r="B28" t="s">
        <v>188</v>
      </c>
      <c r="C28" t="s">
        <v>201</v>
      </c>
      <c r="D28" t="e">
        <f>'Summary Data'!D25</f>
        <v>#VALUE!</v>
      </c>
      <c r="E28" s="57" t="e">
        <f>'Summary Data'!E25</f>
        <v>#VALUE!</v>
      </c>
      <c r="F28" s="57" t="e">
        <f>'Summary Data'!F25*C$3</f>
        <v>#VALUE!</v>
      </c>
      <c r="G28" s="57" t="e">
        <f>'Summary Data'!G25*D$3</f>
        <v>#VALUE!</v>
      </c>
      <c r="H28" s="57" t="e">
        <f>'Summary Data'!H25*E$3</f>
        <v>#VALUE!</v>
      </c>
      <c r="I28" s="57" t="e">
        <f>'Summary Data'!I25*F$3</f>
        <v>#VALUE!</v>
      </c>
      <c r="J28" s="57" t="e">
        <f>'Summary Data'!J25*G$3</f>
        <v>#VALUE!</v>
      </c>
      <c r="K28" s="57" t="e">
        <f>'Summary Data'!K25*H$3</f>
        <v>#VALUE!</v>
      </c>
      <c r="L28" s="57" t="e">
        <f>'Summary Data'!L25*I$3</f>
        <v>#VALUE!</v>
      </c>
      <c r="M28" s="57" t="e">
        <f>'Summary Data'!M25*J$3</f>
        <v>#VALUE!</v>
      </c>
      <c r="N28" s="57" t="e">
        <f>'Summary Data'!N25*K$3</f>
        <v>#VALUE!</v>
      </c>
      <c r="O28" s="57" t="e">
        <f>'Summary Data'!O25*L$3</f>
        <v>#VALUE!</v>
      </c>
      <c r="P28" s="57" t="e">
        <f>'Summary Data'!P25*M$3</f>
        <v>#VALUE!</v>
      </c>
      <c r="Q28" s="57" t="e">
        <f>'Summary Data'!Q25*N$3</f>
        <v>#VALUE!</v>
      </c>
      <c r="R28" s="57" t="e">
        <f>'Summary Data'!R25*O$3</f>
        <v>#VALUE!</v>
      </c>
      <c r="S28" s="57" t="e">
        <f>'Summary Data'!S25*P$3</f>
        <v>#VALUE!</v>
      </c>
      <c r="T28" s="57" t="e">
        <f>(_xlfn.XLOOKUP(A28,'Round 1 Points'!$A$10:$A$144,'Round 1 Points'!$T$10:$T$144,0)+_xlfn.XLOOKUP(A28,'Round 2 Points'!$A$10:$A$146,'Round 2 Points'!$T$10:$T$146,0)+_xlfn.XLOOKUP(A28,'Round 3 Points'!$A$10:$A$145,'Round 3 Points'!$T$10:$T$145,0)+_xlfn.XLOOKUP(A28,'Round 4 Points'!$A$10:$A$147,'Round 4 Points'!$T$10:$T$147,0))/D28</f>
        <v>#VALUE!</v>
      </c>
      <c r="U28" s="57" t="e">
        <f>'Summary Data'!T25*Q$3</f>
        <v>#VALUE!</v>
      </c>
      <c r="V28" s="57">
        <f>(_xlfn.XLOOKUP(A28,'Round 1 Points'!$A$10:$A$144,'Round 1 Points'!$V$10:$V$144,0)+_xlfn.XLOOKUP(A28,'Round 2 Points'!$A$10:$A$146,'Round 2 Points'!$V$10:$V$146,0)+_xlfn.XLOOKUP(A28,'Round 3 Points'!$A$10:$A$145,'Round 3 Points'!$V$10:$V$145,0)+_xlfn.XLOOKUP(A28,'Round 4 Points'!$A$10:$A$147,'Round 4 Points'!$V$10:$V$147,0))</f>
        <v>0.6</v>
      </c>
      <c r="W28" s="72" t="e">
        <f t="shared" si="0"/>
        <v>#VALUE!</v>
      </c>
    </row>
    <row r="29" spans="1:23" ht="16" thickBot="1" x14ac:dyDescent="0.25">
      <c r="A29" s="61" t="s">
        <v>79</v>
      </c>
      <c r="B29" t="s">
        <v>188</v>
      </c>
      <c r="C29" t="s">
        <v>201</v>
      </c>
      <c r="D29" t="e">
        <f>'Summary Data'!D26</f>
        <v>#VALUE!</v>
      </c>
      <c r="E29" s="57" t="e">
        <f>'Summary Data'!E26</f>
        <v>#VALUE!</v>
      </c>
      <c r="F29" s="57" t="e">
        <f>'Summary Data'!F26*C$3</f>
        <v>#VALUE!</v>
      </c>
      <c r="G29" s="57" t="e">
        <f>'Summary Data'!G26*D$3</f>
        <v>#VALUE!</v>
      </c>
      <c r="H29" s="57" t="e">
        <f>'Summary Data'!H26*E$3</f>
        <v>#VALUE!</v>
      </c>
      <c r="I29" s="57" t="e">
        <f>'Summary Data'!I26*F$3</f>
        <v>#VALUE!</v>
      </c>
      <c r="J29" s="57" t="e">
        <f>'Summary Data'!J26*G$3</f>
        <v>#VALUE!</v>
      </c>
      <c r="K29" s="57" t="e">
        <f>'Summary Data'!K26*H$3</f>
        <v>#VALUE!</v>
      </c>
      <c r="L29" s="57" t="e">
        <f>'Summary Data'!L26*I$3</f>
        <v>#VALUE!</v>
      </c>
      <c r="M29" s="57" t="e">
        <f>'Summary Data'!M26*J$3</f>
        <v>#VALUE!</v>
      </c>
      <c r="N29" s="57" t="e">
        <f>'Summary Data'!N26*K$3</f>
        <v>#VALUE!</v>
      </c>
      <c r="O29" s="57" t="e">
        <f>'Summary Data'!O26*L$3</f>
        <v>#VALUE!</v>
      </c>
      <c r="P29" s="57" t="e">
        <f>'Summary Data'!P26*M$3</f>
        <v>#VALUE!</v>
      </c>
      <c r="Q29" s="57" t="e">
        <f>'Summary Data'!Q26*N$3</f>
        <v>#VALUE!</v>
      </c>
      <c r="R29" s="57" t="e">
        <f>'Summary Data'!R26*O$3</f>
        <v>#VALUE!</v>
      </c>
      <c r="S29" s="57" t="e">
        <f>'Summary Data'!S26*P$3</f>
        <v>#VALUE!</v>
      </c>
      <c r="T29" s="57" t="e">
        <f>(_xlfn.XLOOKUP(A29,'Round 1 Points'!$A$10:$A$144,'Round 1 Points'!$T$10:$T$144,0)+_xlfn.XLOOKUP(A29,'Round 2 Points'!$A$10:$A$146,'Round 2 Points'!$T$10:$T$146,0)+_xlfn.XLOOKUP(A29,'Round 3 Points'!$A$10:$A$145,'Round 3 Points'!$T$10:$T$145,0)+_xlfn.XLOOKUP(A29,'Round 4 Points'!$A$10:$A$147,'Round 4 Points'!$T$10:$T$147,0))/D29</f>
        <v>#VALUE!</v>
      </c>
      <c r="U29" s="57" t="e">
        <f>'Summary Data'!T26*Q$3</f>
        <v>#VALUE!</v>
      </c>
      <c r="V29" s="57">
        <f>(_xlfn.XLOOKUP(A29,'Round 1 Points'!$A$10:$A$144,'Round 1 Points'!$V$10:$V$144,0)+_xlfn.XLOOKUP(A29,'Round 2 Points'!$A$10:$A$146,'Round 2 Points'!$V$10:$V$146,0)+_xlfn.XLOOKUP(A29,'Round 3 Points'!$A$10:$A$145,'Round 3 Points'!$V$10:$V$145,0)+_xlfn.XLOOKUP(A29,'Round 4 Points'!$A$10:$A$147,'Round 4 Points'!$V$10:$V$147,0))</f>
        <v>7.4</v>
      </c>
      <c r="W29" s="72" t="e">
        <f t="shared" si="0"/>
        <v>#VALUE!</v>
      </c>
    </row>
    <row r="30" spans="1:23" ht="16" thickBot="1" x14ac:dyDescent="0.25">
      <c r="A30" s="61" t="s">
        <v>126</v>
      </c>
      <c r="B30" t="s">
        <v>189</v>
      </c>
      <c r="C30" t="s">
        <v>194</v>
      </c>
      <c r="D30" t="e">
        <f>'Summary Data'!D27</f>
        <v>#VALUE!</v>
      </c>
      <c r="E30" s="57" t="e">
        <f>'Summary Data'!E27</f>
        <v>#VALUE!</v>
      </c>
      <c r="F30" s="57" t="e">
        <f>'Summary Data'!F27*C$3</f>
        <v>#VALUE!</v>
      </c>
      <c r="G30" s="57" t="e">
        <f>'Summary Data'!G27*D$3</f>
        <v>#VALUE!</v>
      </c>
      <c r="H30" s="57" t="e">
        <f>'Summary Data'!H27*E$3</f>
        <v>#VALUE!</v>
      </c>
      <c r="I30" s="57" t="e">
        <f>'Summary Data'!I27*F$3</f>
        <v>#VALUE!</v>
      </c>
      <c r="J30" s="57" t="e">
        <f>'Summary Data'!J27*G$3</f>
        <v>#VALUE!</v>
      </c>
      <c r="K30" s="57" t="e">
        <f>'Summary Data'!K27*H$3</f>
        <v>#VALUE!</v>
      </c>
      <c r="L30" s="57" t="e">
        <f>'Summary Data'!L27*I$3</f>
        <v>#VALUE!</v>
      </c>
      <c r="M30" s="57" t="e">
        <f>'Summary Data'!M27*J$3</f>
        <v>#VALUE!</v>
      </c>
      <c r="N30" s="57" t="e">
        <f>'Summary Data'!N27*K$3</f>
        <v>#VALUE!</v>
      </c>
      <c r="O30" s="57" t="e">
        <f>'Summary Data'!O27*L$3</f>
        <v>#VALUE!</v>
      </c>
      <c r="P30" s="57" t="e">
        <f>'Summary Data'!P27*M$3</f>
        <v>#VALUE!</v>
      </c>
      <c r="Q30" s="57" t="e">
        <f>'Summary Data'!Q27*N$3</f>
        <v>#VALUE!</v>
      </c>
      <c r="R30" s="57" t="e">
        <f>'Summary Data'!R27*O$3</f>
        <v>#VALUE!</v>
      </c>
      <c r="S30" s="57" t="e">
        <f>'Summary Data'!S27*P$3</f>
        <v>#VALUE!</v>
      </c>
      <c r="T30" s="57" t="e">
        <f>(_xlfn.XLOOKUP(A30,'Round 1 Points'!$A$10:$A$144,'Round 1 Points'!$T$10:$T$144,0)+_xlfn.XLOOKUP(A30,'Round 2 Points'!$A$10:$A$146,'Round 2 Points'!$T$10:$T$146,0)+_xlfn.XLOOKUP(A30,'Round 3 Points'!$A$10:$A$145,'Round 3 Points'!$T$10:$T$145,0)+_xlfn.XLOOKUP(A30,'Round 4 Points'!$A$10:$A$147,'Round 4 Points'!$T$10:$T$147,0))/D30</f>
        <v>#VALUE!</v>
      </c>
      <c r="U30" s="57" t="e">
        <f>'Summary Data'!T27*Q$3</f>
        <v>#VALUE!</v>
      </c>
      <c r="V30" s="57">
        <f>(_xlfn.XLOOKUP(A30,'Round 1 Points'!$A$10:$A$144,'Round 1 Points'!$V$10:$V$144,0)+_xlfn.XLOOKUP(A30,'Round 2 Points'!$A$10:$A$146,'Round 2 Points'!$V$10:$V$146,0)+_xlfn.XLOOKUP(A30,'Round 3 Points'!$A$10:$A$145,'Round 3 Points'!$V$10:$V$145,0)+_xlfn.XLOOKUP(A30,'Round 4 Points'!$A$10:$A$147,'Round 4 Points'!$V$10:$V$147,0))</f>
        <v>32</v>
      </c>
      <c r="W30" s="72" t="e">
        <f t="shared" si="0"/>
        <v>#VALUE!</v>
      </c>
    </row>
    <row r="31" spans="1:23" ht="16" thickBot="1" x14ac:dyDescent="0.25">
      <c r="A31" s="63" t="s">
        <v>127</v>
      </c>
      <c r="B31" t="s">
        <v>189</v>
      </c>
      <c r="C31" t="s">
        <v>194</v>
      </c>
      <c r="D31" t="e">
        <f>'Summary Data'!D28</f>
        <v>#VALUE!</v>
      </c>
      <c r="E31" s="57" t="e">
        <f>'Summary Data'!E28</f>
        <v>#VALUE!</v>
      </c>
      <c r="F31" s="57" t="e">
        <f>'Summary Data'!F28*C$3</f>
        <v>#VALUE!</v>
      </c>
      <c r="G31" s="57" t="e">
        <f>'Summary Data'!G28*D$3</f>
        <v>#VALUE!</v>
      </c>
      <c r="H31" s="57" t="e">
        <f>'Summary Data'!H28*E$3</f>
        <v>#VALUE!</v>
      </c>
      <c r="I31" s="57" t="e">
        <f>'Summary Data'!I28*F$3</f>
        <v>#VALUE!</v>
      </c>
      <c r="J31" s="57" t="e">
        <f>'Summary Data'!J28*G$3</f>
        <v>#VALUE!</v>
      </c>
      <c r="K31" s="57" t="e">
        <f>'Summary Data'!K28*H$3</f>
        <v>#VALUE!</v>
      </c>
      <c r="L31" s="57" t="e">
        <f>'Summary Data'!L28*I$3</f>
        <v>#VALUE!</v>
      </c>
      <c r="M31" s="57" t="e">
        <f>'Summary Data'!M28*J$3</f>
        <v>#VALUE!</v>
      </c>
      <c r="N31" s="57" t="e">
        <f>'Summary Data'!N28*K$3</f>
        <v>#VALUE!</v>
      </c>
      <c r="O31" s="57" t="e">
        <f>'Summary Data'!O28*L$3</f>
        <v>#VALUE!</v>
      </c>
      <c r="P31" s="57" t="e">
        <f>'Summary Data'!P28*M$3</f>
        <v>#VALUE!</v>
      </c>
      <c r="Q31" s="57" t="e">
        <f>'Summary Data'!Q28*N$3</f>
        <v>#VALUE!</v>
      </c>
      <c r="R31" s="57" t="e">
        <f>'Summary Data'!R28*O$3</f>
        <v>#VALUE!</v>
      </c>
      <c r="S31" s="57" t="e">
        <f>'Summary Data'!S28*P$3</f>
        <v>#VALUE!</v>
      </c>
      <c r="T31" s="57" t="e">
        <f>(_xlfn.XLOOKUP(A31,'Round 1 Points'!$A$10:$A$144,'Round 1 Points'!$T$10:$T$144,0)+_xlfn.XLOOKUP(A31,'Round 2 Points'!$A$10:$A$146,'Round 2 Points'!$T$10:$T$146,0)+_xlfn.XLOOKUP(A31,'Round 3 Points'!$A$10:$A$145,'Round 3 Points'!$T$10:$T$145,0)+_xlfn.XLOOKUP(A31,'Round 4 Points'!$A$10:$A$147,'Round 4 Points'!$T$10:$T$147,0))/D31</f>
        <v>#VALUE!</v>
      </c>
      <c r="U31" s="57" t="e">
        <f>'Summary Data'!T28*Q$3</f>
        <v>#VALUE!</v>
      </c>
      <c r="V31" s="57">
        <f>(_xlfn.XLOOKUP(A31,'Round 1 Points'!$A$10:$A$144,'Round 1 Points'!$V$10:$V$144,0)+_xlfn.XLOOKUP(A31,'Round 2 Points'!$A$10:$A$146,'Round 2 Points'!$V$10:$V$146,0)+_xlfn.XLOOKUP(A31,'Round 3 Points'!$A$10:$A$145,'Round 3 Points'!$V$10:$V$145,0)+_xlfn.XLOOKUP(A31,'Round 4 Points'!$A$10:$A$147,'Round 4 Points'!$V$10:$V$147,0))</f>
        <v>32</v>
      </c>
      <c r="W31" s="72" t="e">
        <f t="shared" si="0"/>
        <v>#VALUE!</v>
      </c>
    </row>
    <row r="32" spans="1:23" ht="16" thickBot="1" x14ac:dyDescent="0.25">
      <c r="A32" s="61" t="s">
        <v>128</v>
      </c>
      <c r="B32" t="s">
        <v>189</v>
      </c>
      <c r="C32" t="s">
        <v>194</v>
      </c>
      <c r="D32" t="e">
        <f>'Summary Data'!D29</f>
        <v>#VALUE!</v>
      </c>
      <c r="E32" s="57" t="e">
        <f>'Summary Data'!E29</f>
        <v>#VALUE!</v>
      </c>
      <c r="F32" s="57" t="e">
        <f>'Summary Data'!F29*C$3</f>
        <v>#VALUE!</v>
      </c>
      <c r="G32" s="57" t="e">
        <f>'Summary Data'!G29*D$3</f>
        <v>#VALUE!</v>
      </c>
      <c r="H32" s="57" t="e">
        <f>'Summary Data'!H29*E$3</f>
        <v>#VALUE!</v>
      </c>
      <c r="I32" s="57" t="e">
        <f>'Summary Data'!I29*F$3</f>
        <v>#VALUE!</v>
      </c>
      <c r="J32" s="57" t="e">
        <f>'Summary Data'!J29*G$3</f>
        <v>#VALUE!</v>
      </c>
      <c r="K32" s="57" t="e">
        <f>'Summary Data'!K29*H$3</f>
        <v>#VALUE!</v>
      </c>
      <c r="L32" s="57" t="e">
        <f>'Summary Data'!L29*I$3</f>
        <v>#VALUE!</v>
      </c>
      <c r="M32" s="57" t="e">
        <f>'Summary Data'!M29*J$3</f>
        <v>#VALUE!</v>
      </c>
      <c r="N32" s="57" t="e">
        <f>'Summary Data'!N29*K$3</f>
        <v>#VALUE!</v>
      </c>
      <c r="O32" s="57" t="e">
        <f>'Summary Data'!O29*L$3</f>
        <v>#VALUE!</v>
      </c>
      <c r="P32" s="57" t="e">
        <f>'Summary Data'!P29*M$3</f>
        <v>#VALUE!</v>
      </c>
      <c r="Q32" s="57" t="e">
        <f>'Summary Data'!Q29*N$3</f>
        <v>#VALUE!</v>
      </c>
      <c r="R32" s="57" t="e">
        <f>'Summary Data'!R29*O$3</f>
        <v>#VALUE!</v>
      </c>
      <c r="S32" s="57" t="e">
        <f>'Summary Data'!S29*P$3</f>
        <v>#VALUE!</v>
      </c>
      <c r="T32" s="57" t="e">
        <f>(_xlfn.XLOOKUP(A32,'Round 1 Points'!$A$10:$A$144,'Round 1 Points'!$T$10:$T$144,0)+_xlfn.XLOOKUP(A32,'Round 2 Points'!$A$10:$A$146,'Round 2 Points'!$T$10:$T$146,0)+_xlfn.XLOOKUP(A32,'Round 3 Points'!$A$10:$A$145,'Round 3 Points'!$T$10:$T$145,0)+_xlfn.XLOOKUP(A32,'Round 4 Points'!$A$10:$A$147,'Round 4 Points'!$T$10:$T$147,0))/D32</f>
        <v>#VALUE!</v>
      </c>
      <c r="U32" s="57" t="e">
        <f>'Summary Data'!T29*Q$3</f>
        <v>#VALUE!</v>
      </c>
      <c r="V32" s="57">
        <f>(_xlfn.XLOOKUP(A32,'Round 1 Points'!$A$10:$A$144,'Round 1 Points'!$V$10:$V$144,0)+_xlfn.XLOOKUP(A32,'Round 2 Points'!$A$10:$A$146,'Round 2 Points'!$V$10:$V$146,0)+_xlfn.XLOOKUP(A32,'Round 3 Points'!$A$10:$A$145,'Round 3 Points'!$V$10:$V$145,0)+_xlfn.XLOOKUP(A32,'Round 4 Points'!$A$10:$A$147,'Round 4 Points'!$V$10:$V$147,0))</f>
        <v>32</v>
      </c>
      <c r="W32" s="72" t="e">
        <f t="shared" si="0"/>
        <v>#VALUE!</v>
      </c>
    </row>
    <row r="33" spans="1:23" ht="16" thickBot="1" x14ac:dyDescent="0.25">
      <c r="A33" s="63" t="s">
        <v>129</v>
      </c>
      <c r="B33" t="s">
        <v>189</v>
      </c>
      <c r="C33" t="s">
        <v>195</v>
      </c>
      <c r="D33" t="e">
        <f>'Summary Data'!D30</f>
        <v>#VALUE!</v>
      </c>
      <c r="E33" s="57" t="e">
        <f>'Summary Data'!E30</f>
        <v>#VALUE!</v>
      </c>
      <c r="F33" s="57" t="e">
        <f>'Summary Data'!F30*C$3</f>
        <v>#VALUE!</v>
      </c>
      <c r="G33" s="57" t="e">
        <f>'Summary Data'!G30*D$3</f>
        <v>#VALUE!</v>
      </c>
      <c r="H33" s="57" t="e">
        <f>'Summary Data'!H30*E$3</f>
        <v>#VALUE!</v>
      </c>
      <c r="I33" s="57" t="e">
        <f>'Summary Data'!I30*F$3</f>
        <v>#VALUE!</v>
      </c>
      <c r="J33" s="57" t="e">
        <f>'Summary Data'!J30*G$3</f>
        <v>#VALUE!</v>
      </c>
      <c r="K33" s="57" t="e">
        <f>'Summary Data'!K30*H$3</f>
        <v>#VALUE!</v>
      </c>
      <c r="L33" s="57" t="e">
        <f>'Summary Data'!L30*I$3</f>
        <v>#VALUE!</v>
      </c>
      <c r="M33" s="57" t="e">
        <f>'Summary Data'!M30*J$3</f>
        <v>#VALUE!</v>
      </c>
      <c r="N33" s="57" t="e">
        <f>'Summary Data'!N30*K$3</f>
        <v>#VALUE!</v>
      </c>
      <c r="O33" s="57" t="e">
        <f>'Summary Data'!O30*L$3</f>
        <v>#VALUE!</v>
      </c>
      <c r="P33" s="57" t="e">
        <f>'Summary Data'!P30*M$3</f>
        <v>#VALUE!</v>
      </c>
      <c r="Q33" s="57" t="e">
        <f>'Summary Data'!Q30*N$3</f>
        <v>#VALUE!</v>
      </c>
      <c r="R33" s="57" t="e">
        <f>'Summary Data'!R30*O$3</f>
        <v>#VALUE!</v>
      </c>
      <c r="S33" s="57" t="e">
        <f>'Summary Data'!S30*P$3</f>
        <v>#VALUE!</v>
      </c>
      <c r="T33" s="57" t="e">
        <f>(_xlfn.XLOOKUP(A33,'Round 1 Points'!$A$10:$A$144,'Round 1 Points'!$T$10:$T$144,0)+_xlfn.XLOOKUP(A33,'Round 2 Points'!$A$10:$A$146,'Round 2 Points'!$T$10:$T$146,0)+_xlfn.XLOOKUP(A33,'Round 3 Points'!$A$10:$A$145,'Round 3 Points'!$T$10:$T$145,0)+_xlfn.XLOOKUP(A33,'Round 4 Points'!$A$10:$A$147,'Round 4 Points'!$T$10:$T$147,0))/D33</f>
        <v>#VALUE!</v>
      </c>
      <c r="U33" s="57" t="e">
        <f>'Summary Data'!T30*Q$3</f>
        <v>#VALUE!</v>
      </c>
      <c r="V33" s="57">
        <f>(_xlfn.XLOOKUP(A33,'Round 1 Points'!$A$10:$A$144,'Round 1 Points'!$V$10:$V$144,0)+_xlfn.XLOOKUP(A33,'Round 2 Points'!$A$10:$A$146,'Round 2 Points'!$V$10:$V$146,0)+_xlfn.XLOOKUP(A33,'Round 3 Points'!$A$10:$A$145,'Round 3 Points'!$V$10:$V$145,0)+_xlfn.XLOOKUP(A33,'Round 4 Points'!$A$10:$A$147,'Round 4 Points'!$V$10:$V$147,0))</f>
        <v>18.8</v>
      </c>
      <c r="W33" s="72" t="e">
        <f t="shared" si="0"/>
        <v>#VALUE!</v>
      </c>
    </row>
    <row r="34" spans="1:23" ht="16" thickBot="1" x14ac:dyDescent="0.25">
      <c r="A34" s="61" t="s">
        <v>130</v>
      </c>
      <c r="B34" t="s">
        <v>189</v>
      </c>
      <c r="C34" t="s">
        <v>195</v>
      </c>
      <c r="D34" t="e">
        <f>'Summary Data'!D31</f>
        <v>#VALUE!</v>
      </c>
      <c r="E34" s="57" t="e">
        <f>'Summary Data'!E31</f>
        <v>#VALUE!</v>
      </c>
      <c r="F34" s="57" t="e">
        <f>'Summary Data'!F31*C$3</f>
        <v>#VALUE!</v>
      </c>
      <c r="G34" s="57" t="e">
        <f>'Summary Data'!G31*D$3</f>
        <v>#VALUE!</v>
      </c>
      <c r="H34" s="57" t="e">
        <f>'Summary Data'!H31*E$3</f>
        <v>#VALUE!</v>
      </c>
      <c r="I34" s="57" t="e">
        <f>'Summary Data'!I31*F$3</f>
        <v>#VALUE!</v>
      </c>
      <c r="J34" s="57" t="e">
        <f>'Summary Data'!J31*G$3</f>
        <v>#VALUE!</v>
      </c>
      <c r="K34" s="57" t="e">
        <f>'Summary Data'!K31*H$3</f>
        <v>#VALUE!</v>
      </c>
      <c r="L34" s="57" t="e">
        <f>'Summary Data'!L31*I$3</f>
        <v>#VALUE!</v>
      </c>
      <c r="M34" s="57" t="e">
        <f>'Summary Data'!M31*J$3</f>
        <v>#VALUE!</v>
      </c>
      <c r="N34" s="57" t="e">
        <f>'Summary Data'!N31*K$3</f>
        <v>#VALUE!</v>
      </c>
      <c r="O34" s="57" t="e">
        <f>'Summary Data'!O31*L$3</f>
        <v>#VALUE!</v>
      </c>
      <c r="P34" s="57" t="e">
        <f>'Summary Data'!P31*M$3</f>
        <v>#VALUE!</v>
      </c>
      <c r="Q34" s="57" t="e">
        <f>'Summary Data'!Q31*N$3</f>
        <v>#VALUE!</v>
      </c>
      <c r="R34" s="57" t="e">
        <f>'Summary Data'!R31*O$3</f>
        <v>#VALUE!</v>
      </c>
      <c r="S34" s="57" t="e">
        <f>'Summary Data'!S31*P$3</f>
        <v>#VALUE!</v>
      </c>
      <c r="T34" s="57" t="e">
        <f>(_xlfn.XLOOKUP(A34,'Round 1 Points'!$A$10:$A$144,'Round 1 Points'!$T$10:$T$144,0)+_xlfn.XLOOKUP(A34,'Round 2 Points'!$A$10:$A$146,'Round 2 Points'!$T$10:$T$146,0)+_xlfn.XLOOKUP(A34,'Round 3 Points'!$A$10:$A$145,'Round 3 Points'!$T$10:$T$145,0)+_xlfn.XLOOKUP(A34,'Round 4 Points'!$A$10:$A$147,'Round 4 Points'!$T$10:$T$147,0))/D34</f>
        <v>#VALUE!</v>
      </c>
      <c r="U34" s="57" t="e">
        <f>'Summary Data'!T31*Q$3</f>
        <v>#VALUE!</v>
      </c>
      <c r="V34" s="57">
        <f>(_xlfn.XLOOKUP(A34,'Round 1 Points'!$A$10:$A$144,'Round 1 Points'!$V$10:$V$144,0)+_xlfn.XLOOKUP(A34,'Round 2 Points'!$A$10:$A$146,'Round 2 Points'!$V$10:$V$146,0)+_xlfn.XLOOKUP(A34,'Round 3 Points'!$A$10:$A$145,'Round 3 Points'!$V$10:$V$145,0)+_xlfn.XLOOKUP(A34,'Round 4 Points'!$A$10:$A$147,'Round 4 Points'!$V$10:$V$147,0))</f>
        <v>19.8</v>
      </c>
      <c r="W34" s="72" t="e">
        <f t="shared" si="0"/>
        <v>#VALUE!</v>
      </c>
    </row>
    <row r="35" spans="1:23" ht="16" thickBot="1" x14ac:dyDescent="0.25">
      <c r="A35" s="63" t="s">
        <v>131</v>
      </c>
      <c r="B35" t="s">
        <v>189</v>
      </c>
      <c r="C35" t="s">
        <v>195</v>
      </c>
      <c r="D35" t="e">
        <f>'Summary Data'!D32</f>
        <v>#VALUE!</v>
      </c>
      <c r="E35" s="57" t="e">
        <f>'Summary Data'!E32</f>
        <v>#VALUE!</v>
      </c>
      <c r="F35" s="57" t="e">
        <f>'Summary Data'!F32*C$3</f>
        <v>#VALUE!</v>
      </c>
      <c r="G35" s="57" t="e">
        <f>'Summary Data'!G32*D$3</f>
        <v>#VALUE!</v>
      </c>
      <c r="H35" s="57" t="e">
        <f>'Summary Data'!H32*E$3</f>
        <v>#VALUE!</v>
      </c>
      <c r="I35" s="57" t="e">
        <f>'Summary Data'!I32*F$3</f>
        <v>#VALUE!</v>
      </c>
      <c r="J35" s="57" t="e">
        <f>'Summary Data'!J32*G$3</f>
        <v>#VALUE!</v>
      </c>
      <c r="K35" s="57" t="e">
        <f>'Summary Data'!K32*H$3</f>
        <v>#VALUE!</v>
      </c>
      <c r="L35" s="57" t="e">
        <f>'Summary Data'!L32*I$3</f>
        <v>#VALUE!</v>
      </c>
      <c r="M35" s="57" t="e">
        <f>'Summary Data'!M32*J$3</f>
        <v>#VALUE!</v>
      </c>
      <c r="N35" s="57" t="e">
        <f>'Summary Data'!N32*K$3</f>
        <v>#VALUE!</v>
      </c>
      <c r="O35" s="57" t="e">
        <f>'Summary Data'!O32*L$3</f>
        <v>#VALUE!</v>
      </c>
      <c r="P35" s="57" t="e">
        <f>'Summary Data'!P32*M$3</f>
        <v>#VALUE!</v>
      </c>
      <c r="Q35" s="57" t="e">
        <f>'Summary Data'!Q32*N$3</f>
        <v>#VALUE!</v>
      </c>
      <c r="R35" s="57" t="e">
        <f>'Summary Data'!R32*O$3</f>
        <v>#VALUE!</v>
      </c>
      <c r="S35" s="57" t="e">
        <f>'Summary Data'!S32*P$3</f>
        <v>#VALUE!</v>
      </c>
      <c r="T35" s="57" t="e">
        <f>(_xlfn.XLOOKUP(A35,'Round 1 Points'!$A$10:$A$144,'Round 1 Points'!$T$10:$T$144,0)+_xlfn.XLOOKUP(A35,'Round 2 Points'!$A$10:$A$146,'Round 2 Points'!$T$10:$T$146,0)+_xlfn.XLOOKUP(A35,'Round 3 Points'!$A$10:$A$145,'Round 3 Points'!$T$10:$T$145,0)+_xlfn.XLOOKUP(A35,'Round 4 Points'!$A$10:$A$147,'Round 4 Points'!$T$10:$T$147,0))/D35</f>
        <v>#VALUE!</v>
      </c>
      <c r="U35" s="57" t="e">
        <f>'Summary Data'!T32*Q$3</f>
        <v>#VALUE!</v>
      </c>
      <c r="V35" s="57">
        <f>(_xlfn.XLOOKUP(A35,'Round 1 Points'!$A$10:$A$144,'Round 1 Points'!$V$10:$V$144,0)+_xlfn.XLOOKUP(A35,'Round 2 Points'!$A$10:$A$146,'Round 2 Points'!$V$10:$V$146,0)+_xlfn.XLOOKUP(A35,'Round 3 Points'!$A$10:$A$145,'Round 3 Points'!$V$10:$V$145,0)+_xlfn.XLOOKUP(A35,'Round 4 Points'!$A$10:$A$147,'Round 4 Points'!$V$10:$V$147,0))</f>
        <v>23.2</v>
      </c>
      <c r="W35" s="72" t="e">
        <f t="shared" si="0"/>
        <v>#VALUE!</v>
      </c>
    </row>
    <row r="36" spans="1:23" ht="16" thickBot="1" x14ac:dyDescent="0.25">
      <c r="A36" s="61" t="s">
        <v>132</v>
      </c>
      <c r="B36" t="s">
        <v>189</v>
      </c>
      <c r="C36" t="s">
        <v>196</v>
      </c>
      <c r="D36" t="e">
        <f>'Summary Data'!D33</f>
        <v>#VALUE!</v>
      </c>
      <c r="E36" s="57" t="e">
        <f>'Summary Data'!E33</f>
        <v>#VALUE!</v>
      </c>
      <c r="F36" s="57" t="e">
        <f>'Summary Data'!F33*C$3</f>
        <v>#VALUE!</v>
      </c>
      <c r="G36" s="57" t="e">
        <f>'Summary Data'!G33*D$3</f>
        <v>#VALUE!</v>
      </c>
      <c r="H36" s="57" t="e">
        <f>'Summary Data'!H33*E$3</f>
        <v>#VALUE!</v>
      </c>
      <c r="I36" s="57" t="e">
        <f>'Summary Data'!I33*F$3</f>
        <v>#VALUE!</v>
      </c>
      <c r="J36" s="57" t="e">
        <f>'Summary Data'!J33*G$3</f>
        <v>#VALUE!</v>
      </c>
      <c r="K36" s="57" t="e">
        <f>'Summary Data'!K33*H$3</f>
        <v>#VALUE!</v>
      </c>
      <c r="L36" s="57" t="e">
        <f>'Summary Data'!L33*I$3</f>
        <v>#VALUE!</v>
      </c>
      <c r="M36" s="57" t="e">
        <f>'Summary Data'!M33*J$3</f>
        <v>#VALUE!</v>
      </c>
      <c r="N36" s="57" t="e">
        <f>'Summary Data'!N33*K$3</f>
        <v>#VALUE!</v>
      </c>
      <c r="O36" s="57" t="e">
        <f>'Summary Data'!O33*L$3</f>
        <v>#VALUE!</v>
      </c>
      <c r="P36" s="57" t="e">
        <f>'Summary Data'!P33*M$3</f>
        <v>#VALUE!</v>
      </c>
      <c r="Q36" s="57" t="e">
        <f>'Summary Data'!Q33*N$3</f>
        <v>#VALUE!</v>
      </c>
      <c r="R36" s="57" t="e">
        <f>'Summary Data'!R33*O$3</f>
        <v>#VALUE!</v>
      </c>
      <c r="S36" s="57" t="e">
        <f>'Summary Data'!S33*P$3</f>
        <v>#VALUE!</v>
      </c>
      <c r="T36" s="57" t="e">
        <f>(_xlfn.XLOOKUP(A36,'Round 1 Points'!$A$10:$A$144,'Round 1 Points'!$T$10:$T$144,0)+_xlfn.XLOOKUP(A36,'Round 2 Points'!$A$10:$A$146,'Round 2 Points'!$T$10:$T$146,0)+_xlfn.XLOOKUP(A36,'Round 3 Points'!$A$10:$A$145,'Round 3 Points'!$T$10:$T$145,0)+_xlfn.XLOOKUP(A36,'Round 4 Points'!$A$10:$A$147,'Round 4 Points'!$T$10:$T$147,0))/D36</f>
        <v>#VALUE!</v>
      </c>
      <c r="U36" s="57" t="e">
        <f>'Summary Data'!T33*Q$3</f>
        <v>#VALUE!</v>
      </c>
      <c r="V36" s="57">
        <f>(_xlfn.XLOOKUP(A36,'Round 1 Points'!$A$10:$A$144,'Round 1 Points'!$V$10:$V$144,0)+_xlfn.XLOOKUP(A36,'Round 2 Points'!$A$10:$A$146,'Round 2 Points'!$V$10:$V$146,0)+_xlfn.XLOOKUP(A36,'Round 3 Points'!$A$10:$A$145,'Round 3 Points'!$V$10:$V$145,0)+_xlfn.XLOOKUP(A36,'Round 4 Points'!$A$10:$A$147,'Round 4 Points'!$V$10:$V$147,0))</f>
        <v>13.2</v>
      </c>
      <c r="W36" s="72" t="e">
        <f t="shared" si="0"/>
        <v>#VALUE!</v>
      </c>
    </row>
    <row r="37" spans="1:23" ht="16" thickBot="1" x14ac:dyDescent="0.25">
      <c r="A37" s="63" t="s">
        <v>133</v>
      </c>
      <c r="B37" t="s">
        <v>189</v>
      </c>
      <c r="C37" t="s">
        <v>196</v>
      </c>
      <c r="D37" t="e">
        <f>'Summary Data'!D34</f>
        <v>#VALUE!</v>
      </c>
      <c r="E37" s="57" t="e">
        <f>'Summary Data'!E34</f>
        <v>#VALUE!</v>
      </c>
      <c r="F37" s="57" t="e">
        <f>'Summary Data'!F34*C$3</f>
        <v>#VALUE!</v>
      </c>
      <c r="G37" s="57" t="e">
        <f>'Summary Data'!G34*D$3</f>
        <v>#VALUE!</v>
      </c>
      <c r="H37" s="57" t="e">
        <f>'Summary Data'!H34*E$3</f>
        <v>#VALUE!</v>
      </c>
      <c r="I37" s="57" t="e">
        <f>'Summary Data'!I34*F$3</f>
        <v>#VALUE!</v>
      </c>
      <c r="J37" s="57" t="e">
        <f>'Summary Data'!J34*G$3</f>
        <v>#VALUE!</v>
      </c>
      <c r="K37" s="57" t="e">
        <f>'Summary Data'!K34*H$3</f>
        <v>#VALUE!</v>
      </c>
      <c r="L37" s="57" t="e">
        <f>'Summary Data'!L34*I$3</f>
        <v>#VALUE!</v>
      </c>
      <c r="M37" s="57" t="e">
        <f>'Summary Data'!M34*J$3</f>
        <v>#VALUE!</v>
      </c>
      <c r="N37" s="57" t="e">
        <f>'Summary Data'!N34*K$3</f>
        <v>#VALUE!</v>
      </c>
      <c r="O37" s="57" t="e">
        <f>'Summary Data'!O34*L$3</f>
        <v>#VALUE!</v>
      </c>
      <c r="P37" s="57" t="e">
        <f>'Summary Data'!P34*M$3</f>
        <v>#VALUE!</v>
      </c>
      <c r="Q37" s="57" t="e">
        <f>'Summary Data'!Q34*N$3</f>
        <v>#VALUE!</v>
      </c>
      <c r="R37" s="57" t="e">
        <f>'Summary Data'!R34*O$3</f>
        <v>#VALUE!</v>
      </c>
      <c r="S37" s="57" t="e">
        <f>'Summary Data'!S34*P$3</f>
        <v>#VALUE!</v>
      </c>
      <c r="T37" s="57" t="e">
        <f>(_xlfn.XLOOKUP(A37,'Round 1 Points'!$A$10:$A$144,'Round 1 Points'!$T$10:$T$144,0)+_xlfn.XLOOKUP(A37,'Round 2 Points'!$A$10:$A$146,'Round 2 Points'!$T$10:$T$146,0)+_xlfn.XLOOKUP(A37,'Round 3 Points'!$A$10:$A$145,'Round 3 Points'!$T$10:$T$145,0)+_xlfn.XLOOKUP(A37,'Round 4 Points'!$A$10:$A$147,'Round 4 Points'!$T$10:$T$147,0))/D37</f>
        <v>#VALUE!</v>
      </c>
      <c r="U37" s="57" t="e">
        <f>'Summary Data'!T34*Q$3</f>
        <v>#VALUE!</v>
      </c>
      <c r="V37" s="57">
        <f>(_xlfn.XLOOKUP(A37,'Round 1 Points'!$A$10:$A$144,'Round 1 Points'!$V$10:$V$144,0)+_xlfn.XLOOKUP(A37,'Round 2 Points'!$A$10:$A$146,'Round 2 Points'!$V$10:$V$146,0)+_xlfn.XLOOKUP(A37,'Round 3 Points'!$A$10:$A$145,'Round 3 Points'!$V$10:$V$145,0)+_xlfn.XLOOKUP(A37,'Round 4 Points'!$A$10:$A$147,'Round 4 Points'!$V$10:$V$147,0))</f>
        <v>18.600000000000001</v>
      </c>
      <c r="W37" s="72" t="e">
        <f t="shared" si="0"/>
        <v>#VALUE!</v>
      </c>
    </row>
    <row r="38" spans="1:23" ht="16" thickBot="1" x14ac:dyDescent="0.25">
      <c r="A38" s="61" t="s">
        <v>134</v>
      </c>
      <c r="B38" t="s">
        <v>189</v>
      </c>
      <c r="C38" t="s">
        <v>197</v>
      </c>
      <c r="D38" t="e">
        <f>'Summary Data'!D35</f>
        <v>#VALUE!</v>
      </c>
      <c r="E38" s="57" t="e">
        <f>'Summary Data'!E35</f>
        <v>#VALUE!</v>
      </c>
      <c r="F38" s="57" t="e">
        <f>'Summary Data'!F35*C$3</f>
        <v>#VALUE!</v>
      </c>
      <c r="G38" s="57" t="e">
        <f>'Summary Data'!G35*D$3</f>
        <v>#VALUE!</v>
      </c>
      <c r="H38" s="57" t="e">
        <f>'Summary Data'!H35*E$3</f>
        <v>#VALUE!</v>
      </c>
      <c r="I38" s="57" t="e">
        <f>'Summary Data'!I35*F$3</f>
        <v>#VALUE!</v>
      </c>
      <c r="J38" s="57" t="e">
        <f>'Summary Data'!J35*G$3</f>
        <v>#VALUE!</v>
      </c>
      <c r="K38" s="57" t="e">
        <f>'Summary Data'!K35*H$3</f>
        <v>#VALUE!</v>
      </c>
      <c r="L38" s="57" t="e">
        <f>'Summary Data'!L35*I$3</f>
        <v>#VALUE!</v>
      </c>
      <c r="M38" s="57" t="e">
        <f>'Summary Data'!M35*J$3</f>
        <v>#VALUE!</v>
      </c>
      <c r="N38" s="57" t="e">
        <f>'Summary Data'!N35*K$3</f>
        <v>#VALUE!</v>
      </c>
      <c r="O38" s="57" t="e">
        <f>'Summary Data'!O35*L$3</f>
        <v>#VALUE!</v>
      </c>
      <c r="P38" s="57" t="e">
        <f>'Summary Data'!P35*M$3</f>
        <v>#VALUE!</v>
      </c>
      <c r="Q38" s="57" t="e">
        <f>'Summary Data'!Q35*N$3</f>
        <v>#VALUE!</v>
      </c>
      <c r="R38" s="57" t="e">
        <f>'Summary Data'!R35*O$3</f>
        <v>#VALUE!</v>
      </c>
      <c r="S38" s="57" t="e">
        <f>'Summary Data'!S35*P$3</f>
        <v>#VALUE!</v>
      </c>
      <c r="T38" s="57" t="e">
        <f>(_xlfn.XLOOKUP(A38,'Round 1 Points'!$A$10:$A$144,'Round 1 Points'!$T$10:$T$144,0)+_xlfn.XLOOKUP(A38,'Round 2 Points'!$A$10:$A$146,'Round 2 Points'!$T$10:$T$146,0)+_xlfn.XLOOKUP(A38,'Round 3 Points'!$A$10:$A$145,'Round 3 Points'!$T$10:$T$145,0)+_xlfn.XLOOKUP(A38,'Round 4 Points'!$A$10:$A$147,'Round 4 Points'!$T$10:$T$147,0))/D38</f>
        <v>#VALUE!</v>
      </c>
      <c r="U38" s="57" t="e">
        <f>'Summary Data'!T35*Q$3</f>
        <v>#VALUE!</v>
      </c>
      <c r="V38" s="57">
        <f>(_xlfn.XLOOKUP(A38,'Round 1 Points'!$A$10:$A$144,'Round 1 Points'!$V$10:$V$144,0)+_xlfn.XLOOKUP(A38,'Round 2 Points'!$A$10:$A$146,'Round 2 Points'!$V$10:$V$146,0)+_xlfn.XLOOKUP(A38,'Round 3 Points'!$A$10:$A$145,'Round 3 Points'!$V$10:$V$145,0)+_xlfn.XLOOKUP(A38,'Round 4 Points'!$A$10:$A$147,'Round 4 Points'!$V$10:$V$147,0))</f>
        <v>10.5</v>
      </c>
      <c r="W38" s="72" t="e">
        <f t="shared" si="0"/>
        <v>#VALUE!</v>
      </c>
    </row>
    <row r="39" spans="1:23" ht="16" thickBot="1" x14ac:dyDescent="0.25">
      <c r="A39" s="63" t="s">
        <v>135</v>
      </c>
      <c r="B39" t="s">
        <v>189</v>
      </c>
      <c r="C39" t="s">
        <v>197</v>
      </c>
      <c r="D39" t="e">
        <f>'Summary Data'!D36</f>
        <v>#VALUE!</v>
      </c>
      <c r="E39" s="57" t="e">
        <f>'Summary Data'!E36</f>
        <v>#VALUE!</v>
      </c>
      <c r="F39" s="57" t="e">
        <f>'Summary Data'!F36*C$3</f>
        <v>#VALUE!</v>
      </c>
      <c r="G39" s="57" t="e">
        <f>'Summary Data'!G36*D$3</f>
        <v>#VALUE!</v>
      </c>
      <c r="H39" s="57" t="e">
        <f>'Summary Data'!H36*E$3</f>
        <v>#VALUE!</v>
      </c>
      <c r="I39" s="57" t="e">
        <f>'Summary Data'!I36*F$3</f>
        <v>#VALUE!</v>
      </c>
      <c r="J39" s="57" t="e">
        <f>'Summary Data'!J36*G$3</f>
        <v>#VALUE!</v>
      </c>
      <c r="K39" s="57" t="e">
        <f>'Summary Data'!K36*H$3</f>
        <v>#VALUE!</v>
      </c>
      <c r="L39" s="57" t="e">
        <f>'Summary Data'!L36*I$3</f>
        <v>#VALUE!</v>
      </c>
      <c r="M39" s="57" t="e">
        <f>'Summary Data'!M36*J$3</f>
        <v>#VALUE!</v>
      </c>
      <c r="N39" s="57" t="e">
        <f>'Summary Data'!N36*K$3</f>
        <v>#VALUE!</v>
      </c>
      <c r="O39" s="57" t="e">
        <f>'Summary Data'!O36*L$3</f>
        <v>#VALUE!</v>
      </c>
      <c r="P39" s="57" t="e">
        <f>'Summary Data'!P36*M$3</f>
        <v>#VALUE!</v>
      </c>
      <c r="Q39" s="57" t="e">
        <f>'Summary Data'!Q36*N$3</f>
        <v>#VALUE!</v>
      </c>
      <c r="R39" s="57" t="e">
        <f>'Summary Data'!R36*O$3</f>
        <v>#VALUE!</v>
      </c>
      <c r="S39" s="57" t="e">
        <f>'Summary Data'!S36*P$3</f>
        <v>#VALUE!</v>
      </c>
      <c r="T39" s="57" t="e">
        <f>(_xlfn.XLOOKUP(A39,'Round 1 Points'!$A$10:$A$144,'Round 1 Points'!$T$10:$T$144,0)+_xlfn.XLOOKUP(A39,'Round 2 Points'!$A$10:$A$146,'Round 2 Points'!$T$10:$T$146,0)+_xlfn.XLOOKUP(A39,'Round 3 Points'!$A$10:$A$145,'Round 3 Points'!$T$10:$T$145,0)+_xlfn.XLOOKUP(A39,'Round 4 Points'!$A$10:$A$147,'Round 4 Points'!$T$10:$T$147,0))/D39</f>
        <v>#VALUE!</v>
      </c>
      <c r="U39" s="57" t="e">
        <f>'Summary Data'!T36*Q$3</f>
        <v>#VALUE!</v>
      </c>
      <c r="V39" s="57">
        <f>(_xlfn.XLOOKUP(A39,'Round 1 Points'!$A$10:$A$144,'Round 1 Points'!$V$10:$V$144,0)+_xlfn.XLOOKUP(A39,'Round 2 Points'!$A$10:$A$146,'Round 2 Points'!$V$10:$V$146,0)+_xlfn.XLOOKUP(A39,'Round 3 Points'!$A$10:$A$145,'Round 3 Points'!$V$10:$V$145,0)+_xlfn.XLOOKUP(A39,'Round 4 Points'!$A$10:$A$147,'Round 4 Points'!$V$10:$V$147,0))</f>
        <v>18.8</v>
      </c>
      <c r="W39" s="72" t="e">
        <f t="shared" si="0"/>
        <v>#VALUE!</v>
      </c>
    </row>
    <row r="40" spans="1:23" ht="16" thickBot="1" x14ac:dyDescent="0.25">
      <c r="A40" s="61" t="s">
        <v>136</v>
      </c>
      <c r="B40" t="s">
        <v>189</v>
      </c>
      <c r="C40" t="s">
        <v>198</v>
      </c>
      <c r="D40" t="e">
        <f>'Summary Data'!D37</f>
        <v>#VALUE!</v>
      </c>
      <c r="E40" s="57" t="e">
        <f>'Summary Data'!E37</f>
        <v>#VALUE!</v>
      </c>
      <c r="F40" s="57" t="e">
        <f>'Summary Data'!F37*C$3</f>
        <v>#VALUE!</v>
      </c>
      <c r="G40" s="57" t="e">
        <f>'Summary Data'!G37*D$3</f>
        <v>#VALUE!</v>
      </c>
      <c r="H40" s="57" t="e">
        <f>'Summary Data'!H37*E$3</f>
        <v>#VALUE!</v>
      </c>
      <c r="I40" s="57" t="e">
        <f>'Summary Data'!I37*F$3</f>
        <v>#VALUE!</v>
      </c>
      <c r="J40" s="57" t="e">
        <f>'Summary Data'!J37*G$3</f>
        <v>#VALUE!</v>
      </c>
      <c r="K40" s="57" t="e">
        <f>'Summary Data'!K37*H$3</f>
        <v>#VALUE!</v>
      </c>
      <c r="L40" s="57" t="e">
        <f>'Summary Data'!L37*I$3</f>
        <v>#VALUE!</v>
      </c>
      <c r="M40" s="57" t="e">
        <f>'Summary Data'!M37*J$3</f>
        <v>#VALUE!</v>
      </c>
      <c r="N40" s="57" t="e">
        <f>'Summary Data'!N37*K$3</f>
        <v>#VALUE!</v>
      </c>
      <c r="O40" s="57" t="e">
        <f>'Summary Data'!O37*L$3</f>
        <v>#VALUE!</v>
      </c>
      <c r="P40" s="57" t="e">
        <f>'Summary Data'!P37*M$3</f>
        <v>#VALUE!</v>
      </c>
      <c r="Q40" s="57" t="e">
        <f>'Summary Data'!Q37*N$3</f>
        <v>#VALUE!</v>
      </c>
      <c r="R40" s="57" t="e">
        <f>'Summary Data'!R37*O$3</f>
        <v>#VALUE!</v>
      </c>
      <c r="S40" s="57" t="e">
        <f>'Summary Data'!S37*P$3</f>
        <v>#VALUE!</v>
      </c>
      <c r="T40" s="57" t="e">
        <f>(_xlfn.XLOOKUP(A40,'Round 1 Points'!$A$10:$A$144,'Round 1 Points'!$T$10:$T$144,0)+_xlfn.XLOOKUP(A40,'Round 2 Points'!$A$10:$A$146,'Round 2 Points'!$T$10:$T$146,0)+_xlfn.XLOOKUP(A40,'Round 3 Points'!$A$10:$A$145,'Round 3 Points'!$T$10:$T$145,0)+_xlfn.XLOOKUP(A40,'Round 4 Points'!$A$10:$A$147,'Round 4 Points'!$T$10:$T$147,0))/D40</f>
        <v>#VALUE!</v>
      </c>
      <c r="U40" s="57" t="e">
        <f>'Summary Data'!T37*Q$3</f>
        <v>#VALUE!</v>
      </c>
      <c r="V40" s="57">
        <f>(_xlfn.XLOOKUP(A40,'Round 1 Points'!$A$10:$A$144,'Round 1 Points'!$V$10:$V$144,0)+_xlfn.XLOOKUP(A40,'Round 2 Points'!$A$10:$A$146,'Round 2 Points'!$V$10:$V$146,0)+_xlfn.XLOOKUP(A40,'Round 3 Points'!$A$10:$A$145,'Round 3 Points'!$V$10:$V$145,0)+_xlfn.XLOOKUP(A40,'Round 4 Points'!$A$10:$A$147,'Round 4 Points'!$V$10:$V$147,0))</f>
        <v>16.8</v>
      </c>
      <c r="W40" s="72" t="e">
        <f t="shared" si="0"/>
        <v>#VALUE!</v>
      </c>
    </row>
    <row r="41" spans="1:23" ht="16" thickBot="1" x14ac:dyDescent="0.25">
      <c r="A41" s="63" t="s">
        <v>137</v>
      </c>
      <c r="B41" t="s">
        <v>189</v>
      </c>
      <c r="C41" t="s">
        <v>198</v>
      </c>
      <c r="D41" t="e">
        <f>'Summary Data'!D38</f>
        <v>#VALUE!</v>
      </c>
      <c r="E41" s="57" t="e">
        <f>'Summary Data'!E38</f>
        <v>#VALUE!</v>
      </c>
      <c r="F41" s="57" t="e">
        <f>'Summary Data'!F38*C$3</f>
        <v>#VALUE!</v>
      </c>
      <c r="G41" s="57" t="e">
        <f>'Summary Data'!G38*D$3</f>
        <v>#VALUE!</v>
      </c>
      <c r="H41" s="57" t="e">
        <f>'Summary Data'!H38*E$3</f>
        <v>#VALUE!</v>
      </c>
      <c r="I41" s="57" t="e">
        <f>'Summary Data'!I38*F$3</f>
        <v>#VALUE!</v>
      </c>
      <c r="J41" s="57" t="e">
        <f>'Summary Data'!J38*G$3</f>
        <v>#VALUE!</v>
      </c>
      <c r="K41" s="57" t="e">
        <f>'Summary Data'!K38*H$3</f>
        <v>#VALUE!</v>
      </c>
      <c r="L41" s="57" t="e">
        <f>'Summary Data'!L38*I$3</f>
        <v>#VALUE!</v>
      </c>
      <c r="M41" s="57" t="e">
        <f>'Summary Data'!M38*J$3</f>
        <v>#VALUE!</v>
      </c>
      <c r="N41" s="57" t="e">
        <f>'Summary Data'!N38*K$3</f>
        <v>#VALUE!</v>
      </c>
      <c r="O41" s="57" t="e">
        <f>'Summary Data'!O38*L$3</f>
        <v>#VALUE!</v>
      </c>
      <c r="P41" s="57" t="e">
        <f>'Summary Data'!P38*M$3</f>
        <v>#VALUE!</v>
      </c>
      <c r="Q41" s="57" t="e">
        <f>'Summary Data'!Q38*N$3</f>
        <v>#VALUE!</v>
      </c>
      <c r="R41" s="57" t="e">
        <f>'Summary Data'!R38*O$3</f>
        <v>#VALUE!</v>
      </c>
      <c r="S41" s="57" t="e">
        <f>'Summary Data'!S38*P$3</f>
        <v>#VALUE!</v>
      </c>
      <c r="T41" s="57" t="e">
        <f>(_xlfn.XLOOKUP(A41,'Round 1 Points'!$A$10:$A$144,'Round 1 Points'!$T$10:$T$144,0)+_xlfn.XLOOKUP(A41,'Round 2 Points'!$A$10:$A$146,'Round 2 Points'!$T$10:$T$146,0)+_xlfn.XLOOKUP(A41,'Round 3 Points'!$A$10:$A$145,'Round 3 Points'!$T$10:$T$145,0)+_xlfn.XLOOKUP(A41,'Round 4 Points'!$A$10:$A$147,'Round 4 Points'!$T$10:$T$147,0))/D41</f>
        <v>#VALUE!</v>
      </c>
      <c r="U41" s="57" t="e">
        <f>'Summary Data'!T38*Q$3</f>
        <v>#VALUE!</v>
      </c>
      <c r="V41" s="57">
        <f>(_xlfn.XLOOKUP(A41,'Round 1 Points'!$A$10:$A$144,'Round 1 Points'!$V$10:$V$144,0)+_xlfn.XLOOKUP(A41,'Round 2 Points'!$A$10:$A$146,'Round 2 Points'!$V$10:$V$146,0)+_xlfn.XLOOKUP(A41,'Round 3 Points'!$A$10:$A$145,'Round 3 Points'!$V$10:$V$145,0)+_xlfn.XLOOKUP(A41,'Round 4 Points'!$A$10:$A$147,'Round 4 Points'!$V$10:$V$147,0))</f>
        <v>25.2</v>
      </c>
      <c r="W41" s="72" t="e">
        <f t="shared" si="0"/>
        <v>#VALUE!</v>
      </c>
    </row>
    <row r="42" spans="1:23" ht="16" thickBot="1" x14ac:dyDescent="0.25">
      <c r="A42" s="61" t="s">
        <v>138</v>
      </c>
      <c r="B42" t="s">
        <v>189</v>
      </c>
      <c r="C42" t="s">
        <v>198</v>
      </c>
      <c r="D42" t="e">
        <f>'Summary Data'!D39</f>
        <v>#VALUE!</v>
      </c>
      <c r="E42" s="57" t="e">
        <f>'Summary Data'!E39</f>
        <v>#VALUE!</v>
      </c>
      <c r="F42" s="57" t="e">
        <f>'Summary Data'!F39*C$3</f>
        <v>#VALUE!</v>
      </c>
      <c r="G42" s="57" t="e">
        <f>'Summary Data'!G39*D$3</f>
        <v>#VALUE!</v>
      </c>
      <c r="H42" s="57" t="e">
        <f>'Summary Data'!H39*E$3</f>
        <v>#VALUE!</v>
      </c>
      <c r="I42" s="57" t="e">
        <f>'Summary Data'!I39*F$3</f>
        <v>#VALUE!</v>
      </c>
      <c r="J42" s="57" t="e">
        <f>'Summary Data'!J39*G$3</f>
        <v>#VALUE!</v>
      </c>
      <c r="K42" s="57" t="e">
        <f>'Summary Data'!K39*H$3</f>
        <v>#VALUE!</v>
      </c>
      <c r="L42" s="57" t="e">
        <f>'Summary Data'!L39*I$3</f>
        <v>#VALUE!</v>
      </c>
      <c r="M42" s="57" t="e">
        <f>'Summary Data'!M39*J$3</f>
        <v>#VALUE!</v>
      </c>
      <c r="N42" s="57" t="e">
        <f>'Summary Data'!N39*K$3</f>
        <v>#VALUE!</v>
      </c>
      <c r="O42" s="57" t="e">
        <f>'Summary Data'!O39*L$3</f>
        <v>#VALUE!</v>
      </c>
      <c r="P42" s="57" t="e">
        <f>'Summary Data'!P39*M$3</f>
        <v>#VALUE!</v>
      </c>
      <c r="Q42" s="57" t="e">
        <f>'Summary Data'!Q39*N$3</f>
        <v>#VALUE!</v>
      </c>
      <c r="R42" s="57" t="e">
        <f>'Summary Data'!R39*O$3</f>
        <v>#VALUE!</v>
      </c>
      <c r="S42" s="57" t="e">
        <f>'Summary Data'!S39*P$3</f>
        <v>#VALUE!</v>
      </c>
      <c r="T42" s="57" t="e">
        <f>(_xlfn.XLOOKUP(A42,'Round 1 Points'!$A$10:$A$144,'Round 1 Points'!$T$10:$T$144,0)+_xlfn.XLOOKUP(A42,'Round 2 Points'!$A$10:$A$146,'Round 2 Points'!$T$10:$T$146,0)+_xlfn.XLOOKUP(A42,'Round 3 Points'!$A$10:$A$145,'Round 3 Points'!$T$10:$T$145,0)+_xlfn.XLOOKUP(A42,'Round 4 Points'!$A$10:$A$147,'Round 4 Points'!$T$10:$T$147,0))/D42</f>
        <v>#VALUE!</v>
      </c>
      <c r="U42" s="57" t="e">
        <f>'Summary Data'!T39*Q$3</f>
        <v>#VALUE!</v>
      </c>
      <c r="V42" s="57">
        <f>(_xlfn.XLOOKUP(A42,'Round 1 Points'!$A$10:$A$144,'Round 1 Points'!$V$10:$V$144,0)+_xlfn.XLOOKUP(A42,'Round 2 Points'!$A$10:$A$146,'Round 2 Points'!$V$10:$V$146,0)+_xlfn.XLOOKUP(A42,'Round 3 Points'!$A$10:$A$145,'Round 3 Points'!$V$10:$V$145,0)+_xlfn.XLOOKUP(A42,'Round 4 Points'!$A$10:$A$147,'Round 4 Points'!$V$10:$V$147,0))</f>
        <v>22</v>
      </c>
      <c r="W42" s="72" t="e">
        <f t="shared" si="0"/>
        <v>#VALUE!</v>
      </c>
    </row>
    <row r="43" spans="1:23" ht="16" thickBot="1" x14ac:dyDescent="0.25">
      <c r="A43" s="63" t="s">
        <v>139</v>
      </c>
      <c r="B43" t="s">
        <v>189</v>
      </c>
      <c r="C43" t="s">
        <v>198</v>
      </c>
      <c r="D43" t="e">
        <f>'Summary Data'!D40</f>
        <v>#VALUE!</v>
      </c>
      <c r="E43" s="57" t="e">
        <f>'Summary Data'!E40</f>
        <v>#VALUE!</v>
      </c>
      <c r="F43" s="57" t="e">
        <f>'Summary Data'!F40*C$3</f>
        <v>#VALUE!</v>
      </c>
      <c r="G43" s="57" t="e">
        <f>'Summary Data'!G40*D$3</f>
        <v>#VALUE!</v>
      </c>
      <c r="H43" s="57" t="e">
        <f>'Summary Data'!H40*E$3</f>
        <v>#VALUE!</v>
      </c>
      <c r="I43" s="57" t="e">
        <f>'Summary Data'!I40*F$3</f>
        <v>#VALUE!</v>
      </c>
      <c r="J43" s="57" t="e">
        <f>'Summary Data'!J40*G$3</f>
        <v>#VALUE!</v>
      </c>
      <c r="K43" s="57" t="e">
        <f>'Summary Data'!K40*H$3</f>
        <v>#VALUE!</v>
      </c>
      <c r="L43" s="57" t="e">
        <f>'Summary Data'!L40*I$3</f>
        <v>#VALUE!</v>
      </c>
      <c r="M43" s="57" t="e">
        <f>'Summary Data'!M40*J$3</f>
        <v>#VALUE!</v>
      </c>
      <c r="N43" s="57" t="e">
        <f>'Summary Data'!N40*K$3</f>
        <v>#VALUE!</v>
      </c>
      <c r="O43" s="57" t="e">
        <f>'Summary Data'!O40*L$3</f>
        <v>#VALUE!</v>
      </c>
      <c r="P43" s="57" t="e">
        <f>'Summary Data'!P40*M$3</f>
        <v>#VALUE!</v>
      </c>
      <c r="Q43" s="57" t="e">
        <f>'Summary Data'!Q40*N$3</f>
        <v>#VALUE!</v>
      </c>
      <c r="R43" s="57" t="e">
        <f>'Summary Data'!R40*O$3</f>
        <v>#VALUE!</v>
      </c>
      <c r="S43" s="57" t="e">
        <f>'Summary Data'!S40*P$3</f>
        <v>#VALUE!</v>
      </c>
      <c r="T43" s="57" t="e">
        <f>(_xlfn.XLOOKUP(A43,'Round 1 Points'!$A$10:$A$144,'Round 1 Points'!$T$10:$T$144,0)+_xlfn.XLOOKUP(A43,'Round 2 Points'!$A$10:$A$146,'Round 2 Points'!$T$10:$T$146,0)+_xlfn.XLOOKUP(A43,'Round 3 Points'!$A$10:$A$145,'Round 3 Points'!$T$10:$T$145,0)+_xlfn.XLOOKUP(A43,'Round 4 Points'!$A$10:$A$147,'Round 4 Points'!$T$10:$T$147,0))/D43</f>
        <v>#VALUE!</v>
      </c>
      <c r="U43" s="57" t="e">
        <f>'Summary Data'!T40*Q$3</f>
        <v>#VALUE!</v>
      </c>
      <c r="V43" s="57">
        <f>(_xlfn.XLOOKUP(A43,'Round 1 Points'!$A$10:$A$144,'Round 1 Points'!$V$10:$V$144,0)+_xlfn.XLOOKUP(A43,'Round 2 Points'!$A$10:$A$146,'Round 2 Points'!$V$10:$V$146,0)+_xlfn.XLOOKUP(A43,'Round 3 Points'!$A$10:$A$145,'Round 3 Points'!$V$10:$V$145,0)+_xlfn.XLOOKUP(A43,'Round 4 Points'!$A$10:$A$147,'Round 4 Points'!$V$10:$V$147,0))</f>
        <v>32</v>
      </c>
      <c r="W43" s="72" t="e">
        <f t="shared" si="0"/>
        <v>#VALUE!</v>
      </c>
    </row>
    <row r="44" spans="1:23" ht="16" thickBot="1" x14ac:dyDescent="0.25">
      <c r="A44" s="61" t="s">
        <v>140</v>
      </c>
      <c r="B44" t="s">
        <v>189</v>
      </c>
      <c r="C44" t="s">
        <v>199</v>
      </c>
      <c r="D44" t="e">
        <f>'Summary Data'!D41</f>
        <v>#VALUE!</v>
      </c>
      <c r="E44" s="57" t="e">
        <f>'Summary Data'!E41</f>
        <v>#VALUE!</v>
      </c>
      <c r="F44" s="57" t="e">
        <f>'Summary Data'!F41*C$3</f>
        <v>#VALUE!</v>
      </c>
      <c r="G44" s="57" t="e">
        <f>'Summary Data'!G41*D$3</f>
        <v>#VALUE!</v>
      </c>
      <c r="H44" s="57" t="e">
        <f>'Summary Data'!H41*E$3</f>
        <v>#VALUE!</v>
      </c>
      <c r="I44" s="57" t="e">
        <f>'Summary Data'!I41*F$3</f>
        <v>#VALUE!</v>
      </c>
      <c r="J44" s="57" t="e">
        <f>'Summary Data'!J41*G$3</f>
        <v>#VALUE!</v>
      </c>
      <c r="K44" s="57" t="e">
        <f>'Summary Data'!K41*H$3</f>
        <v>#VALUE!</v>
      </c>
      <c r="L44" s="57" t="e">
        <f>'Summary Data'!L41*I$3</f>
        <v>#VALUE!</v>
      </c>
      <c r="M44" s="57" t="e">
        <f>'Summary Data'!M41*J$3</f>
        <v>#VALUE!</v>
      </c>
      <c r="N44" s="57" t="e">
        <f>'Summary Data'!N41*K$3</f>
        <v>#VALUE!</v>
      </c>
      <c r="O44" s="57" t="e">
        <f>'Summary Data'!O41*L$3</f>
        <v>#VALUE!</v>
      </c>
      <c r="P44" s="57" t="e">
        <f>'Summary Data'!P41*M$3</f>
        <v>#VALUE!</v>
      </c>
      <c r="Q44" s="57" t="e">
        <f>'Summary Data'!Q41*N$3</f>
        <v>#VALUE!</v>
      </c>
      <c r="R44" s="57" t="e">
        <f>'Summary Data'!R41*O$3</f>
        <v>#VALUE!</v>
      </c>
      <c r="S44" s="57" t="e">
        <f>'Summary Data'!S41*P$3</f>
        <v>#VALUE!</v>
      </c>
      <c r="T44" s="57" t="e">
        <f>(_xlfn.XLOOKUP(A44,'Round 1 Points'!$A$10:$A$144,'Round 1 Points'!$T$10:$T$144,0)+_xlfn.XLOOKUP(A44,'Round 2 Points'!$A$10:$A$146,'Round 2 Points'!$T$10:$T$146,0)+_xlfn.XLOOKUP(A44,'Round 3 Points'!$A$10:$A$145,'Round 3 Points'!$T$10:$T$145,0)+_xlfn.XLOOKUP(A44,'Round 4 Points'!$A$10:$A$147,'Round 4 Points'!$T$10:$T$147,0))/D44</f>
        <v>#VALUE!</v>
      </c>
      <c r="U44" s="57" t="e">
        <f>'Summary Data'!T41*Q$3</f>
        <v>#VALUE!</v>
      </c>
      <c r="V44" s="57">
        <f>(_xlfn.XLOOKUP(A44,'Round 1 Points'!$A$10:$A$144,'Round 1 Points'!$V$10:$V$144,0)+_xlfn.XLOOKUP(A44,'Round 2 Points'!$A$10:$A$146,'Round 2 Points'!$V$10:$V$146,0)+_xlfn.XLOOKUP(A44,'Round 3 Points'!$A$10:$A$145,'Round 3 Points'!$V$10:$V$145,0)+_xlfn.XLOOKUP(A44,'Round 4 Points'!$A$10:$A$147,'Round 4 Points'!$V$10:$V$147,0))</f>
        <v>9.9</v>
      </c>
      <c r="W44" s="72" t="e">
        <f t="shared" si="0"/>
        <v>#VALUE!</v>
      </c>
    </row>
    <row r="45" spans="1:23" ht="16" thickBot="1" x14ac:dyDescent="0.25">
      <c r="A45" s="63" t="s">
        <v>141</v>
      </c>
      <c r="B45" t="s">
        <v>189</v>
      </c>
      <c r="C45" t="s">
        <v>199</v>
      </c>
      <c r="D45" t="e">
        <f>'Summary Data'!D42</f>
        <v>#VALUE!</v>
      </c>
      <c r="E45" s="57" t="e">
        <f>'Summary Data'!E42</f>
        <v>#VALUE!</v>
      </c>
      <c r="F45" s="57" t="e">
        <f>'Summary Data'!F42*C$3</f>
        <v>#VALUE!</v>
      </c>
      <c r="G45" s="57" t="e">
        <f>'Summary Data'!G42*D$3</f>
        <v>#VALUE!</v>
      </c>
      <c r="H45" s="57" t="e">
        <f>'Summary Data'!H42*E$3</f>
        <v>#VALUE!</v>
      </c>
      <c r="I45" s="57" t="e">
        <f>'Summary Data'!I42*F$3</f>
        <v>#VALUE!</v>
      </c>
      <c r="J45" s="57" t="e">
        <f>'Summary Data'!J42*G$3</f>
        <v>#VALUE!</v>
      </c>
      <c r="K45" s="57" t="e">
        <f>'Summary Data'!K42*H$3</f>
        <v>#VALUE!</v>
      </c>
      <c r="L45" s="57" t="e">
        <f>'Summary Data'!L42*I$3</f>
        <v>#VALUE!</v>
      </c>
      <c r="M45" s="57" t="e">
        <f>'Summary Data'!M42*J$3</f>
        <v>#VALUE!</v>
      </c>
      <c r="N45" s="57" t="e">
        <f>'Summary Data'!N42*K$3</f>
        <v>#VALUE!</v>
      </c>
      <c r="O45" s="57" t="e">
        <f>'Summary Data'!O42*L$3</f>
        <v>#VALUE!</v>
      </c>
      <c r="P45" s="57" t="e">
        <f>'Summary Data'!P42*M$3</f>
        <v>#VALUE!</v>
      </c>
      <c r="Q45" s="57" t="e">
        <f>'Summary Data'!Q42*N$3</f>
        <v>#VALUE!</v>
      </c>
      <c r="R45" s="57" t="e">
        <f>'Summary Data'!R42*O$3</f>
        <v>#VALUE!</v>
      </c>
      <c r="S45" s="57" t="e">
        <f>'Summary Data'!S42*P$3</f>
        <v>#VALUE!</v>
      </c>
      <c r="T45" s="57" t="e">
        <f>(_xlfn.XLOOKUP(A45,'Round 1 Points'!$A$10:$A$144,'Round 1 Points'!$T$10:$T$144,0)+_xlfn.XLOOKUP(A45,'Round 2 Points'!$A$10:$A$146,'Round 2 Points'!$T$10:$T$146,0)+_xlfn.XLOOKUP(A45,'Round 3 Points'!$A$10:$A$145,'Round 3 Points'!$T$10:$T$145,0)+_xlfn.XLOOKUP(A45,'Round 4 Points'!$A$10:$A$147,'Round 4 Points'!$T$10:$T$147,0))/D45</f>
        <v>#VALUE!</v>
      </c>
      <c r="U45" s="57" t="e">
        <f>'Summary Data'!T42*Q$3</f>
        <v>#VALUE!</v>
      </c>
      <c r="V45" s="57">
        <f>(_xlfn.XLOOKUP(A45,'Round 1 Points'!$A$10:$A$144,'Round 1 Points'!$V$10:$V$144,0)+_xlfn.XLOOKUP(A45,'Round 2 Points'!$A$10:$A$146,'Round 2 Points'!$V$10:$V$146,0)+_xlfn.XLOOKUP(A45,'Round 3 Points'!$A$10:$A$145,'Round 3 Points'!$V$10:$V$145,0)+_xlfn.XLOOKUP(A45,'Round 4 Points'!$A$10:$A$147,'Round 4 Points'!$V$10:$V$147,0))</f>
        <v>13.700000000000001</v>
      </c>
      <c r="W45" s="72" t="e">
        <f t="shared" si="0"/>
        <v>#VALUE!</v>
      </c>
    </row>
    <row r="46" spans="1:23" ht="16" thickBot="1" x14ac:dyDescent="0.25">
      <c r="A46" s="61" t="s">
        <v>142</v>
      </c>
      <c r="B46" t="s">
        <v>189</v>
      </c>
      <c r="C46" t="s">
        <v>199</v>
      </c>
      <c r="D46" t="e">
        <f>'Summary Data'!D43</f>
        <v>#VALUE!</v>
      </c>
      <c r="E46" s="57" t="e">
        <f>'Summary Data'!E43</f>
        <v>#VALUE!</v>
      </c>
      <c r="F46" s="57" t="e">
        <f>'Summary Data'!F43*C$3</f>
        <v>#VALUE!</v>
      </c>
      <c r="G46" s="57" t="e">
        <f>'Summary Data'!G43*D$3</f>
        <v>#VALUE!</v>
      </c>
      <c r="H46" s="57" t="e">
        <f>'Summary Data'!H43*E$3</f>
        <v>#VALUE!</v>
      </c>
      <c r="I46" s="57" t="e">
        <f>'Summary Data'!I43*F$3</f>
        <v>#VALUE!</v>
      </c>
      <c r="J46" s="57" t="e">
        <f>'Summary Data'!J43*G$3</f>
        <v>#VALUE!</v>
      </c>
      <c r="K46" s="57" t="e">
        <f>'Summary Data'!K43*H$3</f>
        <v>#VALUE!</v>
      </c>
      <c r="L46" s="57" t="e">
        <f>'Summary Data'!L43*I$3</f>
        <v>#VALUE!</v>
      </c>
      <c r="M46" s="57" t="e">
        <f>'Summary Data'!M43*J$3</f>
        <v>#VALUE!</v>
      </c>
      <c r="N46" s="57" t="e">
        <f>'Summary Data'!N43*K$3</f>
        <v>#VALUE!</v>
      </c>
      <c r="O46" s="57" t="e">
        <f>'Summary Data'!O43*L$3</f>
        <v>#VALUE!</v>
      </c>
      <c r="P46" s="57" t="e">
        <f>'Summary Data'!P43*M$3</f>
        <v>#VALUE!</v>
      </c>
      <c r="Q46" s="57" t="e">
        <f>'Summary Data'!Q43*N$3</f>
        <v>#VALUE!</v>
      </c>
      <c r="R46" s="57" t="e">
        <f>'Summary Data'!R43*O$3</f>
        <v>#VALUE!</v>
      </c>
      <c r="S46" s="57" t="e">
        <f>'Summary Data'!S43*P$3</f>
        <v>#VALUE!</v>
      </c>
      <c r="T46" s="57" t="e">
        <f>(_xlfn.XLOOKUP(A46,'Round 1 Points'!$A$10:$A$144,'Round 1 Points'!$T$10:$T$144,0)+_xlfn.XLOOKUP(A46,'Round 2 Points'!$A$10:$A$146,'Round 2 Points'!$T$10:$T$146,0)+_xlfn.XLOOKUP(A46,'Round 3 Points'!$A$10:$A$145,'Round 3 Points'!$T$10:$T$145,0)+_xlfn.XLOOKUP(A46,'Round 4 Points'!$A$10:$A$147,'Round 4 Points'!$T$10:$T$147,0))/D46</f>
        <v>#VALUE!</v>
      </c>
      <c r="U46" s="57" t="e">
        <f>'Summary Data'!T43*Q$3</f>
        <v>#VALUE!</v>
      </c>
      <c r="V46" s="57">
        <f>(_xlfn.XLOOKUP(A46,'Round 1 Points'!$A$10:$A$144,'Round 1 Points'!$V$10:$V$144,0)+_xlfn.XLOOKUP(A46,'Round 2 Points'!$A$10:$A$146,'Round 2 Points'!$V$10:$V$146,0)+_xlfn.XLOOKUP(A46,'Round 3 Points'!$A$10:$A$145,'Round 3 Points'!$V$10:$V$145,0)+_xlfn.XLOOKUP(A46,'Round 4 Points'!$A$10:$A$147,'Round 4 Points'!$V$10:$V$147,0))</f>
        <v>32</v>
      </c>
      <c r="W46" s="72" t="e">
        <f t="shared" si="0"/>
        <v>#VALUE!</v>
      </c>
    </row>
    <row r="47" spans="1:23" ht="16" thickBot="1" x14ac:dyDescent="0.25">
      <c r="A47" s="63" t="s">
        <v>143</v>
      </c>
      <c r="B47" t="s">
        <v>189</v>
      </c>
      <c r="C47" t="s">
        <v>200</v>
      </c>
      <c r="D47" t="e">
        <f>'Summary Data'!D44</f>
        <v>#VALUE!</v>
      </c>
      <c r="E47" s="57" t="e">
        <f>'Summary Data'!E44</f>
        <v>#VALUE!</v>
      </c>
      <c r="F47" s="57" t="e">
        <f>'Summary Data'!F44*C$3</f>
        <v>#VALUE!</v>
      </c>
      <c r="G47" s="57" t="e">
        <f>'Summary Data'!G44*D$3</f>
        <v>#VALUE!</v>
      </c>
      <c r="H47" s="57" t="e">
        <f>'Summary Data'!H44*E$3</f>
        <v>#VALUE!</v>
      </c>
      <c r="I47" s="57" t="e">
        <f>'Summary Data'!I44*F$3</f>
        <v>#VALUE!</v>
      </c>
      <c r="J47" s="57" t="e">
        <f>'Summary Data'!J44*G$3</f>
        <v>#VALUE!</v>
      </c>
      <c r="K47" s="57" t="e">
        <f>'Summary Data'!K44*H$3</f>
        <v>#VALUE!</v>
      </c>
      <c r="L47" s="57" t="e">
        <f>'Summary Data'!L44*I$3</f>
        <v>#VALUE!</v>
      </c>
      <c r="M47" s="57" t="e">
        <f>'Summary Data'!M44*J$3</f>
        <v>#VALUE!</v>
      </c>
      <c r="N47" s="57" t="e">
        <f>'Summary Data'!N44*K$3</f>
        <v>#VALUE!</v>
      </c>
      <c r="O47" s="57" t="e">
        <f>'Summary Data'!O44*L$3</f>
        <v>#VALUE!</v>
      </c>
      <c r="P47" s="57" t="e">
        <f>'Summary Data'!P44*M$3</f>
        <v>#VALUE!</v>
      </c>
      <c r="Q47" s="57" t="e">
        <f>'Summary Data'!Q44*N$3</f>
        <v>#VALUE!</v>
      </c>
      <c r="R47" s="57" t="e">
        <f>'Summary Data'!R44*O$3</f>
        <v>#VALUE!</v>
      </c>
      <c r="S47" s="57" t="e">
        <f>'Summary Data'!S44*P$3</f>
        <v>#VALUE!</v>
      </c>
      <c r="T47" s="57" t="e">
        <f>(_xlfn.XLOOKUP(A47,'Round 1 Points'!$A$10:$A$144,'Round 1 Points'!$T$10:$T$144,0)+_xlfn.XLOOKUP(A47,'Round 2 Points'!$A$10:$A$146,'Round 2 Points'!$T$10:$T$146,0)+_xlfn.XLOOKUP(A47,'Round 3 Points'!$A$10:$A$145,'Round 3 Points'!$T$10:$T$145,0)+_xlfn.XLOOKUP(A47,'Round 4 Points'!$A$10:$A$147,'Round 4 Points'!$T$10:$T$147,0))/D47</f>
        <v>#VALUE!</v>
      </c>
      <c r="U47" s="57" t="e">
        <f>'Summary Data'!T44*Q$3</f>
        <v>#VALUE!</v>
      </c>
      <c r="V47" s="57">
        <f>(_xlfn.XLOOKUP(A47,'Round 1 Points'!$A$10:$A$144,'Round 1 Points'!$V$10:$V$144,0)+_xlfn.XLOOKUP(A47,'Round 2 Points'!$A$10:$A$146,'Round 2 Points'!$V$10:$V$146,0)+_xlfn.XLOOKUP(A47,'Round 3 Points'!$A$10:$A$145,'Round 3 Points'!$V$10:$V$145,0)+_xlfn.XLOOKUP(A47,'Round 4 Points'!$A$10:$A$147,'Round 4 Points'!$V$10:$V$147,0))</f>
        <v>15.8</v>
      </c>
      <c r="W47" s="72" t="e">
        <f t="shared" si="0"/>
        <v>#VALUE!</v>
      </c>
    </row>
    <row r="48" spans="1:23" ht="16" thickBot="1" x14ac:dyDescent="0.25">
      <c r="A48" s="61" t="s">
        <v>144</v>
      </c>
      <c r="B48" t="s">
        <v>189</v>
      </c>
      <c r="C48" t="s">
        <v>200</v>
      </c>
      <c r="D48" t="e">
        <f>'Summary Data'!D45</f>
        <v>#VALUE!</v>
      </c>
      <c r="E48" s="57" t="e">
        <f>'Summary Data'!E45</f>
        <v>#VALUE!</v>
      </c>
      <c r="F48" s="57" t="e">
        <f>'Summary Data'!F45*C$3</f>
        <v>#VALUE!</v>
      </c>
      <c r="G48" s="57" t="e">
        <f>'Summary Data'!G45*D$3</f>
        <v>#VALUE!</v>
      </c>
      <c r="H48" s="57" t="e">
        <f>'Summary Data'!H45*E$3</f>
        <v>#VALUE!</v>
      </c>
      <c r="I48" s="57" t="e">
        <f>'Summary Data'!I45*F$3</f>
        <v>#VALUE!</v>
      </c>
      <c r="J48" s="57" t="e">
        <f>'Summary Data'!J45*G$3</f>
        <v>#VALUE!</v>
      </c>
      <c r="K48" s="57" t="e">
        <f>'Summary Data'!K45*H$3</f>
        <v>#VALUE!</v>
      </c>
      <c r="L48" s="57" t="e">
        <f>'Summary Data'!L45*I$3</f>
        <v>#VALUE!</v>
      </c>
      <c r="M48" s="57" t="e">
        <f>'Summary Data'!M45*J$3</f>
        <v>#VALUE!</v>
      </c>
      <c r="N48" s="57" t="e">
        <f>'Summary Data'!N45*K$3</f>
        <v>#VALUE!</v>
      </c>
      <c r="O48" s="57" t="e">
        <f>'Summary Data'!O45*L$3</f>
        <v>#VALUE!</v>
      </c>
      <c r="P48" s="57" t="e">
        <f>'Summary Data'!P45*M$3</f>
        <v>#VALUE!</v>
      </c>
      <c r="Q48" s="57" t="e">
        <f>'Summary Data'!Q45*N$3</f>
        <v>#VALUE!</v>
      </c>
      <c r="R48" s="57" t="e">
        <f>'Summary Data'!R45*O$3</f>
        <v>#VALUE!</v>
      </c>
      <c r="S48" s="57" t="e">
        <f>'Summary Data'!S45*P$3</f>
        <v>#VALUE!</v>
      </c>
      <c r="T48" s="57" t="e">
        <f>(_xlfn.XLOOKUP(A48,'Round 1 Points'!$A$10:$A$144,'Round 1 Points'!$T$10:$T$144,0)+_xlfn.XLOOKUP(A48,'Round 2 Points'!$A$10:$A$146,'Round 2 Points'!$T$10:$T$146,0)+_xlfn.XLOOKUP(A48,'Round 3 Points'!$A$10:$A$145,'Round 3 Points'!$T$10:$T$145,0)+_xlfn.XLOOKUP(A48,'Round 4 Points'!$A$10:$A$147,'Round 4 Points'!$T$10:$T$147,0))/D48</f>
        <v>#VALUE!</v>
      </c>
      <c r="U48" s="57" t="e">
        <f>'Summary Data'!T45*Q$3</f>
        <v>#VALUE!</v>
      </c>
      <c r="V48" s="57">
        <f>(_xlfn.XLOOKUP(A48,'Round 1 Points'!$A$10:$A$144,'Round 1 Points'!$V$10:$V$144,0)+_xlfn.XLOOKUP(A48,'Round 2 Points'!$A$10:$A$146,'Round 2 Points'!$V$10:$V$146,0)+_xlfn.XLOOKUP(A48,'Round 3 Points'!$A$10:$A$145,'Round 3 Points'!$V$10:$V$145,0)+_xlfn.XLOOKUP(A48,'Round 4 Points'!$A$10:$A$147,'Round 4 Points'!$V$10:$V$147,0))</f>
        <v>3.3</v>
      </c>
      <c r="W48" s="72" t="e">
        <f t="shared" si="0"/>
        <v>#VALUE!</v>
      </c>
    </row>
    <row r="49" spans="1:23" ht="16" thickBot="1" x14ac:dyDescent="0.25">
      <c r="A49" s="63" t="s">
        <v>145</v>
      </c>
      <c r="B49" t="s">
        <v>189</v>
      </c>
      <c r="C49" t="s">
        <v>200</v>
      </c>
      <c r="D49" t="e">
        <f>'Summary Data'!D46</f>
        <v>#VALUE!</v>
      </c>
      <c r="E49" s="57" t="e">
        <f>'Summary Data'!E46</f>
        <v>#VALUE!</v>
      </c>
      <c r="F49" s="57" t="e">
        <f>'Summary Data'!F46*C$3</f>
        <v>#VALUE!</v>
      </c>
      <c r="G49" s="57" t="e">
        <f>'Summary Data'!G46*D$3</f>
        <v>#VALUE!</v>
      </c>
      <c r="H49" s="57" t="e">
        <f>'Summary Data'!H46*E$3</f>
        <v>#VALUE!</v>
      </c>
      <c r="I49" s="57" t="e">
        <f>'Summary Data'!I46*F$3</f>
        <v>#VALUE!</v>
      </c>
      <c r="J49" s="57" t="e">
        <f>'Summary Data'!J46*G$3</f>
        <v>#VALUE!</v>
      </c>
      <c r="K49" s="57" t="e">
        <f>'Summary Data'!K46*H$3</f>
        <v>#VALUE!</v>
      </c>
      <c r="L49" s="57" t="e">
        <f>'Summary Data'!L46*I$3</f>
        <v>#VALUE!</v>
      </c>
      <c r="M49" s="57" t="e">
        <f>'Summary Data'!M46*J$3</f>
        <v>#VALUE!</v>
      </c>
      <c r="N49" s="57" t="e">
        <f>'Summary Data'!N46*K$3</f>
        <v>#VALUE!</v>
      </c>
      <c r="O49" s="57" t="e">
        <f>'Summary Data'!O46*L$3</f>
        <v>#VALUE!</v>
      </c>
      <c r="P49" s="57" t="e">
        <f>'Summary Data'!P46*M$3</f>
        <v>#VALUE!</v>
      </c>
      <c r="Q49" s="57" t="e">
        <f>'Summary Data'!Q46*N$3</f>
        <v>#VALUE!</v>
      </c>
      <c r="R49" s="57" t="e">
        <f>'Summary Data'!R46*O$3</f>
        <v>#VALUE!</v>
      </c>
      <c r="S49" s="57" t="e">
        <f>'Summary Data'!S46*P$3</f>
        <v>#VALUE!</v>
      </c>
      <c r="T49" s="57" t="e">
        <f>(_xlfn.XLOOKUP(A49,'Round 1 Points'!$A$10:$A$144,'Round 1 Points'!$T$10:$T$144,0)+_xlfn.XLOOKUP(A49,'Round 2 Points'!$A$10:$A$146,'Round 2 Points'!$T$10:$T$146,0)+_xlfn.XLOOKUP(A49,'Round 3 Points'!$A$10:$A$145,'Round 3 Points'!$T$10:$T$145,0)+_xlfn.XLOOKUP(A49,'Round 4 Points'!$A$10:$A$147,'Round 4 Points'!$T$10:$T$147,0))/D49</f>
        <v>#VALUE!</v>
      </c>
      <c r="U49" s="57" t="e">
        <f>'Summary Data'!T46*Q$3</f>
        <v>#VALUE!</v>
      </c>
      <c r="V49" s="57">
        <f>(_xlfn.XLOOKUP(A49,'Round 1 Points'!$A$10:$A$144,'Round 1 Points'!$V$10:$V$144,0)+_xlfn.XLOOKUP(A49,'Round 2 Points'!$A$10:$A$146,'Round 2 Points'!$V$10:$V$146,0)+_xlfn.XLOOKUP(A49,'Round 3 Points'!$A$10:$A$145,'Round 3 Points'!$V$10:$V$145,0)+_xlfn.XLOOKUP(A49,'Round 4 Points'!$A$10:$A$147,'Round 4 Points'!$V$10:$V$147,0))</f>
        <v>9.6999999999999993</v>
      </c>
      <c r="W49" s="72" t="e">
        <f t="shared" si="0"/>
        <v>#VALUE!</v>
      </c>
    </row>
    <row r="50" spans="1:23" ht="16" thickBot="1" x14ac:dyDescent="0.25">
      <c r="A50" s="61" t="s">
        <v>146</v>
      </c>
      <c r="B50" t="s">
        <v>189</v>
      </c>
      <c r="C50" t="s">
        <v>200</v>
      </c>
      <c r="D50" t="e">
        <f>'Summary Data'!D47</f>
        <v>#VALUE!</v>
      </c>
      <c r="E50" s="57" t="e">
        <f>'Summary Data'!E47</f>
        <v>#VALUE!</v>
      </c>
      <c r="F50" s="57" t="e">
        <f>'Summary Data'!F47*C$3</f>
        <v>#VALUE!</v>
      </c>
      <c r="G50" s="57" t="e">
        <f>'Summary Data'!G47*D$3</f>
        <v>#VALUE!</v>
      </c>
      <c r="H50" s="57" t="e">
        <f>'Summary Data'!H47*E$3</f>
        <v>#VALUE!</v>
      </c>
      <c r="I50" s="57" t="e">
        <f>'Summary Data'!I47*F$3</f>
        <v>#VALUE!</v>
      </c>
      <c r="J50" s="57" t="e">
        <f>'Summary Data'!J47*G$3</f>
        <v>#VALUE!</v>
      </c>
      <c r="K50" s="57" t="e">
        <f>'Summary Data'!K47*H$3</f>
        <v>#VALUE!</v>
      </c>
      <c r="L50" s="57" t="e">
        <f>'Summary Data'!L47*I$3</f>
        <v>#VALUE!</v>
      </c>
      <c r="M50" s="57" t="e">
        <f>'Summary Data'!M47*J$3</f>
        <v>#VALUE!</v>
      </c>
      <c r="N50" s="57" t="e">
        <f>'Summary Data'!N47*K$3</f>
        <v>#VALUE!</v>
      </c>
      <c r="O50" s="57" t="e">
        <f>'Summary Data'!O47*L$3</f>
        <v>#VALUE!</v>
      </c>
      <c r="P50" s="57" t="e">
        <f>'Summary Data'!P47*M$3</f>
        <v>#VALUE!</v>
      </c>
      <c r="Q50" s="57" t="e">
        <f>'Summary Data'!Q47*N$3</f>
        <v>#VALUE!</v>
      </c>
      <c r="R50" s="57" t="e">
        <f>'Summary Data'!R47*O$3</f>
        <v>#VALUE!</v>
      </c>
      <c r="S50" s="57" t="e">
        <f>'Summary Data'!S47*P$3</f>
        <v>#VALUE!</v>
      </c>
      <c r="T50" s="57" t="e">
        <f>(_xlfn.XLOOKUP(A50,'Round 1 Points'!$A$10:$A$144,'Round 1 Points'!$T$10:$T$144,0)+_xlfn.XLOOKUP(A50,'Round 2 Points'!$A$10:$A$146,'Round 2 Points'!$T$10:$T$146,0)+_xlfn.XLOOKUP(A50,'Round 3 Points'!$A$10:$A$145,'Round 3 Points'!$T$10:$T$145,0)+_xlfn.XLOOKUP(A50,'Round 4 Points'!$A$10:$A$147,'Round 4 Points'!$T$10:$T$147,0))/D50</f>
        <v>#VALUE!</v>
      </c>
      <c r="U50" s="57" t="e">
        <f>'Summary Data'!T47*Q$3</f>
        <v>#VALUE!</v>
      </c>
      <c r="V50" s="57">
        <f>(_xlfn.XLOOKUP(A50,'Round 1 Points'!$A$10:$A$144,'Round 1 Points'!$V$10:$V$144,0)+_xlfn.XLOOKUP(A50,'Round 2 Points'!$A$10:$A$146,'Round 2 Points'!$V$10:$V$146,0)+_xlfn.XLOOKUP(A50,'Round 3 Points'!$A$10:$A$145,'Round 3 Points'!$V$10:$V$145,0)+_xlfn.XLOOKUP(A50,'Round 4 Points'!$A$10:$A$147,'Round 4 Points'!$V$10:$V$147,0))</f>
        <v>28.7</v>
      </c>
      <c r="W50" s="72" t="e">
        <f t="shared" si="0"/>
        <v>#VALUE!</v>
      </c>
    </row>
    <row r="51" spans="1:23" ht="16" thickBot="1" x14ac:dyDescent="0.25">
      <c r="A51" s="63" t="s">
        <v>147</v>
      </c>
      <c r="B51" t="s">
        <v>189</v>
      </c>
      <c r="C51" t="s">
        <v>201</v>
      </c>
      <c r="D51" t="e">
        <f>'Summary Data'!D48</f>
        <v>#VALUE!</v>
      </c>
      <c r="E51" s="57" t="e">
        <f>'Summary Data'!E48</f>
        <v>#VALUE!</v>
      </c>
      <c r="F51" s="57" t="e">
        <f>'Summary Data'!F48*C$3</f>
        <v>#VALUE!</v>
      </c>
      <c r="G51" s="57" t="e">
        <f>'Summary Data'!G48*D$3</f>
        <v>#VALUE!</v>
      </c>
      <c r="H51" s="57" t="e">
        <f>'Summary Data'!H48*E$3</f>
        <v>#VALUE!</v>
      </c>
      <c r="I51" s="57" t="e">
        <f>'Summary Data'!I48*F$3</f>
        <v>#VALUE!</v>
      </c>
      <c r="J51" s="57" t="e">
        <f>'Summary Data'!J48*G$3</f>
        <v>#VALUE!</v>
      </c>
      <c r="K51" s="57" t="e">
        <f>'Summary Data'!K48*H$3</f>
        <v>#VALUE!</v>
      </c>
      <c r="L51" s="57" t="e">
        <f>'Summary Data'!L48*I$3</f>
        <v>#VALUE!</v>
      </c>
      <c r="M51" s="57" t="e">
        <f>'Summary Data'!M48*J$3</f>
        <v>#VALUE!</v>
      </c>
      <c r="N51" s="57" t="e">
        <f>'Summary Data'!N48*K$3</f>
        <v>#VALUE!</v>
      </c>
      <c r="O51" s="57" t="e">
        <f>'Summary Data'!O48*L$3</f>
        <v>#VALUE!</v>
      </c>
      <c r="P51" s="57" t="e">
        <f>'Summary Data'!P48*M$3</f>
        <v>#VALUE!</v>
      </c>
      <c r="Q51" s="57" t="e">
        <f>'Summary Data'!Q48*N$3</f>
        <v>#VALUE!</v>
      </c>
      <c r="R51" s="57" t="e">
        <f>'Summary Data'!R48*O$3</f>
        <v>#VALUE!</v>
      </c>
      <c r="S51" s="57" t="e">
        <f>'Summary Data'!S48*P$3</f>
        <v>#VALUE!</v>
      </c>
      <c r="T51" s="57" t="e">
        <f>(_xlfn.XLOOKUP(A51,'Round 1 Points'!$A$10:$A$144,'Round 1 Points'!$T$10:$T$144,0)+_xlfn.XLOOKUP(A51,'Round 2 Points'!$A$10:$A$146,'Round 2 Points'!$T$10:$T$146,0)+_xlfn.XLOOKUP(A51,'Round 3 Points'!$A$10:$A$145,'Round 3 Points'!$T$10:$T$145,0)+_xlfn.XLOOKUP(A51,'Round 4 Points'!$A$10:$A$147,'Round 4 Points'!$T$10:$T$147,0))/D51</f>
        <v>#VALUE!</v>
      </c>
      <c r="U51" s="57" t="e">
        <f>'Summary Data'!T48*Q$3</f>
        <v>#VALUE!</v>
      </c>
      <c r="V51" s="57">
        <f>(_xlfn.XLOOKUP(A51,'Round 1 Points'!$A$10:$A$144,'Round 1 Points'!$V$10:$V$144,0)+_xlfn.XLOOKUP(A51,'Round 2 Points'!$A$10:$A$146,'Round 2 Points'!$V$10:$V$146,0)+_xlfn.XLOOKUP(A51,'Round 3 Points'!$A$10:$A$145,'Round 3 Points'!$V$10:$V$145,0)+_xlfn.XLOOKUP(A51,'Round 4 Points'!$A$10:$A$147,'Round 4 Points'!$V$10:$V$147,0))</f>
        <v>3.2</v>
      </c>
      <c r="W51" s="72" t="e">
        <f t="shared" si="0"/>
        <v>#VALUE!</v>
      </c>
    </row>
    <row r="52" spans="1:23" ht="16" thickBot="1" x14ac:dyDescent="0.25">
      <c r="A52" s="61" t="s">
        <v>152</v>
      </c>
      <c r="B52" t="s">
        <v>189</v>
      </c>
      <c r="C52" t="s">
        <v>201</v>
      </c>
      <c r="D52" t="e">
        <f>'Summary Data'!D49</f>
        <v>#VALUE!</v>
      </c>
      <c r="E52" s="57" t="e">
        <f>'Summary Data'!E49</f>
        <v>#VALUE!</v>
      </c>
      <c r="F52" s="57" t="e">
        <f>'Summary Data'!F49*C$3</f>
        <v>#VALUE!</v>
      </c>
      <c r="G52" s="57" t="e">
        <f>'Summary Data'!G49*D$3</f>
        <v>#VALUE!</v>
      </c>
      <c r="H52" s="57" t="e">
        <f>'Summary Data'!H49*E$3</f>
        <v>#VALUE!</v>
      </c>
      <c r="I52" s="57" t="e">
        <f>'Summary Data'!I49*F$3</f>
        <v>#VALUE!</v>
      </c>
      <c r="J52" s="57" t="e">
        <f>'Summary Data'!J49*G$3</f>
        <v>#VALUE!</v>
      </c>
      <c r="K52" s="57" t="e">
        <f>'Summary Data'!K49*H$3</f>
        <v>#VALUE!</v>
      </c>
      <c r="L52" s="57" t="e">
        <f>'Summary Data'!L49*I$3</f>
        <v>#VALUE!</v>
      </c>
      <c r="M52" s="57" t="e">
        <f>'Summary Data'!M49*J$3</f>
        <v>#VALUE!</v>
      </c>
      <c r="N52" s="57" t="e">
        <f>'Summary Data'!N49*K$3</f>
        <v>#VALUE!</v>
      </c>
      <c r="O52" s="57" t="e">
        <f>'Summary Data'!O49*L$3</f>
        <v>#VALUE!</v>
      </c>
      <c r="P52" s="57" t="e">
        <f>'Summary Data'!P49*M$3</f>
        <v>#VALUE!</v>
      </c>
      <c r="Q52" s="57" t="e">
        <f>'Summary Data'!Q49*N$3</f>
        <v>#VALUE!</v>
      </c>
      <c r="R52" s="57" t="e">
        <f>'Summary Data'!R49*O$3</f>
        <v>#VALUE!</v>
      </c>
      <c r="S52" s="57" t="e">
        <f>'Summary Data'!S49*P$3</f>
        <v>#VALUE!</v>
      </c>
      <c r="T52" s="57" t="e">
        <f>(_xlfn.XLOOKUP(A52,'Round 1 Points'!$A$10:$A$144,'Round 1 Points'!$T$10:$T$144,0)+_xlfn.XLOOKUP(A52,'Round 2 Points'!$A$10:$A$146,'Round 2 Points'!$T$10:$T$146,0)+_xlfn.XLOOKUP(A52,'Round 3 Points'!$A$10:$A$145,'Round 3 Points'!$T$10:$T$145,0)+_xlfn.XLOOKUP(A52,'Round 4 Points'!$A$10:$A$147,'Round 4 Points'!$T$10:$T$147,0))/D52</f>
        <v>#VALUE!</v>
      </c>
      <c r="U52" s="57" t="e">
        <f>'Summary Data'!T49*Q$3</f>
        <v>#VALUE!</v>
      </c>
      <c r="V52" s="57">
        <f>(_xlfn.XLOOKUP(A52,'Round 1 Points'!$A$10:$A$144,'Round 1 Points'!$V$10:$V$144,0)+_xlfn.XLOOKUP(A52,'Round 2 Points'!$A$10:$A$146,'Round 2 Points'!$V$10:$V$146,0)+_xlfn.XLOOKUP(A52,'Round 3 Points'!$A$10:$A$145,'Round 3 Points'!$V$10:$V$145,0)+_xlfn.XLOOKUP(A52,'Round 4 Points'!$A$10:$A$147,'Round 4 Points'!$V$10:$V$147,0))</f>
        <v>11.5</v>
      </c>
      <c r="W52" s="72" t="e">
        <f t="shared" si="0"/>
        <v>#VALUE!</v>
      </c>
    </row>
    <row r="53" spans="1:23" ht="16" thickBot="1" x14ac:dyDescent="0.25">
      <c r="A53" s="61" t="s">
        <v>81</v>
      </c>
      <c r="B53" t="s">
        <v>190</v>
      </c>
      <c r="C53" t="s">
        <v>194</v>
      </c>
      <c r="D53" t="e">
        <f>'Summary Data'!D50</f>
        <v>#VALUE!</v>
      </c>
      <c r="E53" s="57" t="e">
        <f>'Summary Data'!E50</f>
        <v>#VALUE!</v>
      </c>
      <c r="F53" s="57" t="e">
        <f>'Summary Data'!F50*C$3</f>
        <v>#VALUE!</v>
      </c>
      <c r="G53" s="57" t="e">
        <f>'Summary Data'!G50*D$3</f>
        <v>#VALUE!</v>
      </c>
      <c r="H53" s="57" t="e">
        <f>'Summary Data'!H50*E$3</f>
        <v>#VALUE!</v>
      </c>
      <c r="I53" s="57" t="e">
        <f>'Summary Data'!I50*F$3</f>
        <v>#VALUE!</v>
      </c>
      <c r="J53" s="57" t="e">
        <f>'Summary Data'!J50*G$3</f>
        <v>#VALUE!</v>
      </c>
      <c r="K53" s="57" t="e">
        <f>'Summary Data'!K50*H$3</f>
        <v>#VALUE!</v>
      </c>
      <c r="L53" s="57" t="e">
        <f>'Summary Data'!L50*I$3</f>
        <v>#VALUE!</v>
      </c>
      <c r="M53" s="57" t="e">
        <f>'Summary Data'!M50*J$3</f>
        <v>#VALUE!</v>
      </c>
      <c r="N53" s="57" t="e">
        <f>'Summary Data'!N50*K$3</f>
        <v>#VALUE!</v>
      </c>
      <c r="O53" s="57" t="e">
        <f>'Summary Data'!O50*L$3</f>
        <v>#VALUE!</v>
      </c>
      <c r="P53" s="57" t="e">
        <f>'Summary Data'!P50*M$3</f>
        <v>#VALUE!</v>
      </c>
      <c r="Q53" s="57" t="e">
        <f>'Summary Data'!Q50*N$3</f>
        <v>#VALUE!</v>
      </c>
      <c r="R53" s="57" t="e">
        <f>'Summary Data'!R50*O$3</f>
        <v>#VALUE!</v>
      </c>
      <c r="S53" s="57" t="e">
        <f>'Summary Data'!S50*P$3</f>
        <v>#VALUE!</v>
      </c>
      <c r="T53" s="57" t="e">
        <f>(_xlfn.XLOOKUP(A53,'Round 1 Points'!$A$10:$A$144,'Round 1 Points'!$T$10:$T$144,0)+_xlfn.XLOOKUP(A53,'Round 2 Points'!$A$10:$A$146,'Round 2 Points'!$T$10:$T$146,0)+_xlfn.XLOOKUP(A53,'Round 3 Points'!$A$10:$A$145,'Round 3 Points'!$T$10:$T$145,0)+_xlfn.XLOOKUP(A53,'Round 4 Points'!$A$10:$A$147,'Round 4 Points'!$T$10:$T$147,0))/D53</f>
        <v>#VALUE!</v>
      </c>
      <c r="U53" s="57" t="e">
        <f>'Summary Data'!T50*Q$3</f>
        <v>#VALUE!</v>
      </c>
      <c r="V53" s="57">
        <f>(_xlfn.XLOOKUP(A53,'Round 1 Points'!$A$10:$A$144,'Round 1 Points'!$V$10:$V$144,0)+_xlfn.XLOOKUP(A53,'Round 2 Points'!$A$10:$A$146,'Round 2 Points'!$V$10:$V$146,0)+_xlfn.XLOOKUP(A53,'Round 3 Points'!$A$10:$A$145,'Round 3 Points'!$V$10:$V$145,0)+_xlfn.XLOOKUP(A53,'Round 4 Points'!$A$10:$A$147,'Round 4 Points'!$V$10:$V$147,0))</f>
        <v>5.4</v>
      </c>
      <c r="W53" s="72" t="e">
        <f t="shared" si="0"/>
        <v>#VALUE!</v>
      </c>
    </row>
    <row r="54" spans="1:23" ht="16" thickBot="1" x14ac:dyDescent="0.25">
      <c r="A54" s="63" t="s">
        <v>82</v>
      </c>
      <c r="B54" t="s">
        <v>190</v>
      </c>
      <c r="C54" t="s">
        <v>194</v>
      </c>
      <c r="D54" t="e">
        <f>'Summary Data'!D51</f>
        <v>#VALUE!</v>
      </c>
      <c r="E54" s="57" t="e">
        <f>'Summary Data'!E51</f>
        <v>#VALUE!</v>
      </c>
      <c r="F54" s="57" t="e">
        <f>'Summary Data'!F51*C$3</f>
        <v>#VALUE!</v>
      </c>
      <c r="G54" s="57" t="e">
        <f>'Summary Data'!G51*D$3</f>
        <v>#VALUE!</v>
      </c>
      <c r="H54" s="57" t="e">
        <f>'Summary Data'!H51*E$3</f>
        <v>#VALUE!</v>
      </c>
      <c r="I54" s="57" t="e">
        <f>'Summary Data'!I51*F$3</f>
        <v>#VALUE!</v>
      </c>
      <c r="J54" s="57" t="e">
        <f>'Summary Data'!J51*G$3</f>
        <v>#VALUE!</v>
      </c>
      <c r="K54" s="57" t="e">
        <f>'Summary Data'!K51*H$3</f>
        <v>#VALUE!</v>
      </c>
      <c r="L54" s="57" t="e">
        <f>'Summary Data'!L51*I$3</f>
        <v>#VALUE!</v>
      </c>
      <c r="M54" s="57" t="e">
        <f>'Summary Data'!M51*J$3</f>
        <v>#VALUE!</v>
      </c>
      <c r="N54" s="57" t="e">
        <f>'Summary Data'!N51*K$3</f>
        <v>#VALUE!</v>
      </c>
      <c r="O54" s="57" t="e">
        <f>'Summary Data'!O51*L$3</f>
        <v>#VALUE!</v>
      </c>
      <c r="P54" s="57" t="e">
        <f>'Summary Data'!P51*M$3</f>
        <v>#VALUE!</v>
      </c>
      <c r="Q54" s="57" t="e">
        <f>'Summary Data'!Q51*N$3</f>
        <v>#VALUE!</v>
      </c>
      <c r="R54" s="57" t="e">
        <f>'Summary Data'!R51*O$3</f>
        <v>#VALUE!</v>
      </c>
      <c r="S54" s="57" t="e">
        <f>'Summary Data'!S51*P$3</f>
        <v>#VALUE!</v>
      </c>
      <c r="T54" s="57" t="e">
        <f>(_xlfn.XLOOKUP(A54,'Round 1 Points'!$A$10:$A$144,'Round 1 Points'!$T$10:$T$144,0)+_xlfn.XLOOKUP(A54,'Round 2 Points'!$A$10:$A$146,'Round 2 Points'!$T$10:$T$146,0)+_xlfn.XLOOKUP(A54,'Round 3 Points'!$A$10:$A$145,'Round 3 Points'!$T$10:$T$145,0)+_xlfn.XLOOKUP(A54,'Round 4 Points'!$A$10:$A$147,'Round 4 Points'!$T$10:$T$147,0))/D54</f>
        <v>#VALUE!</v>
      </c>
      <c r="U54" s="57" t="e">
        <f>'Summary Data'!T51*Q$3</f>
        <v>#VALUE!</v>
      </c>
      <c r="V54" s="57">
        <f>(_xlfn.XLOOKUP(A54,'Round 1 Points'!$A$10:$A$144,'Round 1 Points'!$V$10:$V$144,0)+_xlfn.XLOOKUP(A54,'Round 2 Points'!$A$10:$A$146,'Round 2 Points'!$V$10:$V$146,0)+_xlfn.XLOOKUP(A54,'Round 3 Points'!$A$10:$A$145,'Round 3 Points'!$V$10:$V$145,0)+_xlfn.XLOOKUP(A54,'Round 4 Points'!$A$10:$A$147,'Round 4 Points'!$V$10:$V$147,0))</f>
        <v>16</v>
      </c>
      <c r="W54" s="72" t="e">
        <f t="shared" si="0"/>
        <v>#VALUE!</v>
      </c>
    </row>
    <row r="55" spans="1:23" ht="16" thickBot="1" x14ac:dyDescent="0.25">
      <c r="A55" s="61" t="s">
        <v>83</v>
      </c>
      <c r="B55" t="s">
        <v>190</v>
      </c>
      <c r="C55" t="s">
        <v>194</v>
      </c>
      <c r="D55" t="e">
        <f>'Summary Data'!D52</f>
        <v>#VALUE!</v>
      </c>
      <c r="E55" s="57" t="e">
        <f>'Summary Data'!E52</f>
        <v>#VALUE!</v>
      </c>
      <c r="F55" s="57" t="e">
        <f>'Summary Data'!F52*C$3</f>
        <v>#VALUE!</v>
      </c>
      <c r="G55" s="57" t="e">
        <f>'Summary Data'!G52*D$3</f>
        <v>#VALUE!</v>
      </c>
      <c r="H55" s="57" t="e">
        <f>'Summary Data'!H52*E$3</f>
        <v>#VALUE!</v>
      </c>
      <c r="I55" s="57" t="e">
        <f>'Summary Data'!I52*F$3</f>
        <v>#VALUE!</v>
      </c>
      <c r="J55" s="57" t="e">
        <f>'Summary Data'!J52*G$3</f>
        <v>#VALUE!</v>
      </c>
      <c r="K55" s="57" t="e">
        <f>'Summary Data'!K52*H$3</f>
        <v>#VALUE!</v>
      </c>
      <c r="L55" s="57" t="e">
        <f>'Summary Data'!L52*I$3</f>
        <v>#VALUE!</v>
      </c>
      <c r="M55" s="57" t="e">
        <f>'Summary Data'!M52*J$3</f>
        <v>#VALUE!</v>
      </c>
      <c r="N55" s="57" t="e">
        <f>'Summary Data'!N52*K$3</f>
        <v>#VALUE!</v>
      </c>
      <c r="O55" s="57" t="e">
        <f>'Summary Data'!O52*L$3</f>
        <v>#VALUE!</v>
      </c>
      <c r="P55" s="57" t="e">
        <f>'Summary Data'!P52*M$3</f>
        <v>#VALUE!</v>
      </c>
      <c r="Q55" s="57" t="e">
        <f>'Summary Data'!Q52*N$3</f>
        <v>#VALUE!</v>
      </c>
      <c r="R55" s="57" t="e">
        <f>'Summary Data'!R52*O$3</f>
        <v>#VALUE!</v>
      </c>
      <c r="S55" s="57" t="e">
        <f>'Summary Data'!S52*P$3</f>
        <v>#VALUE!</v>
      </c>
      <c r="T55" s="57" t="e">
        <f>(_xlfn.XLOOKUP(A55,'Round 1 Points'!$A$10:$A$144,'Round 1 Points'!$T$10:$T$144,0)+_xlfn.XLOOKUP(A55,'Round 2 Points'!$A$10:$A$146,'Round 2 Points'!$T$10:$T$146,0)+_xlfn.XLOOKUP(A55,'Round 3 Points'!$A$10:$A$145,'Round 3 Points'!$T$10:$T$145,0)+_xlfn.XLOOKUP(A55,'Round 4 Points'!$A$10:$A$147,'Round 4 Points'!$T$10:$T$147,0))/D55</f>
        <v>#VALUE!</v>
      </c>
      <c r="U55" s="57" t="e">
        <f>'Summary Data'!T52*Q$3</f>
        <v>#VALUE!</v>
      </c>
      <c r="V55" s="57">
        <f>(_xlfn.XLOOKUP(A55,'Round 1 Points'!$A$10:$A$144,'Round 1 Points'!$V$10:$V$144,0)+_xlfn.XLOOKUP(A55,'Round 2 Points'!$A$10:$A$146,'Round 2 Points'!$V$10:$V$146,0)+_xlfn.XLOOKUP(A55,'Round 3 Points'!$A$10:$A$145,'Round 3 Points'!$V$10:$V$145,0)+_xlfn.XLOOKUP(A55,'Round 4 Points'!$A$10:$A$147,'Round 4 Points'!$V$10:$V$147,0))</f>
        <v>16</v>
      </c>
      <c r="W55" s="72" t="e">
        <f t="shared" si="0"/>
        <v>#VALUE!</v>
      </c>
    </row>
    <row r="56" spans="1:23" ht="16" thickBot="1" x14ac:dyDescent="0.25">
      <c r="A56" s="63" t="s">
        <v>166</v>
      </c>
      <c r="B56" t="s">
        <v>190</v>
      </c>
      <c r="C56" t="s">
        <v>194</v>
      </c>
      <c r="D56" t="e">
        <f>'Summary Data'!D53</f>
        <v>#VALUE!</v>
      </c>
      <c r="E56" s="57" t="e">
        <f>'Summary Data'!E53</f>
        <v>#VALUE!</v>
      </c>
      <c r="F56" s="57" t="e">
        <f>'Summary Data'!F53*C$3</f>
        <v>#VALUE!</v>
      </c>
      <c r="G56" s="57" t="e">
        <f>'Summary Data'!G53*D$3</f>
        <v>#VALUE!</v>
      </c>
      <c r="H56" s="57" t="e">
        <f>'Summary Data'!H53*E$3</f>
        <v>#VALUE!</v>
      </c>
      <c r="I56" s="57" t="e">
        <f>'Summary Data'!I53*F$3</f>
        <v>#VALUE!</v>
      </c>
      <c r="J56" s="57" t="e">
        <f>'Summary Data'!J53*G$3</f>
        <v>#VALUE!</v>
      </c>
      <c r="K56" s="57" t="e">
        <f>'Summary Data'!K53*H$3</f>
        <v>#VALUE!</v>
      </c>
      <c r="L56" s="57" t="e">
        <f>'Summary Data'!L53*I$3</f>
        <v>#VALUE!</v>
      </c>
      <c r="M56" s="57" t="e">
        <f>'Summary Data'!M53*J$3</f>
        <v>#VALUE!</v>
      </c>
      <c r="N56" s="57" t="e">
        <f>'Summary Data'!N53*K$3</f>
        <v>#VALUE!</v>
      </c>
      <c r="O56" s="57" t="e">
        <f>'Summary Data'!O53*L$3</f>
        <v>#VALUE!</v>
      </c>
      <c r="P56" s="57" t="e">
        <f>'Summary Data'!P53*M$3</f>
        <v>#VALUE!</v>
      </c>
      <c r="Q56" s="57" t="e">
        <f>'Summary Data'!Q53*N$3</f>
        <v>#VALUE!</v>
      </c>
      <c r="R56" s="57" t="e">
        <f>'Summary Data'!R53*O$3</f>
        <v>#VALUE!</v>
      </c>
      <c r="S56" s="57" t="e">
        <f>'Summary Data'!S53*P$3</f>
        <v>#VALUE!</v>
      </c>
      <c r="T56" s="57" t="e">
        <f>(_xlfn.XLOOKUP(A56,'Round 1 Points'!$A$10:$A$144,'Round 1 Points'!$T$10:$T$144,0)+_xlfn.XLOOKUP(A56,'Round 2 Points'!$A$10:$A$146,'Round 2 Points'!$T$10:$T$146,0)+_xlfn.XLOOKUP(A56,'Round 3 Points'!$A$10:$A$145,'Round 3 Points'!$T$10:$T$145,0)+_xlfn.XLOOKUP(A56,'Round 4 Points'!$A$10:$A$147,'Round 4 Points'!$T$10:$T$147,0))/D56</f>
        <v>#VALUE!</v>
      </c>
      <c r="U56" s="57" t="e">
        <f>'Summary Data'!T53*Q$3</f>
        <v>#VALUE!</v>
      </c>
      <c r="V56" s="57">
        <f>(_xlfn.XLOOKUP(A56,'Round 1 Points'!$A$10:$A$144,'Round 1 Points'!$V$10:$V$144,0)+_xlfn.XLOOKUP(A56,'Round 2 Points'!$A$10:$A$146,'Round 2 Points'!$V$10:$V$146,0)+_xlfn.XLOOKUP(A56,'Round 3 Points'!$A$10:$A$145,'Round 3 Points'!$V$10:$V$145,0)+_xlfn.XLOOKUP(A56,'Round 4 Points'!$A$10:$A$147,'Round 4 Points'!$V$10:$V$147,0))</f>
        <v>8</v>
      </c>
      <c r="W56" s="72" t="e">
        <f t="shared" si="0"/>
        <v>#VALUE!</v>
      </c>
    </row>
    <row r="57" spans="1:23" ht="16" thickBot="1" x14ac:dyDescent="0.25">
      <c r="A57" s="61" t="s">
        <v>84</v>
      </c>
      <c r="B57" t="s">
        <v>190</v>
      </c>
      <c r="C57" t="s">
        <v>195</v>
      </c>
      <c r="D57" t="e">
        <f>'Summary Data'!D54</f>
        <v>#VALUE!</v>
      </c>
      <c r="E57" s="57" t="e">
        <f>'Summary Data'!E54</f>
        <v>#VALUE!</v>
      </c>
      <c r="F57" s="57" t="e">
        <f>'Summary Data'!F54*C$3</f>
        <v>#VALUE!</v>
      </c>
      <c r="G57" s="57" t="e">
        <f>'Summary Data'!G54*D$3</f>
        <v>#VALUE!</v>
      </c>
      <c r="H57" s="57" t="e">
        <f>'Summary Data'!H54*E$3</f>
        <v>#VALUE!</v>
      </c>
      <c r="I57" s="57" t="e">
        <f>'Summary Data'!I54*F$3</f>
        <v>#VALUE!</v>
      </c>
      <c r="J57" s="57" t="e">
        <f>'Summary Data'!J54*G$3</f>
        <v>#VALUE!</v>
      </c>
      <c r="K57" s="57" t="e">
        <f>'Summary Data'!K54*H$3</f>
        <v>#VALUE!</v>
      </c>
      <c r="L57" s="57" t="e">
        <f>'Summary Data'!L54*I$3</f>
        <v>#VALUE!</v>
      </c>
      <c r="M57" s="57" t="e">
        <f>'Summary Data'!M54*J$3</f>
        <v>#VALUE!</v>
      </c>
      <c r="N57" s="57" t="e">
        <f>'Summary Data'!N54*K$3</f>
        <v>#VALUE!</v>
      </c>
      <c r="O57" s="57" t="e">
        <f>'Summary Data'!O54*L$3</f>
        <v>#VALUE!</v>
      </c>
      <c r="P57" s="57" t="e">
        <f>'Summary Data'!P54*M$3</f>
        <v>#VALUE!</v>
      </c>
      <c r="Q57" s="57" t="e">
        <f>'Summary Data'!Q54*N$3</f>
        <v>#VALUE!</v>
      </c>
      <c r="R57" s="57" t="e">
        <f>'Summary Data'!R54*O$3</f>
        <v>#VALUE!</v>
      </c>
      <c r="S57" s="57" t="e">
        <f>'Summary Data'!S54*P$3</f>
        <v>#VALUE!</v>
      </c>
      <c r="T57" s="57" t="e">
        <f>(_xlfn.XLOOKUP(A57,'Round 1 Points'!$A$10:$A$144,'Round 1 Points'!$T$10:$T$144,0)+_xlfn.XLOOKUP(A57,'Round 2 Points'!$A$10:$A$146,'Round 2 Points'!$T$10:$T$146,0)+_xlfn.XLOOKUP(A57,'Round 3 Points'!$A$10:$A$145,'Round 3 Points'!$T$10:$T$145,0)+_xlfn.XLOOKUP(A57,'Round 4 Points'!$A$10:$A$147,'Round 4 Points'!$T$10:$T$147,0))/D57</f>
        <v>#VALUE!</v>
      </c>
      <c r="U57" s="57" t="e">
        <f>'Summary Data'!T54*Q$3</f>
        <v>#VALUE!</v>
      </c>
      <c r="V57" s="57">
        <f>(_xlfn.XLOOKUP(A57,'Round 1 Points'!$A$10:$A$144,'Round 1 Points'!$V$10:$V$144,0)+_xlfn.XLOOKUP(A57,'Round 2 Points'!$A$10:$A$146,'Round 2 Points'!$V$10:$V$146,0)+_xlfn.XLOOKUP(A57,'Round 3 Points'!$A$10:$A$145,'Round 3 Points'!$V$10:$V$145,0)+_xlfn.XLOOKUP(A57,'Round 4 Points'!$A$10:$A$147,'Round 4 Points'!$V$10:$V$147,0))</f>
        <v>16</v>
      </c>
      <c r="W57" s="72" t="e">
        <f t="shared" si="0"/>
        <v>#VALUE!</v>
      </c>
    </row>
    <row r="58" spans="1:23" ht="16" thickBot="1" x14ac:dyDescent="0.25">
      <c r="A58" s="63" t="s">
        <v>85</v>
      </c>
      <c r="B58" t="s">
        <v>190</v>
      </c>
      <c r="C58" t="s">
        <v>195</v>
      </c>
      <c r="D58" t="e">
        <f>'Summary Data'!D55</f>
        <v>#VALUE!</v>
      </c>
      <c r="E58" s="57" t="e">
        <f>'Summary Data'!E55</f>
        <v>#VALUE!</v>
      </c>
      <c r="F58" s="57" t="e">
        <f>'Summary Data'!F55*C$3</f>
        <v>#VALUE!</v>
      </c>
      <c r="G58" s="57" t="e">
        <f>'Summary Data'!G55*D$3</f>
        <v>#VALUE!</v>
      </c>
      <c r="H58" s="57" t="e">
        <f>'Summary Data'!H55*E$3</f>
        <v>#VALUE!</v>
      </c>
      <c r="I58" s="57" t="e">
        <f>'Summary Data'!I55*F$3</f>
        <v>#VALUE!</v>
      </c>
      <c r="J58" s="57" t="e">
        <f>'Summary Data'!J55*G$3</f>
        <v>#VALUE!</v>
      </c>
      <c r="K58" s="57" t="e">
        <f>'Summary Data'!K55*H$3</f>
        <v>#VALUE!</v>
      </c>
      <c r="L58" s="57" t="e">
        <f>'Summary Data'!L55*I$3</f>
        <v>#VALUE!</v>
      </c>
      <c r="M58" s="57" t="e">
        <f>'Summary Data'!M55*J$3</f>
        <v>#VALUE!</v>
      </c>
      <c r="N58" s="57" t="e">
        <f>'Summary Data'!N55*K$3</f>
        <v>#VALUE!</v>
      </c>
      <c r="O58" s="57" t="e">
        <f>'Summary Data'!O55*L$3</f>
        <v>#VALUE!</v>
      </c>
      <c r="P58" s="57" t="e">
        <f>'Summary Data'!P55*M$3</f>
        <v>#VALUE!</v>
      </c>
      <c r="Q58" s="57" t="e">
        <f>'Summary Data'!Q55*N$3</f>
        <v>#VALUE!</v>
      </c>
      <c r="R58" s="57" t="e">
        <f>'Summary Data'!R55*O$3</f>
        <v>#VALUE!</v>
      </c>
      <c r="S58" s="57" t="e">
        <f>'Summary Data'!S55*P$3</f>
        <v>#VALUE!</v>
      </c>
      <c r="T58" s="57" t="e">
        <f>(_xlfn.XLOOKUP(A58,'Round 1 Points'!$A$10:$A$144,'Round 1 Points'!$T$10:$T$144,0)+_xlfn.XLOOKUP(A58,'Round 2 Points'!$A$10:$A$146,'Round 2 Points'!$T$10:$T$146,0)+_xlfn.XLOOKUP(A58,'Round 3 Points'!$A$10:$A$145,'Round 3 Points'!$T$10:$T$145,0)+_xlfn.XLOOKUP(A58,'Round 4 Points'!$A$10:$A$147,'Round 4 Points'!$T$10:$T$147,0))/D58</f>
        <v>#VALUE!</v>
      </c>
      <c r="U58" s="57" t="e">
        <f>'Summary Data'!T55*Q$3</f>
        <v>#VALUE!</v>
      </c>
      <c r="V58" s="57">
        <f>(_xlfn.XLOOKUP(A58,'Round 1 Points'!$A$10:$A$144,'Round 1 Points'!$V$10:$V$144,0)+_xlfn.XLOOKUP(A58,'Round 2 Points'!$A$10:$A$146,'Round 2 Points'!$V$10:$V$146,0)+_xlfn.XLOOKUP(A58,'Round 3 Points'!$A$10:$A$145,'Round 3 Points'!$V$10:$V$145,0)+_xlfn.XLOOKUP(A58,'Round 4 Points'!$A$10:$A$147,'Round 4 Points'!$V$10:$V$147,0))</f>
        <v>16</v>
      </c>
      <c r="W58" s="72" t="e">
        <f t="shared" si="0"/>
        <v>#VALUE!</v>
      </c>
    </row>
    <row r="59" spans="1:23" ht="16" thickBot="1" x14ac:dyDescent="0.25">
      <c r="A59" s="61" t="s">
        <v>185</v>
      </c>
      <c r="B59" t="s">
        <v>190</v>
      </c>
      <c r="C59" t="s">
        <v>195</v>
      </c>
      <c r="D59" t="e">
        <f>'Summary Data'!D56</f>
        <v>#VALUE!</v>
      </c>
      <c r="E59" s="57" t="e">
        <f>'Summary Data'!E56</f>
        <v>#VALUE!</v>
      </c>
      <c r="F59" s="57" t="e">
        <f>'Summary Data'!F56*C$3</f>
        <v>#VALUE!</v>
      </c>
      <c r="G59" s="57" t="e">
        <f>'Summary Data'!G56*D$3</f>
        <v>#VALUE!</v>
      </c>
      <c r="H59" s="57" t="e">
        <f>'Summary Data'!H56*E$3</f>
        <v>#VALUE!</v>
      </c>
      <c r="I59" s="57" t="e">
        <f>'Summary Data'!I56*F$3</f>
        <v>#VALUE!</v>
      </c>
      <c r="J59" s="57" t="e">
        <f>'Summary Data'!J56*G$3</f>
        <v>#VALUE!</v>
      </c>
      <c r="K59" s="57" t="e">
        <f>'Summary Data'!K56*H$3</f>
        <v>#VALUE!</v>
      </c>
      <c r="L59" s="57" t="e">
        <f>'Summary Data'!L56*I$3</f>
        <v>#VALUE!</v>
      </c>
      <c r="M59" s="57" t="e">
        <f>'Summary Data'!M56*J$3</f>
        <v>#VALUE!</v>
      </c>
      <c r="N59" s="57" t="e">
        <f>'Summary Data'!N56*K$3</f>
        <v>#VALUE!</v>
      </c>
      <c r="O59" s="57" t="e">
        <f>'Summary Data'!O56*L$3</f>
        <v>#VALUE!</v>
      </c>
      <c r="P59" s="57" t="e">
        <f>'Summary Data'!P56*M$3</f>
        <v>#VALUE!</v>
      </c>
      <c r="Q59" s="57" t="e">
        <f>'Summary Data'!Q56*N$3</f>
        <v>#VALUE!</v>
      </c>
      <c r="R59" s="57" t="e">
        <f>'Summary Data'!R56*O$3</f>
        <v>#VALUE!</v>
      </c>
      <c r="S59" s="57" t="e">
        <f>'Summary Data'!S56*P$3</f>
        <v>#VALUE!</v>
      </c>
      <c r="T59" s="57" t="e">
        <f>(_xlfn.XLOOKUP(A59,'Round 1 Points'!$A$10:$A$144,'Round 1 Points'!$T$10:$T$144,0)+_xlfn.XLOOKUP(A59,'Round 2 Points'!$A$10:$A$146,'Round 2 Points'!$T$10:$T$146,0)+_xlfn.XLOOKUP(A59,'Round 3 Points'!$A$10:$A$145,'Round 3 Points'!$T$10:$T$145,0)+_xlfn.XLOOKUP(A59,'Round 4 Points'!$A$10:$A$147,'Round 4 Points'!$T$10:$T$147,0))/D59</f>
        <v>#VALUE!</v>
      </c>
      <c r="U59" s="57" t="e">
        <f>'Summary Data'!T56*Q$3</f>
        <v>#VALUE!</v>
      </c>
      <c r="V59" s="57">
        <f>(_xlfn.XLOOKUP(A59,'Round 1 Points'!$A$10:$A$144,'Round 1 Points'!$V$10:$V$144,0)+_xlfn.XLOOKUP(A59,'Round 2 Points'!$A$10:$A$146,'Round 2 Points'!$V$10:$V$146,0)+_xlfn.XLOOKUP(A59,'Round 3 Points'!$A$10:$A$145,'Round 3 Points'!$V$10:$V$145,0)+_xlfn.XLOOKUP(A59,'Round 4 Points'!$A$10:$A$147,'Round 4 Points'!$V$10:$V$147,0))</f>
        <v>0</v>
      </c>
      <c r="W59" s="72" t="e">
        <f t="shared" si="0"/>
        <v>#VALUE!</v>
      </c>
    </row>
    <row r="60" spans="1:23" ht="16" thickBot="1" x14ac:dyDescent="0.25">
      <c r="A60" s="63" t="s">
        <v>87</v>
      </c>
      <c r="B60" t="s">
        <v>190</v>
      </c>
      <c r="C60" t="s">
        <v>196</v>
      </c>
      <c r="D60" t="e">
        <f>'Summary Data'!D57</f>
        <v>#VALUE!</v>
      </c>
      <c r="E60" s="57" t="e">
        <f>'Summary Data'!E57</f>
        <v>#VALUE!</v>
      </c>
      <c r="F60" s="57" t="e">
        <f>'Summary Data'!F57*C$3</f>
        <v>#VALUE!</v>
      </c>
      <c r="G60" s="57" t="e">
        <f>'Summary Data'!G57*D$3</f>
        <v>#VALUE!</v>
      </c>
      <c r="H60" s="57" t="e">
        <f>'Summary Data'!H57*E$3</f>
        <v>#VALUE!</v>
      </c>
      <c r="I60" s="57" t="e">
        <f>'Summary Data'!I57*F$3</f>
        <v>#VALUE!</v>
      </c>
      <c r="J60" s="57" t="e">
        <f>'Summary Data'!J57*G$3</f>
        <v>#VALUE!</v>
      </c>
      <c r="K60" s="57" t="e">
        <f>'Summary Data'!K57*H$3</f>
        <v>#VALUE!</v>
      </c>
      <c r="L60" s="57" t="e">
        <f>'Summary Data'!L57*I$3</f>
        <v>#VALUE!</v>
      </c>
      <c r="M60" s="57" t="e">
        <f>'Summary Data'!M57*J$3</f>
        <v>#VALUE!</v>
      </c>
      <c r="N60" s="57" t="e">
        <f>'Summary Data'!N57*K$3</f>
        <v>#VALUE!</v>
      </c>
      <c r="O60" s="57" t="e">
        <f>'Summary Data'!O57*L$3</f>
        <v>#VALUE!</v>
      </c>
      <c r="P60" s="57" t="e">
        <f>'Summary Data'!P57*M$3</f>
        <v>#VALUE!</v>
      </c>
      <c r="Q60" s="57" t="e">
        <f>'Summary Data'!Q57*N$3</f>
        <v>#VALUE!</v>
      </c>
      <c r="R60" s="57" t="e">
        <f>'Summary Data'!R57*O$3</f>
        <v>#VALUE!</v>
      </c>
      <c r="S60" s="57" t="e">
        <f>'Summary Data'!S57*P$3</f>
        <v>#VALUE!</v>
      </c>
      <c r="T60" s="57" t="e">
        <f>(_xlfn.XLOOKUP(A60,'Round 1 Points'!$A$10:$A$144,'Round 1 Points'!$T$10:$T$144,0)+_xlfn.XLOOKUP(A60,'Round 2 Points'!$A$10:$A$146,'Round 2 Points'!$T$10:$T$146,0)+_xlfn.XLOOKUP(A60,'Round 3 Points'!$A$10:$A$145,'Round 3 Points'!$T$10:$T$145,0)+_xlfn.XLOOKUP(A60,'Round 4 Points'!$A$10:$A$147,'Round 4 Points'!$T$10:$T$147,0))/D60</f>
        <v>#VALUE!</v>
      </c>
      <c r="U60" s="57" t="e">
        <f>'Summary Data'!T57*Q$3</f>
        <v>#VALUE!</v>
      </c>
      <c r="V60" s="57">
        <f>(_xlfn.XLOOKUP(A60,'Round 1 Points'!$A$10:$A$144,'Round 1 Points'!$V$10:$V$144,0)+_xlfn.XLOOKUP(A60,'Round 2 Points'!$A$10:$A$146,'Round 2 Points'!$V$10:$V$146,0)+_xlfn.XLOOKUP(A60,'Round 3 Points'!$A$10:$A$145,'Round 3 Points'!$V$10:$V$145,0)+_xlfn.XLOOKUP(A60,'Round 4 Points'!$A$10:$A$147,'Round 4 Points'!$V$10:$V$147,0))</f>
        <v>0.9</v>
      </c>
      <c r="W60" s="72" t="e">
        <f t="shared" si="0"/>
        <v>#VALUE!</v>
      </c>
    </row>
    <row r="61" spans="1:23" ht="16" thickBot="1" x14ac:dyDescent="0.25">
      <c r="A61" s="61" t="s">
        <v>89</v>
      </c>
      <c r="B61" t="s">
        <v>190</v>
      </c>
      <c r="C61" t="s">
        <v>197</v>
      </c>
      <c r="D61" t="e">
        <f>'Summary Data'!D58</f>
        <v>#VALUE!</v>
      </c>
      <c r="E61" s="57" t="e">
        <f>'Summary Data'!E58</f>
        <v>#VALUE!</v>
      </c>
      <c r="F61" s="57" t="e">
        <f>'Summary Data'!F58*C$3</f>
        <v>#VALUE!</v>
      </c>
      <c r="G61" s="57" t="e">
        <f>'Summary Data'!G58*D$3</f>
        <v>#VALUE!</v>
      </c>
      <c r="H61" s="57" t="e">
        <f>'Summary Data'!H58*E$3</f>
        <v>#VALUE!</v>
      </c>
      <c r="I61" s="57" t="e">
        <f>'Summary Data'!I58*F$3</f>
        <v>#VALUE!</v>
      </c>
      <c r="J61" s="57" t="e">
        <f>'Summary Data'!J58*G$3</f>
        <v>#VALUE!</v>
      </c>
      <c r="K61" s="57" t="e">
        <f>'Summary Data'!K58*H$3</f>
        <v>#VALUE!</v>
      </c>
      <c r="L61" s="57" t="e">
        <f>'Summary Data'!L58*I$3</f>
        <v>#VALUE!</v>
      </c>
      <c r="M61" s="57" t="e">
        <f>'Summary Data'!M58*J$3</f>
        <v>#VALUE!</v>
      </c>
      <c r="N61" s="57" t="e">
        <f>'Summary Data'!N58*K$3</f>
        <v>#VALUE!</v>
      </c>
      <c r="O61" s="57" t="e">
        <f>'Summary Data'!O58*L$3</f>
        <v>#VALUE!</v>
      </c>
      <c r="P61" s="57" t="e">
        <f>'Summary Data'!P58*M$3</f>
        <v>#VALUE!</v>
      </c>
      <c r="Q61" s="57" t="e">
        <f>'Summary Data'!Q58*N$3</f>
        <v>#VALUE!</v>
      </c>
      <c r="R61" s="57" t="e">
        <f>'Summary Data'!R58*O$3</f>
        <v>#VALUE!</v>
      </c>
      <c r="S61" s="57" t="e">
        <f>'Summary Data'!S58*P$3</f>
        <v>#VALUE!</v>
      </c>
      <c r="T61" s="57" t="e">
        <f>(_xlfn.XLOOKUP(A61,'Round 1 Points'!$A$10:$A$144,'Round 1 Points'!$T$10:$T$144,0)+_xlfn.XLOOKUP(A61,'Round 2 Points'!$A$10:$A$146,'Round 2 Points'!$T$10:$T$146,0)+_xlfn.XLOOKUP(A61,'Round 3 Points'!$A$10:$A$145,'Round 3 Points'!$T$10:$T$145,0)+_xlfn.XLOOKUP(A61,'Round 4 Points'!$A$10:$A$147,'Round 4 Points'!$T$10:$T$147,0))/D61</f>
        <v>#VALUE!</v>
      </c>
      <c r="U61" s="57" t="e">
        <f>'Summary Data'!T58*Q$3</f>
        <v>#VALUE!</v>
      </c>
      <c r="V61" s="57">
        <f>(_xlfn.XLOOKUP(A61,'Round 1 Points'!$A$10:$A$144,'Round 1 Points'!$V$10:$V$144,0)+_xlfn.XLOOKUP(A61,'Round 2 Points'!$A$10:$A$146,'Round 2 Points'!$V$10:$V$146,0)+_xlfn.XLOOKUP(A61,'Round 3 Points'!$A$10:$A$145,'Round 3 Points'!$V$10:$V$145,0)+_xlfn.XLOOKUP(A61,'Round 4 Points'!$A$10:$A$147,'Round 4 Points'!$V$10:$V$147,0))</f>
        <v>13.2</v>
      </c>
      <c r="W61" s="72" t="e">
        <f t="shared" si="0"/>
        <v>#VALUE!</v>
      </c>
    </row>
    <row r="62" spans="1:23" ht="16" thickBot="1" x14ac:dyDescent="0.25">
      <c r="A62" s="63" t="s">
        <v>186</v>
      </c>
      <c r="B62" t="s">
        <v>190</v>
      </c>
      <c r="C62" t="s">
        <v>197</v>
      </c>
      <c r="D62" t="e">
        <f>'Summary Data'!D59</f>
        <v>#VALUE!</v>
      </c>
      <c r="E62" s="57" t="e">
        <f>'Summary Data'!E59</f>
        <v>#VALUE!</v>
      </c>
      <c r="F62" s="57" t="e">
        <f>'Summary Data'!F59*C$3</f>
        <v>#VALUE!</v>
      </c>
      <c r="G62" s="57" t="e">
        <f>'Summary Data'!G59*D$3</f>
        <v>#VALUE!</v>
      </c>
      <c r="H62" s="57" t="e">
        <f>'Summary Data'!H59*E$3</f>
        <v>#VALUE!</v>
      </c>
      <c r="I62" s="57" t="e">
        <f>'Summary Data'!I59*F$3</f>
        <v>#VALUE!</v>
      </c>
      <c r="J62" s="57" t="e">
        <f>'Summary Data'!J59*G$3</f>
        <v>#VALUE!</v>
      </c>
      <c r="K62" s="57" t="e">
        <f>'Summary Data'!K59*H$3</f>
        <v>#VALUE!</v>
      </c>
      <c r="L62" s="57" t="e">
        <f>'Summary Data'!L59*I$3</f>
        <v>#VALUE!</v>
      </c>
      <c r="M62" s="57" t="e">
        <f>'Summary Data'!M59*J$3</f>
        <v>#VALUE!</v>
      </c>
      <c r="N62" s="57" t="e">
        <f>'Summary Data'!N59*K$3</f>
        <v>#VALUE!</v>
      </c>
      <c r="O62" s="57" t="e">
        <f>'Summary Data'!O59*L$3</f>
        <v>#VALUE!</v>
      </c>
      <c r="P62" s="57" t="e">
        <f>'Summary Data'!P59*M$3</f>
        <v>#VALUE!</v>
      </c>
      <c r="Q62" s="57" t="e">
        <f>'Summary Data'!Q59*N$3</f>
        <v>#VALUE!</v>
      </c>
      <c r="R62" s="57" t="e">
        <f>'Summary Data'!R59*O$3</f>
        <v>#VALUE!</v>
      </c>
      <c r="S62" s="57" t="e">
        <f>'Summary Data'!S59*P$3</f>
        <v>#VALUE!</v>
      </c>
      <c r="T62" s="57" t="e">
        <f>(_xlfn.XLOOKUP(A62,'Round 1 Points'!$A$10:$A$144,'Round 1 Points'!$T$10:$T$144,0)+_xlfn.XLOOKUP(A62,'Round 2 Points'!$A$10:$A$146,'Round 2 Points'!$T$10:$T$146,0)+_xlfn.XLOOKUP(A62,'Round 3 Points'!$A$10:$A$145,'Round 3 Points'!$T$10:$T$145,0)+_xlfn.XLOOKUP(A62,'Round 4 Points'!$A$10:$A$147,'Round 4 Points'!$T$10:$T$147,0))/D62</f>
        <v>#VALUE!</v>
      </c>
      <c r="U62" s="57" t="e">
        <f>'Summary Data'!T59*Q$3</f>
        <v>#VALUE!</v>
      </c>
      <c r="V62" s="57">
        <f>(_xlfn.XLOOKUP(A62,'Round 1 Points'!$A$10:$A$144,'Round 1 Points'!$V$10:$V$144,0)+_xlfn.XLOOKUP(A62,'Round 2 Points'!$A$10:$A$146,'Round 2 Points'!$V$10:$V$146,0)+_xlfn.XLOOKUP(A62,'Round 3 Points'!$A$10:$A$145,'Round 3 Points'!$V$10:$V$145,0)+_xlfn.XLOOKUP(A62,'Round 4 Points'!$A$10:$A$147,'Round 4 Points'!$V$10:$V$147,0))</f>
        <v>0</v>
      </c>
      <c r="W62" s="72" t="e">
        <f t="shared" si="0"/>
        <v>#VALUE!</v>
      </c>
    </row>
    <row r="63" spans="1:23" ht="16" thickBot="1" x14ac:dyDescent="0.25">
      <c r="A63" s="61" t="s">
        <v>167</v>
      </c>
      <c r="B63" t="s">
        <v>190</v>
      </c>
      <c r="C63" t="s">
        <v>198</v>
      </c>
      <c r="D63" t="e">
        <f>'Summary Data'!D60</f>
        <v>#VALUE!</v>
      </c>
      <c r="E63" s="57" t="e">
        <f>'Summary Data'!E60</f>
        <v>#VALUE!</v>
      </c>
      <c r="F63" s="57" t="e">
        <f>'Summary Data'!F60*C$3</f>
        <v>#VALUE!</v>
      </c>
      <c r="G63" s="57" t="e">
        <f>'Summary Data'!G60*D$3</f>
        <v>#VALUE!</v>
      </c>
      <c r="H63" s="57" t="e">
        <f>'Summary Data'!H60*E$3</f>
        <v>#VALUE!</v>
      </c>
      <c r="I63" s="57" t="e">
        <f>'Summary Data'!I60*F$3</f>
        <v>#VALUE!</v>
      </c>
      <c r="J63" s="57" t="e">
        <f>'Summary Data'!J60*G$3</f>
        <v>#VALUE!</v>
      </c>
      <c r="K63" s="57" t="e">
        <f>'Summary Data'!K60*H$3</f>
        <v>#VALUE!</v>
      </c>
      <c r="L63" s="57" t="e">
        <f>'Summary Data'!L60*I$3</f>
        <v>#VALUE!</v>
      </c>
      <c r="M63" s="57" t="e">
        <f>'Summary Data'!M60*J$3</f>
        <v>#VALUE!</v>
      </c>
      <c r="N63" s="57" t="e">
        <f>'Summary Data'!N60*K$3</f>
        <v>#VALUE!</v>
      </c>
      <c r="O63" s="57" t="e">
        <f>'Summary Data'!O60*L$3</f>
        <v>#VALUE!</v>
      </c>
      <c r="P63" s="57" t="e">
        <f>'Summary Data'!P60*M$3</f>
        <v>#VALUE!</v>
      </c>
      <c r="Q63" s="57" t="e">
        <f>'Summary Data'!Q60*N$3</f>
        <v>#VALUE!</v>
      </c>
      <c r="R63" s="57" t="e">
        <f>'Summary Data'!R60*O$3</f>
        <v>#VALUE!</v>
      </c>
      <c r="S63" s="57" t="e">
        <f>'Summary Data'!S60*P$3</f>
        <v>#VALUE!</v>
      </c>
      <c r="T63" s="57" t="e">
        <f>(_xlfn.XLOOKUP(A63,'Round 1 Points'!$A$10:$A$144,'Round 1 Points'!$T$10:$T$144,0)+_xlfn.XLOOKUP(A63,'Round 2 Points'!$A$10:$A$146,'Round 2 Points'!$T$10:$T$146,0)+_xlfn.XLOOKUP(A63,'Round 3 Points'!$A$10:$A$145,'Round 3 Points'!$T$10:$T$145,0)+_xlfn.XLOOKUP(A63,'Round 4 Points'!$A$10:$A$147,'Round 4 Points'!$T$10:$T$147,0))/D63</f>
        <v>#VALUE!</v>
      </c>
      <c r="U63" s="57" t="e">
        <f>'Summary Data'!T60*Q$3</f>
        <v>#VALUE!</v>
      </c>
      <c r="V63" s="57">
        <f>(_xlfn.XLOOKUP(A63,'Round 1 Points'!$A$10:$A$144,'Round 1 Points'!$V$10:$V$144,0)+_xlfn.XLOOKUP(A63,'Round 2 Points'!$A$10:$A$146,'Round 2 Points'!$V$10:$V$146,0)+_xlfn.XLOOKUP(A63,'Round 3 Points'!$A$10:$A$145,'Round 3 Points'!$V$10:$V$145,0)+_xlfn.XLOOKUP(A63,'Round 4 Points'!$A$10:$A$147,'Round 4 Points'!$V$10:$V$147,0))</f>
        <v>2.1</v>
      </c>
      <c r="W63" s="72" t="e">
        <f t="shared" si="0"/>
        <v>#VALUE!</v>
      </c>
    </row>
    <row r="64" spans="1:23" ht="16" thickBot="1" x14ac:dyDescent="0.25">
      <c r="A64" s="63" t="s">
        <v>90</v>
      </c>
      <c r="B64" t="s">
        <v>190</v>
      </c>
      <c r="C64" t="s">
        <v>198</v>
      </c>
      <c r="D64" t="e">
        <f>'Summary Data'!D61</f>
        <v>#VALUE!</v>
      </c>
      <c r="E64" s="57" t="e">
        <f>'Summary Data'!E61</f>
        <v>#VALUE!</v>
      </c>
      <c r="F64" s="57" t="e">
        <f>'Summary Data'!F61*C$3</f>
        <v>#VALUE!</v>
      </c>
      <c r="G64" s="57" t="e">
        <f>'Summary Data'!G61*D$3</f>
        <v>#VALUE!</v>
      </c>
      <c r="H64" s="57" t="e">
        <f>'Summary Data'!H61*E$3</f>
        <v>#VALUE!</v>
      </c>
      <c r="I64" s="57" t="e">
        <f>'Summary Data'!I61*F$3</f>
        <v>#VALUE!</v>
      </c>
      <c r="J64" s="57" t="e">
        <f>'Summary Data'!J61*G$3</f>
        <v>#VALUE!</v>
      </c>
      <c r="K64" s="57" t="e">
        <f>'Summary Data'!K61*H$3</f>
        <v>#VALUE!</v>
      </c>
      <c r="L64" s="57" t="e">
        <f>'Summary Data'!L61*I$3</f>
        <v>#VALUE!</v>
      </c>
      <c r="M64" s="57" t="e">
        <f>'Summary Data'!M61*J$3</f>
        <v>#VALUE!</v>
      </c>
      <c r="N64" s="57" t="e">
        <f>'Summary Data'!N61*K$3</f>
        <v>#VALUE!</v>
      </c>
      <c r="O64" s="57" t="e">
        <f>'Summary Data'!O61*L$3</f>
        <v>#VALUE!</v>
      </c>
      <c r="P64" s="57" t="e">
        <f>'Summary Data'!P61*M$3</f>
        <v>#VALUE!</v>
      </c>
      <c r="Q64" s="57" t="e">
        <f>'Summary Data'!Q61*N$3</f>
        <v>#VALUE!</v>
      </c>
      <c r="R64" s="57" t="e">
        <f>'Summary Data'!R61*O$3</f>
        <v>#VALUE!</v>
      </c>
      <c r="S64" s="57" t="e">
        <f>'Summary Data'!S61*P$3</f>
        <v>#VALUE!</v>
      </c>
      <c r="T64" s="57" t="e">
        <f>(_xlfn.XLOOKUP(A64,'Round 1 Points'!$A$10:$A$144,'Round 1 Points'!$T$10:$T$144,0)+_xlfn.XLOOKUP(A64,'Round 2 Points'!$A$10:$A$146,'Round 2 Points'!$T$10:$T$146,0)+_xlfn.XLOOKUP(A64,'Round 3 Points'!$A$10:$A$145,'Round 3 Points'!$T$10:$T$145,0)+_xlfn.XLOOKUP(A64,'Round 4 Points'!$A$10:$A$147,'Round 4 Points'!$T$10:$T$147,0))/D64</f>
        <v>#VALUE!</v>
      </c>
      <c r="U64" s="57" t="e">
        <f>'Summary Data'!T61*Q$3</f>
        <v>#VALUE!</v>
      </c>
      <c r="V64" s="57">
        <f>(_xlfn.XLOOKUP(A64,'Round 1 Points'!$A$10:$A$144,'Round 1 Points'!$V$10:$V$144,0)+_xlfn.XLOOKUP(A64,'Round 2 Points'!$A$10:$A$146,'Round 2 Points'!$V$10:$V$146,0)+_xlfn.XLOOKUP(A64,'Round 3 Points'!$A$10:$A$145,'Round 3 Points'!$V$10:$V$145,0)+_xlfn.XLOOKUP(A64,'Round 4 Points'!$A$10:$A$147,'Round 4 Points'!$V$10:$V$147,0))</f>
        <v>13.4</v>
      </c>
      <c r="W64" s="72" t="e">
        <f t="shared" si="0"/>
        <v>#VALUE!</v>
      </c>
    </row>
    <row r="65" spans="1:23" ht="16" thickBot="1" x14ac:dyDescent="0.25">
      <c r="A65" s="61" t="s">
        <v>91</v>
      </c>
      <c r="B65" t="s">
        <v>190</v>
      </c>
      <c r="C65" t="s">
        <v>198</v>
      </c>
      <c r="D65" t="e">
        <f>'Summary Data'!D62</f>
        <v>#VALUE!</v>
      </c>
      <c r="E65" s="57" t="e">
        <f>'Summary Data'!E62</f>
        <v>#VALUE!</v>
      </c>
      <c r="F65" s="57" t="e">
        <f>'Summary Data'!F62*C$3</f>
        <v>#VALUE!</v>
      </c>
      <c r="G65" s="57" t="e">
        <f>'Summary Data'!G62*D$3</f>
        <v>#VALUE!</v>
      </c>
      <c r="H65" s="57" t="e">
        <f>'Summary Data'!H62*E$3</f>
        <v>#VALUE!</v>
      </c>
      <c r="I65" s="57" t="e">
        <f>'Summary Data'!I62*F$3</f>
        <v>#VALUE!</v>
      </c>
      <c r="J65" s="57" t="e">
        <f>'Summary Data'!J62*G$3</f>
        <v>#VALUE!</v>
      </c>
      <c r="K65" s="57" t="e">
        <f>'Summary Data'!K62*H$3</f>
        <v>#VALUE!</v>
      </c>
      <c r="L65" s="57" t="e">
        <f>'Summary Data'!L62*I$3</f>
        <v>#VALUE!</v>
      </c>
      <c r="M65" s="57" t="e">
        <f>'Summary Data'!M62*J$3</f>
        <v>#VALUE!</v>
      </c>
      <c r="N65" s="57" t="e">
        <f>'Summary Data'!N62*K$3</f>
        <v>#VALUE!</v>
      </c>
      <c r="O65" s="57" t="e">
        <f>'Summary Data'!O62*L$3</f>
        <v>#VALUE!</v>
      </c>
      <c r="P65" s="57" t="e">
        <f>'Summary Data'!P62*M$3</f>
        <v>#VALUE!</v>
      </c>
      <c r="Q65" s="57" t="e">
        <f>'Summary Data'!Q62*N$3</f>
        <v>#VALUE!</v>
      </c>
      <c r="R65" s="57" t="e">
        <f>'Summary Data'!R62*O$3</f>
        <v>#VALUE!</v>
      </c>
      <c r="S65" s="57" t="e">
        <f>'Summary Data'!S62*P$3</f>
        <v>#VALUE!</v>
      </c>
      <c r="T65" s="57" t="e">
        <f>(_xlfn.XLOOKUP(A65,'Round 1 Points'!$A$10:$A$144,'Round 1 Points'!$T$10:$T$144,0)+_xlfn.XLOOKUP(A65,'Round 2 Points'!$A$10:$A$146,'Round 2 Points'!$T$10:$T$146,0)+_xlfn.XLOOKUP(A65,'Round 3 Points'!$A$10:$A$145,'Round 3 Points'!$T$10:$T$145,0)+_xlfn.XLOOKUP(A65,'Round 4 Points'!$A$10:$A$147,'Round 4 Points'!$T$10:$T$147,0))/D65</f>
        <v>#VALUE!</v>
      </c>
      <c r="U65" s="57" t="e">
        <f>'Summary Data'!T62*Q$3</f>
        <v>#VALUE!</v>
      </c>
      <c r="V65" s="57">
        <f>(_xlfn.XLOOKUP(A65,'Round 1 Points'!$A$10:$A$144,'Round 1 Points'!$V$10:$V$144,0)+_xlfn.XLOOKUP(A65,'Round 2 Points'!$A$10:$A$146,'Round 2 Points'!$V$10:$V$146,0)+_xlfn.XLOOKUP(A65,'Round 3 Points'!$A$10:$A$145,'Round 3 Points'!$V$10:$V$145,0)+_xlfn.XLOOKUP(A65,'Round 4 Points'!$A$10:$A$147,'Round 4 Points'!$V$10:$V$147,0))</f>
        <v>2.7</v>
      </c>
      <c r="W65" s="72" t="e">
        <f t="shared" si="0"/>
        <v>#VALUE!</v>
      </c>
    </row>
    <row r="66" spans="1:23" ht="16" thickBot="1" x14ac:dyDescent="0.25">
      <c r="A66" s="63" t="s">
        <v>92</v>
      </c>
      <c r="B66" t="s">
        <v>190</v>
      </c>
      <c r="C66" t="s">
        <v>198</v>
      </c>
      <c r="D66" t="e">
        <f>'Summary Data'!D63</f>
        <v>#VALUE!</v>
      </c>
      <c r="E66" s="57" t="e">
        <f>'Summary Data'!E63</f>
        <v>#VALUE!</v>
      </c>
      <c r="F66" s="57" t="e">
        <f>'Summary Data'!F63*C$3</f>
        <v>#VALUE!</v>
      </c>
      <c r="G66" s="57" t="e">
        <f>'Summary Data'!G63*D$3</f>
        <v>#VALUE!</v>
      </c>
      <c r="H66" s="57" t="e">
        <f>'Summary Data'!H63*E$3</f>
        <v>#VALUE!</v>
      </c>
      <c r="I66" s="57" t="e">
        <f>'Summary Data'!I63*F$3</f>
        <v>#VALUE!</v>
      </c>
      <c r="J66" s="57" t="e">
        <f>'Summary Data'!J63*G$3</f>
        <v>#VALUE!</v>
      </c>
      <c r="K66" s="57" t="e">
        <f>'Summary Data'!K63*H$3</f>
        <v>#VALUE!</v>
      </c>
      <c r="L66" s="57" t="e">
        <f>'Summary Data'!L63*I$3</f>
        <v>#VALUE!</v>
      </c>
      <c r="M66" s="57" t="e">
        <f>'Summary Data'!M63*J$3</f>
        <v>#VALUE!</v>
      </c>
      <c r="N66" s="57" t="e">
        <f>'Summary Data'!N63*K$3</f>
        <v>#VALUE!</v>
      </c>
      <c r="O66" s="57" t="e">
        <f>'Summary Data'!O63*L$3</f>
        <v>#VALUE!</v>
      </c>
      <c r="P66" s="57" t="e">
        <f>'Summary Data'!P63*M$3</f>
        <v>#VALUE!</v>
      </c>
      <c r="Q66" s="57" t="e">
        <f>'Summary Data'!Q63*N$3</f>
        <v>#VALUE!</v>
      </c>
      <c r="R66" s="57" t="e">
        <f>'Summary Data'!R63*O$3</f>
        <v>#VALUE!</v>
      </c>
      <c r="S66" s="57" t="e">
        <f>'Summary Data'!S63*P$3</f>
        <v>#VALUE!</v>
      </c>
      <c r="T66" s="57" t="e">
        <f>(_xlfn.XLOOKUP(A66,'Round 1 Points'!$A$10:$A$144,'Round 1 Points'!$T$10:$T$144,0)+_xlfn.XLOOKUP(A66,'Round 2 Points'!$A$10:$A$146,'Round 2 Points'!$T$10:$T$146,0)+_xlfn.XLOOKUP(A66,'Round 3 Points'!$A$10:$A$145,'Round 3 Points'!$T$10:$T$145,0)+_xlfn.XLOOKUP(A66,'Round 4 Points'!$A$10:$A$147,'Round 4 Points'!$T$10:$T$147,0))/D66</f>
        <v>#VALUE!</v>
      </c>
      <c r="U66" s="57" t="e">
        <f>'Summary Data'!T63*Q$3</f>
        <v>#VALUE!</v>
      </c>
      <c r="V66" s="57">
        <f>(_xlfn.XLOOKUP(A66,'Round 1 Points'!$A$10:$A$144,'Round 1 Points'!$V$10:$V$144,0)+_xlfn.XLOOKUP(A66,'Round 2 Points'!$A$10:$A$146,'Round 2 Points'!$V$10:$V$146,0)+_xlfn.XLOOKUP(A66,'Round 3 Points'!$A$10:$A$145,'Round 3 Points'!$V$10:$V$145,0)+_xlfn.XLOOKUP(A66,'Round 4 Points'!$A$10:$A$147,'Round 4 Points'!$V$10:$V$147,0))</f>
        <v>16</v>
      </c>
      <c r="W66" s="72" t="e">
        <f t="shared" si="0"/>
        <v>#VALUE!</v>
      </c>
    </row>
    <row r="67" spans="1:23" ht="16" thickBot="1" x14ac:dyDescent="0.25">
      <c r="A67" s="61" t="s">
        <v>94</v>
      </c>
      <c r="B67" t="s">
        <v>190</v>
      </c>
      <c r="C67" t="s">
        <v>199</v>
      </c>
      <c r="D67" t="e">
        <f>'Summary Data'!D64</f>
        <v>#VALUE!</v>
      </c>
      <c r="E67" s="57" t="e">
        <f>'Summary Data'!E64</f>
        <v>#VALUE!</v>
      </c>
      <c r="F67" s="57" t="e">
        <f>'Summary Data'!F64*C$3</f>
        <v>#VALUE!</v>
      </c>
      <c r="G67" s="57" t="e">
        <f>'Summary Data'!G64*D$3</f>
        <v>#VALUE!</v>
      </c>
      <c r="H67" s="57" t="e">
        <f>'Summary Data'!H64*E$3</f>
        <v>#VALUE!</v>
      </c>
      <c r="I67" s="57" t="e">
        <f>'Summary Data'!I64*F$3</f>
        <v>#VALUE!</v>
      </c>
      <c r="J67" s="57" t="e">
        <f>'Summary Data'!J64*G$3</f>
        <v>#VALUE!</v>
      </c>
      <c r="K67" s="57" t="e">
        <f>'Summary Data'!K64*H$3</f>
        <v>#VALUE!</v>
      </c>
      <c r="L67" s="57" t="e">
        <f>'Summary Data'!L64*I$3</f>
        <v>#VALUE!</v>
      </c>
      <c r="M67" s="57" t="e">
        <f>'Summary Data'!M64*J$3</f>
        <v>#VALUE!</v>
      </c>
      <c r="N67" s="57" t="e">
        <f>'Summary Data'!N64*K$3</f>
        <v>#VALUE!</v>
      </c>
      <c r="O67" s="57" t="e">
        <f>'Summary Data'!O64*L$3</f>
        <v>#VALUE!</v>
      </c>
      <c r="P67" s="57" t="e">
        <f>'Summary Data'!P64*M$3</f>
        <v>#VALUE!</v>
      </c>
      <c r="Q67" s="57" t="e">
        <f>'Summary Data'!Q64*N$3</f>
        <v>#VALUE!</v>
      </c>
      <c r="R67" s="57" t="e">
        <f>'Summary Data'!R64*O$3</f>
        <v>#VALUE!</v>
      </c>
      <c r="S67" s="57" t="e">
        <f>'Summary Data'!S64*P$3</f>
        <v>#VALUE!</v>
      </c>
      <c r="T67" s="57" t="e">
        <f>(_xlfn.XLOOKUP(A67,'Round 1 Points'!$A$10:$A$144,'Round 1 Points'!$T$10:$T$144,0)+_xlfn.XLOOKUP(A67,'Round 2 Points'!$A$10:$A$146,'Round 2 Points'!$T$10:$T$146,0)+_xlfn.XLOOKUP(A67,'Round 3 Points'!$A$10:$A$145,'Round 3 Points'!$T$10:$T$145,0)+_xlfn.XLOOKUP(A67,'Round 4 Points'!$A$10:$A$147,'Round 4 Points'!$T$10:$T$147,0))/D67</f>
        <v>#VALUE!</v>
      </c>
      <c r="U67" s="57" t="e">
        <f>'Summary Data'!T64*Q$3</f>
        <v>#VALUE!</v>
      </c>
      <c r="V67" s="57">
        <f>(_xlfn.XLOOKUP(A67,'Round 1 Points'!$A$10:$A$144,'Round 1 Points'!$V$10:$V$144,0)+_xlfn.XLOOKUP(A67,'Round 2 Points'!$A$10:$A$146,'Round 2 Points'!$V$10:$V$146,0)+_xlfn.XLOOKUP(A67,'Round 3 Points'!$A$10:$A$145,'Round 3 Points'!$V$10:$V$145,0)+_xlfn.XLOOKUP(A67,'Round 4 Points'!$A$10:$A$147,'Round 4 Points'!$V$10:$V$147,0))</f>
        <v>16</v>
      </c>
      <c r="W67" s="72" t="e">
        <f t="shared" si="0"/>
        <v>#VALUE!</v>
      </c>
    </row>
    <row r="68" spans="1:23" ht="16" thickBot="1" x14ac:dyDescent="0.25">
      <c r="A68" s="63" t="s">
        <v>95</v>
      </c>
      <c r="B68" t="s">
        <v>190</v>
      </c>
      <c r="C68" t="s">
        <v>199</v>
      </c>
      <c r="D68" t="e">
        <f>'Summary Data'!D65</f>
        <v>#VALUE!</v>
      </c>
      <c r="E68" s="57" t="e">
        <f>'Summary Data'!E65</f>
        <v>#VALUE!</v>
      </c>
      <c r="F68" s="57" t="e">
        <f>'Summary Data'!F65*C$3</f>
        <v>#VALUE!</v>
      </c>
      <c r="G68" s="57" t="e">
        <f>'Summary Data'!G65*D$3</f>
        <v>#VALUE!</v>
      </c>
      <c r="H68" s="57" t="e">
        <f>'Summary Data'!H65*E$3</f>
        <v>#VALUE!</v>
      </c>
      <c r="I68" s="57" t="e">
        <f>'Summary Data'!I65*F$3</f>
        <v>#VALUE!</v>
      </c>
      <c r="J68" s="57" t="e">
        <f>'Summary Data'!J65*G$3</f>
        <v>#VALUE!</v>
      </c>
      <c r="K68" s="57" t="e">
        <f>'Summary Data'!K65*H$3</f>
        <v>#VALUE!</v>
      </c>
      <c r="L68" s="57" t="e">
        <f>'Summary Data'!L65*I$3</f>
        <v>#VALUE!</v>
      </c>
      <c r="M68" s="57" t="e">
        <f>'Summary Data'!M65*J$3</f>
        <v>#VALUE!</v>
      </c>
      <c r="N68" s="57" t="e">
        <f>'Summary Data'!N65*K$3</f>
        <v>#VALUE!</v>
      </c>
      <c r="O68" s="57" t="e">
        <f>'Summary Data'!O65*L$3</f>
        <v>#VALUE!</v>
      </c>
      <c r="P68" s="57" t="e">
        <f>'Summary Data'!P65*M$3</f>
        <v>#VALUE!</v>
      </c>
      <c r="Q68" s="57" t="e">
        <f>'Summary Data'!Q65*N$3</f>
        <v>#VALUE!</v>
      </c>
      <c r="R68" s="57" t="e">
        <f>'Summary Data'!R65*O$3</f>
        <v>#VALUE!</v>
      </c>
      <c r="S68" s="57" t="e">
        <f>'Summary Data'!S65*P$3</f>
        <v>#VALUE!</v>
      </c>
      <c r="T68" s="57" t="e">
        <f>(_xlfn.XLOOKUP(A68,'Round 1 Points'!$A$10:$A$144,'Round 1 Points'!$T$10:$T$144,0)+_xlfn.XLOOKUP(A68,'Round 2 Points'!$A$10:$A$146,'Round 2 Points'!$T$10:$T$146,0)+_xlfn.XLOOKUP(A68,'Round 3 Points'!$A$10:$A$145,'Round 3 Points'!$T$10:$T$145,0)+_xlfn.XLOOKUP(A68,'Round 4 Points'!$A$10:$A$147,'Round 4 Points'!$T$10:$T$147,0))/D68</f>
        <v>#VALUE!</v>
      </c>
      <c r="U68" s="57" t="e">
        <f>'Summary Data'!T65*Q$3</f>
        <v>#VALUE!</v>
      </c>
      <c r="V68" s="57">
        <f>(_xlfn.XLOOKUP(A68,'Round 1 Points'!$A$10:$A$144,'Round 1 Points'!$V$10:$V$144,0)+_xlfn.XLOOKUP(A68,'Round 2 Points'!$A$10:$A$146,'Round 2 Points'!$V$10:$V$146,0)+_xlfn.XLOOKUP(A68,'Round 3 Points'!$A$10:$A$145,'Round 3 Points'!$V$10:$V$145,0)+_xlfn.XLOOKUP(A68,'Round 4 Points'!$A$10:$A$147,'Round 4 Points'!$V$10:$V$147,0))</f>
        <v>1.5</v>
      </c>
      <c r="W68" s="72" t="e">
        <f t="shared" si="0"/>
        <v>#VALUE!</v>
      </c>
    </row>
    <row r="69" spans="1:23" ht="16" thickBot="1" x14ac:dyDescent="0.25">
      <c r="A69" s="61" t="s">
        <v>96</v>
      </c>
      <c r="B69" t="s">
        <v>190</v>
      </c>
      <c r="C69" t="s">
        <v>199</v>
      </c>
      <c r="D69" t="e">
        <f>'Summary Data'!D66</f>
        <v>#VALUE!</v>
      </c>
      <c r="E69" s="57" t="e">
        <f>'Summary Data'!E66</f>
        <v>#VALUE!</v>
      </c>
      <c r="F69" s="57" t="e">
        <f>'Summary Data'!F66*C$3</f>
        <v>#VALUE!</v>
      </c>
      <c r="G69" s="57" t="e">
        <f>'Summary Data'!G66*D$3</f>
        <v>#VALUE!</v>
      </c>
      <c r="H69" s="57" t="e">
        <f>'Summary Data'!H66*E$3</f>
        <v>#VALUE!</v>
      </c>
      <c r="I69" s="57" t="e">
        <f>'Summary Data'!I66*F$3</f>
        <v>#VALUE!</v>
      </c>
      <c r="J69" s="57" t="e">
        <f>'Summary Data'!J66*G$3</f>
        <v>#VALUE!</v>
      </c>
      <c r="K69" s="57" t="e">
        <f>'Summary Data'!K66*H$3</f>
        <v>#VALUE!</v>
      </c>
      <c r="L69" s="57" t="e">
        <f>'Summary Data'!L66*I$3</f>
        <v>#VALUE!</v>
      </c>
      <c r="M69" s="57" t="e">
        <f>'Summary Data'!M66*J$3</f>
        <v>#VALUE!</v>
      </c>
      <c r="N69" s="57" t="e">
        <f>'Summary Data'!N66*K$3</f>
        <v>#VALUE!</v>
      </c>
      <c r="O69" s="57" t="e">
        <f>'Summary Data'!O66*L$3</f>
        <v>#VALUE!</v>
      </c>
      <c r="P69" s="57" t="e">
        <f>'Summary Data'!P66*M$3</f>
        <v>#VALUE!</v>
      </c>
      <c r="Q69" s="57" t="e">
        <f>'Summary Data'!Q66*N$3</f>
        <v>#VALUE!</v>
      </c>
      <c r="R69" s="57" t="e">
        <f>'Summary Data'!R66*O$3</f>
        <v>#VALUE!</v>
      </c>
      <c r="S69" s="57" t="e">
        <f>'Summary Data'!S66*P$3</f>
        <v>#VALUE!</v>
      </c>
      <c r="T69" s="57" t="e">
        <f>(_xlfn.XLOOKUP(A69,'Round 1 Points'!$A$10:$A$144,'Round 1 Points'!$T$10:$T$144,0)+_xlfn.XLOOKUP(A69,'Round 2 Points'!$A$10:$A$146,'Round 2 Points'!$T$10:$T$146,0)+_xlfn.XLOOKUP(A69,'Round 3 Points'!$A$10:$A$145,'Round 3 Points'!$T$10:$T$145,0)+_xlfn.XLOOKUP(A69,'Round 4 Points'!$A$10:$A$147,'Round 4 Points'!$T$10:$T$147,0))/D69</f>
        <v>#VALUE!</v>
      </c>
      <c r="U69" s="57" t="e">
        <f>'Summary Data'!T66*Q$3</f>
        <v>#VALUE!</v>
      </c>
      <c r="V69" s="57">
        <f>(_xlfn.XLOOKUP(A69,'Round 1 Points'!$A$10:$A$144,'Round 1 Points'!$V$10:$V$144,0)+_xlfn.XLOOKUP(A69,'Round 2 Points'!$A$10:$A$146,'Round 2 Points'!$V$10:$V$146,0)+_xlfn.XLOOKUP(A69,'Round 3 Points'!$A$10:$A$145,'Round 3 Points'!$V$10:$V$145,0)+_xlfn.XLOOKUP(A69,'Round 4 Points'!$A$10:$A$147,'Round 4 Points'!$V$10:$V$147,0))</f>
        <v>16</v>
      </c>
      <c r="W69" s="72" t="e">
        <f t="shared" si="0"/>
        <v>#VALUE!</v>
      </c>
    </row>
    <row r="70" spans="1:23" ht="16" thickBot="1" x14ac:dyDescent="0.25">
      <c r="A70" s="63" t="s">
        <v>97</v>
      </c>
      <c r="B70" t="s">
        <v>190</v>
      </c>
      <c r="C70" t="s">
        <v>200</v>
      </c>
      <c r="D70" t="e">
        <f>'Summary Data'!D67</f>
        <v>#VALUE!</v>
      </c>
      <c r="E70" s="57" t="e">
        <f>'Summary Data'!E67</f>
        <v>#VALUE!</v>
      </c>
      <c r="F70" s="57" t="e">
        <f>'Summary Data'!F67*C$3</f>
        <v>#VALUE!</v>
      </c>
      <c r="G70" s="57" t="e">
        <f>'Summary Data'!G67*D$3</f>
        <v>#VALUE!</v>
      </c>
      <c r="H70" s="57" t="e">
        <f>'Summary Data'!H67*E$3</f>
        <v>#VALUE!</v>
      </c>
      <c r="I70" s="57" t="e">
        <f>'Summary Data'!I67*F$3</f>
        <v>#VALUE!</v>
      </c>
      <c r="J70" s="57" t="e">
        <f>'Summary Data'!J67*G$3</f>
        <v>#VALUE!</v>
      </c>
      <c r="K70" s="57" t="e">
        <f>'Summary Data'!K67*H$3</f>
        <v>#VALUE!</v>
      </c>
      <c r="L70" s="57" t="e">
        <f>'Summary Data'!L67*I$3</f>
        <v>#VALUE!</v>
      </c>
      <c r="M70" s="57" t="e">
        <f>'Summary Data'!M67*J$3</f>
        <v>#VALUE!</v>
      </c>
      <c r="N70" s="57" t="e">
        <f>'Summary Data'!N67*K$3</f>
        <v>#VALUE!</v>
      </c>
      <c r="O70" s="57" t="e">
        <f>'Summary Data'!O67*L$3</f>
        <v>#VALUE!</v>
      </c>
      <c r="P70" s="57" t="e">
        <f>'Summary Data'!P67*M$3</f>
        <v>#VALUE!</v>
      </c>
      <c r="Q70" s="57" t="e">
        <f>'Summary Data'!Q67*N$3</f>
        <v>#VALUE!</v>
      </c>
      <c r="R70" s="57" t="e">
        <f>'Summary Data'!R67*O$3</f>
        <v>#VALUE!</v>
      </c>
      <c r="S70" s="57" t="e">
        <f>'Summary Data'!S67*P$3</f>
        <v>#VALUE!</v>
      </c>
      <c r="T70" s="57" t="e">
        <f>(_xlfn.XLOOKUP(A70,'Round 1 Points'!$A$10:$A$144,'Round 1 Points'!$T$10:$T$144,0)+_xlfn.XLOOKUP(A70,'Round 2 Points'!$A$10:$A$146,'Round 2 Points'!$T$10:$T$146,0)+_xlfn.XLOOKUP(A70,'Round 3 Points'!$A$10:$A$145,'Round 3 Points'!$T$10:$T$145,0)+_xlfn.XLOOKUP(A70,'Round 4 Points'!$A$10:$A$147,'Round 4 Points'!$T$10:$T$147,0))/D70</f>
        <v>#VALUE!</v>
      </c>
      <c r="U70" s="57" t="e">
        <f>'Summary Data'!T67*Q$3</f>
        <v>#VALUE!</v>
      </c>
      <c r="V70" s="57">
        <f>(_xlfn.XLOOKUP(A70,'Round 1 Points'!$A$10:$A$144,'Round 1 Points'!$V$10:$V$144,0)+_xlfn.XLOOKUP(A70,'Round 2 Points'!$A$10:$A$146,'Round 2 Points'!$V$10:$V$146,0)+_xlfn.XLOOKUP(A70,'Round 3 Points'!$A$10:$A$145,'Round 3 Points'!$V$10:$V$145,0)+_xlfn.XLOOKUP(A70,'Round 4 Points'!$A$10:$A$147,'Round 4 Points'!$V$10:$V$147,0))</f>
        <v>4.7</v>
      </c>
      <c r="W70" s="72" t="e">
        <f t="shared" si="0"/>
        <v>#VALUE!</v>
      </c>
    </row>
    <row r="71" spans="1:23" ht="16" thickBot="1" x14ac:dyDescent="0.25">
      <c r="A71" s="61" t="s">
        <v>98</v>
      </c>
      <c r="B71" t="s">
        <v>190</v>
      </c>
      <c r="C71" t="s">
        <v>200</v>
      </c>
      <c r="D71" t="e">
        <f>'Summary Data'!D68</f>
        <v>#VALUE!</v>
      </c>
      <c r="E71" s="57" t="e">
        <f>'Summary Data'!E68</f>
        <v>#VALUE!</v>
      </c>
      <c r="F71" s="57" t="e">
        <f>'Summary Data'!F68*C$3</f>
        <v>#VALUE!</v>
      </c>
      <c r="G71" s="57" t="e">
        <f>'Summary Data'!G68*D$3</f>
        <v>#VALUE!</v>
      </c>
      <c r="H71" s="57" t="e">
        <f>'Summary Data'!H68*E$3</f>
        <v>#VALUE!</v>
      </c>
      <c r="I71" s="57" t="e">
        <f>'Summary Data'!I68*F$3</f>
        <v>#VALUE!</v>
      </c>
      <c r="J71" s="57" t="e">
        <f>'Summary Data'!J68*G$3</f>
        <v>#VALUE!</v>
      </c>
      <c r="K71" s="57" t="e">
        <f>'Summary Data'!K68*H$3</f>
        <v>#VALUE!</v>
      </c>
      <c r="L71" s="57" t="e">
        <f>'Summary Data'!L68*I$3</f>
        <v>#VALUE!</v>
      </c>
      <c r="M71" s="57" t="e">
        <f>'Summary Data'!M68*J$3</f>
        <v>#VALUE!</v>
      </c>
      <c r="N71" s="57" t="e">
        <f>'Summary Data'!N68*K$3</f>
        <v>#VALUE!</v>
      </c>
      <c r="O71" s="57" t="e">
        <f>'Summary Data'!O68*L$3</f>
        <v>#VALUE!</v>
      </c>
      <c r="P71" s="57" t="e">
        <f>'Summary Data'!P68*M$3</f>
        <v>#VALUE!</v>
      </c>
      <c r="Q71" s="57" t="e">
        <f>'Summary Data'!Q68*N$3</f>
        <v>#VALUE!</v>
      </c>
      <c r="R71" s="57" t="e">
        <f>'Summary Data'!R68*O$3</f>
        <v>#VALUE!</v>
      </c>
      <c r="S71" s="57" t="e">
        <f>'Summary Data'!S68*P$3</f>
        <v>#VALUE!</v>
      </c>
      <c r="T71" s="57" t="e">
        <f>(_xlfn.XLOOKUP(A71,'Round 1 Points'!$A$10:$A$144,'Round 1 Points'!$T$10:$T$144,0)+_xlfn.XLOOKUP(A71,'Round 2 Points'!$A$10:$A$146,'Round 2 Points'!$T$10:$T$146,0)+_xlfn.XLOOKUP(A71,'Round 3 Points'!$A$10:$A$145,'Round 3 Points'!$T$10:$T$145,0)+_xlfn.XLOOKUP(A71,'Round 4 Points'!$A$10:$A$147,'Round 4 Points'!$T$10:$T$147,0))/D71</f>
        <v>#VALUE!</v>
      </c>
      <c r="U71" s="57" t="e">
        <f>'Summary Data'!T68*Q$3</f>
        <v>#VALUE!</v>
      </c>
      <c r="V71" s="57">
        <f>(_xlfn.XLOOKUP(A71,'Round 1 Points'!$A$10:$A$144,'Round 1 Points'!$V$10:$V$144,0)+_xlfn.XLOOKUP(A71,'Round 2 Points'!$A$10:$A$146,'Round 2 Points'!$V$10:$V$146,0)+_xlfn.XLOOKUP(A71,'Round 3 Points'!$A$10:$A$145,'Round 3 Points'!$V$10:$V$145,0)+_xlfn.XLOOKUP(A71,'Round 4 Points'!$A$10:$A$147,'Round 4 Points'!$V$10:$V$147,0))</f>
        <v>10.8</v>
      </c>
      <c r="W71" s="72" t="e">
        <f t="shared" si="0"/>
        <v>#VALUE!</v>
      </c>
    </row>
    <row r="72" spans="1:23" ht="16" thickBot="1" x14ac:dyDescent="0.25">
      <c r="A72" s="63" t="s">
        <v>99</v>
      </c>
      <c r="B72" t="s">
        <v>190</v>
      </c>
      <c r="C72" t="s">
        <v>200</v>
      </c>
      <c r="D72" t="e">
        <f>'Summary Data'!D69</f>
        <v>#VALUE!</v>
      </c>
      <c r="E72" s="57" t="e">
        <f>'Summary Data'!E69</f>
        <v>#VALUE!</v>
      </c>
      <c r="F72" s="57" t="e">
        <f>'Summary Data'!F69*C$3</f>
        <v>#VALUE!</v>
      </c>
      <c r="G72" s="57" t="e">
        <f>'Summary Data'!G69*D$3</f>
        <v>#VALUE!</v>
      </c>
      <c r="H72" s="57" t="e">
        <f>'Summary Data'!H69*E$3</f>
        <v>#VALUE!</v>
      </c>
      <c r="I72" s="57" t="e">
        <f>'Summary Data'!I69*F$3</f>
        <v>#VALUE!</v>
      </c>
      <c r="J72" s="57" t="e">
        <f>'Summary Data'!J69*G$3</f>
        <v>#VALUE!</v>
      </c>
      <c r="K72" s="57" t="e">
        <f>'Summary Data'!K69*H$3</f>
        <v>#VALUE!</v>
      </c>
      <c r="L72" s="57" t="e">
        <f>'Summary Data'!L69*I$3</f>
        <v>#VALUE!</v>
      </c>
      <c r="M72" s="57" t="e">
        <f>'Summary Data'!M69*J$3</f>
        <v>#VALUE!</v>
      </c>
      <c r="N72" s="57" t="e">
        <f>'Summary Data'!N69*K$3</f>
        <v>#VALUE!</v>
      </c>
      <c r="O72" s="57" t="e">
        <f>'Summary Data'!O69*L$3</f>
        <v>#VALUE!</v>
      </c>
      <c r="P72" s="57" t="e">
        <f>'Summary Data'!P69*M$3</f>
        <v>#VALUE!</v>
      </c>
      <c r="Q72" s="57" t="e">
        <f>'Summary Data'!Q69*N$3</f>
        <v>#VALUE!</v>
      </c>
      <c r="R72" s="57" t="e">
        <f>'Summary Data'!R69*O$3</f>
        <v>#VALUE!</v>
      </c>
      <c r="S72" s="57" t="e">
        <f>'Summary Data'!S69*P$3</f>
        <v>#VALUE!</v>
      </c>
      <c r="T72" s="57" t="e">
        <f>(_xlfn.XLOOKUP(A72,'Round 1 Points'!$A$10:$A$144,'Round 1 Points'!$T$10:$T$144,0)+_xlfn.XLOOKUP(A72,'Round 2 Points'!$A$10:$A$146,'Round 2 Points'!$T$10:$T$146,0)+_xlfn.XLOOKUP(A72,'Round 3 Points'!$A$10:$A$145,'Round 3 Points'!$T$10:$T$145,0)+_xlfn.XLOOKUP(A72,'Round 4 Points'!$A$10:$A$147,'Round 4 Points'!$T$10:$T$147,0))/D72</f>
        <v>#VALUE!</v>
      </c>
      <c r="U72" s="57" t="e">
        <f>'Summary Data'!T69*Q$3</f>
        <v>#VALUE!</v>
      </c>
      <c r="V72" s="57">
        <f>(_xlfn.XLOOKUP(A72,'Round 1 Points'!$A$10:$A$144,'Round 1 Points'!$V$10:$V$144,0)+_xlfn.XLOOKUP(A72,'Round 2 Points'!$A$10:$A$146,'Round 2 Points'!$V$10:$V$146,0)+_xlfn.XLOOKUP(A72,'Round 3 Points'!$A$10:$A$145,'Round 3 Points'!$V$10:$V$145,0)+_xlfn.XLOOKUP(A72,'Round 4 Points'!$A$10:$A$147,'Round 4 Points'!$V$10:$V$147,0))</f>
        <v>11.3</v>
      </c>
      <c r="W72" s="72" t="e">
        <f t="shared" ref="W72:W135" si="1">T72+U72/D72+V72/D72</f>
        <v>#VALUE!</v>
      </c>
    </row>
    <row r="73" spans="1:23" ht="16" thickBot="1" x14ac:dyDescent="0.25">
      <c r="A73" s="61" t="s">
        <v>100</v>
      </c>
      <c r="B73" t="s">
        <v>190</v>
      </c>
      <c r="C73" t="s">
        <v>200</v>
      </c>
      <c r="D73" t="e">
        <f>'Summary Data'!D70</f>
        <v>#VALUE!</v>
      </c>
      <c r="E73" s="57" t="e">
        <f>'Summary Data'!E70</f>
        <v>#VALUE!</v>
      </c>
      <c r="F73" s="57" t="e">
        <f>'Summary Data'!F70*C$3</f>
        <v>#VALUE!</v>
      </c>
      <c r="G73" s="57" t="e">
        <f>'Summary Data'!G70*D$3</f>
        <v>#VALUE!</v>
      </c>
      <c r="H73" s="57" t="e">
        <f>'Summary Data'!H70*E$3</f>
        <v>#VALUE!</v>
      </c>
      <c r="I73" s="57" t="e">
        <f>'Summary Data'!I70*F$3</f>
        <v>#VALUE!</v>
      </c>
      <c r="J73" s="57" t="e">
        <f>'Summary Data'!J70*G$3</f>
        <v>#VALUE!</v>
      </c>
      <c r="K73" s="57" t="e">
        <f>'Summary Data'!K70*H$3</f>
        <v>#VALUE!</v>
      </c>
      <c r="L73" s="57" t="e">
        <f>'Summary Data'!L70*I$3</f>
        <v>#VALUE!</v>
      </c>
      <c r="M73" s="57" t="e">
        <f>'Summary Data'!M70*J$3</f>
        <v>#VALUE!</v>
      </c>
      <c r="N73" s="57" t="e">
        <f>'Summary Data'!N70*K$3</f>
        <v>#VALUE!</v>
      </c>
      <c r="O73" s="57" t="e">
        <f>'Summary Data'!O70*L$3</f>
        <v>#VALUE!</v>
      </c>
      <c r="P73" s="57" t="e">
        <f>'Summary Data'!P70*M$3</f>
        <v>#VALUE!</v>
      </c>
      <c r="Q73" s="57" t="e">
        <f>'Summary Data'!Q70*N$3</f>
        <v>#VALUE!</v>
      </c>
      <c r="R73" s="57" t="e">
        <f>'Summary Data'!R70*O$3</f>
        <v>#VALUE!</v>
      </c>
      <c r="S73" s="57" t="e">
        <f>'Summary Data'!S70*P$3</f>
        <v>#VALUE!</v>
      </c>
      <c r="T73" s="57" t="e">
        <f>(_xlfn.XLOOKUP(A73,'Round 1 Points'!$A$10:$A$144,'Round 1 Points'!$T$10:$T$144,0)+_xlfn.XLOOKUP(A73,'Round 2 Points'!$A$10:$A$146,'Round 2 Points'!$T$10:$T$146,0)+_xlfn.XLOOKUP(A73,'Round 3 Points'!$A$10:$A$145,'Round 3 Points'!$T$10:$T$145,0)+_xlfn.XLOOKUP(A73,'Round 4 Points'!$A$10:$A$147,'Round 4 Points'!$T$10:$T$147,0))/D73</f>
        <v>#VALUE!</v>
      </c>
      <c r="U73" s="57" t="e">
        <f>'Summary Data'!T70*Q$3</f>
        <v>#VALUE!</v>
      </c>
      <c r="V73" s="57">
        <f>(_xlfn.XLOOKUP(A73,'Round 1 Points'!$A$10:$A$144,'Round 1 Points'!$V$10:$V$144,0)+_xlfn.XLOOKUP(A73,'Round 2 Points'!$A$10:$A$146,'Round 2 Points'!$V$10:$V$146,0)+_xlfn.XLOOKUP(A73,'Round 3 Points'!$A$10:$A$145,'Round 3 Points'!$V$10:$V$145,0)+_xlfn.XLOOKUP(A73,'Round 4 Points'!$A$10:$A$147,'Round 4 Points'!$V$10:$V$147,0))</f>
        <v>5.2</v>
      </c>
      <c r="W73" s="72" t="e">
        <f t="shared" si="1"/>
        <v>#VALUE!</v>
      </c>
    </row>
    <row r="74" spans="1:23" ht="16" thickBot="1" x14ac:dyDescent="0.25">
      <c r="A74" s="63" t="s">
        <v>101</v>
      </c>
      <c r="B74" t="s">
        <v>190</v>
      </c>
      <c r="C74" t="s">
        <v>201</v>
      </c>
      <c r="D74" t="e">
        <f>'Summary Data'!D71</f>
        <v>#VALUE!</v>
      </c>
      <c r="E74" s="57" t="e">
        <f>'Summary Data'!E71</f>
        <v>#VALUE!</v>
      </c>
      <c r="F74" s="57" t="e">
        <f>'Summary Data'!F71*C$3</f>
        <v>#VALUE!</v>
      </c>
      <c r="G74" s="57" t="e">
        <f>'Summary Data'!G71*D$3</f>
        <v>#VALUE!</v>
      </c>
      <c r="H74" s="57" t="e">
        <f>'Summary Data'!H71*E$3</f>
        <v>#VALUE!</v>
      </c>
      <c r="I74" s="57" t="e">
        <f>'Summary Data'!I71*F$3</f>
        <v>#VALUE!</v>
      </c>
      <c r="J74" s="57" t="e">
        <f>'Summary Data'!J71*G$3</f>
        <v>#VALUE!</v>
      </c>
      <c r="K74" s="57" t="e">
        <f>'Summary Data'!K71*H$3</f>
        <v>#VALUE!</v>
      </c>
      <c r="L74" s="57" t="e">
        <f>'Summary Data'!L71*I$3</f>
        <v>#VALUE!</v>
      </c>
      <c r="M74" s="57" t="e">
        <f>'Summary Data'!M71*J$3</f>
        <v>#VALUE!</v>
      </c>
      <c r="N74" s="57" t="e">
        <f>'Summary Data'!N71*K$3</f>
        <v>#VALUE!</v>
      </c>
      <c r="O74" s="57" t="e">
        <f>'Summary Data'!O71*L$3</f>
        <v>#VALUE!</v>
      </c>
      <c r="P74" s="57" t="e">
        <f>'Summary Data'!P71*M$3</f>
        <v>#VALUE!</v>
      </c>
      <c r="Q74" s="57" t="e">
        <f>'Summary Data'!Q71*N$3</f>
        <v>#VALUE!</v>
      </c>
      <c r="R74" s="57" t="e">
        <f>'Summary Data'!R71*O$3</f>
        <v>#VALUE!</v>
      </c>
      <c r="S74" s="57" t="e">
        <f>'Summary Data'!S71*P$3</f>
        <v>#VALUE!</v>
      </c>
      <c r="T74" s="57" t="e">
        <f>(_xlfn.XLOOKUP(A74,'Round 1 Points'!$A$10:$A$144,'Round 1 Points'!$T$10:$T$144,0)+_xlfn.XLOOKUP(A74,'Round 2 Points'!$A$10:$A$146,'Round 2 Points'!$T$10:$T$146,0)+_xlfn.XLOOKUP(A74,'Round 3 Points'!$A$10:$A$145,'Round 3 Points'!$T$10:$T$145,0)+_xlfn.XLOOKUP(A74,'Round 4 Points'!$A$10:$A$147,'Round 4 Points'!$T$10:$T$147,0))/D74</f>
        <v>#VALUE!</v>
      </c>
      <c r="U74" s="57" t="e">
        <f>'Summary Data'!T71*Q$3</f>
        <v>#VALUE!</v>
      </c>
      <c r="V74" s="57">
        <f>(_xlfn.XLOOKUP(A74,'Round 1 Points'!$A$10:$A$144,'Round 1 Points'!$V$10:$V$144,0)+_xlfn.XLOOKUP(A74,'Round 2 Points'!$A$10:$A$146,'Round 2 Points'!$V$10:$V$146,0)+_xlfn.XLOOKUP(A74,'Round 3 Points'!$A$10:$A$145,'Round 3 Points'!$V$10:$V$145,0)+_xlfn.XLOOKUP(A74,'Round 4 Points'!$A$10:$A$147,'Round 4 Points'!$V$10:$V$147,0))</f>
        <v>15.3</v>
      </c>
      <c r="W74" s="72" t="e">
        <f t="shared" si="1"/>
        <v>#VALUE!</v>
      </c>
    </row>
    <row r="75" spans="1:23" ht="16" thickBot="1" x14ac:dyDescent="0.25">
      <c r="A75" s="61" t="s">
        <v>34</v>
      </c>
      <c r="B75" t="s">
        <v>191</v>
      </c>
      <c r="C75" t="s">
        <v>194</v>
      </c>
      <c r="D75" t="e">
        <f>'Summary Data'!D72</f>
        <v>#VALUE!</v>
      </c>
      <c r="E75" s="57" t="e">
        <f>'Summary Data'!E72</f>
        <v>#VALUE!</v>
      </c>
      <c r="F75" s="57" t="e">
        <f>'Summary Data'!F72*C$3</f>
        <v>#VALUE!</v>
      </c>
      <c r="G75" s="57" t="e">
        <f>'Summary Data'!G72*D$3</f>
        <v>#VALUE!</v>
      </c>
      <c r="H75" s="57" t="e">
        <f>'Summary Data'!H72*E$3</f>
        <v>#VALUE!</v>
      </c>
      <c r="I75" s="57" t="e">
        <f>'Summary Data'!I72*F$3</f>
        <v>#VALUE!</v>
      </c>
      <c r="J75" s="57" t="e">
        <f>'Summary Data'!J72*G$3</f>
        <v>#VALUE!</v>
      </c>
      <c r="K75" s="57" t="e">
        <f>'Summary Data'!K72*H$3</f>
        <v>#VALUE!</v>
      </c>
      <c r="L75" s="57" t="e">
        <f>'Summary Data'!L72*I$3</f>
        <v>#VALUE!</v>
      </c>
      <c r="M75" s="57" t="e">
        <f>'Summary Data'!M72*J$3</f>
        <v>#VALUE!</v>
      </c>
      <c r="N75" s="57" t="e">
        <f>'Summary Data'!N72*K$3</f>
        <v>#VALUE!</v>
      </c>
      <c r="O75" s="57" t="e">
        <f>'Summary Data'!O72*L$3</f>
        <v>#VALUE!</v>
      </c>
      <c r="P75" s="57" t="e">
        <f>'Summary Data'!P72*M$3</f>
        <v>#VALUE!</v>
      </c>
      <c r="Q75" s="57" t="e">
        <f>'Summary Data'!Q72*N$3</f>
        <v>#VALUE!</v>
      </c>
      <c r="R75" s="57" t="e">
        <f>'Summary Data'!R72*O$3</f>
        <v>#VALUE!</v>
      </c>
      <c r="S75" s="57" t="e">
        <f>'Summary Data'!S72*P$3</f>
        <v>#VALUE!</v>
      </c>
      <c r="T75" s="57" t="e">
        <f>(_xlfn.XLOOKUP(A75,'Round 1 Points'!$A$10:$A$144,'Round 1 Points'!$T$10:$T$144,0)+_xlfn.XLOOKUP(A75,'Round 2 Points'!$A$10:$A$146,'Round 2 Points'!$T$10:$T$146,0)+_xlfn.XLOOKUP(A75,'Round 3 Points'!$A$10:$A$145,'Round 3 Points'!$T$10:$T$145,0)+_xlfn.XLOOKUP(A75,'Round 4 Points'!$A$10:$A$147,'Round 4 Points'!$T$10:$T$147,0))/D75</f>
        <v>#VALUE!</v>
      </c>
      <c r="U75" s="57" t="e">
        <f>'Summary Data'!T72*Q$3</f>
        <v>#VALUE!</v>
      </c>
      <c r="V75" s="57">
        <f>(_xlfn.XLOOKUP(A75,'Round 1 Points'!$A$10:$A$144,'Round 1 Points'!$V$10:$V$144,0)+_xlfn.XLOOKUP(A75,'Round 2 Points'!$A$10:$A$146,'Round 2 Points'!$V$10:$V$146,0)+_xlfn.XLOOKUP(A75,'Round 3 Points'!$A$10:$A$145,'Round 3 Points'!$V$10:$V$145,0)+_xlfn.XLOOKUP(A75,'Round 4 Points'!$A$10:$A$147,'Round 4 Points'!$V$10:$V$147,0))</f>
        <v>7.8999999999999995</v>
      </c>
      <c r="W75" s="72" t="e">
        <f t="shared" si="1"/>
        <v>#VALUE!</v>
      </c>
    </row>
    <row r="76" spans="1:23" ht="16" thickBot="1" x14ac:dyDescent="0.25">
      <c r="A76" s="63" t="s">
        <v>35</v>
      </c>
      <c r="B76" t="s">
        <v>191</v>
      </c>
      <c r="C76" t="s">
        <v>194</v>
      </c>
      <c r="D76" t="e">
        <f>'Summary Data'!D73</f>
        <v>#VALUE!</v>
      </c>
      <c r="E76" s="57" t="e">
        <f>'Summary Data'!E73</f>
        <v>#VALUE!</v>
      </c>
      <c r="F76" s="57" t="e">
        <f>'Summary Data'!F73*C$3</f>
        <v>#VALUE!</v>
      </c>
      <c r="G76" s="57" t="e">
        <f>'Summary Data'!G73*D$3</f>
        <v>#VALUE!</v>
      </c>
      <c r="H76" s="57" t="e">
        <f>'Summary Data'!H73*E$3</f>
        <v>#VALUE!</v>
      </c>
      <c r="I76" s="57" t="e">
        <f>'Summary Data'!I73*F$3</f>
        <v>#VALUE!</v>
      </c>
      <c r="J76" s="57" t="e">
        <f>'Summary Data'!J73*G$3</f>
        <v>#VALUE!</v>
      </c>
      <c r="K76" s="57" t="e">
        <f>'Summary Data'!K73*H$3</f>
        <v>#VALUE!</v>
      </c>
      <c r="L76" s="57" t="e">
        <f>'Summary Data'!L73*I$3</f>
        <v>#VALUE!</v>
      </c>
      <c r="M76" s="57" t="e">
        <f>'Summary Data'!M73*J$3</f>
        <v>#VALUE!</v>
      </c>
      <c r="N76" s="57" t="e">
        <f>'Summary Data'!N73*K$3</f>
        <v>#VALUE!</v>
      </c>
      <c r="O76" s="57" t="e">
        <f>'Summary Data'!O73*L$3</f>
        <v>#VALUE!</v>
      </c>
      <c r="P76" s="57" t="e">
        <f>'Summary Data'!P73*M$3</f>
        <v>#VALUE!</v>
      </c>
      <c r="Q76" s="57" t="e">
        <f>'Summary Data'!Q73*N$3</f>
        <v>#VALUE!</v>
      </c>
      <c r="R76" s="57" t="e">
        <f>'Summary Data'!R73*O$3</f>
        <v>#VALUE!</v>
      </c>
      <c r="S76" s="57" t="e">
        <f>'Summary Data'!S73*P$3</f>
        <v>#VALUE!</v>
      </c>
      <c r="T76" s="57" t="e">
        <f>(_xlfn.XLOOKUP(A76,'Round 1 Points'!$A$10:$A$144,'Round 1 Points'!$T$10:$T$144,0)+_xlfn.XLOOKUP(A76,'Round 2 Points'!$A$10:$A$146,'Round 2 Points'!$T$10:$T$146,0)+_xlfn.XLOOKUP(A76,'Round 3 Points'!$A$10:$A$145,'Round 3 Points'!$T$10:$T$145,0)+_xlfn.XLOOKUP(A76,'Round 4 Points'!$A$10:$A$147,'Round 4 Points'!$T$10:$T$147,0))/D76</f>
        <v>#VALUE!</v>
      </c>
      <c r="U76" s="57" t="e">
        <f>'Summary Data'!T73*Q$3</f>
        <v>#VALUE!</v>
      </c>
      <c r="V76" s="57">
        <f>(_xlfn.XLOOKUP(A76,'Round 1 Points'!$A$10:$A$144,'Round 1 Points'!$V$10:$V$144,0)+_xlfn.XLOOKUP(A76,'Round 2 Points'!$A$10:$A$146,'Round 2 Points'!$V$10:$V$146,0)+_xlfn.XLOOKUP(A76,'Round 3 Points'!$A$10:$A$145,'Round 3 Points'!$V$10:$V$145,0)+_xlfn.XLOOKUP(A76,'Round 4 Points'!$A$10:$A$147,'Round 4 Points'!$V$10:$V$147,0))</f>
        <v>8.1</v>
      </c>
      <c r="W76" s="72" t="e">
        <f t="shared" si="1"/>
        <v>#VALUE!</v>
      </c>
    </row>
    <row r="77" spans="1:23" ht="16" thickBot="1" x14ac:dyDescent="0.25">
      <c r="A77" s="61" t="s">
        <v>36</v>
      </c>
      <c r="B77" t="s">
        <v>191</v>
      </c>
      <c r="C77" t="s">
        <v>194</v>
      </c>
      <c r="D77" t="e">
        <f>'Summary Data'!D74</f>
        <v>#VALUE!</v>
      </c>
      <c r="E77" s="57" t="e">
        <f>'Summary Data'!E74</f>
        <v>#VALUE!</v>
      </c>
      <c r="F77" s="57" t="e">
        <f>'Summary Data'!F74*C$3</f>
        <v>#VALUE!</v>
      </c>
      <c r="G77" s="57" t="e">
        <f>'Summary Data'!G74*D$3</f>
        <v>#VALUE!</v>
      </c>
      <c r="H77" s="57" t="e">
        <f>'Summary Data'!H74*E$3</f>
        <v>#VALUE!</v>
      </c>
      <c r="I77" s="57" t="e">
        <f>'Summary Data'!I74*F$3</f>
        <v>#VALUE!</v>
      </c>
      <c r="J77" s="57" t="e">
        <f>'Summary Data'!J74*G$3</f>
        <v>#VALUE!</v>
      </c>
      <c r="K77" s="57" t="e">
        <f>'Summary Data'!K74*H$3</f>
        <v>#VALUE!</v>
      </c>
      <c r="L77" s="57" t="e">
        <f>'Summary Data'!L74*I$3</f>
        <v>#VALUE!</v>
      </c>
      <c r="M77" s="57" t="e">
        <f>'Summary Data'!M74*J$3</f>
        <v>#VALUE!</v>
      </c>
      <c r="N77" s="57" t="e">
        <f>'Summary Data'!N74*K$3</f>
        <v>#VALUE!</v>
      </c>
      <c r="O77" s="57" t="e">
        <f>'Summary Data'!O74*L$3</f>
        <v>#VALUE!</v>
      </c>
      <c r="P77" s="57" t="e">
        <f>'Summary Data'!P74*M$3</f>
        <v>#VALUE!</v>
      </c>
      <c r="Q77" s="57" t="e">
        <f>'Summary Data'!Q74*N$3</f>
        <v>#VALUE!</v>
      </c>
      <c r="R77" s="57" t="e">
        <f>'Summary Data'!R74*O$3</f>
        <v>#VALUE!</v>
      </c>
      <c r="S77" s="57" t="e">
        <f>'Summary Data'!S74*P$3</f>
        <v>#VALUE!</v>
      </c>
      <c r="T77" s="57" t="e">
        <f>(_xlfn.XLOOKUP(A77,'Round 1 Points'!$A$10:$A$144,'Round 1 Points'!$T$10:$T$144,0)+_xlfn.XLOOKUP(A77,'Round 2 Points'!$A$10:$A$146,'Round 2 Points'!$T$10:$T$146,0)+_xlfn.XLOOKUP(A77,'Round 3 Points'!$A$10:$A$145,'Round 3 Points'!$T$10:$T$145,0)+_xlfn.XLOOKUP(A77,'Round 4 Points'!$A$10:$A$147,'Round 4 Points'!$T$10:$T$147,0))/D77</f>
        <v>#VALUE!</v>
      </c>
      <c r="U77" s="57" t="e">
        <f>'Summary Data'!T74*Q$3</f>
        <v>#VALUE!</v>
      </c>
      <c r="V77" s="57">
        <f>(_xlfn.XLOOKUP(A77,'Round 1 Points'!$A$10:$A$144,'Round 1 Points'!$V$10:$V$144,0)+_xlfn.XLOOKUP(A77,'Round 2 Points'!$A$10:$A$146,'Round 2 Points'!$V$10:$V$146,0)+_xlfn.XLOOKUP(A77,'Round 3 Points'!$A$10:$A$145,'Round 3 Points'!$V$10:$V$145,0)+_xlfn.XLOOKUP(A77,'Round 4 Points'!$A$10:$A$147,'Round 4 Points'!$V$10:$V$147,0))</f>
        <v>16</v>
      </c>
      <c r="W77" s="72" t="e">
        <f t="shared" si="1"/>
        <v>#VALUE!</v>
      </c>
    </row>
    <row r="78" spans="1:23" ht="16" thickBot="1" x14ac:dyDescent="0.25">
      <c r="A78" s="63" t="s">
        <v>37</v>
      </c>
      <c r="B78" t="s">
        <v>191</v>
      </c>
      <c r="C78" t="s">
        <v>194</v>
      </c>
      <c r="D78" t="e">
        <f>'Summary Data'!D75</f>
        <v>#VALUE!</v>
      </c>
      <c r="E78" s="57" t="e">
        <f>'Summary Data'!E75</f>
        <v>#VALUE!</v>
      </c>
      <c r="F78" s="57" t="e">
        <f>'Summary Data'!F75*C$3</f>
        <v>#VALUE!</v>
      </c>
      <c r="G78" s="57" t="e">
        <f>'Summary Data'!G75*D$3</f>
        <v>#VALUE!</v>
      </c>
      <c r="H78" s="57" t="e">
        <f>'Summary Data'!H75*E$3</f>
        <v>#VALUE!</v>
      </c>
      <c r="I78" s="57" t="e">
        <f>'Summary Data'!I75*F$3</f>
        <v>#VALUE!</v>
      </c>
      <c r="J78" s="57" t="e">
        <f>'Summary Data'!J75*G$3</f>
        <v>#VALUE!</v>
      </c>
      <c r="K78" s="57" t="e">
        <f>'Summary Data'!K75*H$3</f>
        <v>#VALUE!</v>
      </c>
      <c r="L78" s="57" t="e">
        <f>'Summary Data'!L75*I$3</f>
        <v>#VALUE!</v>
      </c>
      <c r="M78" s="57" t="e">
        <f>'Summary Data'!M75*J$3</f>
        <v>#VALUE!</v>
      </c>
      <c r="N78" s="57" t="e">
        <f>'Summary Data'!N75*K$3</f>
        <v>#VALUE!</v>
      </c>
      <c r="O78" s="57" t="e">
        <f>'Summary Data'!O75*L$3</f>
        <v>#VALUE!</v>
      </c>
      <c r="P78" s="57" t="e">
        <f>'Summary Data'!P75*M$3</f>
        <v>#VALUE!</v>
      </c>
      <c r="Q78" s="57" t="e">
        <f>'Summary Data'!Q75*N$3</f>
        <v>#VALUE!</v>
      </c>
      <c r="R78" s="57" t="e">
        <f>'Summary Data'!R75*O$3</f>
        <v>#VALUE!</v>
      </c>
      <c r="S78" s="57" t="e">
        <f>'Summary Data'!S75*P$3</f>
        <v>#VALUE!</v>
      </c>
      <c r="T78" s="57" t="e">
        <f>(_xlfn.XLOOKUP(A78,'Round 1 Points'!$A$10:$A$144,'Round 1 Points'!$T$10:$T$144,0)+_xlfn.XLOOKUP(A78,'Round 2 Points'!$A$10:$A$146,'Round 2 Points'!$T$10:$T$146,0)+_xlfn.XLOOKUP(A78,'Round 3 Points'!$A$10:$A$145,'Round 3 Points'!$T$10:$T$145,0)+_xlfn.XLOOKUP(A78,'Round 4 Points'!$A$10:$A$147,'Round 4 Points'!$T$10:$T$147,0))/D78</f>
        <v>#VALUE!</v>
      </c>
      <c r="U78" s="57" t="e">
        <f>'Summary Data'!T75*Q$3</f>
        <v>#VALUE!</v>
      </c>
      <c r="V78" s="57">
        <f>(_xlfn.XLOOKUP(A78,'Round 1 Points'!$A$10:$A$144,'Round 1 Points'!$V$10:$V$144,0)+_xlfn.XLOOKUP(A78,'Round 2 Points'!$A$10:$A$146,'Round 2 Points'!$V$10:$V$146,0)+_xlfn.XLOOKUP(A78,'Round 3 Points'!$A$10:$A$145,'Round 3 Points'!$V$10:$V$145,0)+_xlfn.XLOOKUP(A78,'Round 4 Points'!$A$10:$A$147,'Round 4 Points'!$V$10:$V$147,0))</f>
        <v>16</v>
      </c>
      <c r="W78" s="72" t="e">
        <f t="shared" si="1"/>
        <v>#VALUE!</v>
      </c>
    </row>
    <row r="79" spans="1:23" ht="16" thickBot="1" x14ac:dyDescent="0.25">
      <c r="A79" s="61" t="s">
        <v>38</v>
      </c>
      <c r="B79" t="s">
        <v>191</v>
      </c>
      <c r="C79" t="s">
        <v>195</v>
      </c>
      <c r="D79" t="e">
        <f>'Summary Data'!D76</f>
        <v>#VALUE!</v>
      </c>
      <c r="E79" s="57" t="e">
        <f>'Summary Data'!E76</f>
        <v>#VALUE!</v>
      </c>
      <c r="F79" s="57" t="e">
        <f>'Summary Data'!F76*C$3</f>
        <v>#VALUE!</v>
      </c>
      <c r="G79" s="57" t="e">
        <f>'Summary Data'!G76*D$3</f>
        <v>#VALUE!</v>
      </c>
      <c r="H79" s="57" t="e">
        <f>'Summary Data'!H76*E$3</f>
        <v>#VALUE!</v>
      </c>
      <c r="I79" s="57" t="e">
        <f>'Summary Data'!I76*F$3</f>
        <v>#VALUE!</v>
      </c>
      <c r="J79" s="57" t="e">
        <f>'Summary Data'!J76*G$3</f>
        <v>#VALUE!</v>
      </c>
      <c r="K79" s="57" t="e">
        <f>'Summary Data'!K76*H$3</f>
        <v>#VALUE!</v>
      </c>
      <c r="L79" s="57" t="e">
        <f>'Summary Data'!L76*I$3</f>
        <v>#VALUE!</v>
      </c>
      <c r="M79" s="57" t="e">
        <f>'Summary Data'!M76*J$3</f>
        <v>#VALUE!</v>
      </c>
      <c r="N79" s="57" t="e">
        <f>'Summary Data'!N76*K$3</f>
        <v>#VALUE!</v>
      </c>
      <c r="O79" s="57" t="e">
        <f>'Summary Data'!O76*L$3</f>
        <v>#VALUE!</v>
      </c>
      <c r="P79" s="57" t="e">
        <f>'Summary Data'!P76*M$3</f>
        <v>#VALUE!</v>
      </c>
      <c r="Q79" s="57" t="e">
        <f>'Summary Data'!Q76*N$3</f>
        <v>#VALUE!</v>
      </c>
      <c r="R79" s="57" t="e">
        <f>'Summary Data'!R76*O$3</f>
        <v>#VALUE!</v>
      </c>
      <c r="S79" s="57" t="e">
        <f>'Summary Data'!S76*P$3</f>
        <v>#VALUE!</v>
      </c>
      <c r="T79" s="57" t="e">
        <f>(_xlfn.XLOOKUP(A79,'Round 1 Points'!$A$10:$A$144,'Round 1 Points'!$T$10:$T$144,0)+_xlfn.XLOOKUP(A79,'Round 2 Points'!$A$10:$A$146,'Round 2 Points'!$T$10:$T$146,0)+_xlfn.XLOOKUP(A79,'Round 3 Points'!$A$10:$A$145,'Round 3 Points'!$T$10:$T$145,0)+_xlfn.XLOOKUP(A79,'Round 4 Points'!$A$10:$A$147,'Round 4 Points'!$T$10:$T$147,0))/D79</f>
        <v>#VALUE!</v>
      </c>
      <c r="U79" s="57" t="e">
        <f>'Summary Data'!T76*Q$3</f>
        <v>#VALUE!</v>
      </c>
      <c r="V79" s="57">
        <f>(_xlfn.XLOOKUP(A79,'Round 1 Points'!$A$10:$A$144,'Round 1 Points'!$V$10:$V$144,0)+_xlfn.XLOOKUP(A79,'Round 2 Points'!$A$10:$A$146,'Round 2 Points'!$V$10:$V$146,0)+_xlfn.XLOOKUP(A79,'Round 3 Points'!$A$10:$A$145,'Round 3 Points'!$V$10:$V$145,0)+_xlfn.XLOOKUP(A79,'Round 4 Points'!$A$10:$A$147,'Round 4 Points'!$V$10:$V$147,0))</f>
        <v>1.2000000000000002</v>
      </c>
      <c r="W79" s="72" t="e">
        <f t="shared" si="1"/>
        <v>#VALUE!</v>
      </c>
    </row>
    <row r="80" spans="1:23" ht="16" thickBot="1" x14ac:dyDescent="0.25">
      <c r="A80" s="63" t="s">
        <v>39</v>
      </c>
      <c r="B80" t="s">
        <v>191</v>
      </c>
      <c r="C80" t="s">
        <v>195</v>
      </c>
      <c r="D80" t="e">
        <f>'Summary Data'!D77</f>
        <v>#VALUE!</v>
      </c>
      <c r="E80" s="57" t="e">
        <f>'Summary Data'!E77</f>
        <v>#VALUE!</v>
      </c>
      <c r="F80" s="57" t="e">
        <f>'Summary Data'!F77*C$3</f>
        <v>#VALUE!</v>
      </c>
      <c r="G80" s="57" t="e">
        <f>'Summary Data'!G77*D$3</f>
        <v>#VALUE!</v>
      </c>
      <c r="H80" s="57" t="e">
        <f>'Summary Data'!H77*E$3</f>
        <v>#VALUE!</v>
      </c>
      <c r="I80" s="57" t="e">
        <f>'Summary Data'!I77*F$3</f>
        <v>#VALUE!</v>
      </c>
      <c r="J80" s="57" t="e">
        <f>'Summary Data'!J77*G$3</f>
        <v>#VALUE!</v>
      </c>
      <c r="K80" s="57" t="e">
        <f>'Summary Data'!K77*H$3</f>
        <v>#VALUE!</v>
      </c>
      <c r="L80" s="57" t="e">
        <f>'Summary Data'!L77*I$3</f>
        <v>#VALUE!</v>
      </c>
      <c r="M80" s="57" t="e">
        <f>'Summary Data'!M77*J$3</f>
        <v>#VALUE!</v>
      </c>
      <c r="N80" s="57" t="e">
        <f>'Summary Data'!N77*K$3</f>
        <v>#VALUE!</v>
      </c>
      <c r="O80" s="57" t="e">
        <f>'Summary Data'!O77*L$3</f>
        <v>#VALUE!</v>
      </c>
      <c r="P80" s="57" t="e">
        <f>'Summary Data'!P77*M$3</f>
        <v>#VALUE!</v>
      </c>
      <c r="Q80" s="57" t="e">
        <f>'Summary Data'!Q77*N$3</f>
        <v>#VALUE!</v>
      </c>
      <c r="R80" s="57" t="e">
        <f>'Summary Data'!R77*O$3</f>
        <v>#VALUE!</v>
      </c>
      <c r="S80" s="57" t="e">
        <f>'Summary Data'!S77*P$3</f>
        <v>#VALUE!</v>
      </c>
      <c r="T80" s="57" t="e">
        <f>(_xlfn.XLOOKUP(A80,'Round 1 Points'!$A$10:$A$144,'Round 1 Points'!$T$10:$T$144,0)+_xlfn.XLOOKUP(A80,'Round 2 Points'!$A$10:$A$146,'Round 2 Points'!$T$10:$T$146,0)+_xlfn.XLOOKUP(A80,'Round 3 Points'!$A$10:$A$145,'Round 3 Points'!$T$10:$T$145,0)+_xlfn.XLOOKUP(A80,'Round 4 Points'!$A$10:$A$147,'Round 4 Points'!$T$10:$T$147,0))/D80</f>
        <v>#VALUE!</v>
      </c>
      <c r="U80" s="57" t="e">
        <f>'Summary Data'!T77*Q$3</f>
        <v>#VALUE!</v>
      </c>
      <c r="V80" s="57">
        <f>(_xlfn.XLOOKUP(A80,'Round 1 Points'!$A$10:$A$144,'Round 1 Points'!$V$10:$V$144,0)+_xlfn.XLOOKUP(A80,'Round 2 Points'!$A$10:$A$146,'Round 2 Points'!$V$10:$V$146,0)+_xlfn.XLOOKUP(A80,'Round 3 Points'!$A$10:$A$145,'Round 3 Points'!$V$10:$V$145,0)+_xlfn.XLOOKUP(A80,'Round 4 Points'!$A$10:$A$147,'Round 4 Points'!$V$10:$V$147,0))</f>
        <v>15.6</v>
      </c>
      <c r="W80" s="72" t="e">
        <f t="shared" si="1"/>
        <v>#VALUE!</v>
      </c>
    </row>
    <row r="81" spans="1:23" ht="16" thickBot="1" x14ac:dyDescent="0.25">
      <c r="A81" s="61" t="s">
        <v>40</v>
      </c>
      <c r="B81" t="s">
        <v>191</v>
      </c>
      <c r="C81" t="s">
        <v>195</v>
      </c>
      <c r="D81" t="e">
        <f>'Summary Data'!D78</f>
        <v>#VALUE!</v>
      </c>
      <c r="E81" s="57" t="e">
        <f>'Summary Data'!E78</f>
        <v>#VALUE!</v>
      </c>
      <c r="F81" s="57" t="e">
        <f>'Summary Data'!F78*C$3</f>
        <v>#VALUE!</v>
      </c>
      <c r="G81" s="57" t="e">
        <f>'Summary Data'!G78*D$3</f>
        <v>#VALUE!</v>
      </c>
      <c r="H81" s="57" t="e">
        <f>'Summary Data'!H78*E$3</f>
        <v>#VALUE!</v>
      </c>
      <c r="I81" s="57" t="e">
        <f>'Summary Data'!I78*F$3</f>
        <v>#VALUE!</v>
      </c>
      <c r="J81" s="57" t="e">
        <f>'Summary Data'!J78*G$3</f>
        <v>#VALUE!</v>
      </c>
      <c r="K81" s="57" t="e">
        <f>'Summary Data'!K78*H$3</f>
        <v>#VALUE!</v>
      </c>
      <c r="L81" s="57" t="e">
        <f>'Summary Data'!L78*I$3</f>
        <v>#VALUE!</v>
      </c>
      <c r="M81" s="57" t="e">
        <f>'Summary Data'!M78*J$3</f>
        <v>#VALUE!</v>
      </c>
      <c r="N81" s="57" t="e">
        <f>'Summary Data'!N78*K$3</f>
        <v>#VALUE!</v>
      </c>
      <c r="O81" s="57" t="e">
        <f>'Summary Data'!O78*L$3</f>
        <v>#VALUE!</v>
      </c>
      <c r="P81" s="57" t="e">
        <f>'Summary Data'!P78*M$3</f>
        <v>#VALUE!</v>
      </c>
      <c r="Q81" s="57" t="e">
        <f>'Summary Data'!Q78*N$3</f>
        <v>#VALUE!</v>
      </c>
      <c r="R81" s="57" t="e">
        <f>'Summary Data'!R78*O$3</f>
        <v>#VALUE!</v>
      </c>
      <c r="S81" s="57" t="e">
        <f>'Summary Data'!S78*P$3</f>
        <v>#VALUE!</v>
      </c>
      <c r="T81" s="57" t="e">
        <f>(_xlfn.XLOOKUP(A81,'Round 1 Points'!$A$10:$A$144,'Round 1 Points'!$T$10:$T$144,0)+_xlfn.XLOOKUP(A81,'Round 2 Points'!$A$10:$A$146,'Round 2 Points'!$T$10:$T$146,0)+_xlfn.XLOOKUP(A81,'Round 3 Points'!$A$10:$A$145,'Round 3 Points'!$T$10:$T$145,0)+_xlfn.XLOOKUP(A81,'Round 4 Points'!$A$10:$A$147,'Round 4 Points'!$T$10:$T$147,0))/D81</f>
        <v>#VALUE!</v>
      </c>
      <c r="U81" s="57" t="e">
        <f>'Summary Data'!T78*Q$3</f>
        <v>#VALUE!</v>
      </c>
      <c r="V81" s="57">
        <f>(_xlfn.XLOOKUP(A81,'Round 1 Points'!$A$10:$A$144,'Round 1 Points'!$V$10:$V$144,0)+_xlfn.XLOOKUP(A81,'Round 2 Points'!$A$10:$A$146,'Round 2 Points'!$V$10:$V$146,0)+_xlfn.XLOOKUP(A81,'Round 3 Points'!$A$10:$A$145,'Round 3 Points'!$V$10:$V$145,0)+_xlfn.XLOOKUP(A81,'Round 4 Points'!$A$10:$A$147,'Round 4 Points'!$V$10:$V$147,0))</f>
        <v>15.2</v>
      </c>
      <c r="W81" s="72" t="e">
        <f t="shared" si="1"/>
        <v>#VALUE!</v>
      </c>
    </row>
    <row r="82" spans="1:23" ht="16" thickBot="1" x14ac:dyDescent="0.25">
      <c r="A82" s="63" t="s">
        <v>41</v>
      </c>
      <c r="B82" t="s">
        <v>191</v>
      </c>
      <c r="C82" t="s">
        <v>196</v>
      </c>
      <c r="D82" t="e">
        <f>'Summary Data'!D79</f>
        <v>#VALUE!</v>
      </c>
      <c r="E82" s="57" t="e">
        <f>'Summary Data'!E79</f>
        <v>#VALUE!</v>
      </c>
      <c r="F82" s="57" t="e">
        <f>'Summary Data'!F79*C$3</f>
        <v>#VALUE!</v>
      </c>
      <c r="G82" s="57" t="e">
        <f>'Summary Data'!G79*D$3</f>
        <v>#VALUE!</v>
      </c>
      <c r="H82" s="57" t="e">
        <f>'Summary Data'!H79*E$3</f>
        <v>#VALUE!</v>
      </c>
      <c r="I82" s="57" t="e">
        <f>'Summary Data'!I79*F$3</f>
        <v>#VALUE!</v>
      </c>
      <c r="J82" s="57" t="e">
        <f>'Summary Data'!J79*G$3</f>
        <v>#VALUE!</v>
      </c>
      <c r="K82" s="57" t="e">
        <f>'Summary Data'!K79*H$3</f>
        <v>#VALUE!</v>
      </c>
      <c r="L82" s="57" t="e">
        <f>'Summary Data'!L79*I$3</f>
        <v>#VALUE!</v>
      </c>
      <c r="M82" s="57" t="e">
        <f>'Summary Data'!M79*J$3</f>
        <v>#VALUE!</v>
      </c>
      <c r="N82" s="57" t="e">
        <f>'Summary Data'!N79*K$3</f>
        <v>#VALUE!</v>
      </c>
      <c r="O82" s="57" t="e">
        <f>'Summary Data'!O79*L$3</f>
        <v>#VALUE!</v>
      </c>
      <c r="P82" s="57" t="e">
        <f>'Summary Data'!P79*M$3</f>
        <v>#VALUE!</v>
      </c>
      <c r="Q82" s="57" t="e">
        <f>'Summary Data'!Q79*N$3</f>
        <v>#VALUE!</v>
      </c>
      <c r="R82" s="57" t="e">
        <f>'Summary Data'!R79*O$3</f>
        <v>#VALUE!</v>
      </c>
      <c r="S82" s="57" t="e">
        <f>'Summary Data'!S79*P$3</f>
        <v>#VALUE!</v>
      </c>
      <c r="T82" s="57" t="e">
        <f>(_xlfn.XLOOKUP(A82,'Round 1 Points'!$A$10:$A$144,'Round 1 Points'!$T$10:$T$144,0)+_xlfn.XLOOKUP(A82,'Round 2 Points'!$A$10:$A$146,'Round 2 Points'!$T$10:$T$146,0)+_xlfn.XLOOKUP(A82,'Round 3 Points'!$A$10:$A$145,'Round 3 Points'!$T$10:$T$145,0)+_xlfn.XLOOKUP(A82,'Round 4 Points'!$A$10:$A$147,'Round 4 Points'!$T$10:$T$147,0))/D82</f>
        <v>#VALUE!</v>
      </c>
      <c r="U82" s="57" t="e">
        <f>'Summary Data'!T79*Q$3</f>
        <v>#VALUE!</v>
      </c>
      <c r="V82" s="57">
        <f>(_xlfn.XLOOKUP(A82,'Round 1 Points'!$A$10:$A$144,'Round 1 Points'!$V$10:$V$144,0)+_xlfn.XLOOKUP(A82,'Round 2 Points'!$A$10:$A$146,'Round 2 Points'!$V$10:$V$146,0)+_xlfn.XLOOKUP(A82,'Round 3 Points'!$A$10:$A$145,'Round 3 Points'!$V$10:$V$145,0)+_xlfn.XLOOKUP(A82,'Round 4 Points'!$A$10:$A$147,'Round 4 Points'!$V$10:$V$147,0))</f>
        <v>16</v>
      </c>
      <c r="W82" s="72" t="e">
        <f t="shared" si="1"/>
        <v>#VALUE!</v>
      </c>
    </row>
    <row r="83" spans="1:23" ht="16" thickBot="1" x14ac:dyDescent="0.25">
      <c r="A83" s="61" t="s">
        <v>42</v>
      </c>
      <c r="B83" t="s">
        <v>191</v>
      </c>
      <c r="C83" t="s">
        <v>197</v>
      </c>
      <c r="D83" t="e">
        <f>'Summary Data'!D80</f>
        <v>#VALUE!</v>
      </c>
      <c r="E83" s="57" t="e">
        <f>'Summary Data'!E80</f>
        <v>#VALUE!</v>
      </c>
      <c r="F83" s="57" t="e">
        <f>'Summary Data'!F80*C$3</f>
        <v>#VALUE!</v>
      </c>
      <c r="G83" s="57" t="e">
        <f>'Summary Data'!G80*D$3</f>
        <v>#VALUE!</v>
      </c>
      <c r="H83" s="57" t="e">
        <f>'Summary Data'!H80*E$3</f>
        <v>#VALUE!</v>
      </c>
      <c r="I83" s="57" t="e">
        <f>'Summary Data'!I80*F$3</f>
        <v>#VALUE!</v>
      </c>
      <c r="J83" s="57" t="e">
        <f>'Summary Data'!J80*G$3</f>
        <v>#VALUE!</v>
      </c>
      <c r="K83" s="57" t="e">
        <f>'Summary Data'!K80*H$3</f>
        <v>#VALUE!</v>
      </c>
      <c r="L83" s="57" t="e">
        <f>'Summary Data'!L80*I$3</f>
        <v>#VALUE!</v>
      </c>
      <c r="M83" s="57" t="e">
        <f>'Summary Data'!M80*J$3</f>
        <v>#VALUE!</v>
      </c>
      <c r="N83" s="57" t="e">
        <f>'Summary Data'!N80*K$3</f>
        <v>#VALUE!</v>
      </c>
      <c r="O83" s="57" t="e">
        <f>'Summary Data'!O80*L$3</f>
        <v>#VALUE!</v>
      </c>
      <c r="P83" s="57" t="e">
        <f>'Summary Data'!P80*M$3</f>
        <v>#VALUE!</v>
      </c>
      <c r="Q83" s="57" t="e">
        <f>'Summary Data'!Q80*N$3</f>
        <v>#VALUE!</v>
      </c>
      <c r="R83" s="57" t="e">
        <f>'Summary Data'!R80*O$3</f>
        <v>#VALUE!</v>
      </c>
      <c r="S83" s="57" t="e">
        <f>'Summary Data'!S80*P$3</f>
        <v>#VALUE!</v>
      </c>
      <c r="T83" s="57" t="e">
        <f>(_xlfn.XLOOKUP(A83,'Round 1 Points'!$A$10:$A$144,'Round 1 Points'!$T$10:$T$144,0)+_xlfn.XLOOKUP(A83,'Round 2 Points'!$A$10:$A$146,'Round 2 Points'!$T$10:$T$146,0)+_xlfn.XLOOKUP(A83,'Round 3 Points'!$A$10:$A$145,'Round 3 Points'!$T$10:$T$145,0)+_xlfn.XLOOKUP(A83,'Round 4 Points'!$A$10:$A$147,'Round 4 Points'!$T$10:$T$147,0))/D83</f>
        <v>#VALUE!</v>
      </c>
      <c r="U83" s="57" t="e">
        <f>'Summary Data'!T80*Q$3</f>
        <v>#VALUE!</v>
      </c>
      <c r="V83" s="57">
        <f>(_xlfn.XLOOKUP(A83,'Round 1 Points'!$A$10:$A$144,'Round 1 Points'!$V$10:$V$144,0)+_xlfn.XLOOKUP(A83,'Round 2 Points'!$A$10:$A$146,'Round 2 Points'!$V$10:$V$146,0)+_xlfn.XLOOKUP(A83,'Round 3 Points'!$A$10:$A$145,'Round 3 Points'!$V$10:$V$145,0)+_xlfn.XLOOKUP(A83,'Round 4 Points'!$A$10:$A$147,'Round 4 Points'!$V$10:$V$147,0))</f>
        <v>3.2</v>
      </c>
      <c r="W83" s="72" t="e">
        <f t="shared" si="1"/>
        <v>#VALUE!</v>
      </c>
    </row>
    <row r="84" spans="1:23" ht="16" thickBot="1" x14ac:dyDescent="0.25">
      <c r="A84" s="63" t="s">
        <v>43</v>
      </c>
      <c r="B84" t="s">
        <v>191</v>
      </c>
      <c r="C84" t="s">
        <v>197</v>
      </c>
      <c r="D84" t="e">
        <f>'Summary Data'!D81</f>
        <v>#VALUE!</v>
      </c>
      <c r="E84" s="57" t="e">
        <f>'Summary Data'!E81</f>
        <v>#VALUE!</v>
      </c>
      <c r="F84" s="57" t="e">
        <f>'Summary Data'!F81*C$3</f>
        <v>#VALUE!</v>
      </c>
      <c r="G84" s="57" t="e">
        <f>'Summary Data'!G81*D$3</f>
        <v>#VALUE!</v>
      </c>
      <c r="H84" s="57" t="e">
        <f>'Summary Data'!H81*E$3</f>
        <v>#VALUE!</v>
      </c>
      <c r="I84" s="57" t="e">
        <f>'Summary Data'!I81*F$3</f>
        <v>#VALUE!</v>
      </c>
      <c r="J84" s="57" t="e">
        <f>'Summary Data'!J81*G$3</f>
        <v>#VALUE!</v>
      </c>
      <c r="K84" s="57" t="e">
        <f>'Summary Data'!K81*H$3</f>
        <v>#VALUE!</v>
      </c>
      <c r="L84" s="57" t="e">
        <f>'Summary Data'!L81*I$3</f>
        <v>#VALUE!</v>
      </c>
      <c r="M84" s="57" t="e">
        <f>'Summary Data'!M81*J$3</f>
        <v>#VALUE!</v>
      </c>
      <c r="N84" s="57" t="e">
        <f>'Summary Data'!N81*K$3</f>
        <v>#VALUE!</v>
      </c>
      <c r="O84" s="57" t="e">
        <f>'Summary Data'!O81*L$3</f>
        <v>#VALUE!</v>
      </c>
      <c r="P84" s="57" t="e">
        <f>'Summary Data'!P81*M$3</f>
        <v>#VALUE!</v>
      </c>
      <c r="Q84" s="57" t="e">
        <f>'Summary Data'!Q81*N$3</f>
        <v>#VALUE!</v>
      </c>
      <c r="R84" s="57" t="e">
        <f>'Summary Data'!R81*O$3</f>
        <v>#VALUE!</v>
      </c>
      <c r="S84" s="57" t="e">
        <f>'Summary Data'!S81*P$3</f>
        <v>#VALUE!</v>
      </c>
      <c r="T84" s="57" t="e">
        <f>(_xlfn.XLOOKUP(A84,'Round 1 Points'!$A$10:$A$144,'Round 1 Points'!$T$10:$T$144,0)+_xlfn.XLOOKUP(A84,'Round 2 Points'!$A$10:$A$146,'Round 2 Points'!$T$10:$T$146,0)+_xlfn.XLOOKUP(A84,'Round 3 Points'!$A$10:$A$145,'Round 3 Points'!$T$10:$T$145,0)+_xlfn.XLOOKUP(A84,'Round 4 Points'!$A$10:$A$147,'Round 4 Points'!$T$10:$T$147,0))/D84</f>
        <v>#VALUE!</v>
      </c>
      <c r="U84" s="57" t="e">
        <f>'Summary Data'!T81*Q$3</f>
        <v>#VALUE!</v>
      </c>
      <c r="V84" s="57">
        <f>(_xlfn.XLOOKUP(A84,'Round 1 Points'!$A$10:$A$144,'Round 1 Points'!$V$10:$V$144,0)+_xlfn.XLOOKUP(A84,'Round 2 Points'!$A$10:$A$146,'Round 2 Points'!$V$10:$V$146,0)+_xlfn.XLOOKUP(A84,'Round 3 Points'!$A$10:$A$145,'Round 3 Points'!$V$10:$V$145,0)+_xlfn.XLOOKUP(A84,'Round 4 Points'!$A$10:$A$147,'Round 4 Points'!$V$10:$V$147,0))</f>
        <v>12.8</v>
      </c>
      <c r="W84" s="72" t="e">
        <f t="shared" si="1"/>
        <v>#VALUE!</v>
      </c>
    </row>
    <row r="85" spans="1:23" ht="16" thickBot="1" x14ac:dyDescent="0.25">
      <c r="A85" s="61" t="s">
        <v>44</v>
      </c>
      <c r="B85" t="s">
        <v>191</v>
      </c>
      <c r="C85" t="s">
        <v>198</v>
      </c>
      <c r="D85" t="e">
        <f>'Summary Data'!D82</f>
        <v>#VALUE!</v>
      </c>
      <c r="E85" s="57" t="e">
        <f>'Summary Data'!E82</f>
        <v>#VALUE!</v>
      </c>
      <c r="F85" s="57" t="e">
        <f>'Summary Data'!F82*C$3</f>
        <v>#VALUE!</v>
      </c>
      <c r="G85" s="57" t="e">
        <f>'Summary Data'!G82*D$3</f>
        <v>#VALUE!</v>
      </c>
      <c r="H85" s="57" t="e">
        <f>'Summary Data'!H82*E$3</f>
        <v>#VALUE!</v>
      </c>
      <c r="I85" s="57" t="e">
        <f>'Summary Data'!I82*F$3</f>
        <v>#VALUE!</v>
      </c>
      <c r="J85" s="57" t="e">
        <f>'Summary Data'!J82*G$3</f>
        <v>#VALUE!</v>
      </c>
      <c r="K85" s="57" t="e">
        <f>'Summary Data'!K82*H$3</f>
        <v>#VALUE!</v>
      </c>
      <c r="L85" s="57" t="e">
        <f>'Summary Data'!L82*I$3</f>
        <v>#VALUE!</v>
      </c>
      <c r="M85" s="57" t="e">
        <f>'Summary Data'!M82*J$3</f>
        <v>#VALUE!</v>
      </c>
      <c r="N85" s="57" t="e">
        <f>'Summary Data'!N82*K$3</f>
        <v>#VALUE!</v>
      </c>
      <c r="O85" s="57" t="e">
        <f>'Summary Data'!O82*L$3</f>
        <v>#VALUE!</v>
      </c>
      <c r="P85" s="57" t="e">
        <f>'Summary Data'!P82*M$3</f>
        <v>#VALUE!</v>
      </c>
      <c r="Q85" s="57" t="e">
        <f>'Summary Data'!Q82*N$3</f>
        <v>#VALUE!</v>
      </c>
      <c r="R85" s="57" t="e">
        <f>'Summary Data'!R82*O$3</f>
        <v>#VALUE!</v>
      </c>
      <c r="S85" s="57" t="e">
        <f>'Summary Data'!S82*P$3</f>
        <v>#VALUE!</v>
      </c>
      <c r="T85" s="57" t="e">
        <f>(_xlfn.XLOOKUP(A85,'Round 1 Points'!$A$10:$A$144,'Round 1 Points'!$T$10:$T$144,0)+_xlfn.XLOOKUP(A85,'Round 2 Points'!$A$10:$A$146,'Round 2 Points'!$T$10:$T$146,0)+_xlfn.XLOOKUP(A85,'Round 3 Points'!$A$10:$A$145,'Round 3 Points'!$T$10:$T$145,0)+_xlfn.XLOOKUP(A85,'Round 4 Points'!$A$10:$A$147,'Round 4 Points'!$T$10:$T$147,0))/D85</f>
        <v>#VALUE!</v>
      </c>
      <c r="U85" s="57" t="e">
        <f>'Summary Data'!T82*Q$3</f>
        <v>#VALUE!</v>
      </c>
      <c r="V85" s="57">
        <f>(_xlfn.XLOOKUP(A85,'Round 1 Points'!$A$10:$A$144,'Round 1 Points'!$V$10:$V$144,0)+_xlfn.XLOOKUP(A85,'Round 2 Points'!$A$10:$A$146,'Round 2 Points'!$V$10:$V$146,0)+_xlfn.XLOOKUP(A85,'Round 3 Points'!$A$10:$A$145,'Round 3 Points'!$V$10:$V$145,0)+_xlfn.XLOOKUP(A85,'Round 4 Points'!$A$10:$A$147,'Round 4 Points'!$V$10:$V$147,0))</f>
        <v>9.6999999999999993</v>
      </c>
      <c r="W85" s="72" t="e">
        <f t="shared" si="1"/>
        <v>#VALUE!</v>
      </c>
    </row>
    <row r="86" spans="1:23" ht="16" thickBot="1" x14ac:dyDescent="0.25">
      <c r="A86" s="63" t="s">
        <v>45</v>
      </c>
      <c r="B86" t="s">
        <v>191</v>
      </c>
      <c r="C86" t="s">
        <v>198</v>
      </c>
      <c r="D86" t="e">
        <f>'Summary Data'!D83</f>
        <v>#VALUE!</v>
      </c>
      <c r="E86" s="57" t="e">
        <f>'Summary Data'!E83</f>
        <v>#VALUE!</v>
      </c>
      <c r="F86" s="57" t="e">
        <f>'Summary Data'!F83*C$3</f>
        <v>#VALUE!</v>
      </c>
      <c r="G86" s="57" t="e">
        <f>'Summary Data'!G83*D$3</f>
        <v>#VALUE!</v>
      </c>
      <c r="H86" s="57" t="e">
        <f>'Summary Data'!H83*E$3</f>
        <v>#VALUE!</v>
      </c>
      <c r="I86" s="57" t="e">
        <f>'Summary Data'!I83*F$3</f>
        <v>#VALUE!</v>
      </c>
      <c r="J86" s="57" t="e">
        <f>'Summary Data'!J83*G$3</f>
        <v>#VALUE!</v>
      </c>
      <c r="K86" s="57" t="e">
        <f>'Summary Data'!K83*H$3</f>
        <v>#VALUE!</v>
      </c>
      <c r="L86" s="57" t="e">
        <f>'Summary Data'!L83*I$3</f>
        <v>#VALUE!</v>
      </c>
      <c r="M86" s="57" t="e">
        <f>'Summary Data'!M83*J$3</f>
        <v>#VALUE!</v>
      </c>
      <c r="N86" s="57" t="e">
        <f>'Summary Data'!N83*K$3</f>
        <v>#VALUE!</v>
      </c>
      <c r="O86" s="57" t="e">
        <f>'Summary Data'!O83*L$3</f>
        <v>#VALUE!</v>
      </c>
      <c r="P86" s="57" t="e">
        <f>'Summary Data'!P83*M$3</f>
        <v>#VALUE!</v>
      </c>
      <c r="Q86" s="57" t="e">
        <f>'Summary Data'!Q83*N$3</f>
        <v>#VALUE!</v>
      </c>
      <c r="R86" s="57" t="e">
        <f>'Summary Data'!R83*O$3</f>
        <v>#VALUE!</v>
      </c>
      <c r="S86" s="57" t="e">
        <f>'Summary Data'!S83*P$3</f>
        <v>#VALUE!</v>
      </c>
      <c r="T86" s="57" t="e">
        <f>(_xlfn.XLOOKUP(A86,'Round 1 Points'!$A$10:$A$144,'Round 1 Points'!$T$10:$T$144,0)+_xlfn.XLOOKUP(A86,'Round 2 Points'!$A$10:$A$146,'Round 2 Points'!$T$10:$T$146,0)+_xlfn.XLOOKUP(A86,'Round 3 Points'!$A$10:$A$145,'Round 3 Points'!$T$10:$T$145,0)+_xlfn.XLOOKUP(A86,'Round 4 Points'!$A$10:$A$147,'Round 4 Points'!$T$10:$T$147,0))/D86</f>
        <v>#VALUE!</v>
      </c>
      <c r="U86" s="57" t="e">
        <f>'Summary Data'!T83*Q$3</f>
        <v>#VALUE!</v>
      </c>
      <c r="V86" s="57">
        <f>(_xlfn.XLOOKUP(A86,'Round 1 Points'!$A$10:$A$144,'Round 1 Points'!$V$10:$V$144,0)+_xlfn.XLOOKUP(A86,'Round 2 Points'!$A$10:$A$146,'Round 2 Points'!$V$10:$V$146,0)+_xlfn.XLOOKUP(A86,'Round 3 Points'!$A$10:$A$145,'Round 3 Points'!$V$10:$V$145,0)+_xlfn.XLOOKUP(A86,'Round 4 Points'!$A$10:$A$147,'Round 4 Points'!$V$10:$V$147,0))</f>
        <v>5.8000000000000007</v>
      </c>
      <c r="W86" s="72" t="e">
        <f t="shared" si="1"/>
        <v>#VALUE!</v>
      </c>
    </row>
    <row r="87" spans="1:23" ht="16" thickBot="1" x14ac:dyDescent="0.25">
      <c r="A87" s="61" t="s">
        <v>46</v>
      </c>
      <c r="B87" t="s">
        <v>191</v>
      </c>
      <c r="C87" t="s">
        <v>198</v>
      </c>
      <c r="D87" t="e">
        <f>'Summary Data'!D84</f>
        <v>#VALUE!</v>
      </c>
      <c r="E87" s="57" t="e">
        <f>'Summary Data'!E84</f>
        <v>#VALUE!</v>
      </c>
      <c r="F87" s="57" t="e">
        <f>'Summary Data'!F84*C$3</f>
        <v>#VALUE!</v>
      </c>
      <c r="G87" s="57" t="e">
        <f>'Summary Data'!G84*D$3</f>
        <v>#VALUE!</v>
      </c>
      <c r="H87" s="57" t="e">
        <f>'Summary Data'!H84*E$3</f>
        <v>#VALUE!</v>
      </c>
      <c r="I87" s="57" t="e">
        <f>'Summary Data'!I84*F$3</f>
        <v>#VALUE!</v>
      </c>
      <c r="J87" s="57" t="e">
        <f>'Summary Data'!J84*G$3</f>
        <v>#VALUE!</v>
      </c>
      <c r="K87" s="57" t="e">
        <f>'Summary Data'!K84*H$3</f>
        <v>#VALUE!</v>
      </c>
      <c r="L87" s="57" t="e">
        <f>'Summary Data'!L84*I$3</f>
        <v>#VALUE!</v>
      </c>
      <c r="M87" s="57" t="e">
        <f>'Summary Data'!M84*J$3</f>
        <v>#VALUE!</v>
      </c>
      <c r="N87" s="57" t="e">
        <f>'Summary Data'!N84*K$3</f>
        <v>#VALUE!</v>
      </c>
      <c r="O87" s="57" t="e">
        <f>'Summary Data'!O84*L$3</f>
        <v>#VALUE!</v>
      </c>
      <c r="P87" s="57" t="e">
        <f>'Summary Data'!P84*M$3</f>
        <v>#VALUE!</v>
      </c>
      <c r="Q87" s="57" t="e">
        <f>'Summary Data'!Q84*N$3</f>
        <v>#VALUE!</v>
      </c>
      <c r="R87" s="57" t="e">
        <f>'Summary Data'!R84*O$3</f>
        <v>#VALUE!</v>
      </c>
      <c r="S87" s="57" t="e">
        <f>'Summary Data'!S84*P$3</f>
        <v>#VALUE!</v>
      </c>
      <c r="T87" s="57" t="e">
        <f>(_xlfn.XLOOKUP(A87,'Round 1 Points'!$A$10:$A$144,'Round 1 Points'!$T$10:$T$144,0)+_xlfn.XLOOKUP(A87,'Round 2 Points'!$A$10:$A$146,'Round 2 Points'!$T$10:$T$146,0)+_xlfn.XLOOKUP(A87,'Round 3 Points'!$A$10:$A$145,'Round 3 Points'!$T$10:$T$145,0)+_xlfn.XLOOKUP(A87,'Round 4 Points'!$A$10:$A$147,'Round 4 Points'!$T$10:$T$147,0))/D87</f>
        <v>#VALUE!</v>
      </c>
      <c r="U87" s="57" t="e">
        <f>'Summary Data'!T84*Q$3</f>
        <v>#VALUE!</v>
      </c>
      <c r="V87" s="57">
        <f>(_xlfn.XLOOKUP(A87,'Round 1 Points'!$A$10:$A$144,'Round 1 Points'!$V$10:$V$144,0)+_xlfn.XLOOKUP(A87,'Round 2 Points'!$A$10:$A$146,'Round 2 Points'!$V$10:$V$146,0)+_xlfn.XLOOKUP(A87,'Round 3 Points'!$A$10:$A$145,'Round 3 Points'!$V$10:$V$145,0)+_xlfn.XLOOKUP(A87,'Round 4 Points'!$A$10:$A$147,'Round 4 Points'!$V$10:$V$147,0))</f>
        <v>16</v>
      </c>
      <c r="W87" s="72" t="e">
        <f t="shared" si="1"/>
        <v>#VALUE!</v>
      </c>
    </row>
    <row r="88" spans="1:23" ht="16" thickBot="1" x14ac:dyDescent="0.25">
      <c r="A88" s="63" t="s">
        <v>47</v>
      </c>
      <c r="B88" t="s">
        <v>191</v>
      </c>
      <c r="C88" t="s">
        <v>198</v>
      </c>
      <c r="D88" t="e">
        <f>'Summary Data'!D85</f>
        <v>#VALUE!</v>
      </c>
      <c r="E88" s="57" t="e">
        <f>'Summary Data'!E85</f>
        <v>#VALUE!</v>
      </c>
      <c r="F88" s="57" t="e">
        <f>'Summary Data'!F85*C$3</f>
        <v>#VALUE!</v>
      </c>
      <c r="G88" s="57" t="e">
        <f>'Summary Data'!G85*D$3</f>
        <v>#VALUE!</v>
      </c>
      <c r="H88" s="57" t="e">
        <f>'Summary Data'!H85*E$3</f>
        <v>#VALUE!</v>
      </c>
      <c r="I88" s="57" t="e">
        <f>'Summary Data'!I85*F$3</f>
        <v>#VALUE!</v>
      </c>
      <c r="J88" s="57" t="e">
        <f>'Summary Data'!J85*G$3</f>
        <v>#VALUE!</v>
      </c>
      <c r="K88" s="57" t="e">
        <f>'Summary Data'!K85*H$3</f>
        <v>#VALUE!</v>
      </c>
      <c r="L88" s="57" t="e">
        <f>'Summary Data'!L85*I$3</f>
        <v>#VALUE!</v>
      </c>
      <c r="M88" s="57" t="e">
        <f>'Summary Data'!M85*J$3</f>
        <v>#VALUE!</v>
      </c>
      <c r="N88" s="57" t="e">
        <f>'Summary Data'!N85*K$3</f>
        <v>#VALUE!</v>
      </c>
      <c r="O88" s="57" t="e">
        <f>'Summary Data'!O85*L$3</f>
        <v>#VALUE!</v>
      </c>
      <c r="P88" s="57" t="e">
        <f>'Summary Data'!P85*M$3</f>
        <v>#VALUE!</v>
      </c>
      <c r="Q88" s="57" t="e">
        <f>'Summary Data'!Q85*N$3</f>
        <v>#VALUE!</v>
      </c>
      <c r="R88" s="57" t="e">
        <f>'Summary Data'!R85*O$3</f>
        <v>#VALUE!</v>
      </c>
      <c r="S88" s="57" t="e">
        <f>'Summary Data'!S85*P$3</f>
        <v>#VALUE!</v>
      </c>
      <c r="T88" s="57" t="e">
        <f>(_xlfn.XLOOKUP(A88,'Round 1 Points'!$A$10:$A$144,'Round 1 Points'!$T$10:$T$144,0)+_xlfn.XLOOKUP(A88,'Round 2 Points'!$A$10:$A$146,'Round 2 Points'!$T$10:$T$146,0)+_xlfn.XLOOKUP(A88,'Round 3 Points'!$A$10:$A$145,'Round 3 Points'!$T$10:$T$145,0)+_xlfn.XLOOKUP(A88,'Round 4 Points'!$A$10:$A$147,'Round 4 Points'!$T$10:$T$147,0))/D88</f>
        <v>#VALUE!</v>
      </c>
      <c r="U88" s="57" t="e">
        <f>'Summary Data'!T85*Q$3</f>
        <v>#VALUE!</v>
      </c>
      <c r="V88" s="57">
        <f>(_xlfn.XLOOKUP(A88,'Round 1 Points'!$A$10:$A$144,'Round 1 Points'!$V$10:$V$144,0)+_xlfn.XLOOKUP(A88,'Round 2 Points'!$A$10:$A$146,'Round 2 Points'!$V$10:$V$146,0)+_xlfn.XLOOKUP(A88,'Round 3 Points'!$A$10:$A$145,'Round 3 Points'!$V$10:$V$145,0)+_xlfn.XLOOKUP(A88,'Round 4 Points'!$A$10:$A$147,'Round 4 Points'!$V$10:$V$147,0))</f>
        <v>16</v>
      </c>
      <c r="W88" s="72" t="e">
        <f t="shared" si="1"/>
        <v>#VALUE!</v>
      </c>
    </row>
    <row r="89" spans="1:23" ht="16" thickBot="1" x14ac:dyDescent="0.25">
      <c r="A89" s="61" t="s">
        <v>48</v>
      </c>
      <c r="B89" t="s">
        <v>191</v>
      </c>
      <c r="C89" t="s">
        <v>199</v>
      </c>
      <c r="D89" t="e">
        <f>'Summary Data'!D86</f>
        <v>#VALUE!</v>
      </c>
      <c r="E89" s="57" t="e">
        <f>'Summary Data'!E86</f>
        <v>#VALUE!</v>
      </c>
      <c r="F89" s="57" t="e">
        <f>'Summary Data'!F86*C$3</f>
        <v>#VALUE!</v>
      </c>
      <c r="G89" s="57" t="e">
        <f>'Summary Data'!G86*D$3</f>
        <v>#VALUE!</v>
      </c>
      <c r="H89" s="57" t="e">
        <f>'Summary Data'!H86*E$3</f>
        <v>#VALUE!</v>
      </c>
      <c r="I89" s="57" t="e">
        <f>'Summary Data'!I86*F$3</f>
        <v>#VALUE!</v>
      </c>
      <c r="J89" s="57" t="e">
        <f>'Summary Data'!J86*G$3</f>
        <v>#VALUE!</v>
      </c>
      <c r="K89" s="57" t="e">
        <f>'Summary Data'!K86*H$3</f>
        <v>#VALUE!</v>
      </c>
      <c r="L89" s="57" t="e">
        <f>'Summary Data'!L86*I$3</f>
        <v>#VALUE!</v>
      </c>
      <c r="M89" s="57" t="e">
        <f>'Summary Data'!M86*J$3</f>
        <v>#VALUE!</v>
      </c>
      <c r="N89" s="57" t="e">
        <f>'Summary Data'!N86*K$3</f>
        <v>#VALUE!</v>
      </c>
      <c r="O89" s="57" t="e">
        <f>'Summary Data'!O86*L$3</f>
        <v>#VALUE!</v>
      </c>
      <c r="P89" s="57" t="e">
        <f>'Summary Data'!P86*M$3</f>
        <v>#VALUE!</v>
      </c>
      <c r="Q89" s="57" t="e">
        <f>'Summary Data'!Q86*N$3</f>
        <v>#VALUE!</v>
      </c>
      <c r="R89" s="57" t="e">
        <f>'Summary Data'!R86*O$3</f>
        <v>#VALUE!</v>
      </c>
      <c r="S89" s="57" t="e">
        <f>'Summary Data'!S86*P$3</f>
        <v>#VALUE!</v>
      </c>
      <c r="T89" s="57" t="e">
        <f>(_xlfn.XLOOKUP(A89,'Round 1 Points'!$A$10:$A$144,'Round 1 Points'!$T$10:$T$144,0)+_xlfn.XLOOKUP(A89,'Round 2 Points'!$A$10:$A$146,'Round 2 Points'!$T$10:$T$146,0)+_xlfn.XLOOKUP(A89,'Round 3 Points'!$A$10:$A$145,'Round 3 Points'!$T$10:$T$145,0)+_xlfn.XLOOKUP(A89,'Round 4 Points'!$A$10:$A$147,'Round 4 Points'!$T$10:$T$147,0))/D89</f>
        <v>#VALUE!</v>
      </c>
      <c r="U89" s="57" t="e">
        <f>'Summary Data'!T86*Q$3</f>
        <v>#VALUE!</v>
      </c>
      <c r="V89" s="57">
        <f>(_xlfn.XLOOKUP(A89,'Round 1 Points'!$A$10:$A$144,'Round 1 Points'!$V$10:$V$144,0)+_xlfn.XLOOKUP(A89,'Round 2 Points'!$A$10:$A$146,'Round 2 Points'!$V$10:$V$146,0)+_xlfn.XLOOKUP(A89,'Round 3 Points'!$A$10:$A$145,'Round 3 Points'!$V$10:$V$145,0)+_xlfn.XLOOKUP(A89,'Round 4 Points'!$A$10:$A$147,'Round 4 Points'!$V$10:$V$147,0))</f>
        <v>13</v>
      </c>
      <c r="W89" s="72" t="e">
        <f t="shared" si="1"/>
        <v>#VALUE!</v>
      </c>
    </row>
    <row r="90" spans="1:23" ht="16" thickBot="1" x14ac:dyDescent="0.25">
      <c r="A90" s="63" t="s">
        <v>49</v>
      </c>
      <c r="B90" t="s">
        <v>191</v>
      </c>
      <c r="C90" t="s">
        <v>199</v>
      </c>
      <c r="D90" t="e">
        <f>'Summary Data'!D87</f>
        <v>#VALUE!</v>
      </c>
      <c r="E90" s="57" t="e">
        <f>'Summary Data'!E87</f>
        <v>#VALUE!</v>
      </c>
      <c r="F90" s="57" t="e">
        <f>'Summary Data'!F87*C$3</f>
        <v>#VALUE!</v>
      </c>
      <c r="G90" s="57" t="e">
        <f>'Summary Data'!G87*D$3</f>
        <v>#VALUE!</v>
      </c>
      <c r="H90" s="57" t="e">
        <f>'Summary Data'!H87*E$3</f>
        <v>#VALUE!</v>
      </c>
      <c r="I90" s="57" t="e">
        <f>'Summary Data'!I87*F$3</f>
        <v>#VALUE!</v>
      </c>
      <c r="J90" s="57" t="e">
        <f>'Summary Data'!J87*G$3</f>
        <v>#VALUE!</v>
      </c>
      <c r="K90" s="57" t="e">
        <f>'Summary Data'!K87*H$3</f>
        <v>#VALUE!</v>
      </c>
      <c r="L90" s="57" t="e">
        <f>'Summary Data'!L87*I$3</f>
        <v>#VALUE!</v>
      </c>
      <c r="M90" s="57" t="e">
        <f>'Summary Data'!M87*J$3</f>
        <v>#VALUE!</v>
      </c>
      <c r="N90" s="57" t="e">
        <f>'Summary Data'!N87*K$3</f>
        <v>#VALUE!</v>
      </c>
      <c r="O90" s="57" t="e">
        <f>'Summary Data'!O87*L$3</f>
        <v>#VALUE!</v>
      </c>
      <c r="P90" s="57" t="e">
        <f>'Summary Data'!P87*M$3</f>
        <v>#VALUE!</v>
      </c>
      <c r="Q90" s="57" t="e">
        <f>'Summary Data'!Q87*N$3</f>
        <v>#VALUE!</v>
      </c>
      <c r="R90" s="57" t="e">
        <f>'Summary Data'!R87*O$3</f>
        <v>#VALUE!</v>
      </c>
      <c r="S90" s="57" t="e">
        <f>'Summary Data'!S87*P$3</f>
        <v>#VALUE!</v>
      </c>
      <c r="T90" s="57" t="e">
        <f>(_xlfn.XLOOKUP(A90,'Round 1 Points'!$A$10:$A$144,'Round 1 Points'!$T$10:$T$144,0)+_xlfn.XLOOKUP(A90,'Round 2 Points'!$A$10:$A$146,'Round 2 Points'!$T$10:$T$146,0)+_xlfn.XLOOKUP(A90,'Round 3 Points'!$A$10:$A$145,'Round 3 Points'!$T$10:$T$145,0)+_xlfn.XLOOKUP(A90,'Round 4 Points'!$A$10:$A$147,'Round 4 Points'!$T$10:$T$147,0))/D90</f>
        <v>#VALUE!</v>
      </c>
      <c r="U90" s="57" t="e">
        <f>'Summary Data'!T87*Q$3</f>
        <v>#VALUE!</v>
      </c>
      <c r="V90" s="57">
        <f>(_xlfn.XLOOKUP(A90,'Round 1 Points'!$A$10:$A$144,'Round 1 Points'!$V$10:$V$144,0)+_xlfn.XLOOKUP(A90,'Round 2 Points'!$A$10:$A$146,'Round 2 Points'!$V$10:$V$146,0)+_xlfn.XLOOKUP(A90,'Round 3 Points'!$A$10:$A$145,'Round 3 Points'!$V$10:$V$145,0)+_xlfn.XLOOKUP(A90,'Round 4 Points'!$A$10:$A$147,'Round 4 Points'!$V$10:$V$147,0))</f>
        <v>3</v>
      </c>
      <c r="W90" s="72" t="e">
        <f t="shared" si="1"/>
        <v>#VALUE!</v>
      </c>
    </row>
    <row r="91" spans="1:23" ht="16" thickBot="1" x14ac:dyDescent="0.25">
      <c r="A91" s="61" t="s">
        <v>50</v>
      </c>
      <c r="B91" t="s">
        <v>191</v>
      </c>
      <c r="C91" t="s">
        <v>199</v>
      </c>
      <c r="D91" t="e">
        <f>'Summary Data'!D88</f>
        <v>#VALUE!</v>
      </c>
      <c r="E91" s="57" t="e">
        <f>'Summary Data'!E88</f>
        <v>#VALUE!</v>
      </c>
      <c r="F91" s="57" t="e">
        <f>'Summary Data'!F88*C$3</f>
        <v>#VALUE!</v>
      </c>
      <c r="G91" s="57" t="e">
        <f>'Summary Data'!G88*D$3</f>
        <v>#VALUE!</v>
      </c>
      <c r="H91" s="57" t="e">
        <f>'Summary Data'!H88*E$3</f>
        <v>#VALUE!</v>
      </c>
      <c r="I91" s="57" t="e">
        <f>'Summary Data'!I88*F$3</f>
        <v>#VALUE!</v>
      </c>
      <c r="J91" s="57" t="e">
        <f>'Summary Data'!J88*G$3</f>
        <v>#VALUE!</v>
      </c>
      <c r="K91" s="57" t="e">
        <f>'Summary Data'!K88*H$3</f>
        <v>#VALUE!</v>
      </c>
      <c r="L91" s="57" t="e">
        <f>'Summary Data'!L88*I$3</f>
        <v>#VALUE!</v>
      </c>
      <c r="M91" s="57" t="e">
        <f>'Summary Data'!M88*J$3</f>
        <v>#VALUE!</v>
      </c>
      <c r="N91" s="57" t="e">
        <f>'Summary Data'!N88*K$3</f>
        <v>#VALUE!</v>
      </c>
      <c r="O91" s="57" t="e">
        <f>'Summary Data'!O88*L$3</f>
        <v>#VALUE!</v>
      </c>
      <c r="P91" s="57" t="e">
        <f>'Summary Data'!P88*M$3</f>
        <v>#VALUE!</v>
      </c>
      <c r="Q91" s="57" t="e">
        <f>'Summary Data'!Q88*N$3</f>
        <v>#VALUE!</v>
      </c>
      <c r="R91" s="57" t="e">
        <f>'Summary Data'!R88*O$3</f>
        <v>#VALUE!</v>
      </c>
      <c r="S91" s="57" t="e">
        <f>'Summary Data'!S88*P$3</f>
        <v>#VALUE!</v>
      </c>
      <c r="T91" s="57" t="e">
        <f>(_xlfn.XLOOKUP(A91,'Round 1 Points'!$A$10:$A$144,'Round 1 Points'!$T$10:$T$144,0)+_xlfn.XLOOKUP(A91,'Round 2 Points'!$A$10:$A$146,'Round 2 Points'!$T$10:$T$146,0)+_xlfn.XLOOKUP(A91,'Round 3 Points'!$A$10:$A$145,'Round 3 Points'!$T$10:$T$145,0)+_xlfn.XLOOKUP(A91,'Round 4 Points'!$A$10:$A$147,'Round 4 Points'!$T$10:$T$147,0))/D91</f>
        <v>#VALUE!</v>
      </c>
      <c r="U91" s="57" t="e">
        <f>'Summary Data'!T88*Q$3</f>
        <v>#VALUE!</v>
      </c>
      <c r="V91" s="57">
        <f>(_xlfn.XLOOKUP(A91,'Round 1 Points'!$A$10:$A$144,'Round 1 Points'!$V$10:$V$144,0)+_xlfn.XLOOKUP(A91,'Round 2 Points'!$A$10:$A$146,'Round 2 Points'!$V$10:$V$146,0)+_xlfn.XLOOKUP(A91,'Round 3 Points'!$A$10:$A$145,'Round 3 Points'!$V$10:$V$145,0)+_xlfn.XLOOKUP(A91,'Round 4 Points'!$A$10:$A$147,'Round 4 Points'!$V$10:$V$147,0))</f>
        <v>16</v>
      </c>
      <c r="W91" s="72" t="e">
        <f t="shared" si="1"/>
        <v>#VALUE!</v>
      </c>
    </row>
    <row r="92" spans="1:23" ht="16" thickBot="1" x14ac:dyDescent="0.25">
      <c r="A92" s="63" t="s">
        <v>180</v>
      </c>
      <c r="B92" t="s">
        <v>191</v>
      </c>
      <c r="C92" t="s">
        <v>200</v>
      </c>
      <c r="D92" t="e">
        <f>'Summary Data'!D89</f>
        <v>#VALUE!</v>
      </c>
      <c r="E92" s="57" t="e">
        <f>'Summary Data'!E89</f>
        <v>#VALUE!</v>
      </c>
      <c r="F92" s="57" t="e">
        <f>'Summary Data'!F89*C$3</f>
        <v>#VALUE!</v>
      </c>
      <c r="G92" s="57" t="e">
        <f>'Summary Data'!G89*D$3</f>
        <v>#VALUE!</v>
      </c>
      <c r="H92" s="57" t="e">
        <f>'Summary Data'!H89*E$3</f>
        <v>#VALUE!</v>
      </c>
      <c r="I92" s="57" t="e">
        <f>'Summary Data'!I89*F$3</f>
        <v>#VALUE!</v>
      </c>
      <c r="J92" s="57" t="e">
        <f>'Summary Data'!J89*G$3</f>
        <v>#VALUE!</v>
      </c>
      <c r="K92" s="57" t="e">
        <f>'Summary Data'!K89*H$3</f>
        <v>#VALUE!</v>
      </c>
      <c r="L92" s="57" t="e">
        <f>'Summary Data'!L89*I$3</f>
        <v>#VALUE!</v>
      </c>
      <c r="M92" s="57" t="e">
        <f>'Summary Data'!M89*J$3</f>
        <v>#VALUE!</v>
      </c>
      <c r="N92" s="57" t="e">
        <f>'Summary Data'!N89*K$3</f>
        <v>#VALUE!</v>
      </c>
      <c r="O92" s="57" t="e">
        <f>'Summary Data'!O89*L$3</f>
        <v>#VALUE!</v>
      </c>
      <c r="P92" s="57" t="e">
        <f>'Summary Data'!P89*M$3</f>
        <v>#VALUE!</v>
      </c>
      <c r="Q92" s="57" t="e">
        <f>'Summary Data'!Q89*N$3</f>
        <v>#VALUE!</v>
      </c>
      <c r="R92" s="57" t="e">
        <f>'Summary Data'!R89*O$3</f>
        <v>#VALUE!</v>
      </c>
      <c r="S92" s="57" t="e">
        <f>'Summary Data'!S89*P$3</f>
        <v>#VALUE!</v>
      </c>
      <c r="T92" s="57" t="e">
        <f>(_xlfn.XLOOKUP(A92,'Round 1 Points'!$A$10:$A$144,'Round 1 Points'!$T$10:$T$144,0)+_xlfn.XLOOKUP(A92,'Round 2 Points'!$A$10:$A$146,'Round 2 Points'!$T$10:$T$146,0)+_xlfn.XLOOKUP(A92,'Round 3 Points'!$A$10:$A$145,'Round 3 Points'!$T$10:$T$145,0)+_xlfn.XLOOKUP(A92,'Round 4 Points'!$A$10:$A$147,'Round 4 Points'!$T$10:$T$147,0))/D92</f>
        <v>#VALUE!</v>
      </c>
      <c r="U92" s="57" t="e">
        <f>'Summary Data'!T89*Q$3</f>
        <v>#VALUE!</v>
      </c>
      <c r="V92" s="57">
        <f>(_xlfn.XLOOKUP(A92,'Round 1 Points'!$A$10:$A$144,'Round 1 Points'!$V$10:$V$144,0)+_xlfn.XLOOKUP(A92,'Round 2 Points'!$A$10:$A$146,'Round 2 Points'!$V$10:$V$146,0)+_xlfn.XLOOKUP(A92,'Round 3 Points'!$A$10:$A$145,'Round 3 Points'!$V$10:$V$145,0)+_xlfn.XLOOKUP(A92,'Round 4 Points'!$A$10:$A$147,'Round 4 Points'!$V$10:$V$147,0))</f>
        <v>2.2000000000000002</v>
      </c>
      <c r="W92" s="72" t="e">
        <f t="shared" si="1"/>
        <v>#VALUE!</v>
      </c>
    </row>
    <row r="93" spans="1:23" ht="16" thickBot="1" x14ac:dyDescent="0.25">
      <c r="A93" s="61" t="s">
        <v>51</v>
      </c>
      <c r="B93" t="s">
        <v>191</v>
      </c>
      <c r="C93" t="s">
        <v>200</v>
      </c>
      <c r="D93" t="e">
        <f>'Summary Data'!D90</f>
        <v>#VALUE!</v>
      </c>
      <c r="E93" s="57" t="e">
        <f>'Summary Data'!E90</f>
        <v>#VALUE!</v>
      </c>
      <c r="F93" s="57" t="e">
        <f>'Summary Data'!F90*C$3</f>
        <v>#VALUE!</v>
      </c>
      <c r="G93" s="57" t="e">
        <f>'Summary Data'!G90*D$3</f>
        <v>#VALUE!</v>
      </c>
      <c r="H93" s="57" t="e">
        <f>'Summary Data'!H90*E$3</f>
        <v>#VALUE!</v>
      </c>
      <c r="I93" s="57" t="e">
        <f>'Summary Data'!I90*F$3</f>
        <v>#VALUE!</v>
      </c>
      <c r="J93" s="57" t="e">
        <f>'Summary Data'!J90*G$3</f>
        <v>#VALUE!</v>
      </c>
      <c r="K93" s="57" t="e">
        <f>'Summary Data'!K90*H$3</f>
        <v>#VALUE!</v>
      </c>
      <c r="L93" s="57" t="e">
        <f>'Summary Data'!L90*I$3</f>
        <v>#VALUE!</v>
      </c>
      <c r="M93" s="57" t="e">
        <f>'Summary Data'!M90*J$3</f>
        <v>#VALUE!</v>
      </c>
      <c r="N93" s="57" t="e">
        <f>'Summary Data'!N90*K$3</f>
        <v>#VALUE!</v>
      </c>
      <c r="O93" s="57" t="e">
        <f>'Summary Data'!O90*L$3</f>
        <v>#VALUE!</v>
      </c>
      <c r="P93" s="57" t="e">
        <f>'Summary Data'!P90*M$3</f>
        <v>#VALUE!</v>
      </c>
      <c r="Q93" s="57" t="e">
        <f>'Summary Data'!Q90*N$3</f>
        <v>#VALUE!</v>
      </c>
      <c r="R93" s="57" t="e">
        <f>'Summary Data'!R90*O$3</f>
        <v>#VALUE!</v>
      </c>
      <c r="S93" s="57" t="e">
        <f>'Summary Data'!S90*P$3</f>
        <v>#VALUE!</v>
      </c>
      <c r="T93" s="57" t="e">
        <f>(_xlfn.XLOOKUP(A93,'Round 1 Points'!$A$10:$A$144,'Round 1 Points'!$T$10:$T$144,0)+_xlfn.XLOOKUP(A93,'Round 2 Points'!$A$10:$A$146,'Round 2 Points'!$T$10:$T$146,0)+_xlfn.XLOOKUP(A93,'Round 3 Points'!$A$10:$A$145,'Round 3 Points'!$T$10:$T$145,0)+_xlfn.XLOOKUP(A93,'Round 4 Points'!$A$10:$A$147,'Round 4 Points'!$T$10:$T$147,0))/D93</f>
        <v>#VALUE!</v>
      </c>
      <c r="U93" s="57" t="e">
        <f>'Summary Data'!T90*Q$3</f>
        <v>#VALUE!</v>
      </c>
      <c r="V93" s="57">
        <f>(_xlfn.XLOOKUP(A93,'Round 1 Points'!$A$10:$A$144,'Round 1 Points'!$V$10:$V$144,0)+_xlfn.XLOOKUP(A93,'Round 2 Points'!$A$10:$A$146,'Round 2 Points'!$V$10:$V$146,0)+_xlfn.XLOOKUP(A93,'Round 3 Points'!$A$10:$A$145,'Round 3 Points'!$V$10:$V$145,0)+_xlfn.XLOOKUP(A93,'Round 4 Points'!$A$10:$A$147,'Round 4 Points'!$V$10:$V$147,0))</f>
        <v>3</v>
      </c>
      <c r="W93" s="72" t="e">
        <f t="shared" si="1"/>
        <v>#VALUE!</v>
      </c>
    </row>
    <row r="94" spans="1:23" ht="16" thickBot="1" x14ac:dyDescent="0.25">
      <c r="A94" s="63" t="s">
        <v>53</v>
      </c>
      <c r="B94" t="s">
        <v>191</v>
      </c>
      <c r="C94" t="s">
        <v>200</v>
      </c>
      <c r="D94" t="e">
        <f>'Summary Data'!D91</f>
        <v>#VALUE!</v>
      </c>
      <c r="E94" s="57" t="e">
        <f>'Summary Data'!E91</f>
        <v>#VALUE!</v>
      </c>
      <c r="F94" s="57" t="e">
        <f>'Summary Data'!F91*C$3</f>
        <v>#VALUE!</v>
      </c>
      <c r="G94" s="57" t="e">
        <f>'Summary Data'!G91*D$3</f>
        <v>#VALUE!</v>
      </c>
      <c r="H94" s="57" t="e">
        <f>'Summary Data'!H91*E$3</f>
        <v>#VALUE!</v>
      </c>
      <c r="I94" s="57" t="e">
        <f>'Summary Data'!I91*F$3</f>
        <v>#VALUE!</v>
      </c>
      <c r="J94" s="57" t="e">
        <f>'Summary Data'!J91*G$3</f>
        <v>#VALUE!</v>
      </c>
      <c r="K94" s="57" t="e">
        <f>'Summary Data'!K91*H$3</f>
        <v>#VALUE!</v>
      </c>
      <c r="L94" s="57" t="e">
        <f>'Summary Data'!L91*I$3</f>
        <v>#VALUE!</v>
      </c>
      <c r="M94" s="57" t="e">
        <f>'Summary Data'!M91*J$3</f>
        <v>#VALUE!</v>
      </c>
      <c r="N94" s="57" t="e">
        <f>'Summary Data'!N91*K$3</f>
        <v>#VALUE!</v>
      </c>
      <c r="O94" s="57" t="e">
        <f>'Summary Data'!O91*L$3</f>
        <v>#VALUE!</v>
      </c>
      <c r="P94" s="57" t="e">
        <f>'Summary Data'!P91*M$3</f>
        <v>#VALUE!</v>
      </c>
      <c r="Q94" s="57" t="e">
        <f>'Summary Data'!Q91*N$3</f>
        <v>#VALUE!</v>
      </c>
      <c r="R94" s="57" t="e">
        <f>'Summary Data'!R91*O$3</f>
        <v>#VALUE!</v>
      </c>
      <c r="S94" s="57" t="e">
        <f>'Summary Data'!S91*P$3</f>
        <v>#VALUE!</v>
      </c>
      <c r="T94" s="57" t="e">
        <f>(_xlfn.XLOOKUP(A94,'Round 1 Points'!$A$10:$A$144,'Round 1 Points'!$T$10:$T$144,0)+_xlfn.XLOOKUP(A94,'Round 2 Points'!$A$10:$A$146,'Round 2 Points'!$T$10:$T$146,0)+_xlfn.XLOOKUP(A94,'Round 3 Points'!$A$10:$A$145,'Round 3 Points'!$T$10:$T$145,0)+_xlfn.XLOOKUP(A94,'Round 4 Points'!$A$10:$A$147,'Round 4 Points'!$T$10:$T$147,0))/D94</f>
        <v>#VALUE!</v>
      </c>
      <c r="U94" s="57" t="e">
        <f>'Summary Data'!T91*Q$3</f>
        <v>#VALUE!</v>
      </c>
      <c r="V94" s="57">
        <f>(_xlfn.XLOOKUP(A94,'Round 1 Points'!$A$10:$A$144,'Round 1 Points'!$V$10:$V$144,0)+_xlfn.XLOOKUP(A94,'Round 2 Points'!$A$10:$A$146,'Round 2 Points'!$V$10:$V$146,0)+_xlfn.XLOOKUP(A94,'Round 3 Points'!$A$10:$A$145,'Round 3 Points'!$V$10:$V$145,0)+_xlfn.XLOOKUP(A94,'Round 4 Points'!$A$10:$A$147,'Round 4 Points'!$V$10:$V$147,0))</f>
        <v>7.4</v>
      </c>
      <c r="W94" s="72" t="e">
        <f t="shared" si="1"/>
        <v>#VALUE!</v>
      </c>
    </row>
    <row r="95" spans="1:23" ht="16" thickBot="1" x14ac:dyDescent="0.25">
      <c r="A95" s="61" t="s">
        <v>54</v>
      </c>
      <c r="B95" t="s">
        <v>191</v>
      </c>
      <c r="C95" t="s">
        <v>200</v>
      </c>
      <c r="D95" t="e">
        <f>'Summary Data'!D92</f>
        <v>#VALUE!</v>
      </c>
      <c r="E95" s="57" t="e">
        <f>'Summary Data'!E92</f>
        <v>#VALUE!</v>
      </c>
      <c r="F95" s="57" t="e">
        <f>'Summary Data'!F92*C$3</f>
        <v>#VALUE!</v>
      </c>
      <c r="G95" s="57" t="e">
        <f>'Summary Data'!G92*D$3</f>
        <v>#VALUE!</v>
      </c>
      <c r="H95" s="57" t="e">
        <f>'Summary Data'!H92*E$3</f>
        <v>#VALUE!</v>
      </c>
      <c r="I95" s="57" t="e">
        <f>'Summary Data'!I92*F$3</f>
        <v>#VALUE!</v>
      </c>
      <c r="J95" s="57" t="e">
        <f>'Summary Data'!J92*G$3</f>
        <v>#VALUE!</v>
      </c>
      <c r="K95" s="57" t="e">
        <f>'Summary Data'!K92*H$3</f>
        <v>#VALUE!</v>
      </c>
      <c r="L95" s="57" t="e">
        <f>'Summary Data'!L92*I$3</f>
        <v>#VALUE!</v>
      </c>
      <c r="M95" s="57" t="e">
        <f>'Summary Data'!M92*J$3</f>
        <v>#VALUE!</v>
      </c>
      <c r="N95" s="57" t="e">
        <f>'Summary Data'!N92*K$3</f>
        <v>#VALUE!</v>
      </c>
      <c r="O95" s="57" t="e">
        <f>'Summary Data'!O92*L$3</f>
        <v>#VALUE!</v>
      </c>
      <c r="P95" s="57" t="e">
        <f>'Summary Data'!P92*M$3</f>
        <v>#VALUE!</v>
      </c>
      <c r="Q95" s="57" t="e">
        <f>'Summary Data'!Q92*N$3</f>
        <v>#VALUE!</v>
      </c>
      <c r="R95" s="57" t="e">
        <f>'Summary Data'!R92*O$3</f>
        <v>#VALUE!</v>
      </c>
      <c r="S95" s="57" t="e">
        <f>'Summary Data'!S92*P$3</f>
        <v>#VALUE!</v>
      </c>
      <c r="T95" s="57" t="e">
        <f>(_xlfn.XLOOKUP(A95,'Round 1 Points'!$A$10:$A$144,'Round 1 Points'!$T$10:$T$144,0)+_xlfn.XLOOKUP(A95,'Round 2 Points'!$A$10:$A$146,'Round 2 Points'!$T$10:$T$146,0)+_xlfn.XLOOKUP(A95,'Round 3 Points'!$A$10:$A$145,'Round 3 Points'!$T$10:$T$145,0)+_xlfn.XLOOKUP(A95,'Round 4 Points'!$A$10:$A$147,'Round 4 Points'!$T$10:$T$147,0))/D95</f>
        <v>#VALUE!</v>
      </c>
      <c r="U95" s="57" t="e">
        <f>'Summary Data'!T92*Q$3</f>
        <v>#VALUE!</v>
      </c>
      <c r="V95" s="57">
        <f>(_xlfn.XLOOKUP(A95,'Round 1 Points'!$A$10:$A$144,'Round 1 Points'!$V$10:$V$144,0)+_xlfn.XLOOKUP(A95,'Round 2 Points'!$A$10:$A$146,'Round 2 Points'!$V$10:$V$146,0)+_xlfn.XLOOKUP(A95,'Round 3 Points'!$A$10:$A$145,'Round 3 Points'!$V$10:$V$145,0)+_xlfn.XLOOKUP(A95,'Round 4 Points'!$A$10:$A$147,'Round 4 Points'!$V$10:$V$147,0))</f>
        <v>13</v>
      </c>
      <c r="W95" s="72" t="e">
        <f t="shared" si="1"/>
        <v>#VALUE!</v>
      </c>
    </row>
    <row r="96" spans="1:23" ht="16" thickBot="1" x14ac:dyDescent="0.25">
      <c r="A96" s="63" t="s">
        <v>55</v>
      </c>
      <c r="B96" t="s">
        <v>191</v>
      </c>
      <c r="C96" t="s">
        <v>201</v>
      </c>
      <c r="D96" t="e">
        <f>'Summary Data'!D93</f>
        <v>#VALUE!</v>
      </c>
      <c r="E96" s="57" t="e">
        <f>'Summary Data'!E93</f>
        <v>#VALUE!</v>
      </c>
      <c r="F96" s="57" t="e">
        <f>'Summary Data'!F93*C$3</f>
        <v>#VALUE!</v>
      </c>
      <c r="G96" s="57" t="e">
        <f>'Summary Data'!G93*D$3</f>
        <v>#VALUE!</v>
      </c>
      <c r="H96" s="57" t="e">
        <f>'Summary Data'!H93*E$3</f>
        <v>#VALUE!</v>
      </c>
      <c r="I96" s="57" t="e">
        <f>'Summary Data'!I93*F$3</f>
        <v>#VALUE!</v>
      </c>
      <c r="J96" s="57" t="e">
        <f>'Summary Data'!J93*G$3</f>
        <v>#VALUE!</v>
      </c>
      <c r="K96" s="57" t="e">
        <f>'Summary Data'!K93*H$3</f>
        <v>#VALUE!</v>
      </c>
      <c r="L96" s="57" t="e">
        <f>'Summary Data'!L93*I$3</f>
        <v>#VALUE!</v>
      </c>
      <c r="M96" s="57" t="e">
        <f>'Summary Data'!M93*J$3</f>
        <v>#VALUE!</v>
      </c>
      <c r="N96" s="57" t="e">
        <f>'Summary Data'!N93*K$3</f>
        <v>#VALUE!</v>
      </c>
      <c r="O96" s="57" t="e">
        <f>'Summary Data'!O93*L$3</f>
        <v>#VALUE!</v>
      </c>
      <c r="P96" s="57" t="e">
        <f>'Summary Data'!P93*M$3</f>
        <v>#VALUE!</v>
      </c>
      <c r="Q96" s="57" t="e">
        <f>'Summary Data'!Q93*N$3</f>
        <v>#VALUE!</v>
      </c>
      <c r="R96" s="57" t="e">
        <f>'Summary Data'!R93*O$3</f>
        <v>#VALUE!</v>
      </c>
      <c r="S96" s="57" t="e">
        <f>'Summary Data'!S93*P$3</f>
        <v>#VALUE!</v>
      </c>
      <c r="T96" s="57" t="e">
        <f>(_xlfn.XLOOKUP(A96,'Round 1 Points'!$A$10:$A$144,'Round 1 Points'!$T$10:$T$144,0)+_xlfn.XLOOKUP(A96,'Round 2 Points'!$A$10:$A$146,'Round 2 Points'!$T$10:$T$146,0)+_xlfn.XLOOKUP(A96,'Round 3 Points'!$A$10:$A$145,'Round 3 Points'!$T$10:$T$145,0)+_xlfn.XLOOKUP(A96,'Round 4 Points'!$A$10:$A$147,'Round 4 Points'!$T$10:$T$147,0))/D96</f>
        <v>#VALUE!</v>
      </c>
      <c r="U96" s="57" t="e">
        <f>'Summary Data'!T93*Q$3</f>
        <v>#VALUE!</v>
      </c>
      <c r="V96" s="57">
        <f>(_xlfn.XLOOKUP(A96,'Round 1 Points'!$A$10:$A$144,'Round 1 Points'!$V$10:$V$144,0)+_xlfn.XLOOKUP(A96,'Round 2 Points'!$A$10:$A$146,'Round 2 Points'!$V$10:$V$146,0)+_xlfn.XLOOKUP(A96,'Round 3 Points'!$A$10:$A$145,'Round 3 Points'!$V$10:$V$145,0)+_xlfn.XLOOKUP(A96,'Round 4 Points'!$A$10:$A$147,'Round 4 Points'!$V$10:$V$147,0))</f>
        <v>4.9000000000000004</v>
      </c>
      <c r="W96" s="72" t="e">
        <f t="shared" si="1"/>
        <v>#VALUE!</v>
      </c>
    </row>
    <row r="97" spans="1:23" ht="16" thickBot="1" x14ac:dyDescent="0.25">
      <c r="A97" s="61" t="s">
        <v>56</v>
      </c>
      <c r="B97" t="s">
        <v>191</v>
      </c>
      <c r="C97" t="s">
        <v>201</v>
      </c>
      <c r="D97" t="e">
        <f>'Summary Data'!D94</f>
        <v>#VALUE!</v>
      </c>
      <c r="E97" s="57" t="e">
        <f>'Summary Data'!E94</f>
        <v>#VALUE!</v>
      </c>
      <c r="F97" s="57" t="e">
        <f>'Summary Data'!F94*C$3</f>
        <v>#VALUE!</v>
      </c>
      <c r="G97" s="57" t="e">
        <f>'Summary Data'!G94*D$3</f>
        <v>#VALUE!</v>
      </c>
      <c r="H97" s="57" t="e">
        <f>'Summary Data'!H94*E$3</f>
        <v>#VALUE!</v>
      </c>
      <c r="I97" s="57" t="e">
        <f>'Summary Data'!I94*F$3</f>
        <v>#VALUE!</v>
      </c>
      <c r="J97" s="57" t="e">
        <f>'Summary Data'!J94*G$3</f>
        <v>#VALUE!</v>
      </c>
      <c r="K97" s="57" t="e">
        <f>'Summary Data'!K94*H$3</f>
        <v>#VALUE!</v>
      </c>
      <c r="L97" s="57" t="e">
        <f>'Summary Data'!L94*I$3</f>
        <v>#VALUE!</v>
      </c>
      <c r="M97" s="57" t="e">
        <f>'Summary Data'!M94*J$3</f>
        <v>#VALUE!</v>
      </c>
      <c r="N97" s="57" t="e">
        <f>'Summary Data'!N94*K$3</f>
        <v>#VALUE!</v>
      </c>
      <c r="O97" s="57" t="e">
        <f>'Summary Data'!O94*L$3</f>
        <v>#VALUE!</v>
      </c>
      <c r="P97" s="57" t="e">
        <f>'Summary Data'!P94*M$3</f>
        <v>#VALUE!</v>
      </c>
      <c r="Q97" s="57" t="e">
        <f>'Summary Data'!Q94*N$3</f>
        <v>#VALUE!</v>
      </c>
      <c r="R97" s="57" t="e">
        <f>'Summary Data'!R94*O$3</f>
        <v>#VALUE!</v>
      </c>
      <c r="S97" s="57" t="e">
        <f>'Summary Data'!S94*P$3</f>
        <v>#VALUE!</v>
      </c>
      <c r="T97" s="57" t="e">
        <f>(_xlfn.XLOOKUP(A97,'Round 1 Points'!$A$10:$A$144,'Round 1 Points'!$T$10:$T$144,0)+_xlfn.XLOOKUP(A97,'Round 2 Points'!$A$10:$A$146,'Round 2 Points'!$T$10:$T$146,0)+_xlfn.XLOOKUP(A97,'Round 3 Points'!$A$10:$A$145,'Round 3 Points'!$T$10:$T$145,0)+_xlfn.XLOOKUP(A97,'Round 4 Points'!$A$10:$A$147,'Round 4 Points'!$T$10:$T$147,0))/D97</f>
        <v>#VALUE!</v>
      </c>
      <c r="U97" s="57" t="e">
        <f>'Summary Data'!T94*Q$3</f>
        <v>#VALUE!</v>
      </c>
      <c r="V97" s="57">
        <f>(_xlfn.XLOOKUP(A97,'Round 1 Points'!$A$10:$A$144,'Round 1 Points'!$V$10:$V$144,0)+_xlfn.XLOOKUP(A97,'Round 2 Points'!$A$10:$A$146,'Round 2 Points'!$V$10:$V$146,0)+_xlfn.XLOOKUP(A97,'Round 3 Points'!$A$10:$A$145,'Round 3 Points'!$V$10:$V$145,0)+_xlfn.XLOOKUP(A97,'Round 4 Points'!$A$10:$A$147,'Round 4 Points'!$V$10:$V$147,0))</f>
        <v>10.6</v>
      </c>
      <c r="W97" s="72" t="e">
        <f t="shared" si="1"/>
        <v>#VALUE!</v>
      </c>
    </row>
    <row r="98" spans="1:23" ht="16" thickBot="1" x14ac:dyDescent="0.25">
      <c r="A98" s="61" t="s">
        <v>103</v>
      </c>
      <c r="B98" t="s">
        <v>192</v>
      </c>
      <c r="C98" t="s">
        <v>194</v>
      </c>
      <c r="D98" t="e">
        <f>'Summary Data'!D95</f>
        <v>#VALUE!</v>
      </c>
      <c r="E98" s="57" t="e">
        <f>'Summary Data'!E95</f>
        <v>#VALUE!</v>
      </c>
      <c r="F98" s="57" t="e">
        <f>'Summary Data'!F95*C$3</f>
        <v>#VALUE!</v>
      </c>
      <c r="G98" s="57" t="e">
        <f>'Summary Data'!G95*D$3</f>
        <v>#VALUE!</v>
      </c>
      <c r="H98" s="57" t="e">
        <f>'Summary Data'!H95*E$3</f>
        <v>#VALUE!</v>
      </c>
      <c r="I98" s="57" t="e">
        <f>'Summary Data'!I95*F$3</f>
        <v>#VALUE!</v>
      </c>
      <c r="J98" s="57" t="e">
        <f>'Summary Data'!J95*G$3</f>
        <v>#VALUE!</v>
      </c>
      <c r="K98" s="57" t="e">
        <f>'Summary Data'!K95*H$3</f>
        <v>#VALUE!</v>
      </c>
      <c r="L98" s="57" t="e">
        <f>'Summary Data'!L95*I$3</f>
        <v>#VALUE!</v>
      </c>
      <c r="M98" s="57" t="e">
        <f>'Summary Data'!M95*J$3</f>
        <v>#VALUE!</v>
      </c>
      <c r="N98" s="57" t="e">
        <f>'Summary Data'!N95*K$3</f>
        <v>#VALUE!</v>
      </c>
      <c r="O98" s="57" t="e">
        <f>'Summary Data'!O95*L$3</f>
        <v>#VALUE!</v>
      </c>
      <c r="P98" s="57" t="e">
        <f>'Summary Data'!P95*M$3</f>
        <v>#VALUE!</v>
      </c>
      <c r="Q98" s="57" t="e">
        <f>'Summary Data'!Q95*N$3</f>
        <v>#VALUE!</v>
      </c>
      <c r="R98" s="57" t="e">
        <f>'Summary Data'!R95*O$3</f>
        <v>#VALUE!</v>
      </c>
      <c r="S98" s="57" t="e">
        <f>'Summary Data'!S95*P$3</f>
        <v>#VALUE!</v>
      </c>
      <c r="T98" s="57" t="e">
        <f>(_xlfn.XLOOKUP(A98,'Round 1 Points'!$A$10:$A$144,'Round 1 Points'!$T$10:$T$144,0)+_xlfn.XLOOKUP(A98,'Round 2 Points'!$A$10:$A$146,'Round 2 Points'!$T$10:$T$146,0)+_xlfn.XLOOKUP(A98,'Round 3 Points'!$A$10:$A$145,'Round 3 Points'!$T$10:$T$145,0)+_xlfn.XLOOKUP(A98,'Round 4 Points'!$A$10:$A$147,'Round 4 Points'!$T$10:$T$147,0))/D98</f>
        <v>#VALUE!</v>
      </c>
      <c r="U98" s="57" t="e">
        <f>'Summary Data'!T95*Q$3</f>
        <v>#VALUE!</v>
      </c>
      <c r="V98" s="57">
        <f>(_xlfn.XLOOKUP(A98,'Round 1 Points'!$A$10:$A$144,'Round 1 Points'!$V$10:$V$144,0)+_xlfn.XLOOKUP(A98,'Round 2 Points'!$A$10:$A$146,'Round 2 Points'!$V$10:$V$146,0)+_xlfn.XLOOKUP(A98,'Round 3 Points'!$A$10:$A$145,'Round 3 Points'!$V$10:$V$145,0)+_xlfn.XLOOKUP(A98,'Round 4 Points'!$A$10:$A$147,'Round 4 Points'!$V$10:$V$147,0))</f>
        <v>0</v>
      </c>
      <c r="W98" s="72" t="e">
        <f t="shared" si="1"/>
        <v>#VALUE!</v>
      </c>
    </row>
    <row r="99" spans="1:23" ht="16" thickBot="1" x14ac:dyDescent="0.25">
      <c r="A99" s="63" t="s">
        <v>104</v>
      </c>
      <c r="B99" t="s">
        <v>192</v>
      </c>
      <c r="C99" t="s">
        <v>194</v>
      </c>
      <c r="D99" t="e">
        <f>'Summary Data'!D96</f>
        <v>#VALUE!</v>
      </c>
      <c r="E99" s="57" t="e">
        <f>'Summary Data'!E96</f>
        <v>#VALUE!</v>
      </c>
      <c r="F99" s="57" t="e">
        <f>'Summary Data'!F96*C$3</f>
        <v>#VALUE!</v>
      </c>
      <c r="G99" s="57" t="e">
        <f>'Summary Data'!G96*D$3</f>
        <v>#VALUE!</v>
      </c>
      <c r="H99" s="57" t="e">
        <f>'Summary Data'!H96*E$3</f>
        <v>#VALUE!</v>
      </c>
      <c r="I99" s="57" t="e">
        <f>'Summary Data'!I96*F$3</f>
        <v>#VALUE!</v>
      </c>
      <c r="J99" s="57" t="e">
        <f>'Summary Data'!J96*G$3</f>
        <v>#VALUE!</v>
      </c>
      <c r="K99" s="57" t="e">
        <f>'Summary Data'!K96*H$3</f>
        <v>#VALUE!</v>
      </c>
      <c r="L99" s="57" t="e">
        <f>'Summary Data'!L96*I$3</f>
        <v>#VALUE!</v>
      </c>
      <c r="M99" s="57" t="e">
        <f>'Summary Data'!M96*J$3</f>
        <v>#VALUE!</v>
      </c>
      <c r="N99" s="57" t="e">
        <f>'Summary Data'!N96*K$3</f>
        <v>#VALUE!</v>
      </c>
      <c r="O99" s="57" t="e">
        <f>'Summary Data'!O96*L$3</f>
        <v>#VALUE!</v>
      </c>
      <c r="P99" s="57" t="e">
        <f>'Summary Data'!P96*M$3</f>
        <v>#VALUE!</v>
      </c>
      <c r="Q99" s="57" t="e">
        <f>'Summary Data'!Q96*N$3</f>
        <v>#VALUE!</v>
      </c>
      <c r="R99" s="57" t="e">
        <f>'Summary Data'!R96*O$3</f>
        <v>#VALUE!</v>
      </c>
      <c r="S99" s="57" t="e">
        <f>'Summary Data'!S96*P$3</f>
        <v>#VALUE!</v>
      </c>
      <c r="T99" s="57" t="e">
        <f>(_xlfn.XLOOKUP(A99,'Round 1 Points'!$A$10:$A$144,'Round 1 Points'!$T$10:$T$144,0)+_xlfn.XLOOKUP(A99,'Round 2 Points'!$A$10:$A$146,'Round 2 Points'!$T$10:$T$146,0)+_xlfn.XLOOKUP(A99,'Round 3 Points'!$A$10:$A$145,'Round 3 Points'!$T$10:$T$145,0)+_xlfn.XLOOKUP(A99,'Round 4 Points'!$A$10:$A$147,'Round 4 Points'!$T$10:$T$147,0))/D99</f>
        <v>#VALUE!</v>
      </c>
      <c r="U99" s="57" t="e">
        <f>'Summary Data'!T96*Q$3</f>
        <v>#VALUE!</v>
      </c>
      <c r="V99" s="57">
        <f>(_xlfn.XLOOKUP(A99,'Round 1 Points'!$A$10:$A$144,'Round 1 Points'!$V$10:$V$144,0)+_xlfn.XLOOKUP(A99,'Round 2 Points'!$A$10:$A$146,'Round 2 Points'!$V$10:$V$146,0)+_xlfn.XLOOKUP(A99,'Round 3 Points'!$A$10:$A$145,'Round 3 Points'!$V$10:$V$145,0)+_xlfn.XLOOKUP(A99,'Round 4 Points'!$A$10:$A$147,'Round 4 Points'!$V$10:$V$147,0))</f>
        <v>0</v>
      </c>
      <c r="W99" s="72" t="e">
        <f t="shared" si="1"/>
        <v>#VALUE!</v>
      </c>
    </row>
    <row r="100" spans="1:23" ht="16" thickBot="1" x14ac:dyDescent="0.25">
      <c r="A100" s="61" t="s">
        <v>105</v>
      </c>
      <c r="B100" t="s">
        <v>192</v>
      </c>
      <c r="C100" t="s">
        <v>194</v>
      </c>
      <c r="D100" t="e">
        <f>'Summary Data'!D97</f>
        <v>#VALUE!</v>
      </c>
      <c r="E100" s="57" t="e">
        <f>'Summary Data'!E97</f>
        <v>#VALUE!</v>
      </c>
      <c r="F100" s="57" t="e">
        <f>'Summary Data'!F97*C$3</f>
        <v>#VALUE!</v>
      </c>
      <c r="G100" s="57" t="e">
        <f>'Summary Data'!G97*D$3</f>
        <v>#VALUE!</v>
      </c>
      <c r="H100" s="57" t="e">
        <f>'Summary Data'!H97*E$3</f>
        <v>#VALUE!</v>
      </c>
      <c r="I100" s="57" t="e">
        <f>'Summary Data'!I97*F$3</f>
        <v>#VALUE!</v>
      </c>
      <c r="J100" s="57" t="e">
        <f>'Summary Data'!J97*G$3</f>
        <v>#VALUE!</v>
      </c>
      <c r="K100" s="57" t="e">
        <f>'Summary Data'!K97*H$3</f>
        <v>#VALUE!</v>
      </c>
      <c r="L100" s="57" t="e">
        <f>'Summary Data'!L97*I$3</f>
        <v>#VALUE!</v>
      </c>
      <c r="M100" s="57" t="e">
        <f>'Summary Data'!M97*J$3</f>
        <v>#VALUE!</v>
      </c>
      <c r="N100" s="57" t="e">
        <f>'Summary Data'!N97*K$3</f>
        <v>#VALUE!</v>
      </c>
      <c r="O100" s="57" t="e">
        <f>'Summary Data'!O97*L$3</f>
        <v>#VALUE!</v>
      </c>
      <c r="P100" s="57" t="e">
        <f>'Summary Data'!P97*M$3</f>
        <v>#VALUE!</v>
      </c>
      <c r="Q100" s="57" t="e">
        <f>'Summary Data'!Q97*N$3</f>
        <v>#VALUE!</v>
      </c>
      <c r="R100" s="57" t="e">
        <f>'Summary Data'!R97*O$3</f>
        <v>#VALUE!</v>
      </c>
      <c r="S100" s="57" t="e">
        <f>'Summary Data'!S97*P$3</f>
        <v>#VALUE!</v>
      </c>
      <c r="T100" s="57" t="e">
        <f>(_xlfn.XLOOKUP(A100,'Round 1 Points'!$A$10:$A$144,'Round 1 Points'!$T$10:$T$144,0)+_xlfn.XLOOKUP(A100,'Round 2 Points'!$A$10:$A$146,'Round 2 Points'!$T$10:$T$146,0)+_xlfn.XLOOKUP(A100,'Round 3 Points'!$A$10:$A$145,'Round 3 Points'!$T$10:$T$145,0)+_xlfn.XLOOKUP(A100,'Round 4 Points'!$A$10:$A$147,'Round 4 Points'!$T$10:$T$147,0))/D100</f>
        <v>#VALUE!</v>
      </c>
      <c r="U100" s="57" t="e">
        <f>'Summary Data'!T97*Q$3</f>
        <v>#VALUE!</v>
      </c>
      <c r="V100" s="57">
        <f>(_xlfn.XLOOKUP(A100,'Round 1 Points'!$A$10:$A$144,'Round 1 Points'!$V$10:$V$144,0)+_xlfn.XLOOKUP(A100,'Round 2 Points'!$A$10:$A$146,'Round 2 Points'!$V$10:$V$146,0)+_xlfn.XLOOKUP(A100,'Round 3 Points'!$A$10:$A$145,'Round 3 Points'!$V$10:$V$145,0)+_xlfn.XLOOKUP(A100,'Round 4 Points'!$A$10:$A$147,'Round 4 Points'!$V$10:$V$147,0))</f>
        <v>0</v>
      </c>
      <c r="W100" s="72" t="e">
        <f t="shared" si="1"/>
        <v>#VALUE!</v>
      </c>
    </row>
    <row r="101" spans="1:23" ht="16" thickBot="1" x14ac:dyDescent="0.25">
      <c r="A101" s="63" t="s">
        <v>106</v>
      </c>
      <c r="B101" t="s">
        <v>192</v>
      </c>
      <c r="C101" t="s">
        <v>194</v>
      </c>
      <c r="D101" t="e">
        <f>'Summary Data'!D98</f>
        <v>#VALUE!</v>
      </c>
      <c r="E101" s="57" t="e">
        <f>'Summary Data'!E98</f>
        <v>#VALUE!</v>
      </c>
      <c r="F101" s="57" t="e">
        <f>'Summary Data'!F98*C$3</f>
        <v>#VALUE!</v>
      </c>
      <c r="G101" s="57" t="e">
        <f>'Summary Data'!G98*D$3</f>
        <v>#VALUE!</v>
      </c>
      <c r="H101" s="57" t="e">
        <f>'Summary Data'!H98*E$3</f>
        <v>#VALUE!</v>
      </c>
      <c r="I101" s="57" t="e">
        <f>'Summary Data'!I98*F$3</f>
        <v>#VALUE!</v>
      </c>
      <c r="J101" s="57" t="e">
        <f>'Summary Data'!J98*G$3</f>
        <v>#VALUE!</v>
      </c>
      <c r="K101" s="57" t="e">
        <f>'Summary Data'!K98*H$3</f>
        <v>#VALUE!</v>
      </c>
      <c r="L101" s="57" t="e">
        <f>'Summary Data'!L98*I$3</f>
        <v>#VALUE!</v>
      </c>
      <c r="M101" s="57" t="e">
        <f>'Summary Data'!M98*J$3</f>
        <v>#VALUE!</v>
      </c>
      <c r="N101" s="57" t="e">
        <f>'Summary Data'!N98*K$3</f>
        <v>#VALUE!</v>
      </c>
      <c r="O101" s="57" t="e">
        <f>'Summary Data'!O98*L$3</f>
        <v>#VALUE!</v>
      </c>
      <c r="P101" s="57" t="e">
        <f>'Summary Data'!P98*M$3</f>
        <v>#VALUE!</v>
      </c>
      <c r="Q101" s="57" t="e">
        <f>'Summary Data'!Q98*N$3</f>
        <v>#VALUE!</v>
      </c>
      <c r="R101" s="57" t="e">
        <f>'Summary Data'!R98*O$3</f>
        <v>#VALUE!</v>
      </c>
      <c r="S101" s="57" t="e">
        <f>'Summary Data'!S98*P$3</f>
        <v>#VALUE!</v>
      </c>
      <c r="T101" s="57" t="e">
        <f>(_xlfn.XLOOKUP(A101,'Round 1 Points'!$A$10:$A$144,'Round 1 Points'!$T$10:$T$144,0)+_xlfn.XLOOKUP(A101,'Round 2 Points'!$A$10:$A$146,'Round 2 Points'!$T$10:$T$146,0)+_xlfn.XLOOKUP(A101,'Round 3 Points'!$A$10:$A$145,'Round 3 Points'!$T$10:$T$145,0)+_xlfn.XLOOKUP(A101,'Round 4 Points'!$A$10:$A$147,'Round 4 Points'!$T$10:$T$147,0))/D101</f>
        <v>#VALUE!</v>
      </c>
      <c r="U101" s="57" t="e">
        <f>'Summary Data'!T98*Q$3</f>
        <v>#VALUE!</v>
      </c>
      <c r="V101" s="57">
        <f>(_xlfn.XLOOKUP(A101,'Round 1 Points'!$A$10:$A$144,'Round 1 Points'!$V$10:$V$144,0)+_xlfn.XLOOKUP(A101,'Round 2 Points'!$A$10:$A$146,'Round 2 Points'!$V$10:$V$146,0)+_xlfn.XLOOKUP(A101,'Round 3 Points'!$A$10:$A$145,'Round 3 Points'!$V$10:$V$145,0)+_xlfn.XLOOKUP(A101,'Round 4 Points'!$A$10:$A$147,'Round 4 Points'!$V$10:$V$147,0))</f>
        <v>0</v>
      </c>
      <c r="W101" s="72" t="e">
        <f t="shared" si="1"/>
        <v>#VALUE!</v>
      </c>
    </row>
    <row r="102" spans="1:23" ht="16" thickBot="1" x14ac:dyDescent="0.25">
      <c r="A102" s="61" t="s">
        <v>107</v>
      </c>
      <c r="B102" t="s">
        <v>192</v>
      </c>
      <c r="C102" t="s">
        <v>194</v>
      </c>
      <c r="D102" t="e">
        <f>'Summary Data'!D99</f>
        <v>#VALUE!</v>
      </c>
      <c r="E102" s="57" t="e">
        <f>'Summary Data'!E99</f>
        <v>#VALUE!</v>
      </c>
      <c r="F102" s="57" t="e">
        <f>'Summary Data'!F99*C$3</f>
        <v>#VALUE!</v>
      </c>
      <c r="G102" s="57" t="e">
        <f>'Summary Data'!G99*D$3</f>
        <v>#VALUE!</v>
      </c>
      <c r="H102" s="57" t="e">
        <f>'Summary Data'!H99*E$3</f>
        <v>#VALUE!</v>
      </c>
      <c r="I102" s="57" t="e">
        <f>'Summary Data'!I99*F$3</f>
        <v>#VALUE!</v>
      </c>
      <c r="J102" s="57" t="e">
        <f>'Summary Data'!J99*G$3</f>
        <v>#VALUE!</v>
      </c>
      <c r="K102" s="57" t="e">
        <f>'Summary Data'!K99*H$3</f>
        <v>#VALUE!</v>
      </c>
      <c r="L102" s="57" t="e">
        <f>'Summary Data'!L99*I$3</f>
        <v>#VALUE!</v>
      </c>
      <c r="M102" s="57" t="e">
        <f>'Summary Data'!M99*J$3</f>
        <v>#VALUE!</v>
      </c>
      <c r="N102" s="57" t="e">
        <f>'Summary Data'!N99*K$3</f>
        <v>#VALUE!</v>
      </c>
      <c r="O102" s="57" t="e">
        <f>'Summary Data'!O99*L$3</f>
        <v>#VALUE!</v>
      </c>
      <c r="P102" s="57" t="e">
        <f>'Summary Data'!P99*M$3</f>
        <v>#VALUE!</v>
      </c>
      <c r="Q102" s="57" t="e">
        <f>'Summary Data'!Q99*N$3</f>
        <v>#VALUE!</v>
      </c>
      <c r="R102" s="57" t="e">
        <f>'Summary Data'!R99*O$3</f>
        <v>#VALUE!</v>
      </c>
      <c r="S102" s="57" t="e">
        <f>'Summary Data'!S99*P$3</f>
        <v>#VALUE!</v>
      </c>
      <c r="T102" s="57" t="e">
        <f>(_xlfn.XLOOKUP(A102,'Round 1 Points'!$A$10:$A$144,'Round 1 Points'!$T$10:$T$144,0)+_xlfn.XLOOKUP(A102,'Round 2 Points'!$A$10:$A$146,'Round 2 Points'!$T$10:$T$146,0)+_xlfn.XLOOKUP(A102,'Round 3 Points'!$A$10:$A$145,'Round 3 Points'!$T$10:$T$145,0)+_xlfn.XLOOKUP(A102,'Round 4 Points'!$A$10:$A$147,'Round 4 Points'!$T$10:$T$147,0))/D102</f>
        <v>#VALUE!</v>
      </c>
      <c r="U102" s="57" t="e">
        <f>'Summary Data'!T99*Q$3</f>
        <v>#VALUE!</v>
      </c>
      <c r="V102" s="57">
        <f>(_xlfn.XLOOKUP(A102,'Round 1 Points'!$A$10:$A$144,'Round 1 Points'!$V$10:$V$144,0)+_xlfn.XLOOKUP(A102,'Round 2 Points'!$A$10:$A$146,'Round 2 Points'!$V$10:$V$146,0)+_xlfn.XLOOKUP(A102,'Round 3 Points'!$A$10:$A$145,'Round 3 Points'!$V$10:$V$145,0)+_xlfn.XLOOKUP(A102,'Round 4 Points'!$A$10:$A$147,'Round 4 Points'!$V$10:$V$147,0))</f>
        <v>0</v>
      </c>
      <c r="W102" s="72" t="e">
        <f t="shared" si="1"/>
        <v>#VALUE!</v>
      </c>
    </row>
    <row r="103" spans="1:23" ht="16" thickBot="1" x14ac:dyDescent="0.25">
      <c r="A103" s="63" t="s">
        <v>108</v>
      </c>
      <c r="B103" t="s">
        <v>192</v>
      </c>
      <c r="C103" t="s">
        <v>195</v>
      </c>
      <c r="D103" t="e">
        <f>'Summary Data'!D100</f>
        <v>#VALUE!</v>
      </c>
      <c r="E103" s="57" t="e">
        <f>'Summary Data'!E100</f>
        <v>#VALUE!</v>
      </c>
      <c r="F103" s="57" t="e">
        <f>'Summary Data'!F100*C$3</f>
        <v>#VALUE!</v>
      </c>
      <c r="G103" s="57" t="e">
        <f>'Summary Data'!G100*D$3</f>
        <v>#VALUE!</v>
      </c>
      <c r="H103" s="57" t="e">
        <f>'Summary Data'!H100*E$3</f>
        <v>#VALUE!</v>
      </c>
      <c r="I103" s="57" t="e">
        <f>'Summary Data'!I100*F$3</f>
        <v>#VALUE!</v>
      </c>
      <c r="J103" s="57" t="e">
        <f>'Summary Data'!J100*G$3</f>
        <v>#VALUE!</v>
      </c>
      <c r="K103" s="57" t="e">
        <f>'Summary Data'!K100*H$3</f>
        <v>#VALUE!</v>
      </c>
      <c r="L103" s="57" t="e">
        <f>'Summary Data'!L100*I$3</f>
        <v>#VALUE!</v>
      </c>
      <c r="M103" s="57" t="e">
        <f>'Summary Data'!M100*J$3</f>
        <v>#VALUE!</v>
      </c>
      <c r="N103" s="57" t="e">
        <f>'Summary Data'!N100*K$3</f>
        <v>#VALUE!</v>
      </c>
      <c r="O103" s="57" t="e">
        <f>'Summary Data'!O100*L$3</f>
        <v>#VALUE!</v>
      </c>
      <c r="P103" s="57" t="e">
        <f>'Summary Data'!P100*M$3</f>
        <v>#VALUE!</v>
      </c>
      <c r="Q103" s="57" t="e">
        <f>'Summary Data'!Q100*N$3</f>
        <v>#VALUE!</v>
      </c>
      <c r="R103" s="57" t="e">
        <f>'Summary Data'!R100*O$3</f>
        <v>#VALUE!</v>
      </c>
      <c r="S103" s="57" t="e">
        <f>'Summary Data'!S100*P$3</f>
        <v>#VALUE!</v>
      </c>
      <c r="T103" s="57" t="e">
        <f>(_xlfn.XLOOKUP(A103,'Round 1 Points'!$A$10:$A$144,'Round 1 Points'!$T$10:$T$144,0)+_xlfn.XLOOKUP(A103,'Round 2 Points'!$A$10:$A$146,'Round 2 Points'!$T$10:$T$146,0)+_xlfn.XLOOKUP(A103,'Round 3 Points'!$A$10:$A$145,'Round 3 Points'!$T$10:$T$145,0)+_xlfn.XLOOKUP(A103,'Round 4 Points'!$A$10:$A$147,'Round 4 Points'!$T$10:$T$147,0))/D103</f>
        <v>#VALUE!</v>
      </c>
      <c r="U103" s="57" t="e">
        <f>'Summary Data'!T100*Q$3</f>
        <v>#VALUE!</v>
      </c>
      <c r="V103" s="57">
        <f>(_xlfn.XLOOKUP(A103,'Round 1 Points'!$A$10:$A$144,'Round 1 Points'!$V$10:$V$144,0)+_xlfn.XLOOKUP(A103,'Round 2 Points'!$A$10:$A$146,'Round 2 Points'!$V$10:$V$146,0)+_xlfn.XLOOKUP(A103,'Round 3 Points'!$A$10:$A$145,'Round 3 Points'!$V$10:$V$145,0)+_xlfn.XLOOKUP(A103,'Round 4 Points'!$A$10:$A$147,'Round 4 Points'!$V$10:$V$147,0))</f>
        <v>0</v>
      </c>
      <c r="W103" s="72" t="e">
        <f t="shared" si="1"/>
        <v>#VALUE!</v>
      </c>
    </row>
    <row r="104" spans="1:23" ht="16" thickBot="1" x14ac:dyDescent="0.25">
      <c r="A104" s="61" t="s">
        <v>109</v>
      </c>
      <c r="B104" t="s">
        <v>192</v>
      </c>
      <c r="C104" t="s">
        <v>195</v>
      </c>
      <c r="D104" t="e">
        <f>'Summary Data'!D101</f>
        <v>#VALUE!</v>
      </c>
      <c r="E104" s="57" t="e">
        <f>'Summary Data'!E101</f>
        <v>#VALUE!</v>
      </c>
      <c r="F104" s="57" t="e">
        <f>'Summary Data'!F101*C$3</f>
        <v>#VALUE!</v>
      </c>
      <c r="G104" s="57" t="e">
        <f>'Summary Data'!G101*D$3</f>
        <v>#VALUE!</v>
      </c>
      <c r="H104" s="57" t="e">
        <f>'Summary Data'!H101*E$3</f>
        <v>#VALUE!</v>
      </c>
      <c r="I104" s="57" t="e">
        <f>'Summary Data'!I101*F$3</f>
        <v>#VALUE!</v>
      </c>
      <c r="J104" s="57" t="e">
        <f>'Summary Data'!J101*G$3</f>
        <v>#VALUE!</v>
      </c>
      <c r="K104" s="57" t="e">
        <f>'Summary Data'!K101*H$3</f>
        <v>#VALUE!</v>
      </c>
      <c r="L104" s="57" t="e">
        <f>'Summary Data'!L101*I$3</f>
        <v>#VALUE!</v>
      </c>
      <c r="M104" s="57" t="e">
        <f>'Summary Data'!M101*J$3</f>
        <v>#VALUE!</v>
      </c>
      <c r="N104" s="57" t="e">
        <f>'Summary Data'!N101*K$3</f>
        <v>#VALUE!</v>
      </c>
      <c r="O104" s="57" t="e">
        <f>'Summary Data'!O101*L$3</f>
        <v>#VALUE!</v>
      </c>
      <c r="P104" s="57" t="e">
        <f>'Summary Data'!P101*M$3</f>
        <v>#VALUE!</v>
      </c>
      <c r="Q104" s="57" t="e">
        <f>'Summary Data'!Q101*N$3</f>
        <v>#VALUE!</v>
      </c>
      <c r="R104" s="57" t="e">
        <f>'Summary Data'!R101*O$3</f>
        <v>#VALUE!</v>
      </c>
      <c r="S104" s="57" t="e">
        <f>'Summary Data'!S101*P$3</f>
        <v>#VALUE!</v>
      </c>
      <c r="T104" s="57" t="e">
        <f>(_xlfn.XLOOKUP(A104,'Round 1 Points'!$A$10:$A$144,'Round 1 Points'!$T$10:$T$144,0)+_xlfn.XLOOKUP(A104,'Round 2 Points'!$A$10:$A$146,'Round 2 Points'!$T$10:$T$146,0)+_xlfn.XLOOKUP(A104,'Round 3 Points'!$A$10:$A$145,'Round 3 Points'!$T$10:$T$145,0)+_xlfn.XLOOKUP(A104,'Round 4 Points'!$A$10:$A$147,'Round 4 Points'!$T$10:$T$147,0))/D104</f>
        <v>#VALUE!</v>
      </c>
      <c r="U104" s="57" t="e">
        <f>'Summary Data'!T101*Q$3</f>
        <v>#VALUE!</v>
      </c>
      <c r="V104" s="57">
        <f>(_xlfn.XLOOKUP(A104,'Round 1 Points'!$A$10:$A$144,'Round 1 Points'!$V$10:$V$144,0)+_xlfn.XLOOKUP(A104,'Round 2 Points'!$A$10:$A$146,'Round 2 Points'!$V$10:$V$146,0)+_xlfn.XLOOKUP(A104,'Round 3 Points'!$A$10:$A$145,'Round 3 Points'!$V$10:$V$145,0)+_xlfn.XLOOKUP(A104,'Round 4 Points'!$A$10:$A$147,'Round 4 Points'!$V$10:$V$147,0))</f>
        <v>0</v>
      </c>
      <c r="W104" s="72" t="e">
        <f t="shared" si="1"/>
        <v>#VALUE!</v>
      </c>
    </row>
    <row r="105" spans="1:23" ht="16" thickBot="1" x14ac:dyDescent="0.25">
      <c r="A105" s="63" t="s">
        <v>110</v>
      </c>
      <c r="B105" t="s">
        <v>192</v>
      </c>
      <c r="C105" t="s">
        <v>196</v>
      </c>
      <c r="D105" t="e">
        <f>'Summary Data'!D102</f>
        <v>#VALUE!</v>
      </c>
      <c r="E105" s="57" t="e">
        <f>'Summary Data'!E102</f>
        <v>#VALUE!</v>
      </c>
      <c r="F105" s="57" t="e">
        <f>'Summary Data'!F102*C$3</f>
        <v>#VALUE!</v>
      </c>
      <c r="G105" s="57" t="e">
        <f>'Summary Data'!G102*D$3</f>
        <v>#VALUE!</v>
      </c>
      <c r="H105" s="57" t="e">
        <f>'Summary Data'!H102*E$3</f>
        <v>#VALUE!</v>
      </c>
      <c r="I105" s="57" t="e">
        <f>'Summary Data'!I102*F$3</f>
        <v>#VALUE!</v>
      </c>
      <c r="J105" s="57" t="e">
        <f>'Summary Data'!J102*G$3</f>
        <v>#VALUE!</v>
      </c>
      <c r="K105" s="57" t="e">
        <f>'Summary Data'!K102*H$3</f>
        <v>#VALUE!</v>
      </c>
      <c r="L105" s="57" t="e">
        <f>'Summary Data'!L102*I$3</f>
        <v>#VALUE!</v>
      </c>
      <c r="M105" s="57" t="e">
        <f>'Summary Data'!M102*J$3</f>
        <v>#VALUE!</v>
      </c>
      <c r="N105" s="57" t="e">
        <f>'Summary Data'!N102*K$3</f>
        <v>#VALUE!</v>
      </c>
      <c r="O105" s="57" t="e">
        <f>'Summary Data'!O102*L$3</f>
        <v>#VALUE!</v>
      </c>
      <c r="P105" s="57" t="e">
        <f>'Summary Data'!P102*M$3</f>
        <v>#VALUE!</v>
      </c>
      <c r="Q105" s="57" t="e">
        <f>'Summary Data'!Q102*N$3</f>
        <v>#VALUE!</v>
      </c>
      <c r="R105" s="57" t="e">
        <f>'Summary Data'!R102*O$3</f>
        <v>#VALUE!</v>
      </c>
      <c r="S105" s="57" t="e">
        <f>'Summary Data'!S102*P$3</f>
        <v>#VALUE!</v>
      </c>
      <c r="T105" s="57" t="e">
        <f>(_xlfn.XLOOKUP(A105,'Round 1 Points'!$A$10:$A$144,'Round 1 Points'!$T$10:$T$144,0)+_xlfn.XLOOKUP(A105,'Round 2 Points'!$A$10:$A$146,'Round 2 Points'!$T$10:$T$146,0)+_xlfn.XLOOKUP(A105,'Round 3 Points'!$A$10:$A$145,'Round 3 Points'!$T$10:$T$145,0)+_xlfn.XLOOKUP(A105,'Round 4 Points'!$A$10:$A$147,'Round 4 Points'!$T$10:$T$147,0))/D105</f>
        <v>#VALUE!</v>
      </c>
      <c r="U105" s="57" t="e">
        <f>'Summary Data'!T102*Q$3</f>
        <v>#VALUE!</v>
      </c>
      <c r="V105" s="57">
        <f>(_xlfn.XLOOKUP(A105,'Round 1 Points'!$A$10:$A$144,'Round 1 Points'!$V$10:$V$144,0)+_xlfn.XLOOKUP(A105,'Round 2 Points'!$A$10:$A$146,'Round 2 Points'!$V$10:$V$146,0)+_xlfn.XLOOKUP(A105,'Round 3 Points'!$A$10:$A$145,'Round 3 Points'!$V$10:$V$145,0)+_xlfn.XLOOKUP(A105,'Round 4 Points'!$A$10:$A$147,'Round 4 Points'!$V$10:$V$147,0))</f>
        <v>0</v>
      </c>
      <c r="W105" s="72" t="e">
        <f t="shared" si="1"/>
        <v>#VALUE!</v>
      </c>
    </row>
    <row r="106" spans="1:23" ht="16" thickBot="1" x14ac:dyDescent="0.25">
      <c r="A106" s="61" t="s">
        <v>111</v>
      </c>
      <c r="B106" t="s">
        <v>192</v>
      </c>
      <c r="C106" t="s">
        <v>197</v>
      </c>
      <c r="D106" t="e">
        <f>'Summary Data'!D103</f>
        <v>#VALUE!</v>
      </c>
      <c r="E106" s="57" t="e">
        <f>'Summary Data'!E103</f>
        <v>#VALUE!</v>
      </c>
      <c r="F106" s="57" t="e">
        <f>'Summary Data'!F103*C$3</f>
        <v>#VALUE!</v>
      </c>
      <c r="G106" s="57" t="e">
        <f>'Summary Data'!G103*D$3</f>
        <v>#VALUE!</v>
      </c>
      <c r="H106" s="57" t="e">
        <f>'Summary Data'!H103*E$3</f>
        <v>#VALUE!</v>
      </c>
      <c r="I106" s="57" t="e">
        <f>'Summary Data'!I103*F$3</f>
        <v>#VALUE!</v>
      </c>
      <c r="J106" s="57" t="e">
        <f>'Summary Data'!J103*G$3</f>
        <v>#VALUE!</v>
      </c>
      <c r="K106" s="57" t="e">
        <f>'Summary Data'!K103*H$3</f>
        <v>#VALUE!</v>
      </c>
      <c r="L106" s="57" t="e">
        <f>'Summary Data'!L103*I$3</f>
        <v>#VALUE!</v>
      </c>
      <c r="M106" s="57" t="e">
        <f>'Summary Data'!M103*J$3</f>
        <v>#VALUE!</v>
      </c>
      <c r="N106" s="57" t="e">
        <f>'Summary Data'!N103*K$3</f>
        <v>#VALUE!</v>
      </c>
      <c r="O106" s="57" t="e">
        <f>'Summary Data'!O103*L$3</f>
        <v>#VALUE!</v>
      </c>
      <c r="P106" s="57" t="e">
        <f>'Summary Data'!P103*M$3</f>
        <v>#VALUE!</v>
      </c>
      <c r="Q106" s="57" t="e">
        <f>'Summary Data'!Q103*N$3</f>
        <v>#VALUE!</v>
      </c>
      <c r="R106" s="57" t="e">
        <f>'Summary Data'!R103*O$3</f>
        <v>#VALUE!</v>
      </c>
      <c r="S106" s="57" t="e">
        <f>'Summary Data'!S103*P$3</f>
        <v>#VALUE!</v>
      </c>
      <c r="T106" s="57" t="e">
        <f>(_xlfn.XLOOKUP(A106,'Round 1 Points'!$A$10:$A$144,'Round 1 Points'!$T$10:$T$144,0)+_xlfn.XLOOKUP(A106,'Round 2 Points'!$A$10:$A$146,'Round 2 Points'!$T$10:$T$146,0)+_xlfn.XLOOKUP(A106,'Round 3 Points'!$A$10:$A$145,'Round 3 Points'!$T$10:$T$145,0)+_xlfn.XLOOKUP(A106,'Round 4 Points'!$A$10:$A$147,'Round 4 Points'!$T$10:$T$147,0))/D106</f>
        <v>#VALUE!</v>
      </c>
      <c r="U106" s="57" t="e">
        <f>'Summary Data'!T103*Q$3</f>
        <v>#VALUE!</v>
      </c>
      <c r="V106" s="57">
        <f>(_xlfn.XLOOKUP(A106,'Round 1 Points'!$A$10:$A$144,'Round 1 Points'!$V$10:$V$144,0)+_xlfn.XLOOKUP(A106,'Round 2 Points'!$A$10:$A$146,'Round 2 Points'!$V$10:$V$146,0)+_xlfn.XLOOKUP(A106,'Round 3 Points'!$A$10:$A$145,'Round 3 Points'!$V$10:$V$145,0)+_xlfn.XLOOKUP(A106,'Round 4 Points'!$A$10:$A$147,'Round 4 Points'!$V$10:$V$147,0))</f>
        <v>0</v>
      </c>
      <c r="W106" s="72" t="e">
        <f t="shared" si="1"/>
        <v>#VALUE!</v>
      </c>
    </row>
    <row r="107" spans="1:23" ht="16" thickBot="1" x14ac:dyDescent="0.25">
      <c r="A107" s="63" t="s">
        <v>112</v>
      </c>
      <c r="B107" t="s">
        <v>192</v>
      </c>
      <c r="C107" t="s">
        <v>198</v>
      </c>
      <c r="D107" t="e">
        <f>'Summary Data'!D104</f>
        <v>#VALUE!</v>
      </c>
      <c r="E107" s="57" t="e">
        <f>'Summary Data'!E104</f>
        <v>#VALUE!</v>
      </c>
      <c r="F107" s="57" t="e">
        <f>'Summary Data'!F104*C$3</f>
        <v>#VALUE!</v>
      </c>
      <c r="G107" s="57" t="e">
        <f>'Summary Data'!G104*D$3</f>
        <v>#VALUE!</v>
      </c>
      <c r="H107" s="57" t="e">
        <f>'Summary Data'!H104*E$3</f>
        <v>#VALUE!</v>
      </c>
      <c r="I107" s="57" t="e">
        <f>'Summary Data'!I104*F$3</f>
        <v>#VALUE!</v>
      </c>
      <c r="J107" s="57" t="e">
        <f>'Summary Data'!J104*G$3</f>
        <v>#VALUE!</v>
      </c>
      <c r="K107" s="57" t="e">
        <f>'Summary Data'!K104*H$3</f>
        <v>#VALUE!</v>
      </c>
      <c r="L107" s="57" t="e">
        <f>'Summary Data'!L104*I$3</f>
        <v>#VALUE!</v>
      </c>
      <c r="M107" s="57" t="e">
        <f>'Summary Data'!M104*J$3</f>
        <v>#VALUE!</v>
      </c>
      <c r="N107" s="57" t="e">
        <f>'Summary Data'!N104*K$3</f>
        <v>#VALUE!</v>
      </c>
      <c r="O107" s="57" t="e">
        <f>'Summary Data'!O104*L$3</f>
        <v>#VALUE!</v>
      </c>
      <c r="P107" s="57" t="e">
        <f>'Summary Data'!P104*M$3</f>
        <v>#VALUE!</v>
      </c>
      <c r="Q107" s="57" t="e">
        <f>'Summary Data'!Q104*N$3</f>
        <v>#VALUE!</v>
      </c>
      <c r="R107" s="57" t="e">
        <f>'Summary Data'!R104*O$3</f>
        <v>#VALUE!</v>
      </c>
      <c r="S107" s="57" t="e">
        <f>'Summary Data'!S104*P$3</f>
        <v>#VALUE!</v>
      </c>
      <c r="T107" s="57" t="e">
        <f>(_xlfn.XLOOKUP(A107,'Round 1 Points'!$A$10:$A$144,'Round 1 Points'!$T$10:$T$144,0)+_xlfn.XLOOKUP(A107,'Round 2 Points'!$A$10:$A$146,'Round 2 Points'!$T$10:$T$146,0)+_xlfn.XLOOKUP(A107,'Round 3 Points'!$A$10:$A$145,'Round 3 Points'!$T$10:$T$145,0)+_xlfn.XLOOKUP(A107,'Round 4 Points'!$A$10:$A$147,'Round 4 Points'!$T$10:$T$147,0))/D107</f>
        <v>#VALUE!</v>
      </c>
      <c r="U107" s="57" t="e">
        <f>'Summary Data'!T104*Q$3</f>
        <v>#VALUE!</v>
      </c>
      <c r="V107" s="57">
        <f>(_xlfn.XLOOKUP(A107,'Round 1 Points'!$A$10:$A$144,'Round 1 Points'!$V$10:$V$144,0)+_xlfn.XLOOKUP(A107,'Round 2 Points'!$A$10:$A$146,'Round 2 Points'!$V$10:$V$146,0)+_xlfn.XLOOKUP(A107,'Round 3 Points'!$A$10:$A$145,'Round 3 Points'!$V$10:$V$145,0)+_xlfn.XLOOKUP(A107,'Round 4 Points'!$A$10:$A$147,'Round 4 Points'!$V$10:$V$147,0))</f>
        <v>0</v>
      </c>
      <c r="W107" s="72" t="e">
        <f t="shared" si="1"/>
        <v>#VALUE!</v>
      </c>
    </row>
    <row r="108" spans="1:23" ht="16" thickBot="1" x14ac:dyDescent="0.25">
      <c r="A108" s="61" t="s">
        <v>113</v>
      </c>
      <c r="B108" t="s">
        <v>192</v>
      </c>
      <c r="C108" t="s">
        <v>198</v>
      </c>
      <c r="D108" t="e">
        <f>'Summary Data'!D105</f>
        <v>#VALUE!</v>
      </c>
      <c r="E108" s="57" t="e">
        <f>'Summary Data'!E105</f>
        <v>#VALUE!</v>
      </c>
      <c r="F108" s="57" t="e">
        <f>'Summary Data'!F105*C$3</f>
        <v>#VALUE!</v>
      </c>
      <c r="G108" s="57" t="e">
        <f>'Summary Data'!G105*D$3</f>
        <v>#VALUE!</v>
      </c>
      <c r="H108" s="57" t="e">
        <f>'Summary Data'!H105*E$3</f>
        <v>#VALUE!</v>
      </c>
      <c r="I108" s="57" t="e">
        <f>'Summary Data'!I105*F$3</f>
        <v>#VALUE!</v>
      </c>
      <c r="J108" s="57" t="e">
        <f>'Summary Data'!J105*G$3</f>
        <v>#VALUE!</v>
      </c>
      <c r="K108" s="57" t="e">
        <f>'Summary Data'!K105*H$3</f>
        <v>#VALUE!</v>
      </c>
      <c r="L108" s="57" t="e">
        <f>'Summary Data'!L105*I$3</f>
        <v>#VALUE!</v>
      </c>
      <c r="M108" s="57" t="e">
        <f>'Summary Data'!M105*J$3</f>
        <v>#VALUE!</v>
      </c>
      <c r="N108" s="57" t="e">
        <f>'Summary Data'!N105*K$3</f>
        <v>#VALUE!</v>
      </c>
      <c r="O108" s="57" t="e">
        <f>'Summary Data'!O105*L$3</f>
        <v>#VALUE!</v>
      </c>
      <c r="P108" s="57" t="e">
        <f>'Summary Data'!P105*M$3</f>
        <v>#VALUE!</v>
      </c>
      <c r="Q108" s="57" t="e">
        <f>'Summary Data'!Q105*N$3</f>
        <v>#VALUE!</v>
      </c>
      <c r="R108" s="57" t="e">
        <f>'Summary Data'!R105*O$3</f>
        <v>#VALUE!</v>
      </c>
      <c r="S108" s="57" t="e">
        <f>'Summary Data'!S105*P$3</f>
        <v>#VALUE!</v>
      </c>
      <c r="T108" s="57" t="e">
        <f>(_xlfn.XLOOKUP(A108,'Round 1 Points'!$A$10:$A$144,'Round 1 Points'!$T$10:$T$144,0)+_xlfn.XLOOKUP(A108,'Round 2 Points'!$A$10:$A$146,'Round 2 Points'!$T$10:$T$146,0)+_xlfn.XLOOKUP(A108,'Round 3 Points'!$A$10:$A$145,'Round 3 Points'!$T$10:$T$145,0)+_xlfn.XLOOKUP(A108,'Round 4 Points'!$A$10:$A$147,'Round 4 Points'!$T$10:$T$147,0))/D108</f>
        <v>#VALUE!</v>
      </c>
      <c r="U108" s="57" t="e">
        <f>'Summary Data'!T105*Q$3</f>
        <v>#VALUE!</v>
      </c>
      <c r="V108" s="57">
        <f>(_xlfn.XLOOKUP(A108,'Round 1 Points'!$A$10:$A$144,'Round 1 Points'!$V$10:$V$144,0)+_xlfn.XLOOKUP(A108,'Round 2 Points'!$A$10:$A$146,'Round 2 Points'!$V$10:$V$146,0)+_xlfn.XLOOKUP(A108,'Round 3 Points'!$A$10:$A$145,'Round 3 Points'!$V$10:$V$145,0)+_xlfn.XLOOKUP(A108,'Round 4 Points'!$A$10:$A$147,'Round 4 Points'!$V$10:$V$147,0))</f>
        <v>0</v>
      </c>
      <c r="W108" s="72" t="e">
        <f t="shared" si="1"/>
        <v>#VALUE!</v>
      </c>
    </row>
    <row r="109" spans="1:23" ht="16" thickBot="1" x14ac:dyDescent="0.25">
      <c r="A109" s="63" t="s">
        <v>114</v>
      </c>
      <c r="B109" t="s">
        <v>192</v>
      </c>
      <c r="C109" t="s">
        <v>198</v>
      </c>
      <c r="D109" t="e">
        <f>'Summary Data'!D106</f>
        <v>#VALUE!</v>
      </c>
      <c r="E109" s="57" t="e">
        <f>'Summary Data'!E106</f>
        <v>#VALUE!</v>
      </c>
      <c r="F109" s="57" t="e">
        <f>'Summary Data'!F106*C$3</f>
        <v>#VALUE!</v>
      </c>
      <c r="G109" s="57" t="e">
        <f>'Summary Data'!G106*D$3</f>
        <v>#VALUE!</v>
      </c>
      <c r="H109" s="57" t="e">
        <f>'Summary Data'!H106*E$3</f>
        <v>#VALUE!</v>
      </c>
      <c r="I109" s="57" t="e">
        <f>'Summary Data'!I106*F$3</f>
        <v>#VALUE!</v>
      </c>
      <c r="J109" s="57" t="e">
        <f>'Summary Data'!J106*G$3</f>
        <v>#VALUE!</v>
      </c>
      <c r="K109" s="57" t="e">
        <f>'Summary Data'!K106*H$3</f>
        <v>#VALUE!</v>
      </c>
      <c r="L109" s="57" t="e">
        <f>'Summary Data'!L106*I$3</f>
        <v>#VALUE!</v>
      </c>
      <c r="M109" s="57" t="e">
        <f>'Summary Data'!M106*J$3</f>
        <v>#VALUE!</v>
      </c>
      <c r="N109" s="57" t="e">
        <f>'Summary Data'!N106*K$3</f>
        <v>#VALUE!</v>
      </c>
      <c r="O109" s="57" t="e">
        <f>'Summary Data'!O106*L$3</f>
        <v>#VALUE!</v>
      </c>
      <c r="P109" s="57" t="e">
        <f>'Summary Data'!P106*M$3</f>
        <v>#VALUE!</v>
      </c>
      <c r="Q109" s="57" t="e">
        <f>'Summary Data'!Q106*N$3</f>
        <v>#VALUE!</v>
      </c>
      <c r="R109" s="57" t="e">
        <f>'Summary Data'!R106*O$3</f>
        <v>#VALUE!</v>
      </c>
      <c r="S109" s="57" t="e">
        <f>'Summary Data'!S106*P$3</f>
        <v>#VALUE!</v>
      </c>
      <c r="T109" s="57" t="e">
        <f>(_xlfn.XLOOKUP(A109,'Round 1 Points'!$A$10:$A$144,'Round 1 Points'!$T$10:$T$144,0)+_xlfn.XLOOKUP(A109,'Round 2 Points'!$A$10:$A$146,'Round 2 Points'!$T$10:$T$146,0)+_xlfn.XLOOKUP(A109,'Round 3 Points'!$A$10:$A$145,'Round 3 Points'!$T$10:$T$145,0)+_xlfn.XLOOKUP(A109,'Round 4 Points'!$A$10:$A$147,'Round 4 Points'!$T$10:$T$147,0))/D109</f>
        <v>#VALUE!</v>
      </c>
      <c r="U109" s="57" t="e">
        <f>'Summary Data'!T106*Q$3</f>
        <v>#VALUE!</v>
      </c>
      <c r="V109" s="57">
        <f>(_xlfn.XLOOKUP(A109,'Round 1 Points'!$A$10:$A$144,'Round 1 Points'!$V$10:$V$144,0)+_xlfn.XLOOKUP(A109,'Round 2 Points'!$A$10:$A$146,'Round 2 Points'!$V$10:$V$146,0)+_xlfn.XLOOKUP(A109,'Round 3 Points'!$A$10:$A$145,'Round 3 Points'!$V$10:$V$145,0)+_xlfn.XLOOKUP(A109,'Round 4 Points'!$A$10:$A$147,'Round 4 Points'!$V$10:$V$147,0))</f>
        <v>0</v>
      </c>
      <c r="W109" s="72" t="e">
        <f t="shared" si="1"/>
        <v>#VALUE!</v>
      </c>
    </row>
    <row r="110" spans="1:23" ht="16" thickBot="1" x14ac:dyDescent="0.25">
      <c r="A110" s="61" t="s">
        <v>154</v>
      </c>
      <c r="B110" t="s">
        <v>192</v>
      </c>
      <c r="C110" t="s">
        <v>198</v>
      </c>
      <c r="D110" t="e">
        <f>'Summary Data'!D107</f>
        <v>#VALUE!</v>
      </c>
      <c r="E110" s="57" t="e">
        <f>'Summary Data'!E107</f>
        <v>#VALUE!</v>
      </c>
      <c r="F110" s="57" t="e">
        <f>'Summary Data'!F107*C$3</f>
        <v>#VALUE!</v>
      </c>
      <c r="G110" s="57" t="e">
        <f>'Summary Data'!G107*D$3</f>
        <v>#VALUE!</v>
      </c>
      <c r="H110" s="57" t="e">
        <f>'Summary Data'!H107*E$3</f>
        <v>#VALUE!</v>
      </c>
      <c r="I110" s="57" t="e">
        <f>'Summary Data'!I107*F$3</f>
        <v>#VALUE!</v>
      </c>
      <c r="J110" s="57" t="e">
        <f>'Summary Data'!J107*G$3</f>
        <v>#VALUE!</v>
      </c>
      <c r="K110" s="57" t="e">
        <f>'Summary Data'!K107*H$3</f>
        <v>#VALUE!</v>
      </c>
      <c r="L110" s="57" t="e">
        <f>'Summary Data'!L107*I$3</f>
        <v>#VALUE!</v>
      </c>
      <c r="M110" s="57" t="e">
        <f>'Summary Data'!M107*J$3</f>
        <v>#VALUE!</v>
      </c>
      <c r="N110" s="57" t="e">
        <f>'Summary Data'!N107*K$3</f>
        <v>#VALUE!</v>
      </c>
      <c r="O110" s="57" t="e">
        <f>'Summary Data'!O107*L$3</f>
        <v>#VALUE!</v>
      </c>
      <c r="P110" s="57" t="e">
        <f>'Summary Data'!P107*M$3</f>
        <v>#VALUE!</v>
      </c>
      <c r="Q110" s="57" t="e">
        <f>'Summary Data'!Q107*N$3</f>
        <v>#VALUE!</v>
      </c>
      <c r="R110" s="57" t="e">
        <f>'Summary Data'!R107*O$3</f>
        <v>#VALUE!</v>
      </c>
      <c r="S110" s="57" t="e">
        <f>'Summary Data'!S107*P$3</f>
        <v>#VALUE!</v>
      </c>
      <c r="T110" s="57" t="e">
        <f>(_xlfn.XLOOKUP(A110,'Round 1 Points'!$A$10:$A$144,'Round 1 Points'!$T$10:$T$144,0)+_xlfn.XLOOKUP(A110,'Round 2 Points'!$A$10:$A$146,'Round 2 Points'!$T$10:$T$146,0)+_xlfn.XLOOKUP(A110,'Round 3 Points'!$A$10:$A$145,'Round 3 Points'!$T$10:$T$145,0)+_xlfn.XLOOKUP(A110,'Round 4 Points'!$A$10:$A$147,'Round 4 Points'!$T$10:$T$147,0))/D110</f>
        <v>#VALUE!</v>
      </c>
      <c r="U110" s="57" t="e">
        <f>'Summary Data'!T107*Q$3</f>
        <v>#VALUE!</v>
      </c>
      <c r="V110" s="57">
        <f>(_xlfn.XLOOKUP(A110,'Round 1 Points'!$A$10:$A$144,'Round 1 Points'!$V$10:$V$144,0)+_xlfn.XLOOKUP(A110,'Round 2 Points'!$A$10:$A$146,'Round 2 Points'!$V$10:$V$146,0)+_xlfn.XLOOKUP(A110,'Round 3 Points'!$A$10:$A$145,'Round 3 Points'!$V$10:$V$145,0)+_xlfn.XLOOKUP(A110,'Round 4 Points'!$A$10:$A$147,'Round 4 Points'!$V$10:$V$147,0))</f>
        <v>0</v>
      </c>
      <c r="W110" s="72" t="e">
        <f t="shared" si="1"/>
        <v>#VALUE!</v>
      </c>
    </row>
    <row r="111" spans="1:23" ht="16" thickBot="1" x14ac:dyDescent="0.25">
      <c r="A111" s="63" t="s">
        <v>117</v>
      </c>
      <c r="B111" t="s">
        <v>192</v>
      </c>
      <c r="C111" t="s">
        <v>199</v>
      </c>
      <c r="D111" t="e">
        <f>'Summary Data'!D108</f>
        <v>#VALUE!</v>
      </c>
      <c r="E111" s="57" t="e">
        <f>'Summary Data'!E108</f>
        <v>#VALUE!</v>
      </c>
      <c r="F111" s="57" t="e">
        <f>'Summary Data'!F108*C$3</f>
        <v>#VALUE!</v>
      </c>
      <c r="G111" s="57" t="e">
        <f>'Summary Data'!G108*D$3</f>
        <v>#VALUE!</v>
      </c>
      <c r="H111" s="57" t="e">
        <f>'Summary Data'!H108*E$3</f>
        <v>#VALUE!</v>
      </c>
      <c r="I111" s="57" t="e">
        <f>'Summary Data'!I108*F$3</f>
        <v>#VALUE!</v>
      </c>
      <c r="J111" s="57" t="e">
        <f>'Summary Data'!J108*G$3</f>
        <v>#VALUE!</v>
      </c>
      <c r="K111" s="57" t="e">
        <f>'Summary Data'!K108*H$3</f>
        <v>#VALUE!</v>
      </c>
      <c r="L111" s="57" t="e">
        <f>'Summary Data'!L108*I$3</f>
        <v>#VALUE!</v>
      </c>
      <c r="M111" s="57" t="e">
        <f>'Summary Data'!M108*J$3</f>
        <v>#VALUE!</v>
      </c>
      <c r="N111" s="57" t="e">
        <f>'Summary Data'!N108*K$3</f>
        <v>#VALUE!</v>
      </c>
      <c r="O111" s="57" t="e">
        <f>'Summary Data'!O108*L$3</f>
        <v>#VALUE!</v>
      </c>
      <c r="P111" s="57" t="e">
        <f>'Summary Data'!P108*M$3</f>
        <v>#VALUE!</v>
      </c>
      <c r="Q111" s="57" t="e">
        <f>'Summary Data'!Q108*N$3</f>
        <v>#VALUE!</v>
      </c>
      <c r="R111" s="57" t="e">
        <f>'Summary Data'!R108*O$3</f>
        <v>#VALUE!</v>
      </c>
      <c r="S111" s="57" t="e">
        <f>'Summary Data'!S108*P$3</f>
        <v>#VALUE!</v>
      </c>
      <c r="T111" s="57" t="e">
        <f>(_xlfn.XLOOKUP(A111,'Round 1 Points'!$A$10:$A$144,'Round 1 Points'!$T$10:$T$144,0)+_xlfn.XLOOKUP(A111,'Round 2 Points'!$A$10:$A$146,'Round 2 Points'!$T$10:$T$146,0)+_xlfn.XLOOKUP(A111,'Round 3 Points'!$A$10:$A$145,'Round 3 Points'!$T$10:$T$145,0)+_xlfn.XLOOKUP(A111,'Round 4 Points'!$A$10:$A$147,'Round 4 Points'!$T$10:$T$147,0))/D111</f>
        <v>#VALUE!</v>
      </c>
      <c r="U111" s="57" t="e">
        <f>'Summary Data'!T108*Q$3</f>
        <v>#VALUE!</v>
      </c>
      <c r="V111" s="57">
        <f>(_xlfn.XLOOKUP(A111,'Round 1 Points'!$A$10:$A$144,'Round 1 Points'!$V$10:$V$144,0)+_xlfn.XLOOKUP(A111,'Round 2 Points'!$A$10:$A$146,'Round 2 Points'!$V$10:$V$146,0)+_xlfn.XLOOKUP(A111,'Round 3 Points'!$A$10:$A$145,'Round 3 Points'!$V$10:$V$145,0)+_xlfn.XLOOKUP(A111,'Round 4 Points'!$A$10:$A$147,'Round 4 Points'!$V$10:$V$147,0))</f>
        <v>0</v>
      </c>
      <c r="W111" s="72" t="e">
        <f t="shared" si="1"/>
        <v>#VALUE!</v>
      </c>
    </row>
    <row r="112" spans="1:23" ht="16" thickBot="1" x14ac:dyDescent="0.25">
      <c r="A112" s="61" t="s">
        <v>116</v>
      </c>
      <c r="B112" t="s">
        <v>192</v>
      </c>
      <c r="C112" t="s">
        <v>199</v>
      </c>
      <c r="D112" t="e">
        <f>'Summary Data'!D109</f>
        <v>#VALUE!</v>
      </c>
      <c r="E112" s="57" t="e">
        <f>'Summary Data'!E109</f>
        <v>#VALUE!</v>
      </c>
      <c r="F112" s="57" t="e">
        <f>'Summary Data'!F109*C$3</f>
        <v>#VALUE!</v>
      </c>
      <c r="G112" s="57" t="e">
        <f>'Summary Data'!G109*D$3</f>
        <v>#VALUE!</v>
      </c>
      <c r="H112" s="57" t="e">
        <f>'Summary Data'!H109*E$3</f>
        <v>#VALUE!</v>
      </c>
      <c r="I112" s="57" t="e">
        <f>'Summary Data'!I109*F$3</f>
        <v>#VALUE!</v>
      </c>
      <c r="J112" s="57" t="e">
        <f>'Summary Data'!J109*G$3</f>
        <v>#VALUE!</v>
      </c>
      <c r="K112" s="57" t="e">
        <f>'Summary Data'!K109*H$3</f>
        <v>#VALUE!</v>
      </c>
      <c r="L112" s="57" t="e">
        <f>'Summary Data'!L109*I$3</f>
        <v>#VALUE!</v>
      </c>
      <c r="M112" s="57" t="e">
        <f>'Summary Data'!M109*J$3</f>
        <v>#VALUE!</v>
      </c>
      <c r="N112" s="57" t="e">
        <f>'Summary Data'!N109*K$3</f>
        <v>#VALUE!</v>
      </c>
      <c r="O112" s="57" t="e">
        <f>'Summary Data'!O109*L$3</f>
        <v>#VALUE!</v>
      </c>
      <c r="P112" s="57" t="e">
        <f>'Summary Data'!P109*M$3</f>
        <v>#VALUE!</v>
      </c>
      <c r="Q112" s="57" t="e">
        <f>'Summary Data'!Q109*N$3</f>
        <v>#VALUE!</v>
      </c>
      <c r="R112" s="57" t="e">
        <f>'Summary Data'!R109*O$3</f>
        <v>#VALUE!</v>
      </c>
      <c r="S112" s="57" t="e">
        <f>'Summary Data'!S109*P$3</f>
        <v>#VALUE!</v>
      </c>
      <c r="T112" s="57" t="e">
        <f>(_xlfn.XLOOKUP(A112,'Round 1 Points'!$A$10:$A$144,'Round 1 Points'!$T$10:$T$144,0)+_xlfn.XLOOKUP(A112,'Round 2 Points'!$A$10:$A$146,'Round 2 Points'!$T$10:$T$146,0)+_xlfn.XLOOKUP(A112,'Round 3 Points'!$A$10:$A$145,'Round 3 Points'!$T$10:$T$145,0)+_xlfn.XLOOKUP(A112,'Round 4 Points'!$A$10:$A$147,'Round 4 Points'!$T$10:$T$147,0))/D112</f>
        <v>#VALUE!</v>
      </c>
      <c r="U112" s="57" t="e">
        <f>'Summary Data'!T109*Q$3</f>
        <v>#VALUE!</v>
      </c>
      <c r="V112" s="57">
        <f>(_xlfn.XLOOKUP(A112,'Round 1 Points'!$A$10:$A$144,'Round 1 Points'!$V$10:$V$144,0)+_xlfn.XLOOKUP(A112,'Round 2 Points'!$A$10:$A$146,'Round 2 Points'!$V$10:$V$146,0)+_xlfn.XLOOKUP(A112,'Round 3 Points'!$A$10:$A$145,'Round 3 Points'!$V$10:$V$145,0)+_xlfn.XLOOKUP(A112,'Round 4 Points'!$A$10:$A$147,'Round 4 Points'!$V$10:$V$147,0))</f>
        <v>0</v>
      </c>
      <c r="W112" s="72" t="e">
        <f t="shared" si="1"/>
        <v>#VALUE!</v>
      </c>
    </row>
    <row r="113" spans="1:23" ht="16" thickBot="1" x14ac:dyDescent="0.25">
      <c r="A113" s="63" t="s">
        <v>118</v>
      </c>
      <c r="B113" t="s">
        <v>192</v>
      </c>
      <c r="C113" t="s">
        <v>199</v>
      </c>
      <c r="D113" t="e">
        <f>'Summary Data'!D110</f>
        <v>#VALUE!</v>
      </c>
      <c r="E113" s="57" t="e">
        <f>'Summary Data'!E110</f>
        <v>#VALUE!</v>
      </c>
      <c r="F113" s="57" t="e">
        <f>'Summary Data'!F110*C$3</f>
        <v>#VALUE!</v>
      </c>
      <c r="G113" s="57" t="e">
        <f>'Summary Data'!G110*D$3</f>
        <v>#VALUE!</v>
      </c>
      <c r="H113" s="57" t="e">
        <f>'Summary Data'!H110*E$3</f>
        <v>#VALUE!</v>
      </c>
      <c r="I113" s="57" t="e">
        <f>'Summary Data'!I110*F$3</f>
        <v>#VALUE!</v>
      </c>
      <c r="J113" s="57" t="e">
        <f>'Summary Data'!J110*G$3</f>
        <v>#VALUE!</v>
      </c>
      <c r="K113" s="57" t="e">
        <f>'Summary Data'!K110*H$3</f>
        <v>#VALUE!</v>
      </c>
      <c r="L113" s="57" t="e">
        <f>'Summary Data'!L110*I$3</f>
        <v>#VALUE!</v>
      </c>
      <c r="M113" s="57" t="e">
        <f>'Summary Data'!M110*J$3</f>
        <v>#VALUE!</v>
      </c>
      <c r="N113" s="57" t="e">
        <f>'Summary Data'!N110*K$3</f>
        <v>#VALUE!</v>
      </c>
      <c r="O113" s="57" t="e">
        <f>'Summary Data'!O110*L$3</f>
        <v>#VALUE!</v>
      </c>
      <c r="P113" s="57" t="e">
        <f>'Summary Data'!P110*M$3</f>
        <v>#VALUE!</v>
      </c>
      <c r="Q113" s="57" t="e">
        <f>'Summary Data'!Q110*N$3</f>
        <v>#VALUE!</v>
      </c>
      <c r="R113" s="57" t="e">
        <f>'Summary Data'!R110*O$3</f>
        <v>#VALUE!</v>
      </c>
      <c r="S113" s="57" t="e">
        <f>'Summary Data'!S110*P$3</f>
        <v>#VALUE!</v>
      </c>
      <c r="T113" s="57" t="e">
        <f>(_xlfn.XLOOKUP(A113,'Round 1 Points'!$A$10:$A$144,'Round 1 Points'!$T$10:$T$144,0)+_xlfn.XLOOKUP(A113,'Round 2 Points'!$A$10:$A$146,'Round 2 Points'!$T$10:$T$146,0)+_xlfn.XLOOKUP(A113,'Round 3 Points'!$A$10:$A$145,'Round 3 Points'!$T$10:$T$145,0)+_xlfn.XLOOKUP(A113,'Round 4 Points'!$A$10:$A$147,'Round 4 Points'!$T$10:$T$147,0))/D113</f>
        <v>#VALUE!</v>
      </c>
      <c r="U113" s="57" t="e">
        <f>'Summary Data'!T110*Q$3</f>
        <v>#VALUE!</v>
      </c>
      <c r="V113" s="57">
        <f>(_xlfn.XLOOKUP(A113,'Round 1 Points'!$A$10:$A$144,'Round 1 Points'!$V$10:$V$144,0)+_xlfn.XLOOKUP(A113,'Round 2 Points'!$A$10:$A$146,'Round 2 Points'!$V$10:$V$146,0)+_xlfn.XLOOKUP(A113,'Round 3 Points'!$A$10:$A$145,'Round 3 Points'!$V$10:$V$145,0)+_xlfn.XLOOKUP(A113,'Round 4 Points'!$A$10:$A$147,'Round 4 Points'!$V$10:$V$147,0))</f>
        <v>0</v>
      </c>
      <c r="W113" s="72" t="e">
        <f t="shared" si="1"/>
        <v>#VALUE!</v>
      </c>
    </row>
    <row r="114" spans="1:23" ht="16" thickBot="1" x14ac:dyDescent="0.25">
      <c r="A114" s="61" t="s">
        <v>119</v>
      </c>
      <c r="B114" t="s">
        <v>192</v>
      </c>
      <c r="C114" t="s">
        <v>199</v>
      </c>
      <c r="D114" t="e">
        <f>'Summary Data'!D111</f>
        <v>#VALUE!</v>
      </c>
      <c r="E114" s="57" t="e">
        <f>'Summary Data'!E111</f>
        <v>#VALUE!</v>
      </c>
      <c r="F114" s="57" t="e">
        <f>'Summary Data'!F111*C$3</f>
        <v>#VALUE!</v>
      </c>
      <c r="G114" s="57" t="e">
        <f>'Summary Data'!G111*D$3</f>
        <v>#VALUE!</v>
      </c>
      <c r="H114" s="57" t="e">
        <f>'Summary Data'!H111*E$3</f>
        <v>#VALUE!</v>
      </c>
      <c r="I114" s="57" t="e">
        <f>'Summary Data'!I111*F$3</f>
        <v>#VALUE!</v>
      </c>
      <c r="J114" s="57" t="e">
        <f>'Summary Data'!J111*G$3</f>
        <v>#VALUE!</v>
      </c>
      <c r="K114" s="57" t="e">
        <f>'Summary Data'!K111*H$3</f>
        <v>#VALUE!</v>
      </c>
      <c r="L114" s="57" t="e">
        <f>'Summary Data'!L111*I$3</f>
        <v>#VALUE!</v>
      </c>
      <c r="M114" s="57" t="e">
        <f>'Summary Data'!M111*J$3</f>
        <v>#VALUE!</v>
      </c>
      <c r="N114" s="57" t="e">
        <f>'Summary Data'!N111*K$3</f>
        <v>#VALUE!</v>
      </c>
      <c r="O114" s="57" t="e">
        <f>'Summary Data'!O111*L$3</f>
        <v>#VALUE!</v>
      </c>
      <c r="P114" s="57" t="e">
        <f>'Summary Data'!P111*M$3</f>
        <v>#VALUE!</v>
      </c>
      <c r="Q114" s="57" t="e">
        <f>'Summary Data'!Q111*N$3</f>
        <v>#VALUE!</v>
      </c>
      <c r="R114" s="57" t="e">
        <f>'Summary Data'!R111*O$3</f>
        <v>#VALUE!</v>
      </c>
      <c r="S114" s="57" t="e">
        <f>'Summary Data'!S111*P$3</f>
        <v>#VALUE!</v>
      </c>
      <c r="T114" s="57" t="e">
        <f>(_xlfn.XLOOKUP(A114,'Round 1 Points'!$A$10:$A$144,'Round 1 Points'!$T$10:$T$144,0)+_xlfn.XLOOKUP(A114,'Round 2 Points'!$A$10:$A$146,'Round 2 Points'!$T$10:$T$146,0)+_xlfn.XLOOKUP(A114,'Round 3 Points'!$A$10:$A$145,'Round 3 Points'!$T$10:$T$145,0)+_xlfn.XLOOKUP(A114,'Round 4 Points'!$A$10:$A$147,'Round 4 Points'!$T$10:$T$147,0))/D114</f>
        <v>#VALUE!</v>
      </c>
      <c r="U114" s="57" t="e">
        <f>'Summary Data'!T111*Q$3</f>
        <v>#VALUE!</v>
      </c>
      <c r="V114" s="57">
        <f>(_xlfn.XLOOKUP(A114,'Round 1 Points'!$A$10:$A$144,'Round 1 Points'!$V$10:$V$144,0)+_xlfn.XLOOKUP(A114,'Round 2 Points'!$A$10:$A$146,'Round 2 Points'!$V$10:$V$146,0)+_xlfn.XLOOKUP(A114,'Round 3 Points'!$A$10:$A$145,'Round 3 Points'!$V$10:$V$145,0)+_xlfn.XLOOKUP(A114,'Round 4 Points'!$A$10:$A$147,'Round 4 Points'!$V$10:$V$147,0))</f>
        <v>0</v>
      </c>
      <c r="W114" s="72" t="e">
        <f t="shared" si="1"/>
        <v>#VALUE!</v>
      </c>
    </row>
    <row r="115" spans="1:23" ht="16" thickBot="1" x14ac:dyDescent="0.25">
      <c r="A115" s="63" t="s">
        <v>187</v>
      </c>
      <c r="B115" t="s">
        <v>192</v>
      </c>
      <c r="C115" t="s">
        <v>200</v>
      </c>
      <c r="D115" t="e">
        <f>'Summary Data'!D112</f>
        <v>#VALUE!</v>
      </c>
      <c r="E115" s="57" t="e">
        <f>'Summary Data'!E112</f>
        <v>#VALUE!</v>
      </c>
      <c r="F115" s="57" t="e">
        <f>'Summary Data'!F112*C$3</f>
        <v>#VALUE!</v>
      </c>
      <c r="G115" s="57" t="e">
        <f>'Summary Data'!G112*D$3</f>
        <v>#VALUE!</v>
      </c>
      <c r="H115" s="57" t="e">
        <f>'Summary Data'!H112*E$3</f>
        <v>#VALUE!</v>
      </c>
      <c r="I115" s="57" t="e">
        <f>'Summary Data'!I112*F$3</f>
        <v>#VALUE!</v>
      </c>
      <c r="J115" s="57" t="e">
        <f>'Summary Data'!J112*G$3</f>
        <v>#VALUE!</v>
      </c>
      <c r="K115" s="57" t="e">
        <f>'Summary Data'!K112*H$3</f>
        <v>#VALUE!</v>
      </c>
      <c r="L115" s="57" t="e">
        <f>'Summary Data'!L112*I$3</f>
        <v>#VALUE!</v>
      </c>
      <c r="M115" s="57" t="e">
        <f>'Summary Data'!M112*J$3</f>
        <v>#VALUE!</v>
      </c>
      <c r="N115" s="57" t="e">
        <f>'Summary Data'!N112*K$3</f>
        <v>#VALUE!</v>
      </c>
      <c r="O115" s="57" t="e">
        <f>'Summary Data'!O112*L$3</f>
        <v>#VALUE!</v>
      </c>
      <c r="P115" s="57" t="e">
        <f>'Summary Data'!P112*M$3</f>
        <v>#VALUE!</v>
      </c>
      <c r="Q115" s="57" t="e">
        <f>'Summary Data'!Q112*N$3</f>
        <v>#VALUE!</v>
      </c>
      <c r="R115" s="57" t="e">
        <f>'Summary Data'!R112*O$3</f>
        <v>#VALUE!</v>
      </c>
      <c r="S115" s="57" t="e">
        <f>'Summary Data'!S112*P$3</f>
        <v>#VALUE!</v>
      </c>
      <c r="T115" s="57" t="e">
        <f>(_xlfn.XLOOKUP(A115,'Round 1 Points'!$A$10:$A$144,'Round 1 Points'!$T$10:$T$144,0)+_xlfn.XLOOKUP(A115,'Round 2 Points'!$A$10:$A$146,'Round 2 Points'!$T$10:$T$146,0)+_xlfn.XLOOKUP(A115,'Round 3 Points'!$A$10:$A$145,'Round 3 Points'!$T$10:$T$145,0)+_xlfn.XLOOKUP(A115,'Round 4 Points'!$A$10:$A$147,'Round 4 Points'!$T$10:$T$147,0))/D115</f>
        <v>#VALUE!</v>
      </c>
      <c r="U115" s="57" t="e">
        <f>'Summary Data'!T112*Q$3</f>
        <v>#VALUE!</v>
      </c>
      <c r="V115" s="57">
        <f>(_xlfn.XLOOKUP(A115,'Round 1 Points'!$A$10:$A$144,'Round 1 Points'!$V$10:$V$144,0)+_xlfn.XLOOKUP(A115,'Round 2 Points'!$A$10:$A$146,'Round 2 Points'!$V$10:$V$146,0)+_xlfn.XLOOKUP(A115,'Round 3 Points'!$A$10:$A$145,'Round 3 Points'!$V$10:$V$145,0)+_xlfn.XLOOKUP(A115,'Round 4 Points'!$A$10:$A$147,'Round 4 Points'!$V$10:$V$147,0))</f>
        <v>0</v>
      </c>
      <c r="W115" s="72" t="e">
        <f t="shared" si="1"/>
        <v>#VALUE!</v>
      </c>
    </row>
    <row r="116" spans="1:23" ht="16" thickBot="1" x14ac:dyDescent="0.25">
      <c r="A116" s="61" t="s">
        <v>120</v>
      </c>
      <c r="B116" t="s">
        <v>192</v>
      </c>
      <c r="C116" t="s">
        <v>200</v>
      </c>
      <c r="D116" t="e">
        <f>'Summary Data'!D113</f>
        <v>#VALUE!</v>
      </c>
      <c r="E116" s="57" t="e">
        <f>'Summary Data'!E113</f>
        <v>#VALUE!</v>
      </c>
      <c r="F116" s="57" t="e">
        <f>'Summary Data'!F113*C$3</f>
        <v>#VALUE!</v>
      </c>
      <c r="G116" s="57" t="e">
        <f>'Summary Data'!G113*D$3</f>
        <v>#VALUE!</v>
      </c>
      <c r="H116" s="57" t="e">
        <f>'Summary Data'!H113*E$3</f>
        <v>#VALUE!</v>
      </c>
      <c r="I116" s="57" t="e">
        <f>'Summary Data'!I113*F$3</f>
        <v>#VALUE!</v>
      </c>
      <c r="J116" s="57" t="e">
        <f>'Summary Data'!J113*G$3</f>
        <v>#VALUE!</v>
      </c>
      <c r="K116" s="57" t="e">
        <f>'Summary Data'!K113*H$3</f>
        <v>#VALUE!</v>
      </c>
      <c r="L116" s="57" t="e">
        <f>'Summary Data'!L113*I$3</f>
        <v>#VALUE!</v>
      </c>
      <c r="M116" s="57" t="e">
        <f>'Summary Data'!M113*J$3</f>
        <v>#VALUE!</v>
      </c>
      <c r="N116" s="57" t="e">
        <f>'Summary Data'!N113*K$3</f>
        <v>#VALUE!</v>
      </c>
      <c r="O116" s="57" t="e">
        <f>'Summary Data'!O113*L$3</f>
        <v>#VALUE!</v>
      </c>
      <c r="P116" s="57" t="e">
        <f>'Summary Data'!P113*M$3</f>
        <v>#VALUE!</v>
      </c>
      <c r="Q116" s="57" t="e">
        <f>'Summary Data'!Q113*N$3</f>
        <v>#VALUE!</v>
      </c>
      <c r="R116" s="57" t="e">
        <f>'Summary Data'!R113*O$3</f>
        <v>#VALUE!</v>
      </c>
      <c r="S116" s="57" t="e">
        <f>'Summary Data'!S113*P$3</f>
        <v>#VALUE!</v>
      </c>
      <c r="T116" s="57" t="e">
        <f>(_xlfn.XLOOKUP(A116,'Round 1 Points'!$A$10:$A$144,'Round 1 Points'!$T$10:$T$144,0)+_xlfn.XLOOKUP(A116,'Round 2 Points'!$A$10:$A$146,'Round 2 Points'!$T$10:$T$146,0)+_xlfn.XLOOKUP(A116,'Round 3 Points'!$A$10:$A$145,'Round 3 Points'!$T$10:$T$145,0)+_xlfn.XLOOKUP(A116,'Round 4 Points'!$A$10:$A$147,'Round 4 Points'!$T$10:$T$147,0))/D116</f>
        <v>#VALUE!</v>
      </c>
      <c r="U116" s="57" t="e">
        <f>'Summary Data'!T113*Q$3</f>
        <v>#VALUE!</v>
      </c>
      <c r="V116" s="57">
        <f>(_xlfn.XLOOKUP(A116,'Round 1 Points'!$A$10:$A$144,'Round 1 Points'!$V$10:$V$144,0)+_xlfn.XLOOKUP(A116,'Round 2 Points'!$A$10:$A$146,'Round 2 Points'!$V$10:$V$146,0)+_xlfn.XLOOKUP(A116,'Round 3 Points'!$A$10:$A$145,'Round 3 Points'!$V$10:$V$145,0)+_xlfn.XLOOKUP(A116,'Round 4 Points'!$A$10:$A$147,'Round 4 Points'!$V$10:$V$147,0))</f>
        <v>0</v>
      </c>
      <c r="W116" s="72" t="e">
        <f t="shared" si="1"/>
        <v>#VALUE!</v>
      </c>
    </row>
    <row r="117" spans="1:23" ht="16" thickBot="1" x14ac:dyDescent="0.25">
      <c r="A117" s="63" t="s">
        <v>121</v>
      </c>
      <c r="B117" t="s">
        <v>192</v>
      </c>
      <c r="C117" t="s">
        <v>200</v>
      </c>
      <c r="D117" t="e">
        <f>'Summary Data'!D114</f>
        <v>#VALUE!</v>
      </c>
      <c r="E117" s="57" t="e">
        <f>'Summary Data'!E114</f>
        <v>#VALUE!</v>
      </c>
      <c r="F117" s="57" t="e">
        <f>'Summary Data'!F114*C$3</f>
        <v>#VALUE!</v>
      </c>
      <c r="G117" s="57" t="e">
        <f>'Summary Data'!G114*D$3</f>
        <v>#VALUE!</v>
      </c>
      <c r="H117" s="57" t="e">
        <f>'Summary Data'!H114*E$3</f>
        <v>#VALUE!</v>
      </c>
      <c r="I117" s="57" t="e">
        <f>'Summary Data'!I114*F$3</f>
        <v>#VALUE!</v>
      </c>
      <c r="J117" s="57" t="e">
        <f>'Summary Data'!J114*G$3</f>
        <v>#VALUE!</v>
      </c>
      <c r="K117" s="57" t="e">
        <f>'Summary Data'!K114*H$3</f>
        <v>#VALUE!</v>
      </c>
      <c r="L117" s="57" t="e">
        <f>'Summary Data'!L114*I$3</f>
        <v>#VALUE!</v>
      </c>
      <c r="M117" s="57" t="e">
        <f>'Summary Data'!M114*J$3</f>
        <v>#VALUE!</v>
      </c>
      <c r="N117" s="57" t="e">
        <f>'Summary Data'!N114*K$3</f>
        <v>#VALUE!</v>
      </c>
      <c r="O117" s="57" t="e">
        <f>'Summary Data'!O114*L$3</f>
        <v>#VALUE!</v>
      </c>
      <c r="P117" s="57" t="e">
        <f>'Summary Data'!P114*M$3</f>
        <v>#VALUE!</v>
      </c>
      <c r="Q117" s="57" t="e">
        <f>'Summary Data'!Q114*N$3</f>
        <v>#VALUE!</v>
      </c>
      <c r="R117" s="57" t="e">
        <f>'Summary Data'!R114*O$3</f>
        <v>#VALUE!</v>
      </c>
      <c r="S117" s="57" t="e">
        <f>'Summary Data'!S114*P$3</f>
        <v>#VALUE!</v>
      </c>
      <c r="T117" s="57" t="e">
        <f>(_xlfn.XLOOKUP(A117,'Round 1 Points'!$A$10:$A$144,'Round 1 Points'!$T$10:$T$144,0)+_xlfn.XLOOKUP(A117,'Round 2 Points'!$A$10:$A$146,'Round 2 Points'!$T$10:$T$146,0)+_xlfn.XLOOKUP(A117,'Round 3 Points'!$A$10:$A$145,'Round 3 Points'!$T$10:$T$145,0)+_xlfn.XLOOKUP(A117,'Round 4 Points'!$A$10:$A$147,'Round 4 Points'!$T$10:$T$147,0))/D117</f>
        <v>#VALUE!</v>
      </c>
      <c r="U117" s="57" t="e">
        <f>'Summary Data'!T114*Q$3</f>
        <v>#VALUE!</v>
      </c>
      <c r="V117" s="57">
        <f>(_xlfn.XLOOKUP(A117,'Round 1 Points'!$A$10:$A$144,'Round 1 Points'!$V$10:$V$144,0)+_xlfn.XLOOKUP(A117,'Round 2 Points'!$A$10:$A$146,'Round 2 Points'!$V$10:$V$146,0)+_xlfn.XLOOKUP(A117,'Round 3 Points'!$A$10:$A$145,'Round 3 Points'!$V$10:$V$145,0)+_xlfn.XLOOKUP(A117,'Round 4 Points'!$A$10:$A$147,'Round 4 Points'!$V$10:$V$147,0))</f>
        <v>0</v>
      </c>
      <c r="W117" s="72" t="e">
        <f t="shared" si="1"/>
        <v>#VALUE!</v>
      </c>
    </row>
    <row r="118" spans="1:23" ht="16" thickBot="1" x14ac:dyDescent="0.25">
      <c r="A118" s="61" t="s">
        <v>123</v>
      </c>
      <c r="B118" t="s">
        <v>192</v>
      </c>
      <c r="C118" t="s">
        <v>200</v>
      </c>
      <c r="D118" t="e">
        <f>'Summary Data'!D115</f>
        <v>#VALUE!</v>
      </c>
      <c r="E118" s="57" t="e">
        <f>'Summary Data'!E115</f>
        <v>#VALUE!</v>
      </c>
      <c r="F118" s="57" t="e">
        <f>'Summary Data'!F115*C$3</f>
        <v>#VALUE!</v>
      </c>
      <c r="G118" s="57" t="e">
        <f>'Summary Data'!G115*D$3</f>
        <v>#VALUE!</v>
      </c>
      <c r="H118" s="57" t="e">
        <f>'Summary Data'!H115*E$3</f>
        <v>#VALUE!</v>
      </c>
      <c r="I118" s="57" t="e">
        <f>'Summary Data'!I115*F$3</f>
        <v>#VALUE!</v>
      </c>
      <c r="J118" s="57" t="e">
        <f>'Summary Data'!J115*G$3</f>
        <v>#VALUE!</v>
      </c>
      <c r="K118" s="57" t="e">
        <f>'Summary Data'!K115*H$3</f>
        <v>#VALUE!</v>
      </c>
      <c r="L118" s="57" t="e">
        <f>'Summary Data'!L115*I$3</f>
        <v>#VALUE!</v>
      </c>
      <c r="M118" s="57" t="e">
        <f>'Summary Data'!M115*J$3</f>
        <v>#VALUE!</v>
      </c>
      <c r="N118" s="57" t="e">
        <f>'Summary Data'!N115*K$3</f>
        <v>#VALUE!</v>
      </c>
      <c r="O118" s="57" t="e">
        <f>'Summary Data'!O115*L$3</f>
        <v>#VALUE!</v>
      </c>
      <c r="P118" s="57" t="e">
        <f>'Summary Data'!P115*M$3</f>
        <v>#VALUE!</v>
      </c>
      <c r="Q118" s="57" t="e">
        <f>'Summary Data'!Q115*N$3</f>
        <v>#VALUE!</v>
      </c>
      <c r="R118" s="57" t="e">
        <f>'Summary Data'!R115*O$3</f>
        <v>#VALUE!</v>
      </c>
      <c r="S118" s="57" t="e">
        <f>'Summary Data'!S115*P$3</f>
        <v>#VALUE!</v>
      </c>
      <c r="T118" s="57" t="e">
        <f>(_xlfn.XLOOKUP(A118,'Round 1 Points'!$A$10:$A$144,'Round 1 Points'!$T$10:$T$144,0)+_xlfn.XLOOKUP(A118,'Round 2 Points'!$A$10:$A$146,'Round 2 Points'!$T$10:$T$146,0)+_xlfn.XLOOKUP(A118,'Round 3 Points'!$A$10:$A$145,'Round 3 Points'!$T$10:$T$145,0)+_xlfn.XLOOKUP(A118,'Round 4 Points'!$A$10:$A$147,'Round 4 Points'!$T$10:$T$147,0))/D118</f>
        <v>#VALUE!</v>
      </c>
      <c r="U118" s="57" t="e">
        <f>'Summary Data'!T115*Q$3</f>
        <v>#VALUE!</v>
      </c>
      <c r="V118" s="57">
        <f>(_xlfn.XLOOKUP(A118,'Round 1 Points'!$A$10:$A$144,'Round 1 Points'!$V$10:$V$144,0)+_xlfn.XLOOKUP(A118,'Round 2 Points'!$A$10:$A$146,'Round 2 Points'!$V$10:$V$146,0)+_xlfn.XLOOKUP(A118,'Round 3 Points'!$A$10:$A$145,'Round 3 Points'!$V$10:$V$145,0)+_xlfn.XLOOKUP(A118,'Round 4 Points'!$A$10:$A$147,'Round 4 Points'!$V$10:$V$147,0))</f>
        <v>0</v>
      </c>
      <c r="W118" s="72" t="e">
        <f t="shared" si="1"/>
        <v>#VALUE!</v>
      </c>
    </row>
    <row r="119" spans="1:23" ht="16" thickBot="1" x14ac:dyDescent="0.25">
      <c r="A119" s="63" t="s">
        <v>124</v>
      </c>
      <c r="B119" t="s">
        <v>192</v>
      </c>
      <c r="C119" t="s">
        <v>201</v>
      </c>
      <c r="D119" t="e">
        <f>'Summary Data'!D116</f>
        <v>#VALUE!</v>
      </c>
      <c r="E119" s="57" t="e">
        <f>'Summary Data'!E116</f>
        <v>#VALUE!</v>
      </c>
      <c r="F119" s="57" t="e">
        <f>'Summary Data'!F116*C$3</f>
        <v>#VALUE!</v>
      </c>
      <c r="G119" s="57" t="e">
        <f>'Summary Data'!G116*D$3</f>
        <v>#VALUE!</v>
      </c>
      <c r="H119" s="57" t="e">
        <f>'Summary Data'!H116*E$3</f>
        <v>#VALUE!</v>
      </c>
      <c r="I119" s="57" t="e">
        <f>'Summary Data'!I116*F$3</f>
        <v>#VALUE!</v>
      </c>
      <c r="J119" s="57" t="e">
        <f>'Summary Data'!J116*G$3</f>
        <v>#VALUE!</v>
      </c>
      <c r="K119" s="57" t="e">
        <f>'Summary Data'!K116*H$3</f>
        <v>#VALUE!</v>
      </c>
      <c r="L119" s="57" t="e">
        <f>'Summary Data'!L116*I$3</f>
        <v>#VALUE!</v>
      </c>
      <c r="M119" s="57" t="e">
        <f>'Summary Data'!M116*J$3</f>
        <v>#VALUE!</v>
      </c>
      <c r="N119" s="57" t="e">
        <f>'Summary Data'!N116*K$3</f>
        <v>#VALUE!</v>
      </c>
      <c r="O119" s="57" t="e">
        <f>'Summary Data'!O116*L$3</f>
        <v>#VALUE!</v>
      </c>
      <c r="P119" s="57" t="e">
        <f>'Summary Data'!P116*M$3</f>
        <v>#VALUE!</v>
      </c>
      <c r="Q119" s="57" t="e">
        <f>'Summary Data'!Q116*N$3</f>
        <v>#VALUE!</v>
      </c>
      <c r="R119" s="57" t="e">
        <f>'Summary Data'!R116*O$3</f>
        <v>#VALUE!</v>
      </c>
      <c r="S119" s="57" t="e">
        <f>'Summary Data'!S116*P$3</f>
        <v>#VALUE!</v>
      </c>
      <c r="T119" s="57" t="e">
        <f>(_xlfn.XLOOKUP(A119,'Round 1 Points'!$A$10:$A$144,'Round 1 Points'!$T$10:$T$144,0)+_xlfn.XLOOKUP(A119,'Round 2 Points'!$A$10:$A$146,'Round 2 Points'!$T$10:$T$146,0)+_xlfn.XLOOKUP(A119,'Round 3 Points'!$A$10:$A$145,'Round 3 Points'!$T$10:$T$145,0)+_xlfn.XLOOKUP(A119,'Round 4 Points'!$A$10:$A$147,'Round 4 Points'!$T$10:$T$147,0))/D119</f>
        <v>#VALUE!</v>
      </c>
      <c r="U119" s="57" t="e">
        <f>'Summary Data'!T116*Q$3</f>
        <v>#VALUE!</v>
      </c>
      <c r="V119" s="57">
        <f>(_xlfn.XLOOKUP(A119,'Round 1 Points'!$A$10:$A$144,'Round 1 Points'!$V$10:$V$144,0)+_xlfn.XLOOKUP(A119,'Round 2 Points'!$A$10:$A$146,'Round 2 Points'!$V$10:$V$146,0)+_xlfn.XLOOKUP(A119,'Round 3 Points'!$A$10:$A$145,'Round 3 Points'!$V$10:$V$145,0)+_xlfn.XLOOKUP(A119,'Round 4 Points'!$A$10:$A$147,'Round 4 Points'!$V$10:$V$147,0))</f>
        <v>0</v>
      </c>
      <c r="W119" s="72" t="e">
        <f t="shared" si="1"/>
        <v>#VALUE!</v>
      </c>
    </row>
    <row r="120" spans="1:23" ht="16" thickBot="1" x14ac:dyDescent="0.25">
      <c r="A120" s="61" t="s">
        <v>125</v>
      </c>
      <c r="B120" t="s">
        <v>192</v>
      </c>
      <c r="C120" t="s">
        <v>201</v>
      </c>
      <c r="D120" t="e">
        <f>'Summary Data'!D117</f>
        <v>#VALUE!</v>
      </c>
      <c r="E120" s="57" t="e">
        <f>'Summary Data'!E117</f>
        <v>#VALUE!</v>
      </c>
      <c r="F120" s="57" t="e">
        <f>'Summary Data'!F117*C$3</f>
        <v>#VALUE!</v>
      </c>
      <c r="G120" s="57" t="e">
        <f>'Summary Data'!G117*D$3</f>
        <v>#VALUE!</v>
      </c>
      <c r="H120" s="57" t="e">
        <f>'Summary Data'!H117*E$3</f>
        <v>#VALUE!</v>
      </c>
      <c r="I120" s="57" t="e">
        <f>'Summary Data'!I117*F$3</f>
        <v>#VALUE!</v>
      </c>
      <c r="J120" s="57" t="e">
        <f>'Summary Data'!J117*G$3</f>
        <v>#VALUE!</v>
      </c>
      <c r="K120" s="57" t="e">
        <f>'Summary Data'!K117*H$3</f>
        <v>#VALUE!</v>
      </c>
      <c r="L120" s="57" t="e">
        <f>'Summary Data'!L117*I$3</f>
        <v>#VALUE!</v>
      </c>
      <c r="M120" s="57" t="e">
        <f>'Summary Data'!M117*J$3</f>
        <v>#VALUE!</v>
      </c>
      <c r="N120" s="57" t="e">
        <f>'Summary Data'!N117*K$3</f>
        <v>#VALUE!</v>
      </c>
      <c r="O120" s="57" t="e">
        <f>'Summary Data'!O117*L$3</f>
        <v>#VALUE!</v>
      </c>
      <c r="P120" s="57" t="e">
        <f>'Summary Data'!P117*M$3</f>
        <v>#VALUE!</v>
      </c>
      <c r="Q120" s="57" t="e">
        <f>'Summary Data'!Q117*N$3</f>
        <v>#VALUE!</v>
      </c>
      <c r="R120" s="57" t="e">
        <f>'Summary Data'!R117*O$3</f>
        <v>#VALUE!</v>
      </c>
      <c r="S120" s="57" t="e">
        <f>'Summary Data'!S117*P$3</f>
        <v>#VALUE!</v>
      </c>
      <c r="T120" s="57" t="e">
        <f>(_xlfn.XLOOKUP(A120,'Round 1 Points'!$A$10:$A$144,'Round 1 Points'!$T$10:$T$144,0)+_xlfn.XLOOKUP(A120,'Round 2 Points'!$A$10:$A$146,'Round 2 Points'!$T$10:$T$146,0)+_xlfn.XLOOKUP(A120,'Round 3 Points'!$A$10:$A$145,'Round 3 Points'!$T$10:$T$145,0)+_xlfn.XLOOKUP(A120,'Round 4 Points'!$A$10:$A$147,'Round 4 Points'!$T$10:$T$147,0))/D120</f>
        <v>#VALUE!</v>
      </c>
      <c r="U120" s="57" t="e">
        <f>'Summary Data'!T117*Q$3</f>
        <v>#VALUE!</v>
      </c>
      <c r="V120" s="57">
        <f>(_xlfn.XLOOKUP(A120,'Round 1 Points'!$A$10:$A$144,'Round 1 Points'!$V$10:$V$144,0)+_xlfn.XLOOKUP(A120,'Round 2 Points'!$A$10:$A$146,'Round 2 Points'!$V$10:$V$146,0)+_xlfn.XLOOKUP(A120,'Round 3 Points'!$A$10:$A$145,'Round 3 Points'!$V$10:$V$145,0)+_xlfn.XLOOKUP(A120,'Round 4 Points'!$A$10:$A$147,'Round 4 Points'!$V$10:$V$147,0))</f>
        <v>0</v>
      </c>
      <c r="W120" s="72" t="e">
        <f t="shared" si="1"/>
        <v>#VALUE!</v>
      </c>
    </row>
    <row r="121" spans="1:23" ht="16" thickBot="1" x14ac:dyDescent="0.25">
      <c r="A121" s="61" t="s">
        <v>12</v>
      </c>
      <c r="B121" t="s">
        <v>193</v>
      </c>
      <c r="C121" t="s">
        <v>194</v>
      </c>
      <c r="D121" t="e">
        <f>'Summary Data'!D118</f>
        <v>#VALUE!</v>
      </c>
      <c r="E121" s="57" t="e">
        <f>'Summary Data'!E118</f>
        <v>#VALUE!</v>
      </c>
      <c r="F121" s="57" t="e">
        <f>'Summary Data'!F118*C$3</f>
        <v>#VALUE!</v>
      </c>
      <c r="G121" s="57" t="e">
        <f>'Summary Data'!G118*D$3</f>
        <v>#VALUE!</v>
      </c>
      <c r="H121" s="57" t="e">
        <f>'Summary Data'!H118*E$3</f>
        <v>#VALUE!</v>
      </c>
      <c r="I121" s="57" t="e">
        <f>'Summary Data'!I118*F$3</f>
        <v>#VALUE!</v>
      </c>
      <c r="J121" s="57" t="e">
        <f>'Summary Data'!J118*G$3</f>
        <v>#VALUE!</v>
      </c>
      <c r="K121" s="57" t="e">
        <f>'Summary Data'!K118*H$3</f>
        <v>#VALUE!</v>
      </c>
      <c r="L121" s="57" t="e">
        <f>'Summary Data'!L118*I$3</f>
        <v>#VALUE!</v>
      </c>
      <c r="M121" s="57" t="e">
        <f>'Summary Data'!M118*J$3</f>
        <v>#VALUE!</v>
      </c>
      <c r="N121" s="57" t="e">
        <f>'Summary Data'!N118*K$3</f>
        <v>#VALUE!</v>
      </c>
      <c r="O121" s="57" t="e">
        <f>'Summary Data'!O118*L$3</f>
        <v>#VALUE!</v>
      </c>
      <c r="P121" s="57" t="e">
        <f>'Summary Data'!P118*M$3</f>
        <v>#VALUE!</v>
      </c>
      <c r="Q121" s="57" t="e">
        <f>'Summary Data'!Q118*N$3</f>
        <v>#VALUE!</v>
      </c>
      <c r="R121" s="57" t="e">
        <f>'Summary Data'!R118*O$3</f>
        <v>#VALUE!</v>
      </c>
      <c r="S121" s="57" t="e">
        <f>'Summary Data'!S118*P$3</f>
        <v>#VALUE!</v>
      </c>
      <c r="T121" s="57" t="e">
        <f>(_xlfn.XLOOKUP(A121,'Round 1 Points'!$A$10:$A$144,'Round 1 Points'!$T$10:$T$144,0)+_xlfn.XLOOKUP(A121,'Round 2 Points'!$A$10:$A$146,'Round 2 Points'!$T$10:$T$146,0)+_xlfn.XLOOKUP(A121,'Round 3 Points'!$A$10:$A$145,'Round 3 Points'!$T$10:$T$145,0)+_xlfn.XLOOKUP(A121,'Round 4 Points'!$A$10:$A$147,'Round 4 Points'!$T$10:$T$147,0))/D121</f>
        <v>#VALUE!</v>
      </c>
      <c r="U121" s="57" t="e">
        <f>'Summary Data'!T118*Q$3</f>
        <v>#VALUE!</v>
      </c>
      <c r="V121" s="57">
        <f>(_xlfn.XLOOKUP(A121,'Round 1 Points'!$A$10:$A$144,'Round 1 Points'!$V$10:$V$144,0)+_xlfn.XLOOKUP(A121,'Round 2 Points'!$A$10:$A$146,'Round 2 Points'!$V$10:$V$146,0)+_xlfn.XLOOKUP(A121,'Round 3 Points'!$A$10:$A$145,'Round 3 Points'!$V$10:$V$145,0)+_xlfn.XLOOKUP(A121,'Round 4 Points'!$A$10:$A$147,'Round 4 Points'!$V$10:$V$147,0))</f>
        <v>24</v>
      </c>
      <c r="W121" s="72" t="e">
        <f t="shared" si="1"/>
        <v>#VALUE!</v>
      </c>
    </row>
    <row r="122" spans="1:23" ht="16" thickBot="1" x14ac:dyDescent="0.25">
      <c r="A122" s="63" t="s">
        <v>13</v>
      </c>
      <c r="B122" t="s">
        <v>193</v>
      </c>
      <c r="C122" t="s">
        <v>194</v>
      </c>
      <c r="D122" t="e">
        <f>'Summary Data'!D119</f>
        <v>#VALUE!</v>
      </c>
      <c r="E122" s="57" t="e">
        <f>'Summary Data'!E119</f>
        <v>#VALUE!</v>
      </c>
      <c r="F122" s="57" t="e">
        <f>'Summary Data'!F119*C$3</f>
        <v>#VALUE!</v>
      </c>
      <c r="G122" s="57" t="e">
        <f>'Summary Data'!G119*D$3</f>
        <v>#VALUE!</v>
      </c>
      <c r="H122" s="57" t="e">
        <f>'Summary Data'!H119*E$3</f>
        <v>#VALUE!</v>
      </c>
      <c r="I122" s="57" t="e">
        <f>'Summary Data'!I119*F$3</f>
        <v>#VALUE!</v>
      </c>
      <c r="J122" s="57" t="e">
        <f>'Summary Data'!J119*G$3</f>
        <v>#VALUE!</v>
      </c>
      <c r="K122" s="57" t="e">
        <f>'Summary Data'!K119*H$3</f>
        <v>#VALUE!</v>
      </c>
      <c r="L122" s="57" t="e">
        <f>'Summary Data'!L119*I$3</f>
        <v>#VALUE!</v>
      </c>
      <c r="M122" s="57" t="e">
        <f>'Summary Data'!M119*J$3</f>
        <v>#VALUE!</v>
      </c>
      <c r="N122" s="57" t="e">
        <f>'Summary Data'!N119*K$3</f>
        <v>#VALUE!</v>
      </c>
      <c r="O122" s="57" t="e">
        <f>'Summary Data'!O119*L$3</f>
        <v>#VALUE!</v>
      </c>
      <c r="P122" s="57" t="e">
        <f>'Summary Data'!P119*M$3</f>
        <v>#VALUE!</v>
      </c>
      <c r="Q122" s="57" t="e">
        <f>'Summary Data'!Q119*N$3</f>
        <v>#VALUE!</v>
      </c>
      <c r="R122" s="57" t="e">
        <f>'Summary Data'!R119*O$3</f>
        <v>#VALUE!</v>
      </c>
      <c r="S122" s="57" t="e">
        <f>'Summary Data'!S119*P$3</f>
        <v>#VALUE!</v>
      </c>
      <c r="T122" s="57" t="e">
        <f>(_xlfn.XLOOKUP(A122,'Round 1 Points'!$A$10:$A$144,'Round 1 Points'!$T$10:$T$144,0)+_xlfn.XLOOKUP(A122,'Round 2 Points'!$A$10:$A$146,'Round 2 Points'!$T$10:$T$146,0)+_xlfn.XLOOKUP(A122,'Round 3 Points'!$A$10:$A$145,'Round 3 Points'!$T$10:$T$145,0)+_xlfn.XLOOKUP(A122,'Round 4 Points'!$A$10:$A$147,'Round 4 Points'!$T$10:$T$147,0))/D122</f>
        <v>#VALUE!</v>
      </c>
      <c r="U122" s="57" t="e">
        <f>'Summary Data'!T119*Q$3</f>
        <v>#VALUE!</v>
      </c>
      <c r="V122" s="57">
        <f>(_xlfn.XLOOKUP(A122,'Round 1 Points'!$A$10:$A$144,'Round 1 Points'!$V$10:$V$144,0)+_xlfn.XLOOKUP(A122,'Round 2 Points'!$A$10:$A$146,'Round 2 Points'!$V$10:$V$146,0)+_xlfn.XLOOKUP(A122,'Round 3 Points'!$A$10:$A$145,'Round 3 Points'!$V$10:$V$145,0)+_xlfn.XLOOKUP(A122,'Round 4 Points'!$A$10:$A$147,'Round 4 Points'!$V$10:$V$147,0))</f>
        <v>24</v>
      </c>
      <c r="W122" s="72" t="e">
        <f t="shared" si="1"/>
        <v>#VALUE!</v>
      </c>
    </row>
    <row r="123" spans="1:23" ht="16" thickBot="1" x14ac:dyDescent="0.25">
      <c r="A123" s="61" t="s">
        <v>14</v>
      </c>
      <c r="B123" t="s">
        <v>193</v>
      </c>
      <c r="C123" t="s">
        <v>195</v>
      </c>
      <c r="D123" t="e">
        <f>'Summary Data'!D120</f>
        <v>#VALUE!</v>
      </c>
      <c r="E123" s="57" t="e">
        <f>'Summary Data'!E120</f>
        <v>#VALUE!</v>
      </c>
      <c r="F123" s="57" t="e">
        <f>'Summary Data'!F120*C$3</f>
        <v>#VALUE!</v>
      </c>
      <c r="G123" s="57" t="e">
        <f>'Summary Data'!G120*D$3</f>
        <v>#VALUE!</v>
      </c>
      <c r="H123" s="57" t="e">
        <f>'Summary Data'!H120*E$3</f>
        <v>#VALUE!</v>
      </c>
      <c r="I123" s="57" t="e">
        <f>'Summary Data'!I120*F$3</f>
        <v>#VALUE!</v>
      </c>
      <c r="J123" s="57" t="e">
        <f>'Summary Data'!J120*G$3</f>
        <v>#VALUE!</v>
      </c>
      <c r="K123" s="57" t="e">
        <f>'Summary Data'!K120*H$3</f>
        <v>#VALUE!</v>
      </c>
      <c r="L123" s="57" t="e">
        <f>'Summary Data'!L120*I$3</f>
        <v>#VALUE!</v>
      </c>
      <c r="M123" s="57" t="e">
        <f>'Summary Data'!M120*J$3</f>
        <v>#VALUE!</v>
      </c>
      <c r="N123" s="57" t="e">
        <f>'Summary Data'!N120*K$3</f>
        <v>#VALUE!</v>
      </c>
      <c r="O123" s="57" t="e">
        <f>'Summary Data'!O120*L$3</f>
        <v>#VALUE!</v>
      </c>
      <c r="P123" s="57" t="e">
        <f>'Summary Data'!P120*M$3</f>
        <v>#VALUE!</v>
      </c>
      <c r="Q123" s="57" t="e">
        <f>'Summary Data'!Q120*N$3</f>
        <v>#VALUE!</v>
      </c>
      <c r="R123" s="57" t="e">
        <f>'Summary Data'!R120*O$3</f>
        <v>#VALUE!</v>
      </c>
      <c r="S123" s="57" t="e">
        <f>'Summary Data'!S120*P$3</f>
        <v>#VALUE!</v>
      </c>
      <c r="T123" s="57" t="e">
        <f>(_xlfn.XLOOKUP(A123,'Round 1 Points'!$A$10:$A$144,'Round 1 Points'!$T$10:$T$144,0)+_xlfn.XLOOKUP(A123,'Round 2 Points'!$A$10:$A$146,'Round 2 Points'!$T$10:$T$146,0)+_xlfn.XLOOKUP(A123,'Round 3 Points'!$A$10:$A$145,'Round 3 Points'!$T$10:$T$145,0)+_xlfn.XLOOKUP(A123,'Round 4 Points'!$A$10:$A$147,'Round 4 Points'!$T$10:$T$147,0))/D123</f>
        <v>#VALUE!</v>
      </c>
      <c r="U123" s="57" t="e">
        <f>'Summary Data'!T120*Q$3</f>
        <v>#VALUE!</v>
      </c>
      <c r="V123" s="57">
        <f>(_xlfn.XLOOKUP(A123,'Round 1 Points'!$A$10:$A$144,'Round 1 Points'!$V$10:$V$144,0)+_xlfn.XLOOKUP(A123,'Round 2 Points'!$A$10:$A$146,'Round 2 Points'!$V$10:$V$146,0)+_xlfn.XLOOKUP(A123,'Round 3 Points'!$A$10:$A$145,'Round 3 Points'!$V$10:$V$145,0)+_xlfn.XLOOKUP(A123,'Round 4 Points'!$A$10:$A$147,'Round 4 Points'!$V$10:$V$147,0))</f>
        <v>24</v>
      </c>
      <c r="W123" s="72" t="e">
        <f t="shared" si="1"/>
        <v>#VALUE!</v>
      </c>
    </row>
    <row r="124" spans="1:23" ht="16" thickBot="1" x14ac:dyDescent="0.25">
      <c r="A124" s="63" t="s">
        <v>15</v>
      </c>
      <c r="B124" t="s">
        <v>193</v>
      </c>
      <c r="C124" t="s">
        <v>195</v>
      </c>
      <c r="D124" t="e">
        <f>'Summary Data'!D121</f>
        <v>#VALUE!</v>
      </c>
      <c r="E124" s="57" t="e">
        <f>'Summary Data'!E121</f>
        <v>#VALUE!</v>
      </c>
      <c r="F124" s="57" t="e">
        <f>'Summary Data'!F121*C$3</f>
        <v>#VALUE!</v>
      </c>
      <c r="G124" s="57" t="e">
        <f>'Summary Data'!G121*D$3</f>
        <v>#VALUE!</v>
      </c>
      <c r="H124" s="57" t="e">
        <f>'Summary Data'!H121*E$3</f>
        <v>#VALUE!</v>
      </c>
      <c r="I124" s="57" t="e">
        <f>'Summary Data'!I121*F$3</f>
        <v>#VALUE!</v>
      </c>
      <c r="J124" s="57" t="e">
        <f>'Summary Data'!J121*G$3</f>
        <v>#VALUE!</v>
      </c>
      <c r="K124" s="57" t="e">
        <f>'Summary Data'!K121*H$3</f>
        <v>#VALUE!</v>
      </c>
      <c r="L124" s="57" t="e">
        <f>'Summary Data'!L121*I$3</f>
        <v>#VALUE!</v>
      </c>
      <c r="M124" s="57" t="e">
        <f>'Summary Data'!M121*J$3</f>
        <v>#VALUE!</v>
      </c>
      <c r="N124" s="57" t="e">
        <f>'Summary Data'!N121*K$3</f>
        <v>#VALUE!</v>
      </c>
      <c r="O124" s="57" t="e">
        <f>'Summary Data'!O121*L$3</f>
        <v>#VALUE!</v>
      </c>
      <c r="P124" s="57" t="e">
        <f>'Summary Data'!P121*M$3</f>
        <v>#VALUE!</v>
      </c>
      <c r="Q124" s="57" t="e">
        <f>'Summary Data'!Q121*N$3</f>
        <v>#VALUE!</v>
      </c>
      <c r="R124" s="57" t="e">
        <f>'Summary Data'!R121*O$3</f>
        <v>#VALUE!</v>
      </c>
      <c r="S124" s="57" t="e">
        <f>'Summary Data'!S121*P$3</f>
        <v>#VALUE!</v>
      </c>
      <c r="T124" s="57" t="e">
        <f>(_xlfn.XLOOKUP(A124,'Round 1 Points'!$A$10:$A$144,'Round 1 Points'!$T$10:$T$144,0)+_xlfn.XLOOKUP(A124,'Round 2 Points'!$A$10:$A$146,'Round 2 Points'!$T$10:$T$146,0)+_xlfn.XLOOKUP(A124,'Round 3 Points'!$A$10:$A$145,'Round 3 Points'!$T$10:$T$145,0)+_xlfn.XLOOKUP(A124,'Round 4 Points'!$A$10:$A$147,'Round 4 Points'!$T$10:$T$147,0))/D124</f>
        <v>#VALUE!</v>
      </c>
      <c r="U124" s="57" t="e">
        <f>'Summary Data'!T121*Q$3</f>
        <v>#VALUE!</v>
      </c>
      <c r="V124" s="57">
        <f>(_xlfn.XLOOKUP(A124,'Round 1 Points'!$A$10:$A$144,'Round 1 Points'!$V$10:$V$144,0)+_xlfn.XLOOKUP(A124,'Round 2 Points'!$A$10:$A$146,'Round 2 Points'!$V$10:$V$146,0)+_xlfn.XLOOKUP(A124,'Round 3 Points'!$A$10:$A$145,'Round 3 Points'!$V$10:$V$145,0)+_xlfn.XLOOKUP(A124,'Round 4 Points'!$A$10:$A$147,'Round 4 Points'!$V$10:$V$147,0))</f>
        <v>24</v>
      </c>
      <c r="W124" s="72" t="e">
        <f t="shared" si="1"/>
        <v>#VALUE!</v>
      </c>
    </row>
    <row r="125" spans="1:23" ht="16" thickBot="1" x14ac:dyDescent="0.25">
      <c r="A125" s="61" t="s">
        <v>16</v>
      </c>
      <c r="B125" t="s">
        <v>193</v>
      </c>
      <c r="C125" t="s">
        <v>195</v>
      </c>
      <c r="D125" t="e">
        <f>'Summary Data'!D122</f>
        <v>#VALUE!</v>
      </c>
      <c r="E125" s="57" t="e">
        <f>'Summary Data'!E122</f>
        <v>#VALUE!</v>
      </c>
      <c r="F125" s="57" t="e">
        <f>'Summary Data'!F122*C$3</f>
        <v>#VALUE!</v>
      </c>
      <c r="G125" s="57" t="e">
        <f>'Summary Data'!G122*D$3</f>
        <v>#VALUE!</v>
      </c>
      <c r="H125" s="57" t="e">
        <f>'Summary Data'!H122*E$3</f>
        <v>#VALUE!</v>
      </c>
      <c r="I125" s="57" t="e">
        <f>'Summary Data'!I122*F$3</f>
        <v>#VALUE!</v>
      </c>
      <c r="J125" s="57" t="e">
        <f>'Summary Data'!J122*G$3</f>
        <v>#VALUE!</v>
      </c>
      <c r="K125" s="57" t="e">
        <f>'Summary Data'!K122*H$3</f>
        <v>#VALUE!</v>
      </c>
      <c r="L125" s="57" t="e">
        <f>'Summary Data'!L122*I$3</f>
        <v>#VALUE!</v>
      </c>
      <c r="M125" s="57" t="e">
        <f>'Summary Data'!M122*J$3</f>
        <v>#VALUE!</v>
      </c>
      <c r="N125" s="57" t="e">
        <f>'Summary Data'!N122*K$3</f>
        <v>#VALUE!</v>
      </c>
      <c r="O125" s="57" t="e">
        <f>'Summary Data'!O122*L$3</f>
        <v>#VALUE!</v>
      </c>
      <c r="P125" s="57" t="e">
        <f>'Summary Data'!P122*M$3</f>
        <v>#VALUE!</v>
      </c>
      <c r="Q125" s="57" t="e">
        <f>'Summary Data'!Q122*N$3</f>
        <v>#VALUE!</v>
      </c>
      <c r="R125" s="57" t="e">
        <f>'Summary Data'!R122*O$3</f>
        <v>#VALUE!</v>
      </c>
      <c r="S125" s="57" t="e">
        <f>'Summary Data'!S122*P$3</f>
        <v>#VALUE!</v>
      </c>
      <c r="T125" s="57" t="e">
        <f>(_xlfn.XLOOKUP(A125,'Round 1 Points'!$A$10:$A$144,'Round 1 Points'!$T$10:$T$144,0)+_xlfn.XLOOKUP(A125,'Round 2 Points'!$A$10:$A$146,'Round 2 Points'!$T$10:$T$146,0)+_xlfn.XLOOKUP(A125,'Round 3 Points'!$A$10:$A$145,'Round 3 Points'!$T$10:$T$145,0)+_xlfn.XLOOKUP(A125,'Round 4 Points'!$A$10:$A$147,'Round 4 Points'!$T$10:$T$147,0))/D125</f>
        <v>#VALUE!</v>
      </c>
      <c r="U125" s="57" t="e">
        <f>'Summary Data'!T122*Q$3</f>
        <v>#VALUE!</v>
      </c>
      <c r="V125" s="57">
        <f>(_xlfn.XLOOKUP(A125,'Round 1 Points'!$A$10:$A$144,'Round 1 Points'!$V$10:$V$144,0)+_xlfn.XLOOKUP(A125,'Round 2 Points'!$A$10:$A$146,'Round 2 Points'!$V$10:$V$146,0)+_xlfn.XLOOKUP(A125,'Round 3 Points'!$A$10:$A$145,'Round 3 Points'!$V$10:$V$145,0)+_xlfn.XLOOKUP(A125,'Round 4 Points'!$A$10:$A$147,'Round 4 Points'!$V$10:$V$147,0))</f>
        <v>17.5</v>
      </c>
      <c r="W125" s="72" t="e">
        <f t="shared" si="1"/>
        <v>#VALUE!</v>
      </c>
    </row>
    <row r="126" spans="1:23" ht="16" thickBot="1" x14ac:dyDescent="0.25">
      <c r="A126" s="63" t="s">
        <v>17</v>
      </c>
      <c r="B126" t="s">
        <v>193</v>
      </c>
      <c r="C126" t="s">
        <v>196</v>
      </c>
      <c r="D126" t="e">
        <f>'Summary Data'!D123</f>
        <v>#VALUE!</v>
      </c>
      <c r="E126" s="57" t="e">
        <f>'Summary Data'!E123</f>
        <v>#VALUE!</v>
      </c>
      <c r="F126" s="57" t="e">
        <f>'Summary Data'!F123*C$3</f>
        <v>#VALUE!</v>
      </c>
      <c r="G126" s="57" t="e">
        <f>'Summary Data'!G123*D$3</f>
        <v>#VALUE!</v>
      </c>
      <c r="H126" s="57" t="e">
        <f>'Summary Data'!H123*E$3</f>
        <v>#VALUE!</v>
      </c>
      <c r="I126" s="57" t="e">
        <f>'Summary Data'!I123*F$3</f>
        <v>#VALUE!</v>
      </c>
      <c r="J126" s="57" t="e">
        <f>'Summary Data'!J123*G$3</f>
        <v>#VALUE!</v>
      </c>
      <c r="K126" s="57" t="e">
        <f>'Summary Data'!K123*H$3</f>
        <v>#VALUE!</v>
      </c>
      <c r="L126" s="57" t="e">
        <f>'Summary Data'!L123*I$3</f>
        <v>#VALUE!</v>
      </c>
      <c r="M126" s="57" t="e">
        <f>'Summary Data'!M123*J$3</f>
        <v>#VALUE!</v>
      </c>
      <c r="N126" s="57" t="e">
        <f>'Summary Data'!N123*K$3</f>
        <v>#VALUE!</v>
      </c>
      <c r="O126" s="57" t="e">
        <f>'Summary Data'!O123*L$3</f>
        <v>#VALUE!</v>
      </c>
      <c r="P126" s="57" t="e">
        <f>'Summary Data'!P123*M$3</f>
        <v>#VALUE!</v>
      </c>
      <c r="Q126" s="57" t="e">
        <f>'Summary Data'!Q123*N$3</f>
        <v>#VALUE!</v>
      </c>
      <c r="R126" s="57" t="e">
        <f>'Summary Data'!R123*O$3</f>
        <v>#VALUE!</v>
      </c>
      <c r="S126" s="57" t="e">
        <f>'Summary Data'!S123*P$3</f>
        <v>#VALUE!</v>
      </c>
      <c r="T126" s="57" t="e">
        <f>(_xlfn.XLOOKUP(A126,'Round 1 Points'!$A$10:$A$144,'Round 1 Points'!$T$10:$T$144,0)+_xlfn.XLOOKUP(A126,'Round 2 Points'!$A$10:$A$146,'Round 2 Points'!$T$10:$T$146,0)+_xlfn.XLOOKUP(A126,'Round 3 Points'!$A$10:$A$145,'Round 3 Points'!$T$10:$T$145,0)+_xlfn.XLOOKUP(A126,'Round 4 Points'!$A$10:$A$147,'Round 4 Points'!$T$10:$T$147,0))/D126</f>
        <v>#VALUE!</v>
      </c>
      <c r="U126" s="57" t="e">
        <f>'Summary Data'!T123*Q$3</f>
        <v>#VALUE!</v>
      </c>
      <c r="V126" s="57">
        <f>(_xlfn.XLOOKUP(A126,'Round 1 Points'!$A$10:$A$144,'Round 1 Points'!$V$10:$V$144,0)+_xlfn.XLOOKUP(A126,'Round 2 Points'!$A$10:$A$146,'Round 2 Points'!$V$10:$V$146,0)+_xlfn.XLOOKUP(A126,'Round 3 Points'!$A$10:$A$145,'Round 3 Points'!$V$10:$V$145,0)+_xlfn.XLOOKUP(A126,'Round 4 Points'!$A$10:$A$147,'Round 4 Points'!$V$10:$V$147,0))</f>
        <v>2.6</v>
      </c>
      <c r="W126" s="72" t="e">
        <f t="shared" si="1"/>
        <v>#VALUE!</v>
      </c>
    </row>
    <row r="127" spans="1:23" ht="16" thickBot="1" x14ac:dyDescent="0.25">
      <c r="A127" s="61" t="s">
        <v>18</v>
      </c>
      <c r="B127" t="s">
        <v>193</v>
      </c>
      <c r="C127" t="s">
        <v>196</v>
      </c>
      <c r="D127" t="e">
        <f>'Summary Data'!D124</f>
        <v>#VALUE!</v>
      </c>
      <c r="E127" s="57" t="e">
        <f>'Summary Data'!E124</f>
        <v>#VALUE!</v>
      </c>
      <c r="F127" s="57" t="e">
        <f>'Summary Data'!F124*C$3</f>
        <v>#VALUE!</v>
      </c>
      <c r="G127" s="57" t="e">
        <f>'Summary Data'!G124*D$3</f>
        <v>#VALUE!</v>
      </c>
      <c r="H127" s="57" t="e">
        <f>'Summary Data'!H124*E$3</f>
        <v>#VALUE!</v>
      </c>
      <c r="I127" s="57" t="e">
        <f>'Summary Data'!I124*F$3</f>
        <v>#VALUE!</v>
      </c>
      <c r="J127" s="57" t="e">
        <f>'Summary Data'!J124*G$3</f>
        <v>#VALUE!</v>
      </c>
      <c r="K127" s="57" t="e">
        <f>'Summary Data'!K124*H$3</f>
        <v>#VALUE!</v>
      </c>
      <c r="L127" s="57" t="e">
        <f>'Summary Data'!L124*I$3</f>
        <v>#VALUE!</v>
      </c>
      <c r="M127" s="57" t="e">
        <f>'Summary Data'!M124*J$3</f>
        <v>#VALUE!</v>
      </c>
      <c r="N127" s="57" t="e">
        <f>'Summary Data'!N124*K$3</f>
        <v>#VALUE!</v>
      </c>
      <c r="O127" s="57" t="e">
        <f>'Summary Data'!O124*L$3</f>
        <v>#VALUE!</v>
      </c>
      <c r="P127" s="57" t="e">
        <f>'Summary Data'!P124*M$3</f>
        <v>#VALUE!</v>
      </c>
      <c r="Q127" s="57" t="e">
        <f>'Summary Data'!Q124*N$3</f>
        <v>#VALUE!</v>
      </c>
      <c r="R127" s="57" t="e">
        <f>'Summary Data'!R124*O$3</f>
        <v>#VALUE!</v>
      </c>
      <c r="S127" s="57" t="e">
        <f>'Summary Data'!S124*P$3</f>
        <v>#VALUE!</v>
      </c>
      <c r="T127" s="57" t="e">
        <f>(_xlfn.XLOOKUP(A127,'Round 1 Points'!$A$10:$A$144,'Round 1 Points'!$T$10:$T$144,0)+_xlfn.XLOOKUP(A127,'Round 2 Points'!$A$10:$A$146,'Round 2 Points'!$T$10:$T$146,0)+_xlfn.XLOOKUP(A127,'Round 3 Points'!$A$10:$A$145,'Round 3 Points'!$T$10:$T$145,0)+_xlfn.XLOOKUP(A127,'Round 4 Points'!$A$10:$A$147,'Round 4 Points'!$T$10:$T$147,0))/D127</f>
        <v>#VALUE!</v>
      </c>
      <c r="U127" s="57" t="e">
        <f>'Summary Data'!T124*Q$3</f>
        <v>#VALUE!</v>
      </c>
      <c r="V127" s="57">
        <f>(_xlfn.XLOOKUP(A127,'Round 1 Points'!$A$10:$A$144,'Round 1 Points'!$V$10:$V$144,0)+_xlfn.XLOOKUP(A127,'Round 2 Points'!$A$10:$A$146,'Round 2 Points'!$V$10:$V$146,0)+_xlfn.XLOOKUP(A127,'Round 3 Points'!$A$10:$A$145,'Round 3 Points'!$V$10:$V$145,0)+_xlfn.XLOOKUP(A127,'Round 4 Points'!$A$10:$A$147,'Round 4 Points'!$V$10:$V$147,0))</f>
        <v>20.7</v>
      </c>
      <c r="W127" s="72" t="e">
        <f t="shared" si="1"/>
        <v>#VALUE!</v>
      </c>
    </row>
    <row r="128" spans="1:23" ht="16" thickBot="1" x14ac:dyDescent="0.25">
      <c r="A128" s="63" t="s">
        <v>19</v>
      </c>
      <c r="B128" t="s">
        <v>193</v>
      </c>
      <c r="C128" t="s">
        <v>197</v>
      </c>
      <c r="D128" t="e">
        <f>'Summary Data'!D125</f>
        <v>#VALUE!</v>
      </c>
      <c r="E128" s="57" t="e">
        <f>'Summary Data'!E125</f>
        <v>#VALUE!</v>
      </c>
      <c r="F128" s="57" t="e">
        <f>'Summary Data'!F125*C$3</f>
        <v>#VALUE!</v>
      </c>
      <c r="G128" s="57" t="e">
        <f>'Summary Data'!G125*D$3</f>
        <v>#VALUE!</v>
      </c>
      <c r="H128" s="57" t="e">
        <f>'Summary Data'!H125*E$3</f>
        <v>#VALUE!</v>
      </c>
      <c r="I128" s="57" t="e">
        <f>'Summary Data'!I125*F$3</f>
        <v>#VALUE!</v>
      </c>
      <c r="J128" s="57" t="e">
        <f>'Summary Data'!J125*G$3</f>
        <v>#VALUE!</v>
      </c>
      <c r="K128" s="57" t="e">
        <f>'Summary Data'!K125*H$3</f>
        <v>#VALUE!</v>
      </c>
      <c r="L128" s="57" t="e">
        <f>'Summary Data'!L125*I$3</f>
        <v>#VALUE!</v>
      </c>
      <c r="M128" s="57" t="e">
        <f>'Summary Data'!M125*J$3</f>
        <v>#VALUE!</v>
      </c>
      <c r="N128" s="57" t="e">
        <f>'Summary Data'!N125*K$3</f>
        <v>#VALUE!</v>
      </c>
      <c r="O128" s="57" t="e">
        <f>'Summary Data'!O125*L$3</f>
        <v>#VALUE!</v>
      </c>
      <c r="P128" s="57" t="e">
        <f>'Summary Data'!P125*M$3</f>
        <v>#VALUE!</v>
      </c>
      <c r="Q128" s="57" t="e">
        <f>'Summary Data'!Q125*N$3</f>
        <v>#VALUE!</v>
      </c>
      <c r="R128" s="57" t="e">
        <f>'Summary Data'!R125*O$3</f>
        <v>#VALUE!</v>
      </c>
      <c r="S128" s="57" t="e">
        <f>'Summary Data'!S125*P$3</f>
        <v>#VALUE!</v>
      </c>
      <c r="T128" s="57" t="e">
        <f>(_xlfn.XLOOKUP(A128,'Round 1 Points'!$A$10:$A$144,'Round 1 Points'!$T$10:$T$144,0)+_xlfn.XLOOKUP(A128,'Round 2 Points'!$A$10:$A$146,'Round 2 Points'!$T$10:$T$146,0)+_xlfn.XLOOKUP(A128,'Round 3 Points'!$A$10:$A$145,'Round 3 Points'!$T$10:$T$145,0)+_xlfn.XLOOKUP(A128,'Round 4 Points'!$A$10:$A$147,'Round 4 Points'!$T$10:$T$147,0))/D128</f>
        <v>#VALUE!</v>
      </c>
      <c r="U128" s="57" t="e">
        <f>'Summary Data'!T125*Q$3</f>
        <v>#VALUE!</v>
      </c>
      <c r="V128" s="57">
        <f>(_xlfn.XLOOKUP(A128,'Round 1 Points'!$A$10:$A$144,'Round 1 Points'!$V$10:$V$144,0)+_xlfn.XLOOKUP(A128,'Round 2 Points'!$A$10:$A$146,'Round 2 Points'!$V$10:$V$146,0)+_xlfn.XLOOKUP(A128,'Round 3 Points'!$A$10:$A$145,'Round 3 Points'!$V$10:$V$145,0)+_xlfn.XLOOKUP(A128,'Round 4 Points'!$A$10:$A$147,'Round 4 Points'!$V$10:$V$147,0))</f>
        <v>22.9</v>
      </c>
      <c r="W128" s="72" t="e">
        <f t="shared" si="1"/>
        <v>#VALUE!</v>
      </c>
    </row>
    <row r="129" spans="1:23" ht="16" thickBot="1" x14ac:dyDescent="0.25">
      <c r="A129" s="61" t="s">
        <v>20</v>
      </c>
      <c r="B129" t="s">
        <v>193</v>
      </c>
      <c r="C129" t="s">
        <v>198</v>
      </c>
      <c r="D129" t="e">
        <f>'Summary Data'!D126</f>
        <v>#VALUE!</v>
      </c>
      <c r="E129" s="57" t="e">
        <f>'Summary Data'!E126</f>
        <v>#VALUE!</v>
      </c>
      <c r="F129" s="57" t="e">
        <f>'Summary Data'!F126*C$3</f>
        <v>#VALUE!</v>
      </c>
      <c r="G129" s="57" t="e">
        <f>'Summary Data'!G126*D$3</f>
        <v>#VALUE!</v>
      </c>
      <c r="H129" s="57" t="e">
        <f>'Summary Data'!H126*E$3</f>
        <v>#VALUE!</v>
      </c>
      <c r="I129" s="57" t="e">
        <f>'Summary Data'!I126*F$3</f>
        <v>#VALUE!</v>
      </c>
      <c r="J129" s="57" t="e">
        <f>'Summary Data'!J126*G$3</f>
        <v>#VALUE!</v>
      </c>
      <c r="K129" s="57" t="e">
        <f>'Summary Data'!K126*H$3</f>
        <v>#VALUE!</v>
      </c>
      <c r="L129" s="57" t="e">
        <f>'Summary Data'!L126*I$3</f>
        <v>#VALUE!</v>
      </c>
      <c r="M129" s="57" t="e">
        <f>'Summary Data'!M126*J$3</f>
        <v>#VALUE!</v>
      </c>
      <c r="N129" s="57" t="e">
        <f>'Summary Data'!N126*K$3</f>
        <v>#VALUE!</v>
      </c>
      <c r="O129" s="57" t="e">
        <f>'Summary Data'!O126*L$3</f>
        <v>#VALUE!</v>
      </c>
      <c r="P129" s="57" t="e">
        <f>'Summary Data'!P126*M$3</f>
        <v>#VALUE!</v>
      </c>
      <c r="Q129" s="57" t="e">
        <f>'Summary Data'!Q126*N$3</f>
        <v>#VALUE!</v>
      </c>
      <c r="R129" s="57" t="e">
        <f>'Summary Data'!R126*O$3</f>
        <v>#VALUE!</v>
      </c>
      <c r="S129" s="57" t="e">
        <f>'Summary Data'!S126*P$3</f>
        <v>#VALUE!</v>
      </c>
      <c r="T129" s="57" t="e">
        <f>(_xlfn.XLOOKUP(A129,'Round 1 Points'!$A$10:$A$144,'Round 1 Points'!$T$10:$T$144,0)+_xlfn.XLOOKUP(A129,'Round 2 Points'!$A$10:$A$146,'Round 2 Points'!$T$10:$T$146,0)+_xlfn.XLOOKUP(A129,'Round 3 Points'!$A$10:$A$145,'Round 3 Points'!$T$10:$T$145,0)+_xlfn.XLOOKUP(A129,'Round 4 Points'!$A$10:$A$147,'Round 4 Points'!$T$10:$T$147,0))/D129</f>
        <v>#VALUE!</v>
      </c>
      <c r="U129" s="57" t="e">
        <f>'Summary Data'!T126*Q$3</f>
        <v>#VALUE!</v>
      </c>
      <c r="V129" s="57">
        <f>(_xlfn.XLOOKUP(A129,'Round 1 Points'!$A$10:$A$144,'Round 1 Points'!$V$10:$V$144,0)+_xlfn.XLOOKUP(A129,'Round 2 Points'!$A$10:$A$146,'Round 2 Points'!$V$10:$V$146,0)+_xlfn.XLOOKUP(A129,'Round 3 Points'!$A$10:$A$145,'Round 3 Points'!$V$10:$V$145,0)+_xlfn.XLOOKUP(A129,'Round 4 Points'!$A$10:$A$147,'Round 4 Points'!$V$10:$V$147,0))</f>
        <v>15.3</v>
      </c>
      <c r="W129" s="72" t="e">
        <f t="shared" si="1"/>
        <v>#VALUE!</v>
      </c>
    </row>
    <row r="130" spans="1:23" ht="16" thickBot="1" x14ac:dyDescent="0.25">
      <c r="A130" s="63" t="s">
        <v>22</v>
      </c>
      <c r="B130" t="s">
        <v>193</v>
      </c>
      <c r="C130" t="s">
        <v>198</v>
      </c>
      <c r="D130" t="e">
        <f>'Summary Data'!D127</f>
        <v>#VALUE!</v>
      </c>
      <c r="E130" s="57" t="e">
        <f>'Summary Data'!E127</f>
        <v>#VALUE!</v>
      </c>
      <c r="F130" s="57" t="e">
        <f>'Summary Data'!F127*C$3</f>
        <v>#VALUE!</v>
      </c>
      <c r="G130" s="57" t="e">
        <f>'Summary Data'!G127*D$3</f>
        <v>#VALUE!</v>
      </c>
      <c r="H130" s="57" t="e">
        <f>'Summary Data'!H127*E$3</f>
        <v>#VALUE!</v>
      </c>
      <c r="I130" s="57" t="e">
        <f>'Summary Data'!I127*F$3</f>
        <v>#VALUE!</v>
      </c>
      <c r="J130" s="57" t="e">
        <f>'Summary Data'!J127*G$3</f>
        <v>#VALUE!</v>
      </c>
      <c r="K130" s="57" t="e">
        <f>'Summary Data'!K127*H$3</f>
        <v>#VALUE!</v>
      </c>
      <c r="L130" s="57" t="e">
        <f>'Summary Data'!L127*I$3</f>
        <v>#VALUE!</v>
      </c>
      <c r="M130" s="57" t="e">
        <f>'Summary Data'!M127*J$3</f>
        <v>#VALUE!</v>
      </c>
      <c r="N130" s="57" t="e">
        <f>'Summary Data'!N127*K$3</f>
        <v>#VALUE!</v>
      </c>
      <c r="O130" s="57" t="e">
        <f>'Summary Data'!O127*L$3</f>
        <v>#VALUE!</v>
      </c>
      <c r="P130" s="57" t="e">
        <f>'Summary Data'!P127*M$3</f>
        <v>#VALUE!</v>
      </c>
      <c r="Q130" s="57" t="e">
        <f>'Summary Data'!Q127*N$3</f>
        <v>#VALUE!</v>
      </c>
      <c r="R130" s="57" t="e">
        <f>'Summary Data'!R127*O$3</f>
        <v>#VALUE!</v>
      </c>
      <c r="S130" s="57" t="e">
        <f>'Summary Data'!S127*P$3</f>
        <v>#VALUE!</v>
      </c>
      <c r="T130" s="57" t="e">
        <f>(_xlfn.XLOOKUP(A130,'Round 1 Points'!$A$10:$A$144,'Round 1 Points'!$T$10:$T$144,0)+_xlfn.XLOOKUP(A130,'Round 2 Points'!$A$10:$A$146,'Round 2 Points'!$T$10:$T$146,0)+_xlfn.XLOOKUP(A130,'Round 3 Points'!$A$10:$A$145,'Round 3 Points'!$T$10:$T$145,0)+_xlfn.XLOOKUP(A130,'Round 4 Points'!$A$10:$A$147,'Round 4 Points'!$T$10:$T$147,0))/D130</f>
        <v>#VALUE!</v>
      </c>
      <c r="U130" s="57" t="e">
        <f>'Summary Data'!T127*Q$3</f>
        <v>#VALUE!</v>
      </c>
      <c r="V130" s="57">
        <f>(_xlfn.XLOOKUP(A130,'Round 1 Points'!$A$10:$A$144,'Round 1 Points'!$V$10:$V$144,0)+_xlfn.XLOOKUP(A130,'Round 2 Points'!$A$10:$A$146,'Round 2 Points'!$V$10:$V$146,0)+_xlfn.XLOOKUP(A130,'Round 3 Points'!$A$10:$A$145,'Round 3 Points'!$V$10:$V$145,0)+_xlfn.XLOOKUP(A130,'Round 4 Points'!$A$10:$A$147,'Round 4 Points'!$V$10:$V$147,0))</f>
        <v>9.6999999999999993</v>
      </c>
      <c r="W130" s="72" t="e">
        <f t="shared" si="1"/>
        <v>#VALUE!</v>
      </c>
    </row>
    <row r="131" spans="1:23" ht="16" thickBot="1" x14ac:dyDescent="0.25">
      <c r="A131" s="61" t="s">
        <v>23</v>
      </c>
      <c r="B131" t="s">
        <v>193</v>
      </c>
      <c r="C131" t="s">
        <v>198</v>
      </c>
      <c r="D131" t="e">
        <f>'Summary Data'!D128</f>
        <v>#VALUE!</v>
      </c>
      <c r="E131" s="57" t="e">
        <f>'Summary Data'!E128</f>
        <v>#VALUE!</v>
      </c>
      <c r="F131" s="57" t="e">
        <f>'Summary Data'!F128*C$3</f>
        <v>#VALUE!</v>
      </c>
      <c r="G131" s="57" t="e">
        <f>'Summary Data'!G128*D$3</f>
        <v>#VALUE!</v>
      </c>
      <c r="H131" s="57" t="e">
        <f>'Summary Data'!H128*E$3</f>
        <v>#VALUE!</v>
      </c>
      <c r="I131" s="57" t="e">
        <f>'Summary Data'!I128*F$3</f>
        <v>#VALUE!</v>
      </c>
      <c r="J131" s="57" t="e">
        <f>'Summary Data'!J128*G$3</f>
        <v>#VALUE!</v>
      </c>
      <c r="K131" s="57" t="e">
        <f>'Summary Data'!K128*H$3</f>
        <v>#VALUE!</v>
      </c>
      <c r="L131" s="57" t="e">
        <f>'Summary Data'!L128*I$3</f>
        <v>#VALUE!</v>
      </c>
      <c r="M131" s="57" t="e">
        <f>'Summary Data'!M128*J$3</f>
        <v>#VALUE!</v>
      </c>
      <c r="N131" s="57" t="e">
        <f>'Summary Data'!N128*K$3</f>
        <v>#VALUE!</v>
      </c>
      <c r="O131" s="57" t="e">
        <f>'Summary Data'!O128*L$3</f>
        <v>#VALUE!</v>
      </c>
      <c r="P131" s="57" t="e">
        <f>'Summary Data'!P128*M$3</f>
        <v>#VALUE!</v>
      </c>
      <c r="Q131" s="57" t="e">
        <f>'Summary Data'!Q128*N$3</f>
        <v>#VALUE!</v>
      </c>
      <c r="R131" s="57" t="e">
        <f>'Summary Data'!R128*O$3</f>
        <v>#VALUE!</v>
      </c>
      <c r="S131" s="57" t="e">
        <f>'Summary Data'!S128*P$3</f>
        <v>#VALUE!</v>
      </c>
      <c r="T131" s="57" t="e">
        <f>(_xlfn.XLOOKUP(A131,'Round 1 Points'!$A$10:$A$144,'Round 1 Points'!$T$10:$T$144,0)+_xlfn.XLOOKUP(A131,'Round 2 Points'!$A$10:$A$146,'Round 2 Points'!$T$10:$T$146,0)+_xlfn.XLOOKUP(A131,'Round 3 Points'!$A$10:$A$145,'Round 3 Points'!$T$10:$T$145,0)+_xlfn.XLOOKUP(A131,'Round 4 Points'!$A$10:$A$147,'Round 4 Points'!$T$10:$T$147,0))/D131</f>
        <v>#VALUE!</v>
      </c>
      <c r="U131" s="57" t="e">
        <f>'Summary Data'!T128*Q$3</f>
        <v>#VALUE!</v>
      </c>
      <c r="V131" s="57">
        <f>(_xlfn.XLOOKUP(A131,'Round 1 Points'!$A$10:$A$144,'Round 1 Points'!$V$10:$V$144,0)+_xlfn.XLOOKUP(A131,'Round 2 Points'!$A$10:$A$146,'Round 2 Points'!$V$10:$V$146,0)+_xlfn.XLOOKUP(A131,'Round 3 Points'!$A$10:$A$145,'Round 3 Points'!$V$10:$V$145,0)+_xlfn.XLOOKUP(A131,'Round 4 Points'!$A$10:$A$147,'Round 4 Points'!$V$10:$V$147,0))</f>
        <v>3.7</v>
      </c>
      <c r="W131" s="72" t="e">
        <f t="shared" si="1"/>
        <v>#VALUE!</v>
      </c>
    </row>
    <row r="132" spans="1:23" ht="16" thickBot="1" x14ac:dyDescent="0.25">
      <c r="A132" s="63" t="s">
        <v>24</v>
      </c>
      <c r="B132" t="s">
        <v>193</v>
      </c>
      <c r="C132" t="s">
        <v>198</v>
      </c>
      <c r="D132" t="e">
        <f>'Summary Data'!D129</f>
        <v>#VALUE!</v>
      </c>
      <c r="E132" s="57" t="e">
        <f>'Summary Data'!E129</f>
        <v>#VALUE!</v>
      </c>
      <c r="F132" s="57" t="e">
        <f>'Summary Data'!F129*C$3</f>
        <v>#VALUE!</v>
      </c>
      <c r="G132" s="57" t="e">
        <f>'Summary Data'!G129*D$3</f>
        <v>#VALUE!</v>
      </c>
      <c r="H132" s="57" t="e">
        <f>'Summary Data'!H129*E$3</f>
        <v>#VALUE!</v>
      </c>
      <c r="I132" s="57" t="e">
        <f>'Summary Data'!I129*F$3</f>
        <v>#VALUE!</v>
      </c>
      <c r="J132" s="57" t="e">
        <f>'Summary Data'!J129*G$3</f>
        <v>#VALUE!</v>
      </c>
      <c r="K132" s="57" t="e">
        <f>'Summary Data'!K129*H$3</f>
        <v>#VALUE!</v>
      </c>
      <c r="L132" s="57" t="e">
        <f>'Summary Data'!L129*I$3</f>
        <v>#VALUE!</v>
      </c>
      <c r="M132" s="57" t="e">
        <f>'Summary Data'!M129*J$3</f>
        <v>#VALUE!</v>
      </c>
      <c r="N132" s="57" t="e">
        <f>'Summary Data'!N129*K$3</f>
        <v>#VALUE!</v>
      </c>
      <c r="O132" s="57" t="e">
        <f>'Summary Data'!O129*L$3</f>
        <v>#VALUE!</v>
      </c>
      <c r="P132" s="57" t="e">
        <f>'Summary Data'!P129*M$3</f>
        <v>#VALUE!</v>
      </c>
      <c r="Q132" s="57" t="e">
        <f>'Summary Data'!Q129*N$3</f>
        <v>#VALUE!</v>
      </c>
      <c r="R132" s="57" t="e">
        <f>'Summary Data'!R129*O$3</f>
        <v>#VALUE!</v>
      </c>
      <c r="S132" s="57" t="e">
        <f>'Summary Data'!S129*P$3</f>
        <v>#VALUE!</v>
      </c>
      <c r="T132" s="57" t="e">
        <f>(_xlfn.XLOOKUP(A132,'Round 1 Points'!$A$10:$A$144,'Round 1 Points'!$T$10:$T$144,0)+_xlfn.XLOOKUP(A132,'Round 2 Points'!$A$10:$A$146,'Round 2 Points'!$T$10:$T$146,0)+_xlfn.XLOOKUP(A132,'Round 3 Points'!$A$10:$A$145,'Round 3 Points'!$T$10:$T$145,0)+_xlfn.XLOOKUP(A132,'Round 4 Points'!$A$10:$A$147,'Round 4 Points'!$T$10:$T$147,0))/D132</f>
        <v>#VALUE!</v>
      </c>
      <c r="U132" s="57" t="e">
        <f>'Summary Data'!T129*Q$3</f>
        <v>#VALUE!</v>
      </c>
      <c r="V132" s="57">
        <f>(_xlfn.XLOOKUP(A132,'Round 1 Points'!$A$10:$A$144,'Round 1 Points'!$V$10:$V$144,0)+_xlfn.XLOOKUP(A132,'Round 2 Points'!$A$10:$A$146,'Round 2 Points'!$V$10:$V$146,0)+_xlfn.XLOOKUP(A132,'Round 3 Points'!$A$10:$A$145,'Round 3 Points'!$V$10:$V$145,0)+_xlfn.XLOOKUP(A132,'Round 4 Points'!$A$10:$A$147,'Round 4 Points'!$V$10:$V$147,0))</f>
        <v>21.2</v>
      </c>
      <c r="W132" s="72" t="e">
        <f t="shared" si="1"/>
        <v>#VALUE!</v>
      </c>
    </row>
    <row r="133" spans="1:23" ht="16" thickBot="1" x14ac:dyDescent="0.25">
      <c r="A133" s="61" t="s">
        <v>25</v>
      </c>
      <c r="B133" t="s">
        <v>193</v>
      </c>
      <c r="C133" t="s">
        <v>199</v>
      </c>
      <c r="D133" t="e">
        <f>'Summary Data'!D130</f>
        <v>#VALUE!</v>
      </c>
      <c r="E133" s="57" t="e">
        <f>'Summary Data'!E130</f>
        <v>#VALUE!</v>
      </c>
      <c r="F133" s="57" t="e">
        <f>'Summary Data'!F130*C$3</f>
        <v>#VALUE!</v>
      </c>
      <c r="G133" s="57" t="e">
        <f>'Summary Data'!G130*D$3</f>
        <v>#VALUE!</v>
      </c>
      <c r="H133" s="57" t="e">
        <f>'Summary Data'!H130*E$3</f>
        <v>#VALUE!</v>
      </c>
      <c r="I133" s="57" t="e">
        <f>'Summary Data'!I130*F$3</f>
        <v>#VALUE!</v>
      </c>
      <c r="J133" s="57" t="e">
        <f>'Summary Data'!J130*G$3</f>
        <v>#VALUE!</v>
      </c>
      <c r="K133" s="57" t="e">
        <f>'Summary Data'!K130*H$3</f>
        <v>#VALUE!</v>
      </c>
      <c r="L133" s="57" t="e">
        <f>'Summary Data'!L130*I$3</f>
        <v>#VALUE!</v>
      </c>
      <c r="M133" s="57" t="e">
        <f>'Summary Data'!M130*J$3</f>
        <v>#VALUE!</v>
      </c>
      <c r="N133" s="57" t="e">
        <f>'Summary Data'!N130*K$3</f>
        <v>#VALUE!</v>
      </c>
      <c r="O133" s="57" t="e">
        <f>'Summary Data'!O130*L$3</f>
        <v>#VALUE!</v>
      </c>
      <c r="P133" s="57" t="e">
        <f>'Summary Data'!P130*M$3</f>
        <v>#VALUE!</v>
      </c>
      <c r="Q133" s="57" t="e">
        <f>'Summary Data'!Q130*N$3</f>
        <v>#VALUE!</v>
      </c>
      <c r="R133" s="57" t="e">
        <f>'Summary Data'!R130*O$3</f>
        <v>#VALUE!</v>
      </c>
      <c r="S133" s="57" t="e">
        <f>'Summary Data'!S130*P$3</f>
        <v>#VALUE!</v>
      </c>
      <c r="T133" s="57" t="e">
        <f>(_xlfn.XLOOKUP(A133,'Round 1 Points'!$A$10:$A$144,'Round 1 Points'!$T$10:$T$144,0)+_xlfn.XLOOKUP(A133,'Round 2 Points'!$A$10:$A$146,'Round 2 Points'!$T$10:$T$146,0)+_xlfn.XLOOKUP(A133,'Round 3 Points'!$A$10:$A$145,'Round 3 Points'!$T$10:$T$145,0)+_xlfn.XLOOKUP(A133,'Round 4 Points'!$A$10:$A$147,'Round 4 Points'!$T$10:$T$147,0))/D133</f>
        <v>#VALUE!</v>
      </c>
      <c r="U133" s="57" t="e">
        <f>'Summary Data'!T130*Q$3</f>
        <v>#VALUE!</v>
      </c>
      <c r="V133" s="57">
        <f>(_xlfn.XLOOKUP(A133,'Round 1 Points'!$A$10:$A$144,'Round 1 Points'!$V$10:$V$144,0)+_xlfn.XLOOKUP(A133,'Round 2 Points'!$A$10:$A$146,'Round 2 Points'!$V$10:$V$146,0)+_xlfn.XLOOKUP(A133,'Round 3 Points'!$A$10:$A$145,'Round 3 Points'!$V$10:$V$145,0)+_xlfn.XLOOKUP(A133,'Round 4 Points'!$A$10:$A$147,'Round 4 Points'!$V$10:$V$147,0))</f>
        <v>24</v>
      </c>
      <c r="W133" s="72" t="e">
        <f t="shared" si="1"/>
        <v>#VALUE!</v>
      </c>
    </row>
    <row r="134" spans="1:23" ht="16" thickBot="1" x14ac:dyDescent="0.25">
      <c r="A134" s="63" t="s">
        <v>26</v>
      </c>
      <c r="B134" t="s">
        <v>193</v>
      </c>
      <c r="C134" t="s">
        <v>199</v>
      </c>
      <c r="D134" t="e">
        <f>'Summary Data'!D131</f>
        <v>#VALUE!</v>
      </c>
      <c r="E134" s="57" t="e">
        <f>'Summary Data'!E131</f>
        <v>#VALUE!</v>
      </c>
      <c r="F134" s="57" t="e">
        <f>'Summary Data'!F131*C$3</f>
        <v>#VALUE!</v>
      </c>
      <c r="G134" s="57" t="e">
        <f>'Summary Data'!G131*D$3</f>
        <v>#VALUE!</v>
      </c>
      <c r="H134" s="57" t="e">
        <f>'Summary Data'!H131*E$3</f>
        <v>#VALUE!</v>
      </c>
      <c r="I134" s="57" t="e">
        <f>'Summary Data'!I131*F$3</f>
        <v>#VALUE!</v>
      </c>
      <c r="J134" s="57" t="e">
        <f>'Summary Data'!J131*G$3</f>
        <v>#VALUE!</v>
      </c>
      <c r="K134" s="57" t="e">
        <f>'Summary Data'!K131*H$3</f>
        <v>#VALUE!</v>
      </c>
      <c r="L134" s="57" t="e">
        <f>'Summary Data'!L131*I$3</f>
        <v>#VALUE!</v>
      </c>
      <c r="M134" s="57" t="e">
        <f>'Summary Data'!M131*J$3</f>
        <v>#VALUE!</v>
      </c>
      <c r="N134" s="57" t="e">
        <f>'Summary Data'!N131*K$3</f>
        <v>#VALUE!</v>
      </c>
      <c r="O134" s="57" t="e">
        <f>'Summary Data'!O131*L$3</f>
        <v>#VALUE!</v>
      </c>
      <c r="P134" s="57" t="e">
        <f>'Summary Data'!P131*M$3</f>
        <v>#VALUE!</v>
      </c>
      <c r="Q134" s="57" t="e">
        <f>'Summary Data'!Q131*N$3</f>
        <v>#VALUE!</v>
      </c>
      <c r="R134" s="57" t="e">
        <f>'Summary Data'!R131*O$3</f>
        <v>#VALUE!</v>
      </c>
      <c r="S134" s="57" t="e">
        <f>'Summary Data'!S131*P$3</f>
        <v>#VALUE!</v>
      </c>
      <c r="T134" s="57" t="e">
        <f>(_xlfn.XLOOKUP(A134,'Round 1 Points'!$A$10:$A$144,'Round 1 Points'!$T$10:$T$144,0)+_xlfn.XLOOKUP(A134,'Round 2 Points'!$A$10:$A$146,'Round 2 Points'!$T$10:$T$146,0)+_xlfn.XLOOKUP(A134,'Round 3 Points'!$A$10:$A$145,'Round 3 Points'!$T$10:$T$145,0)+_xlfn.XLOOKUP(A134,'Round 4 Points'!$A$10:$A$147,'Round 4 Points'!$T$10:$T$147,0))/D134</f>
        <v>#VALUE!</v>
      </c>
      <c r="U134" s="57" t="e">
        <f>'Summary Data'!T131*Q$3</f>
        <v>#VALUE!</v>
      </c>
      <c r="V134" s="57">
        <f>(_xlfn.XLOOKUP(A134,'Round 1 Points'!$A$10:$A$144,'Round 1 Points'!$V$10:$V$144,0)+_xlfn.XLOOKUP(A134,'Round 2 Points'!$A$10:$A$146,'Round 2 Points'!$V$10:$V$146,0)+_xlfn.XLOOKUP(A134,'Round 3 Points'!$A$10:$A$145,'Round 3 Points'!$V$10:$V$145,0)+_xlfn.XLOOKUP(A134,'Round 4 Points'!$A$10:$A$147,'Round 4 Points'!$V$10:$V$147,0))</f>
        <v>8.3000000000000007</v>
      </c>
      <c r="W134" s="72" t="e">
        <f t="shared" si="1"/>
        <v>#VALUE!</v>
      </c>
    </row>
    <row r="135" spans="1:23" ht="16" thickBot="1" x14ac:dyDescent="0.25">
      <c r="A135" s="61" t="s">
        <v>27</v>
      </c>
      <c r="B135" t="s">
        <v>193</v>
      </c>
      <c r="C135" t="s">
        <v>199</v>
      </c>
      <c r="D135" t="e">
        <f>'Summary Data'!D132</f>
        <v>#VALUE!</v>
      </c>
      <c r="E135" s="57" t="e">
        <f>'Summary Data'!E132</f>
        <v>#VALUE!</v>
      </c>
      <c r="F135" s="57" t="e">
        <f>'Summary Data'!F132*C$3</f>
        <v>#VALUE!</v>
      </c>
      <c r="G135" s="57" t="e">
        <f>'Summary Data'!G132*D$3</f>
        <v>#VALUE!</v>
      </c>
      <c r="H135" s="57" t="e">
        <f>'Summary Data'!H132*E$3</f>
        <v>#VALUE!</v>
      </c>
      <c r="I135" s="57" t="e">
        <f>'Summary Data'!I132*F$3</f>
        <v>#VALUE!</v>
      </c>
      <c r="J135" s="57" t="e">
        <f>'Summary Data'!J132*G$3</f>
        <v>#VALUE!</v>
      </c>
      <c r="K135" s="57" t="e">
        <f>'Summary Data'!K132*H$3</f>
        <v>#VALUE!</v>
      </c>
      <c r="L135" s="57" t="e">
        <f>'Summary Data'!L132*I$3</f>
        <v>#VALUE!</v>
      </c>
      <c r="M135" s="57" t="e">
        <f>'Summary Data'!M132*J$3</f>
        <v>#VALUE!</v>
      </c>
      <c r="N135" s="57" t="e">
        <f>'Summary Data'!N132*K$3</f>
        <v>#VALUE!</v>
      </c>
      <c r="O135" s="57" t="e">
        <f>'Summary Data'!O132*L$3</f>
        <v>#VALUE!</v>
      </c>
      <c r="P135" s="57" t="e">
        <f>'Summary Data'!P132*M$3</f>
        <v>#VALUE!</v>
      </c>
      <c r="Q135" s="57" t="e">
        <f>'Summary Data'!Q132*N$3</f>
        <v>#VALUE!</v>
      </c>
      <c r="R135" s="57" t="e">
        <f>'Summary Data'!R132*O$3</f>
        <v>#VALUE!</v>
      </c>
      <c r="S135" s="57" t="e">
        <f>'Summary Data'!S132*P$3</f>
        <v>#VALUE!</v>
      </c>
      <c r="T135" s="57" t="e">
        <f>(_xlfn.XLOOKUP(A135,'Round 1 Points'!$A$10:$A$144,'Round 1 Points'!$T$10:$T$144,0)+_xlfn.XLOOKUP(A135,'Round 2 Points'!$A$10:$A$146,'Round 2 Points'!$T$10:$T$146,0)+_xlfn.XLOOKUP(A135,'Round 3 Points'!$A$10:$A$145,'Round 3 Points'!$T$10:$T$145,0)+_xlfn.XLOOKUP(A135,'Round 4 Points'!$A$10:$A$147,'Round 4 Points'!$T$10:$T$147,0))/D135</f>
        <v>#VALUE!</v>
      </c>
      <c r="U135" s="57" t="e">
        <f>'Summary Data'!T132*Q$3</f>
        <v>#VALUE!</v>
      </c>
      <c r="V135" s="57">
        <f>(_xlfn.XLOOKUP(A135,'Round 1 Points'!$A$10:$A$144,'Round 1 Points'!$V$10:$V$144,0)+_xlfn.XLOOKUP(A135,'Round 2 Points'!$A$10:$A$146,'Round 2 Points'!$V$10:$V$146,0)+_xlfn.XLOOKUP(A135,'Round 3 Points'!$A$10:$A$145,'Round 3 Points'!$V$10:$V$145,0)+_xlfn.XLOOKUP(A135,'Round 4 Points'!$A$10:$A$147,'Round 4 Points'!$V$10:$V$147,0))</f>
        <v>15.7</v>
      </c>
      <c r="W135" s="72" t="e">
        <f t="shared" si="1"/>
        <v>#VALUE!</v>
      </c>
    </row>
    <row r="136" spans="1:23" ht="16" thickBot="1" x14ac:dyDescent="0.25">
      <c r="A136" s="63" t="s">
        <v>28</v>
      </c>
      <c r="B136" t="s">
        <v>193</v>
      </c>
      <c r="C136" t="s">
        <v>200</v>
      </c>
      <c r="D136" t="e">
        <f>'Summary Data'!D133</f>
        <v>#VALUE!</v>
      </c>
      <c r="E136" s="57" t="e">
        <f>'Summary Data'!E133</f>
        <v>#VALUE!</v>
      </c>
      <c r="F136" s="57" t="e">
        <f>'Summary Data'!F133*C$3</f>
        <v>#VALUE!</v>
      </c>
      <c r="G136" s="57" t="e">
        <f>'Summary Data'!G133*D$3</f>
        <v>#VALUE!</v>
      </c>
      <c r="H136" s="57" t="e">
        <f>'Summary Data'!H133*E$3</f>
        <v>#VALUE!</v>
      </c>
      <c r="I136" s="57" t="e">
        <f>'Summary Data'!I133*F$3</f>
        <v>#VALUE!</v>
      </c>
      <c r="J136" s="57" t="e">
        <f>'Summary Data'!J133*G$3</f>
        <v>#VALUE!</v>
      </c>
      <c r="K136" s="57" t="e">
        <f>'Summary Data'!K133*H$3</f>
        <v>#VALUE!</v>
      </c>
      <c r="L136" s="57" t="e">
        <f>'Summary Data'!L133*I$3</f>
        <v>#VALUE!</v>
      </c>
      <c r="M136" s="57" t="e">
        <f>'Summary Data'!M133*J$3</f>
        <v>#VALUE!</v>
      </c>
      <c r="N136" s="57" t="e">
        <f>'Summary Data'!N133*K$3</f>
        <v>#VALUE!</v>
      </c>
      <c r="O136" s="57" t="e">
        <f>'Summary Data'!O133*L$3</f>
        <v>#VALUE!</v>
      </c>
      <c r="P136" s="57" t="e">
        <f>'Summary Data'!P133*M$3</f>
        <v>#VALUE!</v>
      </c>
      <c r="Q136" s="57" t="e">
        <f>'Summary Data'!Q133*N$3</f>
        <v>#VALUE!</v>
      </c>
      <c r="R136" s="57" t="e">
        <f>'Summary Data'!R133*O$3</f>
        <v>#VALUE!</v>
      </c>
      <c r="S136" s="57" t="e">
        <f>'Summary Data'!S133*P$3</f>
        <v>#VALUE!</v>
      </c>
      <c r="T136" s="57" t="e">
        <f>(_xlfn.XLOOKUP(A136,'Round 1 Points'!$A$10:$A$144,'Round 1 Points'!$T$10:$T$144,0)+_xlfn.XLOOKUP(A136,'Round 2 Points'!$A$10:$A$146,'Round 2 Points'!$T$10:$T$146,0)+_xlfn.XLOOKUP(A136,'Round 3 Points'!$A$10:$A$145,'Round 3 Points'!$T$10:$T$145,0)+_xlfn.XLOOKUP(A136,'Round 4 Points'!$A$10:$A$147,'Round 4 Points'!$T$10:$T$147,0))/D136</f>
        <v>#VALUE!</v>
      </c>
      <c r="U136" s="57" t="e">
        <f>'Summary Data'!T133*Q$3</f>
        <v>#VALUE!</v>
      </c>
      <c r="V136" s="57">
        <f>(_xlfn.XLOOKUP(A136,'Round 1 Points'!$A$10:$A$144,'Round 1 Points'!$V$10:$V$144,0)+_xlfn.XLOOKUP(A136,'Round 2 Points'!$A$10:$A$146,'Round 2 Points'!$V$10:$V$146,0)+_xlfn.XLOOKUP(A136,'Round 3 Points'!$A$10:$A$145,'Round 3 Points'!$V$10:$V$145,0)+_xlfn.XLOOKUP(A136,'Round 4 Points'!$A$10:$A$147,'Round 4 Points'!$V$10:$V$147,0))</f>
        <v>5.0999999999999996</v>
      </c>
      <c r="W136" s="72" t="e">
        <f t="shared" ref="W136:W182" si="2">T136+U136/D136+V136/D136</f>
        <v>#VALUE!</v>
      </c>
    </row>
    <row r="137" spans="1:23" ht="16" thickBot="1" x14ac:dyDescent="0.25">
      <c r="A137" s="61" t="s">
        <v>29</v>
      </c>
      <c r="B137" t="s">
        <v>193</v>
      </c>
      <c r="C137" t="s">
        <v>200</v>
      </c>
      <c r="D137" t="e">
        <f>'Summary Data'!D134</f>
        <v>#VALUE!</v>
      </c>
      <c r="E137" s="57" t="e">
        <f>'Summary Data'!E134</f>
        <v>#VALUE!</v>
      </c>
      <c r="F137" s="57" t="e">
        <f>'Summary Data'!F134*C$3</f>
        <v>#VALUE!</v>
      </c>
      <c r="G137" s="57" t="e">
        <f>'Summary Data'!G134*D$3</f>
        <v>#VALUE!</v>
      </c>
      <c r="H137" s="57" t="e">
        <f>'Summary Data'!H134*E$3</f>
        <v>#VALUE!</v>
      </c>
      <c r="I137" s="57" t="e">
        <f>'Summary Data'!I134*F$3</f>
        <v>#VALUE!</v>
      </c>
      <c r="J137" s="57" t="e">
        <f>'Summary Data'!J134*G$3</f>
        <v>#VALUE!</v>
      </c>
      <c r="K137" s="57" t="e">
        <f>'Summary Data'!K134*H$3</f>
        <v>#VALUE!</v>
      </c>
      <c r="L137" s="57" t="e">
        <f>'Summary Data'!L134*I$3</f>
        <v>#VALUE!</v>
      </c>
      <c r="M137" s="57" t="e">
        <f>'Summary Data'!M134*J$3</f>
        <v>#VALUE!</v>
      </c>
      <c r="N137" s="57" t="e">
        <f>'Summary Data'!N134*K$3</f>
        <v>#VALUE!</v>
      </c>
      <c r="O137" s="57" t="e">
        <f>'Summary Data'!O134*L$3</f>
        <v>#VALUE!</v>
      </c>
      <c r="P137" s="57" t="e">
        <f>'Summary Data'!P134*M$3</f>
        <v>#VALUE!</v>
      </c>
      <c r="Q137" s="57" t="e">
        <f>'Summary Data'!Q134*N$3</f>
        <v>#VALUE!</v>
      </c>
      <c r="R137" s="57" t="e">
        <f>'Summary Data'!R134*O$3</f>
        <v>#VALUE!</v>
      </c>
      <c r="S137" s="57" t="e">
        <f>'Summary Data'!S134*P$3</f>
        <v>#VALUE!</v>
      </c>
      <c r="T137" s="57" t="e">
        <f>(_xlfn.XLOOKUP(A137,'Round 1 Points'!$A$10:$A$144,'Round 1 Points'!$T$10:$T$144,0)+_xlfn.XLOOKUP(A137,'Round 2 Points'!$A$10:$A$146,'Round 2 Points'!$T$10:$T$146,0)+_xlfn.XLOOKUP(A137,'Round 3 Points'!$A$10:$A$145,'Round 3 Points'!$T$10:$T$145,0)+_xlfn.XLOOKUP(A137,'Round 4 Points'!$A$10:$A$147,'Round 4 Points'!$T$10:$T$147,0))/D137</f>
        <v>#VALUE!</v>
      </c>
      <c r="U137" s="57" t="e">
        <f>'Summary Data'!T134*Q$3</f>
        <v>#VALUE!</v>
      </c>
      <c r="V137" s="57">
        <f>(_xlfn.XLOOKUP(A137,'Round 1 Points'!$A$10:$A$144,'Round 1 Points'!$V$10:$V$144,0)+_xlfn.XLOOKUP(A137,'Round 2 Points'!$A$10:$A$146,'Round 2 Points'!$V$10:$V$146,0)+_xlfn.XLOOKUP(A137,'Round 3 Points'!$A$10:$A$145,'Round 3 Points'!$V$10:$V$145,0)+_xlfn.XLOOKUP(A137,'Round 4 Points'!$A$10:$A$147,'Round 4 Points'!$V$10:$V$147,0))</f>
        <v>17.5</v>
      </c>
      <c r="W137" s="72" t="e">
        <f t="shared" si="2"/>
        <v>#VALUE!</v>
      </c>
    </row>
    <row r="138" spans="1:23" ht="16" thickBot="1" x14ac:dyDescent="0.25">
      <c r="A138" s="63" t="s">
        <v>30</v>
      </c>
      <c r="B138" t="s">
        <v>193</v>
      </c>
      <c r="C138" t="s">
        <v>200</v>
      </c>
      <c r="D138" t="e">
        <f>'Summary Data'!D135</f>
        <v>#VALUE!</v>
      </c>
      <c r="E138" s="57" t="e">
        <f>'Summary Data'!E135</f>
        <v>#VALUE!</v>
      </c>
      <c r="F138" s="57" t="e">
        <f>'Summary Data'!F135*C$3</f>
        <v>#VALUE!</v>
      </c>
      <c r="G138" s="57" t="e">
        <f>'Summary Data'!G135*D$3</f>
        <v>#VALUE!</v>
      </c>
      <c r="H138" s="57" t="e">
        <f>'Summary Data'!H135*E$3</f>
        <v>#VALUE!</v>
      </c>
      <c r="I138" s="57" t="e">
        <f>'Summary Data'!I135*F$3</f>
        <v>#VALUE!</v>
      </c>
      <c r="J138" s="57" t="e">
        <f>'Summary Data'!J135*G$3</f>
        <v>#VALUE!</v>
      </c>
      <c r="K138" s="57" t="e">
        <f>'Summary Data'!K135*H$3</f>
        <v>#VALUE!</v>
      </c>
      <c r="L138" s="57" t="e">
        <f>'Summary Data'!L135*I$3</f>
        <v>#VALUE!</v>
      </c>
      <c r="M138" s="57" t="e">
        <f>'Summary Data'!M135*J$3</f>
        <v>#VALUE!</v>
      </c>
      <c r="N138" s="57" t="e">
        <f>'Summary Data'!N135*K$3</f>
        <v>#VALUE!</v>
      </c>
      <c r="O138" s="57" t="e">
        <f>'Summary Data'!O135*L$3</f>
        <v>#VALUE!</v>
      </c>
      <c r="P138" s="57" t="e">
        <f>'Summary Data'!P135*M$3</f>
        <v>#VALUE!</v>
      </c>
      <c r="Q138" s="57" t="e">
        <f>'Summary Data'!Q135*N$3</f>
        <v>#VALUE!</v>
      </c>
      <c r="R138" s="57" t="e">
        <f>'Summary Data'!R135*O$3</f>
        <v>#VALUE!</v>
      </c>
      <c r="S138" s="57" t="e">
        <f>'Summary Data'!S135*P$3</f>
        <v>#VALUE!</v>
      </c>
      <c r="T138" s="57" t="e">
        <f>(_xlfn.XLOOKUP(A138,'Round 1 Points'!$A$10:$A$144,'Round 1 Points'!$T$10:$T$144,0)+_xlfn.XLOOKUP(A138,'Round 2 Points'!$A$10:$A$146,'Round 2 Points'!$T$10:$T$146,0)+_xlfn.XLOOKUP(A138,'Round 3 Points'!$A$10:$A$145,'Round 3 Points'!$T$10:$T$145,0)+_xlfn.XLOOKUP(A138,'Round 4 Points'!$A$10:$A$147,'Round 4 Points'!$T$10:$T$147,0))/D138</f>
        <v>#VALUE!</v>
      </c>
      <c r="U138" s="57" t="e">
        <f>'Summary Data'!T135*Q$3</f>
        <v>#VALUE!</v>
      </c>
      <c r="V138" s="57">
        <f>(_xlfn.XLOOKUP(A138,'Round 1 Points'!$A$10:$A$144,'Round 1 Points'!$V$10:$V$144,0)+_xlfn.XLOOKUP(A138,'Round 2 Points'!$A$10:$A$146,'Round 2 Points'!$V$10:$V$146,0)+_xlfn.XLOOKUP(A138,'Round 3 Points'!$A$10:$A$145,'Round 3 Points'!$V$10:$V$145,0)+_xlfn.XLOOKUP(A138,'Round 4 Points'!$A$10:$A$147,'Round 4 Points'!$V$10:$V$147,0))</f>
        <v>12.7</v>
      </c>
      <c r="W138" s="72" t="e">
        <f t="shared" si="2"/>
        <v>#VALUE!</v>
      </c>
    </row>
    <row r="139" spans="1:23" ht="16" thickBot="1" x14ac:dyDescent="0.25">
      <c r="A139" s="61" t="s">
        <v>31</v>
      </c>
      <c r="B139" t="s">
        <v>193</v>
      </c>
      <c r="C139" t="s">
        <v>200</v>
      </c>
      <c r="D139" t="e">
        <f>'Summary Data'!D136</f>
        <v>#VALUE!</v>
      </c>
      <c r="E139" s="57" t="e">
        <f>'Summary Data'!E136</f>
        <v>#VALUE!</v>
      </c>
      <c r="F139" s="57" t="e">
        <f>'Summary Data'!F136*C$3</f>
        <v>#VALUE!</v>
      </c>
      <c r="G139" s="57" t="e">
        <f>'Summary Data'!G136*D$3</f>
        <v>#VALUE!</v>
      </c>
      <c r="H139" s="57" t="e">
        <f>'Summary Data'!H136*E$3</f>
        <v>#VALUE!</v>
      </c>
      <c r="I139" s="57" t="e">
        <f>'Summary Data'!I136*F$3</f>
        <v>#VALUE!</v>
      </c>
      <c r="J139" s="57" t="e">
        <f>'Summary Data'!J136*G$3</f>
        <v>#VALUE!</v>
      </c>
      <c r="K139" s="57" t="e">
        <f>'Summary Data'!K136*H$3</f>
        <v>#VALUE!</v>
      </c>
      <c r="L139" s="57" t="e">
        <f>'Summary Data'!L136*I$3</f>
        <v>#VALUE!</v>
      </c>
      <c r="M139" s="57" t="e">
        <f>'Summary Data'!M136*J$3</f>
        <v>#VALUE!</v>
      </c>
      <c r="N139" s="57" t="e">
        <f>'Summary Data'!N136*K$3</f>
        <v>#VALUE!</v>
      </c>
      <c r="O139" s="57" t="e">
        <f>'Summary Data'!O136*L$3</f>
        <v>#VALUE!</v>
      </c>
      <c r="P139" s="57" t="e">
        <f>'Summary Data'!P136*M$3</f>
        <v>#VALUE!</v>
      </c>
      <c r="Q139" s="57" t="e">
        <f>'Summary Data'!Q136*N$3</f>
        <v>#VALUE!</v>
      </c>
      <c r="R139" s="57" t="e">
        <f>'Summary Data'!R136*O$3</f>
        <v>#VALUE!</v>
      </c>
      <c r="S139" s="57" t="e">
        <f>'Summary Data'!S136*P$3</f>
        <v>#VALUE!</v>
      </c>
      <c r="T139" s="57" t="e">
        <f>(_xlfn.XLOOKUP(A139,'Round 1 Points'!$A$10:$A$144,'Round 1 Points'!$T$10:$T$144,0)+_xlfn.XLOOKUP(A139,'Round 2 Points'!$A$10:$A$146,'Round 2 Points'!$T$10:$T$146,0)+_xlfn.XLOOKUP(A139,'Round 3 Points'!$A$10:$A$145,'Round 3 Points'!$T$10:$T$145,0)+_xlfn.XLOOKUP(A139,'Round 4 Points'!$A$10:$A$147,'Round 4 Points'!$T$10:$T$147,0))/D139</f>
        <v>#VALUE!</v>
      </c>
      <c r="U139" s="57" t="e">
        <f>'Summary Data'!T136*Q$3</f>
        <v>#VALUE!</v>
      </c>
      <c r="V139" s="57">
        <f>(_xlfn.XLOOKUP(A139,'Round 1 Points'!$A$10:$A$144,'Round 1 Points'!$V$10:$V$144,0)+_xlfn.XLOOKUP(A139,'Round 2 Points'!$A$10:$A$146,'Round 2 Points'!$V$10:$V$146,0)+_xlfn.XLOOKUP(A139,'Round 3 Points'!$A$10:$A$145,'Round 3 Points'!$V$10:$V$145,0)+_xlfn.XLOOKUP(A139,'Round 4 Points'!$A$10:$A$147,'Round 4 Points'!$V$10:$V$147,0))</f>
        <v>6.5</v>
      </c>
      <c r="W139" s="72" t="e">
        <f t="shared" si="2"/>
        <v>#VALUE!</v>
      </c>
    </row>
    <row r="140" spans="1:23" ht="16" thickBot="1" x14ac:dyDescent="0.25">
      <c r="A140" s="63" t="s">
        <v>32</v>
      </c>
      <c r="B140" t="s">
        <v>193</v>
      </c>
      <c r="C140" t="s">
        <v>201</v>
      </c>
      <c r="D140" t="e">
        <f>'Summary Data'!D137</f>
        <v>#VALUE!</v>
      </c>
      <c r="E140" s="57" t="e">
        <f>'Summary Data'!E137</f>
        <v>#VALUE!</v>
      </c>
      <c r="F140" s="57" t="e">
        <f>'Summary Data'!F137*C$3</f>
        <v>#VALUE!</v>
      </c>
      <c r="G140" s="57" t="e">
        <f>'Summary Data'!G137*D$3</f>
        <v>#VALUE!</v>
      </c>
      <c r="H140" s="57" t="e">
        <f>'Summary Data'!H137*E$3</f>
        <v>#VALUE!</v>
      </c>
      <c r="I140" s="57" t="e">
        <f>'Summary Data'!I137*F$3</f>
        <v>#VALUE!</v>
      </c>
      <c r="J140" s="57" t="e">
        <f>'Summary Data'!J137*G$3</f>
        <v>#VALUE!</v>
      </c>
      <c r="K140" s="57" t="e">
        <f>'Summary Data'!K137*H$3</f>
        <v>#VALUE!</v>
      </c>
      <c r="L140" s="57" t="e">
        <f>'Summary Data'!L137*I$3</f>
        <v>#VALUE!</v>
      </c>
      <c r="M140" s="57" t="e">
        <f>'Summary Data'!M137*J$3</f>
        <v>#VALUE!</v>
      </c>
      <c r="N140" s="57" t="e">
        <f>'Summary Data'!N137*K$3</f>
        <v>#VALUE!</v>
      </c>
      <c r="O140" s="57" t="e">
        <f>'Summary Data'!O137*L$3</f>
        <v>#VALUE!</v>
      </c>
      <c r="P140" s="57" t="e">
        <f>'Summary Data'!P137*M$3</f>
        <v>#VALUE!</v>
      </c>
      <c r="Q140" s="57" t="e">
        <f>'Summary Data'!Q137*N$3</f>
        <v>#VALUE!</v>
      </c>
      <c r="R140" s="57" t="e">
        <f>'Summary Data'!R137*O$3</f>
        <v>#VALUE!</v>
      </c>
      <c r="S140" s="57" t="e">
        <f>'Summary Data'!S137*P$3</f>
        <v>#VALUE!</v>
      </c>
      <c r="T140" s="57" t="e">
        <f>(_xlfn.XLOOKUP(A140,'Round 1 Points'!$A$10:$A$144,'Round 1 Points'!$T$10:$T$144,0)+_xlfn.XLOOKUP(A140,'Round 2 Points'!$A$10:$A$146,'Round 2 Points'!$T$10:$T$146,0)+_xlfn.XLOOKUP(A140,'Round 3 Points'!$A$10:$A$145,'Round 3 Points'!$T$10:$T$145,0)+_xlfn.XLOOKUP(A140,'Round 4 Points'!$A$10:$A$147,'Round 4 Points'!$T$10:$T$147,0))/D140</f>
        <v>#VALUE!</v>
      </c>
      <c r="U140" s="57" t="e">
        <f>'Summary Data'!T137*Q$3</f>
        <v>#VALUE!</v>
      </c>
      <c r="V140" s="57">
        <f>(_xlfn.XLOOKUP(A140,'Round 1 Points'!$A$10:$A$144,'Round 1 Points'!$V$10:$V$144,0)+_xlfn.XLOOKUP(A140,'Round 2 Points'!$A$10:$A$146,'Round 2 Points'!$V$10:$V$146,0)+_xlfn.XLOOKUP(A140,'Round 3 Points'!$A$10:$A$145,'Round 3 Points'!$V$10:$V$145,0)+_xlfn.XLOOKUP(A140,'Round 4 Points'!$A$10:$A$147,'Round 4 Points'!$V$10:$V$147,0))</f>
        <v>3</v>
      </c>
      <c r="W140" s="72" t="e">
        <f t="shared" si="2"/>
        <v>#VALUE!</v>
      </c>
    </row>
    <row r="141" spans="1:23" ht="16" thickBot="1" x14ac:dyDescent="0.25">
      <c r="A141" s="61" t="s">
        <v>33</v>
      </c>
      <c r="B141" t="s">
        <v>193</v>
      </c>
      <c r="C141" t="s">
        <v>201</v>
      </c>
      <c r="D141" t="e">
        <f>'Summary Data'!D138</f>
        <v>#VALUE!</v>
      </c>
      <c r="E141" s="57" t="e">
        <f>'Summary Data'!E138</f>
        <v>#VALUE!</v>
      </c>
      <c r="F141" s="57" t="e">
        <f>'Summary Data'!F138*C$3</f>
        <v>#VALUE!</v>
      </c>
      <c r="G141" s="57" t="e">
        <f>'Summary Data'!G138*D$3</f>
        <v>#VALUE!</v>
      </c>
      <c r="H141" s="57" t="e">
        <f>'Summary Data'!H138*E$3</f>
        <v>#VALUE!</v>
      </c>
      <c r="I141" s="57" t="e">
        <f>'Summary Data'!I138*F$3</f>
        <v>#VALUE!</v>
      </c>
      <c r="J141" s="57" t="e">
        <f>'Summary Data'!J138*G$3</f>
        <v>#VALUE!</v>
      </c>
      <c r="K141" s="57" t="e">
        <f>'Summary Data'!K138*H$3</f>
        <v>#VALUE!</v>
      </c>
      <c r="L141" s="57" t="e">
        <f>'Summary Data'!L138*I$3</f>
        <v>#VALUE!</v>
      </c>
      <c r="M141" s="57" t="e">
        <f>'Summary Data'!M138*J$3</f>
        <v>#VALUE!</v>
      </c>
      <c r="N141" s="57" t="e">
        <f>'Summary Data'!N138*K$3</f>
        <v>#VALUE!</v>
      </c>
      <c r="O141" s="57" t="e">
        <f>'Summary Data'!O138*L$3</f>
        <v>#VALUE!</v>
      </c>
      <c r="P141" s="57" t="e">
        <f>'Summary Data'!P138*M$3</f>
        <v>#VALUE!</v>
      </c>
      <c r="Q141" s="57" t="e">
        <f>'Summary Data'!Q138*N$3</f>
        <v>#VALUE!</v>
      </c>
      <c r="R141" s="57" t="e">
        <f>'Summary Data'!R138*O$3</f>
        <v>#VALUE!</v>
      </c>
      <c r="S141" s="57" t="e">
        <f>'Summary Data'!S138*P$3</f>
        <v>#VALUE!</v>
      </c>
      <c r="T141" s="57" t="e">
        <f>(_xlfn.XLOOKUP(A141,'Round 1 Points'!$A$10:$A$144,'Round 1 Points'!$T$10:$T$144,0)+_xlfn.XLOOKUP(A141,'Round 2 Points'!$A$10:$A$146,'Round 2 Points'!$T$10:$T$146,0)+_xlfn.XLOOKUP(A141,'Round 3 Points'!$A$10:$A$145,'Round 3 Points'!$T$10:$T$145,0)+_xlfn.XLOOKUP(A141,'Round 4 Points'!$A$10:$A$147,'Round 4 Points'!$T$10:$T$147,0))/D141</f>
        <v>#VALUE!</v>
      </c>
      <c r="U141" s="57" t="e">
        <f>'Summary Data'!T138*Q$3</f>
        <v>#VALUE!</v>
      </c>
      <c r="V141" s="57">
        <f>(_xlfn.XLOOKUP(A141,'Round 1 Points'!$A$10:$A$144,'Round 1 Points'!$V$10:$V$144,0)+_xlfn.XLOOKUP(A141,'Round 2 Points'!$A$10:$A$146,'Round 2 Points'!$V$10:$V$146,0)+_xlfn.XLOOKUP(A141,'Round 3 Points'!$A$10:$A$145,'Round 3 Points'!$V$10:$V$145,0)+_xlfn.XLOOKUP(A141,'Round 4 Points'!$A$10:$A$147,'Round 4 Points'!$V$10:$V$147,0))</f>
        <v>19.100000000000001</v>
      </c>
      <c r="W141" s="72" t="e">
        <f t="shared" si="2"/>
        <v>#VALUE!</v>
      </c>
    </row>
    <row r="142" spans="1:23" ht="16" thickBot="1" x14ac:dyDescent="0.25">
      <c r="A142" s="61" t="s">
        <v>148</v>
      </c>
      <c r="B142" t="s">
        <v>189</v>
      </c>
      <c r="C142" t="s">
        <v>201</v>
      </c>
      <c r="D142" t="e">
        <f>'Summary Data'!D139</f>
        <v>#VALUE!</v>
      </c>
      <c r="E142" s="57" t="e">
        <f>'Summary Data'!E139</f>
        <v>#VALUE!</v>
      </c>
      <c r="F142" s="57" t="e">
        <f>'Summary Data'!F139*C$3</f>
        <v>#VALUE!</v>
      </c>
      <c r="G142" s="57" t="e">
        <f>'Summary Data'!G139*D$3</f>
        <v>#VALUE!</v>
      </c>
      <c r="H142" s="57" t="e">
        <f>'Summary Data'!H139*E$3</f>
        <v>#VALUE!</v>
      </c>
      <c r="I142" s="57" t="e">
        <f>'Summary Data'!I139*F$3</f>
        <v>#VALUE!</v>
      </c>
      <c r="J142" s="57" t="e">
        <f>'Summary Data'!J139*G$3</f>
        <v>#VALUE!</v>
      </c>
      <c r="K142" s="57" t="e">
        <f>'Summary Data'!K139*H$3</f>
        <v>#VALUE!</v>
      </c>
      <c r="L142" s="57" t="e">
        <f>'Summary Data'!L139*I$3</f>
        <v>#VALUE!</v>
      </c>
      <c r="M142" s="57" t="e">
        <f>'Summary Data'!M139*J$3</f>
        <v>#VALUE!</v>
      </c>
      <c r="N142" s="57" t="e">
        <f>'Summary Data'!N139*K$3</f>
        <v>#VALUE!</v>
      </c>
      <c r="O142" s="57" t="e">
        <f>'Summary Data'!O139*L$3</f>
        <v>#VALUE!</v>
      </c>
      <c r="P142" s="57" t="e">
        <f>'Summary Data'!P139*M$3</f>
        <v>#VALUE!</v>
      </c>
      <c r="Q142" s="57" t="e">
        <f>'Summary Data'!Q139*N$3</f>
        <v>#VALUE!</v>
      </c>
      <c r="R142" s="57" t="e">
        <f>'Summary Data'!R139*O$3</f>
        <v>#VALUE!</v>
      </c>
      <c r="S142" s="57" t="e">
        <f>'Summary Data'!S139*P$3</f>
        <v>#VALUE!</v>
      </c>
      <c r="T142" s="57" t="e">
        <f>(_xlfn.XLOOKUP(A142,'Round 1 Points'!$A$10:$A$144,'Round 1 Points'!$T$10:$T$144,0)+_xlfn.XLOOKUP(A142,'Round 2 Points'!$A$10:$A$146,'Round 2 Points'!$T$10:$T$146,0)+_xlfn.XLOOKUP(A142,'Round 3 Points'!$A$10:$A$145,'Round 3 Points'!$T$10:$T$145,0)+_xlfn.XLOOKUP(A142,'Round 4 Points'!$A$10:$A$147,'Round 4 Points'!$T$10:$T$147,0))/D142</f>
        <v>#VALUE!</v>
      </c>
      <c r="U142" s="57" t="e">
        <f>'Summary Data'!T139*Q$3</f>
        <v>#VALUE!</v>
      </c>
      <c r="V142" s="57">
        <f>(_xlfn.XLOOKUP(A142,'Round 1 Points'!$A$10:$A$144,'Round 1 Points'!$V$10:$V$144,0)+_xlfn.XLOOKUP(A142,'Round 2 Points'!$A$10:$A$146,'Round 2 Points'!$V$10:$V$146,0)+_xlfn.XLOOKUP(A142,'Round 3 Points'!$A$10:$A$145,'Round 3 Points'!$V$10:$V$145,0)+_xlfn.XLOOKUP(A142,'Round 4 Points'!$A$10:$A$147,'Round 4 Points'!$V$10:$V$147,0))</f>
        <v>14.1</v>
      </c>
      <c r="W142" s="72" t="e">
        <f t="shared" si="2"/>
        <v>#VALUE!</v>
      </c>
    </row>
    <row r="143" spans="1:23" ht="16" thickBot="1" x14ac:dyDescent="0.25">
      <c r="A143" s="63" t="s">
        <v>21</v>
      </c>
      <c r="B143" t="s">
        <v>193</v>
      </c>
      <c r="C143" t="s">
        <v>198</v>
      </c>
      <c r="D143" t="e">
        <f>'Summary Data'!D140</f>
        <v>#VALUE!</v>
      </c>
      <c r="E143" s="57" t="e">
        <f>'Summary Data'!E140</f>
        <v>#VALUE!</v>
      </c>
      <c r="F143" s="57" t="e">
        <f>'Summary Data'!F140*C$3</f>
        <v>#VALUE!</v>
      </c>
      <c r="G143" s="57" t="e">
        <f>'Summary Data'!G140*D$3</f>
        <v>#VALUE!</v>
      </c>
      <c r="H143" s="57" t="e">
        <f>'Summary Data'!H140*E$3</f>
        <v>#VALUE!</v>
      </c>
      <c r="I143" s="57" t="e">
        <f>'Summary Data'!I140*F$3</f>
        <v>#VALUE!</v>
      </c>
      <c r="J143" s="57" t="e">
        <f>'Summary Data'!J140*G$3</f>
        <v>#VALUE!</v>
      </c>
      <c r="K143" s="57" t="e">
        <f>'Summary Data'!K140*H$3</f>
        <v>#VALUE!</v>
      </c>
      <c r="L143" s="57" t="e">
        <f>'Summary Data'!L140*I$3</f>
        <v>#VALUE!</v>
      </c>
      <c r="M143" s="57" t="e">
        <f>'Summary Data'!M140*J$3</f>
        <v>#VALUE!</v>
      </c>
      <c r="N143" s="57" t="e">
        <f>'Summary Data'!N140*K$3</f>
        <v>#VALUE!</v>
      </c>
      <c r="O143" s="57" t="e">
        <f>'Summary Data'!O140*L$3</f>
        <v>#VALUE!</v>
      </c>
      <c r="P143" s="57" t="e">
        <f>'Summary Data'!P140*M$3</f>
        <v>#VALUE!</v>
      </c>
      <c r="Q143" s="57" t="e">
        <f>'Summary Data'!Q140*N$3</f>
        <v>#VALUE!</v>
      </c>
      <c r="R143" s="57" t="e">
        <f>'Summary Data'!R140*O$3</f>
        <v>#VALUE!</v>
      </c>
      <c r="S143" s="57" t="e">
        <f>'Summary Data'!S140*P$3</f>
        <v>#VALUE!</v>
      </c>
      <c r="T143" s="57" t="e">
        <f>(_xlfn.XLOOKUP(A143,'Round 1 Points'!$A$10:$A$144,'Round 1 Points'!$T$10:$T$144,0)+_xlfn.XLOOKUP(A143,'Round 2 Points'!$A$10:$A$146,'Round 2 Points'!$T$10:$T$146,0)+_xlfn.XLOOKUP(A143,'Round 3 Points'!$A$10:$A$145,'Round 3 Points'!$T$10:$T$145,0)+_xlfn.XLOOKUP(A143,'Round 4 Points'!$A$10:$A$147,'Round 4 Points'!$T$10:$T$147,0))/D143</f>
        <v>#VALUE!</v>
      </c>
      <c r="U143" s="57" t="e">
        <f>'Summary Data'!T140*Q$3</f>
        <v>#VALUE!</v>
      </c>
      <c r="V143" s="57">
        <f>(_xlfn.XLOOKUP(A143,'Round 1 Points'!$A$10:$A$144,'Round 1 Points'!$V$10:$V$144,0)+_xlfn.XLOOKUP(A143,'Round 2 Points'!$A$10:$A$146,'Round 2 Points'!$V$10:$V$146,0)+_xlfn.XLOOKUP(A143,'Round 3 Points'!$A$10:$A$145,'Round 3 Points'!$V$10:$V$145,0)+_xlfn.XLOOKUP(A143,'Round 4 Points'!$A$10:$A$147,'Round 4 Points'!$V$10:$V$147,0))</f>
        <v>14.3</v>
      </c>
      <c r="W143" s="72" t="e">
        <f t="shared" si="2"/>
        <v>#VALUE!</v>
      </c>
    </row>
    <row r="144" spans="1:23" ht="16" thickBot="1" x14ac:dyDescent="0.25">
      <c r="A144" s="61" t="s">
        <v>52</v>
      </c>
      <c r="B144" t="s">
        <v>191</v>
      </c>
      <c r="C144" t="s">
        <v>200</v>
      </c>
      <c r="D144" t="e">
        <f>'Summary Data'!D141</f>
        <v>#VALUE!</v>
      </c>
      <c r="E144" s="57" t="e">
        <f>'Summary Data'!E141</f>
        <v>#VALUE!</v>
      </c>
      <c r="F144" s="57" t="e">
        <f>'Summary Data'!F141*C$3</f>
        <v>#VALUE!</v>
      </c>
      <c r="G144" s="57" t="e">
        <f>'Summary Data'!G141*D$3</f>
        <v>#VALUE!</v>
      </c>
      <c r="H144" s="57" t="e">
        <f>'Summary Data'!H141*E$3</f>
        <v>#VALUE!</v>
      </c>
      <c r="I144" s="57" t="e">
        <f>'Summary Data'!I141*F$3</f>
        <v>#VALUE!</v>
      </c>
      <c r="J144" s="57" t="e">
        <f>'Summary Data'!J141*G$3</f>
        <v>#VALUE!</v>
      </c>
      <c r="K144" s="57" t="e">
        <f>'Summary Data'!K141*H$3</f>
        <v>#VALUE!</v>
      </c>
      <c r="L144" s="57" t="e">
        <f>'Summary Data'!L141*I$3</f>
        <v>#VALUE!</v>
      </c>
      <c r="M144" s="57" t="e">
        <f>'Summary Data'!M141*J$3</f>
        <v>#VALUE!</v>
      </c>
      <c r="N144" s="57" t="e">
        <f>'Summary Data'!N141*K$3</f>
        <v>#VALUE!</v>
      </c>
      <c r="O144" s="57" t="e">
        <f>'Summary Data'!O141*L$3</f>
        <v>#VALUE!</v>
      </c>
      <c r="P144" s="57" t="e">
        <f>'Summary Data'!P141*M$3</f>
        <v>#VALUE!</v>
      </c>
      <c r="Q144" s="57" t="e">
        <f>'Summary Data'!Q141*N$3</f>
        <v>#VALUE!</v>
      </c>
      <c r="R144" s="57" t="e">
        <f>'Summary Data'!R141*O$3</f>
        <v>#VALUE!</v>
      </c>
      <c r="S144" s="57" t="e">
        <f>'Summary Data'!S141*P$3</f>
        <v>#VALUE!</v>
      </c>
      <c r="T144" s="57" t="e">
        <f>(_xlfn.XLOOKUP(A144,'Round 1 Points'!$A$10:$A$144,'Round 1 Points'!$T$10:$T$144,0)+_xlfn.XLOOKUP(A144,'Round 2 Points'!$A$10:$A$146,'Round 2 Points'!$T$10:$T$146,0)+_xlfn.XLOOKUP(A144,'Round 3 Points'!$A$10:$A$145,'Round 3 Points'!$T$10:$T$145,0)+_xlfn.XLOOKUP(A144,'Round 4 Points'!$A$10:$A$147,'Round 4 Points'!$T$10:$T$147,0))/D144</f>
        <v>#VALUE!</v>
      </c>
      <c r="U144" s="57" t="e">
        <f>'Summary Data'!T141*Q$3</f>
        <v>#VALUE!</v>
      </c>
      <c r="V144" s="57">
        <f>(_xlfn.XLOOKUP(A144,'Round 1 Points'!$A$10:$A$144,'Round 1 Points'!$V$10:$V$144,0)+_xlfn.XLOOKUP(A144,'Round 2 Points'!$A$10:$A$146,'Round 2 Points'!$V$10:$V$146,0)+_xlfn.XLOOKUP(A144,'Round 3 Points'!$A$10:$A$145,'Round 3 Points'!$V$10:$V$145,0)+_xlfn.XLOOKUP(A144,'Round 4 Points'!$A$10:$A$147,'Round 4 Points'!$V$10:$V$147,0))</f>
        <v>6.4</v>
      </c>
      <c r="W144" s="72" t="e">
        <f t="shared" si="2"/>
        <v>#VALUE!</v>
      </c>
    </row>
    <row r="145" spans="1:23" ht="16" thickBot="1" x14ac:dyDescent="0.25">
      <c r="A145" s="63" t="s">
        <v>64</v>
      </c>
      <c r="B145" t="s">
        <v>188</v>
      </c>
      <c r="C145" t="s">
        <v>196</v>
      </c>
      <c r="D145" t="e">
        <f>'Summary Data'!D142</f>
        <v>#VALUE!</v>
      </c>
      <c r="E145" s="57" t="e">
        <f>'Summary Data'!E142</f>
        <v>#VALUE!</v>
      </c>
      <c r="F145" s="57" t="e">
        <f>'Summary Data'!F142*C$3</f>
        <v>#VALUE!</v>
      </c>
      <c r="G145" s="57" t="e">
        <f>'Summary Data'!G142*D$3</f>
        <v>#VALUE!</v>
      </c>
      <c r="H145" s="57" t="e">
        <f>'Summary Data'!H142*E$3</f>
        <v>#VALUE!</v>
      </c>
      <c r="I145" s="57" t="e">
        <f>'Summary Data'!I142*F$3</f>
        <v>#VALUE!</v>
      </c>
      <c r="J145" s="57" t="e">
        <f>'Summary Data'!J142*G$3</f>
        <v>#VALUE!</v>
      </c>
      <c r="K145" s="57" t="e">
        <f>'Summary Data'!K142*H$3</f>
        <v>#VALUE!</v>
      </c>
      <c r="L145" s="57" t="e">
        <f>'Summary Data'!L142*I$3</f>
        <v>#VALUE!</v>
      </c>
      <c r="M145" s="57" t="e">
        <f>'Summary Data'!M142*J$3</f>
        <v>#VALUE!</v>
      </c>
      <c r="N145" s="57" t="e">
        <f>'Summary Data'!N142*K$3</f>
        <v>#VALUE!</v>
      </c>
      <c r="O145" s="57" t="e">
        <f>'Summary Data'!O142*L$3</f>
        <v>#VALUE!</v>
      </c>
      <c r="P145" s="57" t="e">
        <f>'Summary Data'!P142*M$3</f>
        <v>#VALUE!</v>
      </c>
      <c r="Q145" s="57" t="e">
        <f>'Summary Data'!Q142*N$3</f>
        <v>#VALUE!</v>
      </c>
      <c r="R145" s="57" t="e">
        <f>'Summary Data'!R142*O$3</f>
        <v>#VALUE!</v>
      </c>
      <c r="S145" s="57" t="e">
        <f>'Summary Data'!S142*P$3</f>
        <v>#VALUE!</v>
      </c>
      <c r="T145" s="57" t="e">
        <f>(_xlfn.XLOOKUP(A145,'Round 1 Points'!$A$10:$A$144,'Round 1 Points'!$T$10:$T$144,0)+_xlfn.XLOOKUP(A145,'Round 2 Points'!$A$10:$A$146,'Round 2 Points'!$T$10:$T$146,0)+_xlfn.XLOOKUP(A145,'Round 3 Points'!$A$10:$A$145,'Round 3 Points'!$T$10:$T$145,0)+_xlfn.XLOOKUP(A145,'Round 4 Points'!$A$10:$A$147,'Round 4 Points'!$T$10:$T$147,0))/D145</f>
        <v>#VALUE!</v>
      </c>
      <c r="U145" s="57" t="e">
        <f>'Summary Data'!T142*Q$3</f>
        <v>#VALUE!</v>
      </c>
      <c r="V145" s="57">
        <f>(_xlfn.XLOOKUP(A145,'Round 1 Points'!$A$10:$A$144,'Round 1 Points'!$V$10:$V$144,0)+_xlfn.XLOOKUP(A145,'Round 2 Points'!$A$10:$A$146,'Round 2 Points'!$V$10:$V$146,0)+_xlfn.XLOOKUP(A145,'Round 3 Points'!$A$10:$A$145,'Round 3 Points'!$V$10:$V$145,0)+_xlfn.XLOOKUP(A145,'Round 4 Points'!$A$10:$A$147,'Round 4 Points'!$V$10:$V$147,0))</f>
        <v>0</v>
      </c>
      <c r="W145" s="72" t="e">
        <f t="shared" si="2"/>
        <v>#VALUE!</v>
      </c>
    </row>
    <row r="146" spans="1:23" ht="16" thickBot="1" x14ac:dyDescent="0.25">
      <c r="A146" s="61" t="s">
        <v>71</v>
      </c>
      <c r="B146" t="s">
        <v>188</v>
      </c>
      <c r="C146" t="s">
        <v>199</v>
      </c>
      <c r="D146" t="e">
        <f>'Summary Data'!D143</f>
        <v>#VALUE!</v>
      </c>
      <c r="E146" s="57" t="e">
        <f>'Summary Data'!E143</f>
        <v>#VALUE!</v>
      </c>
      <c r="F146" s="57" t="e">
        <f>'Summary Data'!F143*C$3</f>
        <v>#VALUE!</v>
      </c>
      <c r="G146" s="57" t="e">
        <f>'Summary Data'!G143*D$3</f>
        <v>#VALUE!</v>
      </c>
      <c r="H146" s="57" t="e">
        <f>'Summary Data'!H143*E$3</f>
        <v>#VALUE!</v>
      </c>
      <c r="I146" s="57" t="e">
        <f>'Summary Data'!I143*F$3</f>
        <v>#VALUE!</v>
      </c>
      <c r="J146" s="57" t="e">
        <f>'Summary Data'!J143*G$3</f>
        <v>#VALUE!</v>
      </c>
      <c r="K146" s="57" t="e">
        <f>'Summary Data'!K143*H$3</f>
        <v>#VALUE!</v>
      </c>
      <c r="L146" s="57" t="e">
        <f>'Summary Data'!L143*I$3</f>
        <v>#VALUE!</v>
      </c>
      <c r="M146" s="57" t="e">
        <f>'Summary Data'!M143*J$3</f>
        <v>#VALUE!</v>
      </c>
      <c r="N146" s="57" t="e">
        <f>'Summary Data'!N143*K$3</f>
        <v>#VALUE!</v>
      </c>
      <c r="O146" s="57" t="e">
        <f>'Summary Data'!O143*L$3</f>
        <v>#VALUE!</v>
      </c>
      <c r="P146" s="57" t="e">
        <f>'Summary Data'!P143*M$3</f>
        <v>#VALUE!</v>
      </c>
      <c r="Q146" s="57" t="e">
        <f>'Summary Data'!Q143*N$3</f>
        <v>#VALUE!</v>
      </c>
      <c r="R146" s="57" t="e">
        <f>'Summary Data'!R143*O$3</f>
        <v>#VALUE!</v>
      </c>
      <c r="S146" s="57" t="e">
        <f>'Summary Data'!S143*P$3</f>
        <v>#VALUE!</v>
      </c>
      <c r="T146" s="57" t="e">
        <f>(_xlfn.XLOOKUP(A146,'Round 1 Points'!$A$10:$A$144,'Round 1 Points'!$T$10:$T$144,0)+_xlfn.XLOOKUP(A146,'Round 2 Points'!$A$10:$A$146,'Round 2 Points'!$T$10:$T$146,0)+_xlfn.XLOOKUP(A146,'Round 3 Points'!$A$10:$A$145,'Round 3 Points'!$T$10:$T$145,0)+_xlfn.XLOOKUP(A146,'Round 4 Points'!$A$10:$A$147,'Round 4 Points'!$T$10:$T$147,0))/D146</f>
        <v>#VALUE!</v>
      </c>
      <c r="U146" s="57" t="e">
        <f>'Summary Data'!T143*Q$3</f>
        <v>#VALUE!</v>
      </c>
      <c r="V146" s="57">
        <f>(_xlfn.XLOOKUP(A146,'Round 1 Points'!$A$10:$A$144,'Round 1 Points'!$V$10:$V$144,0)+_xlfn.XLOOKUP(A146,'Round 2 Points'!$A$10:$A$146,'Round 2 Points'!$V$10:$V$146,0)+_xlfn.XLOOKUP(A146,'Round 3 Points'!$A$10:$A$145,'Round 3 Points'!$V$10:$V$145,0)+_xlfn.XLOOKUP(A146,'Round 4 Points'!$A$10:$A$147,'Round 4 Points'!$V$10:$V$147,0))</f>
        <v>1.1000000000000001</v>
      </c>
      <c r="W146" s="72" t="e">
        <f t="shared" si="2"/>
        <v>#VALUE!</v>
      </c>
    </row>
    <row r="147" spans="1:23" ht="16" thickBot="1" x14ac:dyDescent="0.25">
      <c r="A147" s="64" t="s">
        <v>73</v>
      </c>
      <c r="B147" t="s">
        <v>188</v>
      </c>
      <c r="C147" t="s">
        <v>199</v>
      </c>
      <c r="D147" t="e">
        <f>'Summary Data'!D144</f>
        <v>#VALUE!</v>
      </c>
      <c r="E147" s="57" t="e">
        <f>'Summary Data'!E144</f>
        <v>#VALUE!</v>
      </c>
      <c r="F147" s="57" t="e">
        <f>'Summary Data'!F144*C$3</f>
        <v>#VALUE!</v>
      </c>
      <c r="G147" s="57" t="e">
        <f>'Summary Data'!G144*D$3</f>
        <v>#VALUE!</v>
      </c>
      <c r="H147" s="57" t="e">
        <f>'Summary Data'!H144*E$3</f>
        <v>#VALUE!</v>
      </c>
      <c r="I147" s="57" t="e">
        <f>'Summary Data'!I144*F$3</f>
        <v>#VALUE!</v>
      </c>
      <c r="J147" s="57" t="e">
        <f>'Summary Data'!J144*G$3</f>
        <v>#VALUE!</v>
      </c>
      <c r="K147" s="57" t="e">
        <f>'Summary Data'!K144*H$3</f>
        <v>#VALUE!</v>
      </c>
      <c r="L147" s="57" t="e">
        <f>'Summary Data'!L144*I$3</f>
        <v>#VALUE!</v>
      </c>
      <c r="M147" s="57" t="e">
        <f>'Summary Data'!M144*J$3</f>
        <v>#VALUE!</v>
      </c>
      <c r="N147" s="57" t="e">
        <f>'Summary Data'!N144*K$3</f>
        <v>#VALUE!</v>
      </c>
      <c r="O147" s="57" t="e">
        <f>'Summary Data'!O144*L$3</f>
        <v>#VALUE!</v>
      </c>
      <c r="P147" s="57" t="e">
        <f>'Summary Data'!P144*M$3</f>
        <v>#VALUE!</v>
      </c>
      <c r="Q147" s="57" t="e">
        <f>'Summary Data'!Q144*N$3</f>
        <v>#VALUE!</v>
      </c>
      <c r="R147" s="57" t="e">
        <f>'Summary Data'!R144*O$3</f>
        <v>#VALUE!</v>
      </c>
      <c r="S147" s="57" t="e">
        <f>'Summary Data'!S144*P$3</f>
        <v>#VALUE!</v>
      </c>
      <c r="T147" s="57" t="e">
        <f>(_xlfn.XLOOKUP(A147,'Round 1 Points'!$A$10:$A$144,'Round 1 Points'!$T$10:$T$144,0)+_xlfn.XLOOKUP(A147,'Round 2 Points'!$A$10:$A$146,'Round 2 Points'!$T$10:$T$146,0)+_xlfn.XLOOKUP(A147,'Round 3 Points'!$A$10:$A$145,'Round 3 Points'!$T$10:$T$145,0)+_xlfn.XLOOKUP(A147,'Round 4 Points'!$A$10:$A$147,'Round 4 Points'!$T$10:$T$147,0))/D147</f>
        <v>#VALUE!</v>
      </c>
      <c r="U147" s="57" t="e">
        <f>'Summary Data'!T144*Q$3</f>
        <v>#VALUE!</v>
      </c>
      <c r="V147" s="57">
        <f>(_xlfn.XLOOKUP(A147,'Round 1 Points'!$A$10:$A$144,'Round 1 Points'!$V$10:$V$144,0)+_xlfn.XLOOKUP(A147,'Round 2 Points'!$A$10:$A$146,'Round 2 Points'!$V$10:$V$146,0)+_xlfn.XLOOKUP(A147,'Round 3 Points'!$A$10:$A$145,'Round 3 Points'!$V$10:$V$145,0)+_xlfn.XLOOKUP(A147,'Round 4 Points'!$A$10:$A$147,'Round 4 Points'!$V$10:$V$147,0))</f>
        <v>0</v>
      </c>
      <c r="W147" s="72" t="e">
        <f t="shared" si="2"/>
        <v>#VALUE!</v>
      </c>
    </row>
    <row r="148" spans="1:23" ht="16" thickBot="1" x14ac:dyDescent="0.25">
      <c r="A148" s="65" t="s">
        <v>74</v>
      </c>
      <c r="B148" t="s">
        <v>188</v>
      </c>
      <c r="C148" t="s">
        <v>200</v>
      </c>
      <c r="D148" t="e">
        <f>'Summary Data'!D145</f>
        <v>#VALUE!</v>
      </c>
      <c r="E148" s="57" t="e">
        <f>'Summary Data'!E145</f>
        <v>#VALUE!</v>
      </c>
      <c r="F148" s="57" t="e">
        <f>'Summary Data'!F145*C$3</f>
        <v>#VALUE!</v>
      </c>
      <c r="G148" s="57" t="e">
        <f>'Summary Data'!G145*D$3</f>
        <v>#VALUE!</v>
      </c>
      <c r="H148" s="57" t="e">
        <f>'Summary Data'!H145*E$3</f>
        <v>#VALUE!</v>
      </c>
      <c r="I148" s="57" t="e">
        <f>'Summary Data'!I145*F$3</f>
        <v>#VALUE!</v>
      </c>
      <c r="J148" s="57" t="e">
        <f>'Summary Data'!J145*G$3</f>
        <v>#VALUE!</v>
      </c>
      <c r="K148" s="57" t="e">
        <f>'Summary Data'!K145*H$3</f>
        <v>#VALUE!</v>
      </c>
      <c r="L148" s="57" t="e">
        <f>'Summary Data'!L145*I$3</f>
        <v>#VALUE!</v>
      </c>
      <c r="M148" s="57" t="e">
        <f>'Summary Data'!M145*J$3</f>
        <v>#VALUE!</v>
      </c>
      <c r="N148" s="57" t="e">
        <f>'Summary Data'!N145*K$3</f>
        <v>#VALUE!</v>
      </c>
      <c r="O148" s="57" t="e">
        <f>'Summary Data'!O145*L$3</f>
        <v>#VALUE!</v>
      </c>
      <c r="P148" s="57" t="e">
        <f>'Summary Data'!P145*M$3</f>
        <v>#VALUE!</v>
      </c>
      <c r="Q148" s="57" t="e">
        <f>'Summary Data'!Q145*N$3</f>
        <v>#VALUE!</v>
      </c>
      <c r="R148" s="57" t="e">
        <f>'Summary Data'!R145*O$3</f>
        <v>#VALUE!</v>
      </c>
      <c r="S148" s="57" t="e">
        <f>'Summary Data'!S145*P$3</f>
        <v>#VALUE!</v>
      </c>
      <c r="T148" s="57" t="e">
        <f>(_xlfn.XLOOKUP(A148,'Round 1 Points'!$A$10:$A$144,'Round 1 Points'!$T$10:$T$144,0)+_xlfn.XLOOKUP(A148,'Round 2 Points'!$A$10:$A$146,'Round 2 Points'!$T$10:$T$146,0)+_xlfn.XLOOKUP(A148,'Round 3 Points'!$A$10:$A$145,'Round 3 Points'!$T$10:$T$145,0)+_xlfn.XLOOKUP(A148,'Round 4 Points'!$A$10:$A$147,'Round 4 Points'!$T$10:$T$147,0))/D148</f>
        <v>#VALUE!</v>
      </c>
      <c r="U148" s="57" t="e">
        <f>'Summary Data'!T145*Q$3</f>
        <v>#VALUE!</v>
      </c>
      <c r="V148" s="57">
        <f>(_xlfn.XLOOKUP(A148,'Round 1 Points'!$A$10:$A$144,'Round 1 Points'!$V$10:$V$144,0)+_xlfn.XLOOKUP(A148,'Round 2 Points'!$A$10:$A$146,'Round 2 Points'!$V$10:$V$146,0)+_xlfn.XLOOKUP(A148,'Round 3 Points'!$A$10:$A$145,'Round 3 Points'!$V$10:$V$145,0)+_xlfn.XLOOKUP(A148,'Round 4 Points'!$A$10:$A$147,'Round 4 Points'!$V$10:$V$147,0))</f>
        <v>0</v>
      </c>
      <c r="W148" s="72" t="e">
        <f t="shared" si="2"/>
        <v>#VALUE!</v>
      </c>
    </row>
    <row r="149" spans="1:23" ht="16" thickBot="1" x14ac:dyDescent="0.25">
      <c r="A149" s="63" t="s">
        <v>76</v>
      </c>
      <c r="B149" t="s">
        <v>188</v>
      </c>
      <c r="C149" t="s">
        <v>200</v>
      </c>
      <c r="D149" t="e">
        <f>'Summary Data'!D146</f>
        <v>#VALUE!</v>
      </c>
      <c r="E149" s="57" t="e">
        <f>'Summary Data'!E146</f>
        <v>#VALUE!</v>
      </c>
      <c r="F149" s="57" t="e">
        <f>'Summary Data'!F146*C$3</f>
        <v>#VALUE!</v>
      </c>
      <c r="G149" s="57" t="e">
        <f>'Summary Data'!G146*D$3</f>
        <v>#VALUE!</v>
      </c>
      <c r="H149" s="57" t="e">
        <f>'Summary Data'!H146*E$3</f>
        <v>#VALUE!</v>
      </c>
      <c r="I149" s="57" t="e">
        <f>'Summary Data'!I146*F$3</f>
        <v>#VALUE!</v>
      </c>
      <c r="J149" s="57" t="e">
        <f>'Summary Data'!J146*G$3</f>
        <v>#VALUE!</v>
      </c>
      <c r="K149" s="57" t="e">
        <f>'Summary Data'!K146*H$3</f>
        <v>#VALUE!</v>
      </c>
      <c r="L149" s="57" t="e">
        <f>'Summary Data'!L146*I$3</f>
        <v>#VALUE!</v>
      </c>
      <c r="M149" s="57" t="e">
        <f>'Summary Data'!M146*J$3</f>
        <v>#VALUE!</v>
      </c>
      <c r="N149" s="57" t="e">
        <f>'Summary Data'!N146*K$3</f>
        <v>#VALUE!</v>
      </c>
      <c r="O149" s="57" t="e">
        <f>'Summary Data'!O146*L$3</f>
        <v>#VALUE!</v>
      </c>
      <c r="P149" s="57" t="e">
        <f>'Summary Data'!P146*M$3</f>
        <v>#VALUE!</v>
      </c>
      <c r="Q149" s="57" t="e">
        <f>'Summary Data'!Q146*N$3</f>
        <v>#VALUE!</v>
      </c>
      <c r="R149" s="57" t="e">
        <f>'Summary Data'!R146*O$3</f>
        <v>#VALUE!</v>
      </c>
      <c r="S149" s="57" t="e">
        <f>'Summary Data'!S146*P$3</f>
        <v>#VALUE!</v>
      </c>
      <c r="T149" s="57" t="e">
        <f>(_xlfn.XLOOKUP(A149,'Round 1 Points'!$A$10:$A$144,'Round 1 Points'!$T$10:$T$144,0)+_xlfn.XLOOKUP(A149,'Round 2 Points'!$A$10:$A$146,'Round 2 Points'!$T$10:$T$146,0)+_xlfn.XLOOKUP(A149,'Round 3 Points'!$A$10:$A$145,'Round 3 Points'!$T$10:$T$145,0)+_xlfn.XLOOKUP(A149,'Round 4 Points'!$A$10:$A$147,'Round 4 Points'!$T$10:$T$147,0))/D149</f>
        <v>#VALUE!</v>
      </c>
      <c r="U149" s="57" t="e">
        <f>'Summary Data'!T146*Q$3</f>
        <v>#VALUE!</v>
      </c>
      <c r="V149" s="57">
        <f>(_xlfn.XLOOKUP(A149,'Round 1 Points'!$A$10:$A$144,'Round 1 Points'!$V$10:$V$144,0)+_xlfn.XLOOKUP(A149,'Round 2 Points'!$A$10:$A$146,'Round 2 Points'!$V$10:$V$146,0)+_xlfn.XLOOKUP(A149,'Round 3 Points'!$A$10:$A$145,'Round 3 Points'!$V$10:$V$145,0)+_xlfn.XLOOKUP(A149,'Round 4 Points'!$A$10:$A$147,'Round 4 Points'!$V$10:$V$147,0))</f>
        <v>4.5</v>
      </c>
      <c r="W149" s="72" t="e">
        <f t="shared" si="2"/>
        <v>#VALUE!</v>
      </c>
    </row>
    <row r="150" spans="1:23" ht="16" thickBot="1" x14ac:dyDescent="0.25">
      <c r="A150" s="61" t="s">
        <v>80</v>
      </c>
      <c r="B150" t="s">
        <v>190</v>
      </c>
      <c r="C150" t="s">
        <v>194</v>
      </c>
      <c r="D150" t="e">
        <f>'Summary Data'!D147</f>
        <v>#VALUE!</v>
      </c>
      <c r="E150" s="57" t="e">
        <f>'Summary Data'!E147</f>
        <v>#VALUE!</v>
      </c>
      <c r="F150" s="57" t="e">
        <f>'Summary Data'!F147*C$3</f>
        <v>#VALUE!</v>
      </c>
      <c r="G150" s="57" t="e">
        <f>'Summary Data'!G147*D$3</f>
        <v>#VALUE!</v>
      </c>
      <c r="H150" s="57" t="e">
        <f>'Summary Data'!H147*E$3</f>
        <v>#VALUE!</v>
      </c>
      <c r="I150" s="57" t="e">
        <f>'Summary Data'!I147*F$3</f>
        <v>#VALUE!</v>
      </c>
      <c r="J150" s="57" t="e">
        <f>'Summary Data'!J147*G$3</f>
        <v>#VALUE!</v>
      </c>
      <c r="K150" s="57" t="e">
        <f>'Summary Data'!K147*H$3</f>
        <v>#VALUE!</v>
      </c>
      <c r="L150" s="57" t="e">
        <f>'Summary Data'!L147*I$3</f>
        <v>#VALUE!</v>
      </c>
      <c r="M150" s="57" t="e">
        <f>'Summary Data'!M147*J$3</f>
        <v>#VALUE!</v>
      </c>
      <c r="N150" s="57" t="e">
        <f>'Summary Data'!N147*K$3</f>
        <v>#VALUE!</v>
      </c>
      <c r="O150" s="57" t="e">
        <f>'Summary Data'!O147*L$3</f>
        <v>#VALUE!</v>
      </c>
      <c r="P150" s="57" t="e">
        <f>'Summary Data'!P147*M$3</f>
        <v>#VALUE!</v>
      </c>
      <c r="Q150" s="57" t="e">
        <f>'Summary Data'!Q147*N$3</f>
        <v>#VALUE!</v>
      </c>
      <c r="R150" s="57" t="e">
        <f>'Summary Data'!R147*O$3</f>
        <v>#VALUE!</v>
      </c>
      <c r="S150" s="57" t="e">
        <f>'Summary Data'!S147*P$3</f>
        <v>#VALUE!</v>
      </c>
      <c r="T150" s="57" t="e">
        <f>(_xlfn.XLOOKUP(A150,'Round 1 Points'!$A$10:$A$144,'Round 1 Points'!$T$10:$T$144,0)+_xlfn.XLOOKUP(A150,'Round 2 Points'!$A$10:$A$146,'Round 2 Points'!$T$10:$T$146,0)+_xlfn.XLOOKUP(A150,'Round 3 Points'!$A$10:$A$145,'Round 3 Points'!$T$10:$T$145,0)+_xlfn.XLOOKUP(A150,'Round 4 Points'!$A$10:$A$147,'Round 4 Points'!$T$10:$T$147,0))/D150</f>
        <v>#VALUE!</v>
      </c>
      <c r="U150" s="57" t="e">
        <f>'Summary Data'!T147*Q$3</f>
        <v>#VALUE!</v>
      </c>
      <c r="V150" s="57">
        <f>(_xlfn.XLOOKUP(A150,'Round 1 Points'!$A$10:$A$144,'Round 1 Points'!$V$10:$V$144,0)+_xlfn.XLOOKUP(A150,'Round 2 Points'!$A$10:$A$146,'Round 2 Points'!$V$10:$V$146,0)+_xlfn.XLOOKUP(A150,'Round 3 Points'!$A$10:$A$145,'Round 3 Points'!$V$10:$V$145,0)+_xlfn.XLOOKUP(A150,'Round 4 Points'!$A$10:$A$147,'Round 4 Points'!$V$10:$V$147,0))</f>
        <v>2.7</v>
      </c>
      <c r="W150" s="72" t="e">
        <f t="shared" si="2"/>
        <v>#VALUE!</v>
      </c>
    </row>
    <row r="151" spans="1:23" ht="16" thickBot="1" x14ac:dyDescent="0.25">
      <c r="A151" s="64" t="s">
        <v>86</v>
      </c>
      <c r="B151" t="s">
        <v>190</v>
      </c>
      <c r="C151" t="s">
        <v>195</v>
      </c>
      <c r="D151" t="e">
        <f>'Summary Data'!D148</f>
        <v>#VALUE!</v>
      </c>
      <c r="E151" s="57" t="e">
        <f>'Summary Data'!E148</f>
        <v>#VALUE!</v>
      </c>
      <c r="F151" s="57" t="e">
        <f>'Summary Data'!F148*C$3</f>
        <v>#VALUE!</v>
      </c>
      <c r="G151" s="57" t="e">
        <f>'Summary Data'!G148*D$3</f>
        <v>#VALUE!</v>
      </c>
      <c r="H151" s="57" t="e">
        <f>'Summary Data'!H148*E$3</f>
        <v>#VALUE!</v>
      </c>
      <c r="I151" s="57" t="e">
        <f>'Summary Data'!I148*F$3</f>
        <v>#VALUE!</v>
      </c>
      <c r="J151" s="57" t="e">
        <f>'Summary Data'!J148*G$3</f>
        <v>#VALUE!</v>
      </c>
      <c r="K151" s="57" t="e">
        <f>'Summary Data'!K148*H$3</f>
        <v>#VALUE!</v>
      </c>
      <c r="L151" s="57" t="e">
        <f>'Summary Data'!L148*I$3</f>
        <v>#VALUE!</v>
      </c>
      <c r="M151" s="57" t="e">
        <f>'Summary Data'!M148*J$3</f>
        <v>#VALUE!</v>
      </c>
      <c r="N151" s="57" t="e">
        <f>'Summary Data'!N148*K$3</f>
        <v>#VALUE!</v>
      </c>
      <c r="O151" s="57" t="e">
        <f>'Summary Data'!O148*L$3</f>
        <v>#VALUE!</v>
      </c>
      <c r="P151" s="57" t="e">
        <f>'Summary Data'!P148*M$3</f>
        <v>#VALUE!</v>
      </c>
      <c r="Q151" s="57" t="e">
        <f>'Summary Data'!Q148*N$3</f>
        <v>#VALUE!</v>
      </c>
      <c r="R151" s="57" t="e">
        <f>'Summary Data'!R148*O$3</f>
        <v>#VALUE!</v>
      </c>
      <c r="S151" s="57" t="e">
        <f>'Summary Data'!S148*P$3</f>
        <v>#VALUE!</v>
      </c>
      <c r="T151" s="57" t="e">
        <f>(_xlfn.XLOOKUP(A151,'Round 1 Points'!$A$10:$A$144,'Round 1 Points'!$T$10:$T$144,0)+_xlfn.XLOOKUP(A151,'Round 2 Points'!$A$10:$A$146,'Round 2 Points'!$T$10:$T$146,0)+_xlfn.XLOOKUP(A151,'Round 3 Points'!$A$10:$A$145,'Round 3 Points'!$T$10:$T$145,0)+_xlfn.XLOOKUP(A151,'Round 4 Points'!$A$10:$A$147,'Round 4 Points'!$T$10:$T$147,0))/D151</f>
        <v>#VALUE!</v>
      </c>
      <c r="U151" s="57" t="e">
        <f>'Summary Data'!T148*Q$3</f>
        <v>#VALUE!</v>
      </c>
      <c r="V151" s="57">
        <f>(_xlfn.XLOOKUP(A151,'Round 1 Points'!$A$10:$A$144,'Round 1 Points'!$V$10:$V$144,0)+_xlfn.XLOOKUP(A151,'Round 2 Points'!$A$10:$A$146,'Round 2 Points'!$V$10:$V$146,0)+_xlfn.XLOOKUP(A151,'Round 3 Points'!$A$10:$A$145,'Round 3 Points'!$V$10:$V$145,0)+_xlfn.XLOOKUP(A151,'Round 4 Points'!$A$10:$A$147,'Round 4 Points'!$V$10:$V$147,0))</f>
        <v>15.2</v>
      </c>
      <c r="W151" s="72" t="e">
        <f t="shared" si="2"/>
        <v>#VALUE!</v>
      </c>
    </row>
    <row r="152" spans="1:23" ht="16" thickBot="1" x14ac:dyDescent="0.25">
      <c r="A152" s="61" t="s">
        <v>88</v>
      </c>
      <c r="B152" t="s">
        <v>190</v>
      </c>
      <c r="C152" t="s">
        <v>197</v>
      </c>
      <c r="D152" t="e">
        <f>'Summary Data'!D149</f>
        <v>#VALUE!</v>
      </c>
      <c r="E152" s="57" t="e">
        <f>'Summary Data'!E149</f>
        <v>#VALUE!</v>
      </c>
      <c r="F152" s="57" t="e">
        <f>'Summary Data'!F149*C$3</f>
        <v>#VALUE!</v>
      </c>
      <c r="G152" s="57" t="e">
        <f>'Summary Data'!G149*D$3</f>
        <v>#VALUE!</v>
      </c>
      <c r="H152" s="57" t="e">
        <f>'Summary Data'!H149*E$3</f>
        <v>#VALUE!</v>
      </c>
      <c r="I152" s="57" t="e">
        <f>'Summary Data'!I149*F$3</f>
        <v>#VALUE!</v>
      </c>
      <c r="J152" s="57" t="e">
        <f>'Summary Data'!J149*G$3</f>
        <v>#VALUE!</v>
      </c>
      <c r="K152" s="57" t="e">
        <f>'Summary Data'!K149*H$3</f>
        <v>#VALUE!</v>
      </c>
      <c r="L152" s="57" t="e">
        <f>'Summary Data'!L149*I$3</f>
        <v>#VALUE!</v>
      </c>
      <c r="M152" s="57" t="e">
        <f>'Summary Data'!M149*J$3</f>
        <v>#VALUE!</v>
      </c>
      <c r="N152" s="57" t="e">
        <f>'Summary Data'!N149*K$3</f>
        <v>#VALUE!</v>
      </c>
      <c r="O152" s="57" t="e">
        <f>'Summary Data'!O149*L$3</f>
        <v>#VALUE!</v>
      </c>
      <c r="P152" s="57" t="e">
        <f>'Summary Data'!P149*M$3</f>
        <v>#VALUE!</v>
      </c>
      <c r="Q152" s="57" t="e">
        <f>'Summary Data'!Q149*N$3</f>
        <v>#VALUE!</v>
      </c>
      <c r="R152" s="57" t="e">
        <f>'Summary Data'!R149*O$3</f>
        <v>#VALUE!</v>
      </c>
      <c r="S152" s="57" t="e">
        <f>'Summary Data'!S149*P$3</f>
        <v>#VALUE!</v>
      </c>
      <c r="T152" s="57" t="e">
        <f>(_xlfn.XLOOKUP(A152,'Round 1 Points'!$A$10:$A$144,'Round 1 Points'!$T$10:$T$144,0)+_xlfn.XLOOKUP(A152,'Round 2 Points'!$A$10:$A$146,'Round 2 Points'!$T$10:$T$146,0)+_xlfn.XLOOKUP(A152,'Round 3 Points'!$A$10:$A$145,'Round 3 Points'!$T$10:$T$145,0)+_xlfn.XLOOKUP(A152,'Round 4 Points'!$A$10:$A$147,'Round 4 Points'!$T$10:$T$147,0))/D152</f>
        <v>#VALUE!</v>
      </c>
      <c r="U152" s="57" t="e">
        <f>'Summary Data'!T149*Q$3</f>
        <v>#VALUE!</v>
      </c>
      <c r="V152" s="57">
        <f>(_xlfn.XLOOKUP(A152,'Round 1 Points'!$A$10:$A$144,'Round 1 Points'!$V$10:$V$144,0)+_xlfn.XLOOKUP(A152,'Round 2 Points'!$A$10:$A$146,'Round 2 Points'!$V$10:$V$146,0)+_xlfn.XLOOKUP(A152,'Round 3 Points'!$A$10:$A$145,'Round 3 Points'!$V$10:$V$145,0)+_xlfn.XLOOKUP(A152,'Round 4 Points'!$A$10:$A$147,'Round 4 Points'!$V$10:$V$147,0))</f>
        <v>2.8</v>
      </c>
      <c r="W152" s="72" t="e">
        <f t="shared" si="2"/>
        <v>#VALUE!</v>
      </c>
    </row>
    <row r="153" spans="1:23" ht="16" thickBot="1" x14ac:dyDescent="0.25">
      <c r="A153" s="63" t="s">
        <v>93</v>
      </c>
      <c r="B153" t="s">
        <v>190</v>
      </c>
      <c r="C153" t="s">
        <v>198</v>
      </c>
      <c r="D153" t="e">
        <f>'Summary Data'!D150</f>
        <v>#VALUE!</v>
      </c>
      <c r="E153" s="57" t="e">
        <f>'Summary Data'!E150</f>
        <v>#VALUE!</v>
      </c>
      <c r="F153" s="57" t="e">
        <f>'Summary Data'!F150*C$3</f>
        <v>#VALUE!</v>
      </c>
      <c r="G153" s="57" t="e">
        <f>'Summary Data'!G150*D$3</f>
        <v>#VALUE!</v>
      </c>
      <c r="H153" s="57" t="e">
        <f>'Summary Data'!H150*E$3</f>
        <v>#VALUE!</v>
      </c>
      <c r="I153" s="57" t="e">
        <f>'Summary Data'!I150*F$3</f>
        <v>#VALUE!</v>
      </c>
      <c r="J153" s="57" t="e">
        <f>'Summary Data'!J150*G$3</f>
        <v>#VALUE!</v>
      </c>
      <c r="K153" s="57" t="e">
        <f>'Summary Data'!K150*H$3</f>
        <v>#VALUE!</v>
      </c>
      <c r="L153" s="57" t="e">
        <f>'Summary Data'!L150*I$3</f>
        <v>#VALUE!</v>
      </c>
      <c r="M153" s="57" t="e">
        <f>'Summary Data'!M150*J$3</f>
        <v>#VALUE!</v>
      </c>
      <c r="N153" s="57" t="e">
        <f>'Summary Data'!N150*K$3</f>
        <v>#VALUE!</v>
      </c>
      <c r="O153" s="57" t="e">
        <f>'Summary Data'!O150*L$3</f>
        <v>#VALUE!</v>
      </c>
      <c r="P153" s="57" t="e">
        <f>'Summary Data'!P150*M$3</f>
        <v>#VALUE!</v>
      </c>
      <c r="Q153" s="57" t="e">
        <f>'Summary Data'!Q150*N$3</f>
        <v>#VALUE!</v>
      </c>
      <c r="R153" s="57" t="e">
        <f>'Summary Data'!R150*O$3</f>
        <v>#VALUE!</v>
      </c>
      <c r="S153" s="57" t="e">
        <f>'Summary Data'!S150*P$3</f>
        <v>#VALUE!</v>
      </c>
      <c r="T153" s="57" t="e">
        <f>(_xlfn.XLOOKUP(A153,'Round 1 Points'!$A$10:$A$144,'Round 1 Points'!$T$10:$T$144,0)+_xlfn.XLOOKUP(A153,'Round 2 Points'!$A$10:$A$146,'Round 2 Points'!$T$10:$T$146,0)+_xlfn.XLOOKUP(A153,'Round 3 Points'!$A$10:$A$145,'Round 3 Points'!$T$10:$T$145,0)+_xlfn.XLOOKUP(A153,'Round 4 Points'!$A$10:$A$147,'Round 4 Points'!$T$10:$T$147,0))/D153</f>
        <v>#VALUE!</v>
      </c>
      <c r="U153" s="57" t="e">
        <f>'Summary Data'!T150*Q$3</f>
        <v>#VALUE!</v>
      </c>
      <c r="V153" s="57">
        <f>(_xlfn.XLOOKUP(A153,'Round 1 Points'!$A$10:$A$144,'Round 1 Points'!$V$10:$V$144,0)+_xlfn.XLOOKUP(A153,'Round 2 Points'!$A$10:$A$146,'Round 2 Points'!$V$10:$V$146,0)+_xlfn.XLOOKUP(A153,'Round 3 Points'!$A$10:$A$145,'Round 3 Points'!$V$10:$V$145,0)+_xlfn.XLOOKUP(A153,'Round 4 Points'!$A$10:$A$147,'Round 4 Points'!$V$10:$V$147,0))</f>
        <v>11.2</v>
      </c>
      <c r="W153" s="72" t="e">
        <f t="shared" si="2"/>
        <v>#VALUE!</v>
      </c>
    </row>
    <row r="154" spans="1:23" ht="16" thickBot="1" x14ac:dyDescent="0.25">
      <c r="A154" s="61" t="s">
        <v>102</v>
      </c>
      <c r="B154" t="s">
        <v>190</v>
      </c>
      <c r="C154" t="s">
        <v>201</v>
      </c>
      <c r="D154" t="e">
        <f>'Summary Data'!D151</f>
        <v>#VALUE!</v>
      </c>
      <c r="E154" s="57" t="e">
        <f>'Summary Data'!E151</f>
        <v>#VALUE!</v>
      </c>
      <c r="F154" s="57" t="e">
        <f>'Summary Data'!F151*C$3</f>
        <v>#VALUE!</v>
      </c>
      <c r="G154" s="57" t="e">
        <f>'Summary Data'!G151*D$3</f>
        <v>#VALUE!</v>
      </c>
      <c r="H154" s="57" t="e">
        <f>'Summary Data'!H151*E$3</f>
        <v>#VALUE!</v>
      </c>
      <c r="I154" s="57" t="e">
        <f>'Summary Data'!I151*F$3</f>
        <v>#VALUE!</v>
      </c>
      <c r="J154" s="57" t="e">
        <f>'Summary Data'!J151*G$3</f>
        <v>#VALUE!</v>
      </c>
      <c r="K154" s="57" t="e">
        <f>'Summary Data'!K151*H$3</f>
        <v>#VALUE!</v>
      </c>
      <c r="L154" s="57" t="e">
        <f>'Summary Data'!L151*I$3</f>
        <v>#VALUE!</v>
      </c>
      <c r="M154" s="57" t="e">
        <f>'Summary Data'!M151*J$3</f>
        <v>#VALUE!</v>
      </c>
      <c r="N154" s="57" t="e">
        <f>'Summary Data'!N151*K$3</f>
        <v>#VALUE!</v>
      </c>
      <c r="O154" s="57" t="e">
        <f>'Summary Data'!O151*L$3</f>
        <v>#VALUE!</v>
      </c>
      <c r="P154" s="57" t="e">
        <f>'Summary Data'!P151*M$3</f>
        <v>#VALUE!</v>
      </c>
      <c r="Q154" s="57" t="e">
        <f>'Summary Data'!Q151*N$3</f>
        <v>#VALUE!</v>
      </c>
      <c r="R154" s="57" t="e">
        <f>'Summary Data'!R151*O$3</f>
        <v>#VALUE!</v>
      </c>
      <c r="S154" s="57" t="e">
        <f>'Summary Data'!S151*P$3</f>
        <v>#VALUE!</v>
      </c>
      <c r="T154" s="57" t="e">
        <f>(_xlfn.XLOOKUP(A154,'Round 1 Points'!$A$10:$A$144,'Round 1 Points'!$T$10:$T$144,0)+_xlfn.XLOOKUP(A154,'Round 2 Points'!$A$10:$A$146,'Round 2 Points'!$T$10:$T$146,0)+_xlfn.XLOOKUP(A154,'Round 3 Points'!$A$10:$A$145,'Round 3 Points'!$T$10:$T$145,0)+_xlfn.XLOOKUP(A154,'Round 4 Points'!$A$10:$A$147,'Round 4 Points'!$T$10:$T$147,0))/D154</f>
        <v>#VALUE!</v>
      </c>
      <c r="U154" s="57" t="e">
        <f>'Summary Data'!T151*Q$3</f>
        <v>#VALUE!</v>
      </c>
      <c r="V154" s="57">
        <f>(_xlfn.XLOOKUP(A154,'Round 1 Points'!$A$10:$A$144,'Round 1 Points'!$V$10:$V$144,0)+_xlfn.XLOOKUP(A154,'Round 2 Points'!$A$10:$A$146,'Round 2 Points'!$V$10:$V$146,0)+_xlfn.XLOOKUP(A154,'Round 3 Points'!$A$10:$A$145,'Round 3 Points'!$V$10:$V$145,0)+_xlfn.XLOOKUP(A154,'Round 4 Points'!$A$10:$A$147,'Round 4 Points'!$V$10:$V$147,0))</f>
        <v>0.79999999999999993</v>
      </c>
      <c r="W154" s="72" t="e">
        <f t="shared" si="2"/>
        <v>#VALUE!</v>
      </c>
    </row>
    <row r="155" spans="1:23" ht="16" thickBot="1" x14ac:dyDescent="0.25">
      <c r="A155" s="64" t="s">
        <v>115</v>
      </c>
      <c r="B155" t="s">
        <v>192</v>
      </c>
      <c r="C155" t="s">
        <v>198</v>
      </c>
      <c r="D155" t="e">
        <f>'Summary Data'!D152</f>
        <v>#VALUE!</v>
      </c>
      <c r="E155" s="57" t="e">
        <f>'Summary Data'!E152</f>
        <v>#VALUE!</v>
      </c>
      <c r="F155" s="57" t="e">
        <f>'Summary Data'!F152*C$3</f>
        <v>#VALUE!</v>
      </c>
      <c r="G155" s="57" t="e">
        <f>'Summary Data'!G152*D$3</f>
        <v>#VALUE!</v>
      </c>
      <c r="H155" s="57" t="e">
        <f>'Summary Data'!H152*E$3</f>
        <v>#VALUE!</v>
      </c>
      <c r="I155" s="57" t="e">
        <f>'Summary Data'!I152*F$3</f>
        <v>#VALUE!</v>
      </c>
      <c r="J155" s="57" t="e">
        <f>'Summary Data'!J152*G$3</f>
        <v>#VALUE!</v>
      </c>
      <c r="K155" s="57" t="e">
        <f>'Summary Data'!K152*H$3</f>
        <v>#VALUE!</v>
      </c>
      <c r="L155" s="57" t="e">
        <f>'Summary Data'!L152*I$3</f>
        <v>#VALUE!</v>
      </c>
      <c r="M155" s="57" t="e">
        <f>'Summary Data'!M152*J$3</f>
        <v>#VALUE!</v>
      </c>
      <c r="N155" s="57" t="e">
        <f>'Summary Data'!N152*K$3</f>
        <v>#VALUE!</v>
      </c>
      <c r="O155" s="57" t="e">
        <f>'Summary Data'!O152*L$3</f>
        <v>#VALUE!</v>
      </c>
      <c r="P155" s="57" t="e">
        <f>'Summary Data'!P152*M$3</f>
        <v>#VALUE!</v>
      </c>
      <c r="Q155" s="57" t="e">
        <f>'Summary Data'!Q152*N$3</f>
        <v>#VALUE!</v>
      </c>
      <c r="R155" s="57" t="e">
        <f>'Summary Data'!R152*O$3</f>
        <v>#VALUE!</v>
      </c>
      <c r="S155" s="57" t="e">
        <f>'Summary Data'!S152*P$3</f>
        <v>#VALUE!</v>
      </c>
      <c r="T155" s="57" t="e">
        <f>(_xlfn.XLOOKUP(A155,'Round 1 Points'!$A$10:$A$144,'Round 1 Points'!$T$10:$T$144,0)+_xlfn.XLOOKUP(A155,'Round 2 Points'!$A$10:$A$146,'Round 2 Points'!$T$10:$T$146,0)+_xlfn.XLOOKUP(A155,'Round 3 Points'!$A$10:$A$145,'Round 3 Points'!$T$10:$T$145,0)+_xlfn.XLOOKUP(A155,'Round 4 Points'!$A$10:$A$147,'Round 4 Points'!$T$10:$T$147,0))/D155</f>
        <v>#VALUE!</v>
      </c>
      <c r="U155" s="57" t="e">
        <f>'Summary Data'!T152*Q$3</f>
        <v>#VALUE!</v>
      </c>
      <c r="V155" s="57">
        <f>(_xlfn.XLOOKUP(A155,'Round 1 Points'!$A$10:$A$144,'Round 1 Points'!$V$10:$V$144,0)+_xlfn.XLOOKUP(A155,'Round 2 Points'!$A$10:$A$146,'Round 2 Points'!$V$10:$V$146,0)+_xlfn.XLOOKUP(A155,'Round 3 Points'!$A$10:$A$145,'Round 3 Points'!$V$10:$V$145,0)+_xlfn.XLOOKUP(A155,'Round 4 Points'!$A$10:$A$147,'Round 4 Points'!$V$10:$V$147,0))</f>
        <v>0</v>
      </c>
      <c r="W155" s="72" t="e">
        <f t="shared" si="2"/>
        <v>#VALUE!</v>
      </c>
    </row>
    <row r="156" spans="1:23" ht="16" thickBot="1" x14ac:dyDescent="0.25">
      <c r="A156" s="65" t="s">
        <v>122</v>
      </c>
      <c r="B156" t="s">
        <v>192</v>
      </c>
      <c r="C156" t="s">
        <v>200</v>
      </c>
      <c r="D156" t="e">
        <f>'Summary Data'!D153</f>
        <v>#VALUE!</v>
      </c>
      <c r="E156" s="57" t="e">
        <f>'Summary Data'!E153</f>
        <v>#VALUE!</v>
      </c>
      <c r="F156" s="57" t="e">
        <f>'Summary Data'!F153*C$3</f>
        <v>#VALUE!</v>
      </c>
      <c r="G156" s="57" t="e">
        <f>'Summary Data'!G153*D$3</f>
        <v>#VALUE!</v>
      </c>
      <c r="H156" s="57" t="e">
        <f>'Summary Data'!H153*E$3</f>
        <v>#VALUE!</v>
      </c>
      <c r="I156" s="57" t="e">
        <f>'Summary Data'!I153*F$3</f>
        <v>#VALUE!</v>
      </c>
      <c r="J156" s="57" t="e">
        <f>'Summary Data'!J153*G$3</f>
        <v>#VALUE!</v>
      </c>
      <c r="K156" s="57" t="e">
        <f>'Summary Data'!K153*H$3</f>
        <v>#VALUE!</v>
      </c>
      <c r="L156" s="57" t="e">
        <f>'Summary Data'!L153*I$3</f>
        <v>#VALUE!</v>
      </c>
      <c r="M156" s="57" t="e">
        <f>'Summary Data'!M153*J$3</f>
        <v>#VALUE!</v>
      </c>
      <c r="N156" s="57" t="e">
        <f>'Summary Data'!N153*K$3</f>
        <v>#VALUE!</v>
      </c>
      <c r="O156" s="57" t="e">
        <f>'Summary Data'!O153*L$3</f>
        <v>#VALUE!</v>
      </c>
      <c r="P156" s="57" t="e">
        <f>'Summary Data'!P153*M$3</f>
        <v>#VALUE!</v>
      </c>
      <c r="Q156" s="57" t="e">
        <f>'Summary Data'!Q153*N$3</f>
        <v>#VALUE!</v>
      </c>
      <c r="R156" s="57" t="e">
        <f>'Summary Data'!R153*O$3</f>
        <v>#VALUE!</v>
      </c>
      <c r="S156" s="57" t="e">
        <f>'Summary Data'!S153*P$3</f>
        <v>#VALUE!</v>
      </c>
      <c r="T156" s="57" t="e">
        <f>(_xlfn.XLOOKUP(A156,'Round 1 Points'!$A$10:$A$144,'Round 1 Points'!$T$10:$T$144,0)+_xlfn.XLOOKUP(A156,'Round 2 Points'!$A$10:$A$146,'Round 2 Points'!$T$10:$T$146,0)+_xlfn.XLOOKUP(A156,'Round 3 Points'!$A$10:$A$145,'Round 3 Points'!$T$10:$T$145,0)+_xlfn.XLOOKUP(A156,'Round 4 Points'!$A$10:$A$147,'Round 4 Points'!$T$10:$T$147,0))/D156</f>
        <v>#VALUE!</v>
      </c>
      <c r="U156" s="57" t="e">
        <f>'Summary Data'!T153*Q$3</f>
        <v>#VALUE!</v>
      </c>
      <c r="V156" s="57">
        <f>(_xlfn.XLOOKUP(A156,'Round 1 Points'!$A$10:$A$144,'Round 1 Points'!$V$10:$V$144,0)+_xlfn.XLOOKUP(A156,'Round 2 Points'!$A$10:$A$146,'Round 2 Points'!$V$10:$V$146,0)+_xlfn.XLOOKUP(A156,'Round 3 Points'!$A$10:$A$145,'Round 3 Points'!$V$10:$V$145,0)+_xlfn.XLOOKUP(A156,'Round 4 Points'!$A$10:$A$147,'Round 4 Points'!$V$10:$V$147,0))</f>
        <v>0</v>
      </c>
      <c r="W156" s="72" t="e">
        <f t="shared" si="2"/>
        <v>#VALUE!</v>
      </c>
    </row>
    <row r="157" spans="1:23" ht="16" thickBot="1" x14ac:dyDescent="0.25">
      <c r="A157" s="63" t="s">
        <v>149</v>
      </c>
      <c r="B157" t="s">
        <v>189</v>
      </c>
      <c r="C157" t="s">
        <v>194</v>
      </c>
      <c r="D157" t="e">
        <f>'Summary Data'!D154</f>
        <v>#VALUE!</v>
      </c>
      <c r="E157" s="57" t="e">
        <f>'Summary Data'!E154</f>
        <v>#VALUE!</v>
      </c>
      <c r="F157" s="57" t="e">
        <f>'Summary Data'!F154*C$3</f>
        <v>#VALUE!</v>
      </c>
      <c r="G157" s="57" t="e">
        <f>'Summary Data'!G154*D$3</f>
        <v>#VALUE!</v>
      </c>
      <c r="H157" s="57" t="e">
        <f>'Summary Data'!H154*E$3</f>
        <v>#VALUE!</v>
      </c>
      <c r="I157" s="57" t="e">
        <f>'Summary Data'!I154*F$3</f>
        <v>#VALUE!</v>
      </c>
      <c r="J157" s="57" t="e">
        <f>'Summary Data'!J154*G$3</f>
        <v>#VALUE!</v>
      </c>
      <c r="K157" s="57" t="e">
        <f>'Summary Data'!K154*H$3</f>
        <v>#VALUE!</v>
      </c>
      <c r="L157" s="57" t="e">
        <f>'Summary Data'!L154*I$3</f>
        <v>#VALUE!</v>
      </c>
      <c r="M157" s="57" t="e">
        <f>'Summary Data'!M154*J$3</f>
        <v>#VALUE!</v>
      </c>
      <c r="N157" s="57" t="e">
        <f>'Summary Data'!N154*K$3</f>
        <v>#VALUE!</v>
      </c>
      <c r="O157" s="57" t="e">
        <f>'Summary Data'!O154*L$3</f>
        <v>#VALUE!</v>
      </c>
      <c r="P157" s="57" t="e">
        <f>'Summary Data'!P154*M$3</f>
        <v>#VALUE!</v>
      </c>
      <c r="Q157" s="57" t="e">
        <f>'Summary Data'!Q154*N$3</f>
        <v>#VALUE!</v>
      </c>
      <c r="R157" s="57" t="e">
        <f>'Summary Data'!R154*O$3</f>
        <v>#VALUE!</v>
      </c>
      <c r="S157" s="57" t="e">
        <f>'Summary Data'!S154*P$3</f>
        <v>#VALUE!</v>
      </c>
      <c r="T157" s="57" t="e">
        <f>(_xlfn.XLOOKUP(A157,'Round 1 Points'!$A$10:$A$144,'Round 1 Points'!$T$10:$T$144,0)+_xlfn.XLOOKUP(A157,'Round 2 Points'!$A$10:$A$146,'Round 2 Points'!$T$10:$T$146,0)+_xlfn.XLOOKUP(A157,'Round 3 Points'!$A$10:$A$145,'Round 3 Points'!$T$10:$T$145,0)+_xlfn.XLOOKUP(A157,'Round 4 Points'!$A$10:$A$147,'Round 4 Points'!$T$10:$T$147,0))/D157</f>
        <v>#VALUE!</v>
      </c>
      <c r="U157" s="57" t="e">
        <f>'Summary Data'!T154*Q$3</f>
        <v>#VALUE!</v>
      </c>
      <c r="V157" s="57">
        <f>(_xlfn.XLOOKUP(A157,'Round 1 Points'!$A$10:$A$144,'Round 1 Points'!$V$10:$V$144,0)+_xlfn.XLOOKUP(A157,'Round 2 Points'!$A$10:$A$146,'Round 2 Points'!$V$10:$V$146,0)+_xlfn.XLOOKUP(A157,'Round 3 Points'!$A$10:$A$145,'Round 3 Points'!$V$10:$V$145,0)+_xlfn.XLOOKUP(A157,'Round 4 Points'!$A$10:$A$147,'Round 4 Points'!$V$10:$V$147,0))</f>
        <v>0.8</v>
      </c>
      <c r="W157" s="72" t="e">
        <f t="shared" si="2"/>
        <v>#VALUE!</v>
      </c>
    </row>
    <row r="158" spans="1:23" ht="16" thickBot="1" x14ac:dyDescent="0.25">
      <c r="A158" s="65" t="s">
        <v>150</v>
      </c>
      <c r="B158" t="s">
        <v>189</v>
      </c>
      <c r="C158" t="s">
        <v>196</v>
      </c>
      <c r="D158" t="e">
        <f>'Summary Data'!D155</f>
        <v>#VALUE!</v>
      </c>
      <c r="E158" s="57" t="e">
        <f>'Summary Data'!E155</f>
        <v>#VALUE!</v>
      </c>
      <c r="F158" s="57" t="e">
        <f>'Summary Data'!F155*C$3</f>
        <v>#VALUE!</v>
      </c>
      <c r="G158" s="57" t="e">
        <f>'Summary Data'!G155*D$3</f>
        <v>#VALUE!</v>
      </c>
      <c r="H158" s="57" t="e">
        <f>'Summary Data'!H155*E$3</f>
        <v>#VALUE!</v>
      </c>
      <c r="I158" s="57" t="e">
        <f>'Summary Data'!I155*F$3</f>
        <v>#VALUE!</v>
      </c>
      <c r="J158" s="57" t="e">
        <f>'Summary Data'!J155*G$3</f>
        <v>#VALUE!</v>
      </c>
      <c r="K158" s="57" t="e">
        <f>'Summary Data'!K155*H$3</f>
        <v>#VALUE!</v>
      </c>
      <c r="L158" s="57" t="e">
        <f>'Summary Data'!L155*I$3</f>
        <v>#VALUE!</v>
      </c>
      <c r="M158" s="57" t="e">
        <f>'Summary Data'!M155*J$3</f>
        <v>#VALUE!</v>
      </c>
      <c r="N158" s="57" t="e">
        <f>'Summary Data'!N155*K$3</f>
        <v>#VALUE!</v>
      </c>
      <c r="O158" s="57" t="e">
        <f>'Summary Data'!O155*L$3</f>
        <v>#VALUE!</v>
      </c>
      <c r="P158" s="57" t="e">
        <f>'Summary Data'!P155*M$3</f>
        <v>#VALUE!</v>
      </c>
      <c r="Q158" s="57" t="e">
        <f>'Summary Data'!Q155*N$3</f>
        <v>#VALUE!</v>
      </c>
      <c r="R158" s="57" t="e">
        <f>'Summary Data'!R155*O$3</f>
        <v>#VALUE!</v>
      </c>
      <c r="S158" s="57" t="e">
        <f>'Summary Data'!S155*P$3</f>
        <v>#VALUE!</v>
      </c>
      <c r="T158" s="57" t="e">
        <f>(_xlfn.XLOOKUP(A158,'Round 1 Points'!$A$10:$A$144,'Round 1 Points'!$T$10:$T$144,0)+_xlfn.XLOOKUP(A158,'Round 2 Points'!$A$10:$A$146,'Round 2 Points'!$T$10:$T$146,0)+_xlfn.XLOOKUP(A158,'Round 3 Points'!$A$10:$A$145,'Round 3 Points'!$T$10:$T$145,0)+_xlfn.XLOOKUP(A158,'Round 4 Points'!$A$10:$A$147,'Round 4 Points'!$T$10:$T$147,0))/D158</f>
        <v>#VALUE!</v>
      </c>
      <c r="U158" s="57" t="e">
        <f>'Summary Data'!T155*Q$3</f>
        <v>#VALUE!</v>
      </c>
      <c r="V158" s="57">
        <f>(_xlfn.XLOOKUP(A158,'Round 1 Points'!$A$10:$A$144,'Round 1 Points'!$V$10:$V$144,0)+_xlfn.XLOOKUP(A158,'Round 2 Points'!$A$10:$A$146,'Round 2 Points'!$V$10:$V$146,0)+_xlfn.XLOOKUP(A158,'Round 3 Points'!$A$10:$A$145,'Round 3 Points'!$V$10:$V$145,0)+_xlfn.XLOOKUP(A158,'Round 4 Points'!$A$10:$A$147,'Round 4 Points'!$V$10:$V$147,0))</f>
        <v>0.2</v>
      </c>
      <c r="W158" s="72" t="e">
        <f t="shared" si="2"/>
        <v>#VALUE!</v>
      </c>
    </row>
    <row r="159" spans="1:23" ht="16" thickBot="1" x14ac:dyDescent="0.25">
      <c r="A159" s="64" t="s">
        <v>151</v>
      </c>
      <c r="B159" t="s">
        <v>189</v>
      </c>
      <c r="C159" t="s">
        <v>199</v>
      </c>
      <c r="D159" t="e">
        <f>'Summary Data'!D156</f>
        <v>#VALUE!</v>
      </c>
      <c r="E159" s="57" t="e">
        <f>'Summary Data'!E156</f>
        <v>#VALUE!</v>
      </c>
      <c r="F159" s="57" t="e">
        <f>'Summary Data'!F156*C$3</f>
        <v>#VALUE!</v>
      </c>
      <c r="G159" s="57" t="e">
        <f>'Summary Data'!G156*D$3</f>
        <v>#VALUE!</v>
      </c>
      <c r="H159" s="57" t="e">
        <f>'Summary Data'!H156*E$3</f>
        <v>#VALUE!</v>
      </c>
      <c r="I159" s="57" t="e">
        <f>'Summary Data'!I156*F$3</f>
        <v>#VALUE!</v>
      </c>
      <c r="J159" s="57" t="e">
        <f>'Summary Data'!J156*G$3</f>
        <v>#VALUE!</v>
      </c>
      <c r="K159" s="57" t="e">
        <f>'Summary Data'!K156*H$3</f>
        <v>#VALUE!</v>
      </c>
      <c r="L159" s="57" t="e">
        <f>'Summary Data'!L156*I$3</f>
        <v>#VALUE!</v>
      </c>
      <c r="M159" s="57" t="e">
        <f>'Summary Data'!M156*J$3</f>
        <v>#VALUE!</v>
      </c>
      <c r="N159" s="57" t="e">
        <f>'Summary Data'!N156*K$3</f>
        <v>#VALUE!</v>
      </c>
      <c r="O159" s="57" t="e">
        <f>'Summary Data'!O156*L$3</f>
        <v>#VALUE!</v>
      </c>
      <c r="P159" s="57" t="e">
        <f>'Summary Data'!P156*M$3</f>
        <v>#VALUE!</v>
      </c>
      <c r="Q159" s="57" t="e">
        <f>'Summary Data'!Q156*N$3</f>
        <v>#VALUE!</v>
      </c>
      <c r="R159" s="57" t="e">
        <f>'Summary Data'!R156*O$3</f>
        <v>#VALUE!</v>
      </c>
      <c r="S159" s="57" t="e">
        <f>'Summary Data'!S156*P$3</f>
        <v>#VALUE!</v>
      </c>
      <c r="T159" s="57" t="e">
        <f>(_xlfn.XLOOKUP(A159,'Round 1 Points'!$A$10:$A$144,'Round 1 Points'!$T$10:$T$144,0)+_xlfn.XLOOKUP(A159,'Round 2 Points'!$A$10:$A$146,'Round 2 Points'!$T$10:$T$146,0)+_xlfn.XLOOKUP(A159,'Round 3 Points'!$A$10:$A$145,'Round 3 Points'!$T$10:$T$145,0)+_xlfn.XLOOKUP(A159,'Round 4 Points'!$A$10:$A$147,'Round 4 Points'!$T$10:$T$147,0))/D159</f>
        <v>#VALUE!</v>
      </c>
      <c r="U159" s="57" t="e">
        <f>'Summary Data'!T156*Q$3</f>
        <v>#VALUE!</v>
      </c>
      <c r="V159" s="57">
        <f>(_xlfn.XLOOKUP(A159,'Round 1 Points'!$A$10:$A$144,'Round 1 Points'!$V$10:$V$144,0)+_xlfn.XLOOKUP(A159,'Round 2 Points'!$A$10:$A$146,'Round 2 Points'!$V$10:$V$146,0)+_xlfn.XLOOKUP(A159,'Round 3 Points'!$A$10:$A$145,'Round 3 Points'!$V$10:$V$145,0)+_xlfn.XLOOKUP(A159,'Round 4 Points'!$A$10:$A$147,'Round 4 Points'!$V$10:$V$147,0))</f>
        <v>8.3999999999999986</v>
      </c>
      <c r="W159" s="72" t="e">
        <f t="shared" si="2"/>
        <v>#VALUE!</v>
      </c>
    </row>
    <row r="160" spans="1:23" ht="16" thickBot="1" x14ac:dyDescent="0.25">
      <c r="A160" s="61" t="s">
        <v>153</v>
      </c>
      <c r="B160" t="s">
        <v>192</v>
      </c>
      <c r="C160" t="s">
        <v>196</v>
      </c>
      <c r="D160" t="e">
        <f>'Summary Data'!D157</f>
        <v>#VALUE!</v>
      </c>
      <c r="E160" s="57" t="e">
        <f>'Summary Data'!E157</f>
        <v>#VALUE!</v>
      </c>
      <c r="F160" s="57" t="e">
        <f>'Summary Data'!F157*C$3</f>
        <v>#VALUE!</v>
      </c>
      <c r="G160" s="57" t="e">
        <f>'Summary Data'!G157*D$3</f>
        <v>#VALUE!</v>
      </c>
      <c r="H160" s="57" t="e">
        <f>'Summary Data'!H157*E$3</f>
        <v>#VALUE!</v>
      </c>
      <c r="I160" s="57" t="e">
        <f>'Summary Data'!I157*F$3</f>
        <v>#VALUE!</v>
      </c>
      <c r="J160" s="57" t="e">
        <f>'Summary Data'!J157*G$3</f>
        <v>#VALUE!</v>
      </c>
      <c r="K160" s="57" t="e">
        <f>'Summary Data'!K157*H$3</f>
        <v>#VALUE!</v>
      </c>
      <c r="L160" s="57" t="e">
        <f>'Summary Data'!L157*I$3</f>
        <v>#VALUE!</v>
      </c>
      <c r="M160" s="57" t="e">
        <f>'Summary Data'!M157*J$3</f>
        <v>#VALUE!</v>
      </c>
      <c r="N160" s="57" t="e">
        <f>'Summary Data'!N157*K$3</f>
        <v>#VALUE!</v>
      </c>
      <c r="O160" s="57" t="e">
        <f>'Summary Data'!O157*L$3</f>
        <v>#VALUE!</v>
      </c>
      <c r="P160" s="57" t="e">
        <f>'Summary Data'!P157*M$3</f>
        <v>#VALUE!</v>
      </c>
      <c r="Q160" s="57" t="e">
        <f>'Summary Data'!Q157*N$3</f>
        <v>#VALUE!</v>
      </c>
      <c r="R160" s="57" t="e">
        <f>'Summary Data'!R157*O$3</f>
        <v>#VALUE!</v>
      </c>
      <c r="S160" s="57" t="e">
        <f>'Summary Data'!S157*P$3</f>
        <v>#VALUE!</v>
      </c>
      <c r="T160" s="57" t="e">
        <f>(_xlfn.XLOOKUP(A160,'Round 1 Points'!$A$10:$A$144,'Round 1 Points'!$T$10:$T$144,0)+_xlfn.XLOOKUP(A160,'Round 2 Points'!$A$10:$A$146,'Round 2 Points'!$T$10:$T$146,0)+_xlfn.XLOOKUP(A160,'Round 3 Points'!$A$10:$A$145,'Round 3 Points'!$T$10:$T$145,0)+_xlfn.XLOOKUP(A160,'Round 4 Points'!$A$10:$A$147,'Round 4 Points'!$T$10:$T$147,0))/D160</f>
        <v>#VALUE!</v>
      </c>
      <c r="U160" s="57" t="e">
        <f>'Summary Data'!T157*Q$3</f>
        <v>#VALUE!</v>
      </c>
      <c r="V160" s="57">
        <f>(_xlfn.XLOOKUP(A160,'Round 1 Points'!$A$10:$A$144,'Round 1 Points'!$V$10:$V$144,0)+_xlfn.XLOOKUP(A160,'Round 2 Points'!$A$10:$A$146,'Round 2 Points'!$V$10:$V$146,0)+_xlfn.XLOOKUP(A160,'Round 3 Points'!$A$10:$A$145,'Round 3 Points'!$V$10:$V$145,0)+_xlfn.XLOOKUP(A160,'Round 4 Points'!$A$10:$A$147,'Round 4 Points'!$V$10:$V$147,0))</f>
        <v>0</v>
      </c>
      <c r="W160" s="72" t="e">
        <f t="shared" si="2"/>
        <v>#VALUE!</v>
      </c>
    </row>
    <row r="161" spans="1:23" ht="16" thickBot="1" x14ac:dyDescent="0.25">
      <c r="A161" s="63" t="s">
        <v>155</v>
      </c>
      <c r="B161" t="s">
        <v>188</v>
      </c>
      <c r="C161" t="s">
        <v>194</v>
      </c>
      <c r="D161" t="e">
        <f>'Summary Data'!D158</f>
        <v>#VALUE!</v>
      </c>
      <c r="E161" s="57" t="e">
        <f>'Summary Data'!E158</f>
        <v>#VALUE!</v>
      </c>
      <c r="F161" s="57" t="e">
        <f>'Summary Data'!F158*C$3</f>
        <v>#VALUE!</v>
      </c>
      <c r="G161" s="57" t="e">
        <f>'Summary Data'!G158*D$3</f>
        <v>#VALUE!</v>
      </c>
      <c r="H161" s="57" t="e">
        <f>'Summary Data'!H158*E$3</f>
        <v>#VALUE!</v>
      </c>
      <c r="I161" s="57" t="e">
        <f>'Summary Data'!I158*F$3</f>
        <v>#VALUE!</v>
      </c>
      <c r="J161" s="57" t="e">
        <f>'Summary Data'!J158*G$3</f>
        <v>#VALUE!</v>
      </c>
      <c r="K161" s="57" t="e">
        <f>'Summary Data'!K158*H$3</f>
        <v>#VALUE!</v>
      </c>
      <c r="L161" s="57" t="e">
        <f>'Summary Data'!L158*I$3</f>
        <v>#VALUE!</v>
      </c>
      <c r="M161" s="57" t="e">
        <f>'Summary Data'!M158*J$3</f>
        <v>#VALUE!</v>
      </c>
      <c r="N161" s="57" t="e">
        <f>'Summary Data'!N158*K$3</f>
        <v>#VALUE!</v>
      </c>
      <c r="O161" s="57" t="e">
        <f>'Summary Data'!O158*L$3</f>
        <v>#VALUE!</v>
      </c>
      <c r="P161" s="57" t="e">
        <f>'Summary Data'!P158*M$3</f>
        <v>#VALUE!</v>
      </c>
      <c r="Q161" s="57" t="e">
        <f>'Summary Data'!Q158*N$3</f>
        <v>#VALUE!</v>
      </c>
      <c r="R161" s="57" t="e">
        <f>'Summary Data'!R158*O$3</f>
        <v>#VALUE!</v>
      </c>
      <c r="S161" s="57" t="e">
        <f>'Summary Data'!S158*P$3</f>
        <v>#VALUE!</v>
      </c>
      <c r="T161" s="57" t="e">
        <f>(_xlfn.XLOOKUP(A161,'Round 1 Points'!$A$10:$A$144,'Round 1 Points'!$T$10:$T$144,0)+_xlfn.XLOOKUP(A161,'Round 2 Points'!$A$10:$A$146,'Round 2 Points'!$T$10:$T$146,0)+_xlfn.XLOOKUP(A161,'Round 3 Points'!$A$10:$A$145,'Round 3 Points'!$T$10:$T$145,0)+_xlfn.XLOOKUP(A161,'Round 4 Points'!$A$10:$A$147,'Round 4 Points'!$T$10:$T$147,0))/D161</f>
        <v>#VALUE!</v>
      </c>
      <c r="U161" s="57" t="e">
        <f>'Summary Data'!T158*Q$3</f>
        <v>#VALUE!</v>
      </c>
      <c r="V161" s="57">
        <f>(_xlfn.XLOOKUP(A161,'Round 1 Points'!$A$10:$A$144,'Round 1 Points'!$V$10:$V$144,0)+_xlfn.XLOOKUP(A161,'Round 2 Points'!$A$10:$A$146,'Round 2 Points'!$V$10:$V$146,0)+_xlfn.XLOOKUP(A161,'Round 3 Points'!$A$10:$A$145,'Round 3 Points'!$V$10:$V$145,0)+_xlfn.XLOOKUP(A161,'Round 4 Points'!$A$10:$A$147,'Round 4 Points'!$V$10:$V$147,0))</f>
        <v>0</v>
      </c>
      <c r="W161" s="72" t="e">
        <f t="shared" si="2"/>
        <v>#VALUE!</v>
      </c>
    </row>
    <row r="162" spans="1:23" ht="16" thickBot="1" x14ac:dyDescent="0.25">
      <c r="A162" s="61" t="s">
        <v>156</v>
      </c>
      <c r="B162" t="s">
        <v>188</v>
      </c>
      <c r="C162" t="s">
        <v>194</v>
      </c>
      <c r="D162" t="e">
        <f>'Summary Data'!D159</f>
        <v>#VALUE!</v>
      </c>
      <c r="E162" s="57" t="e">
        <f>'Summary Data'!E159</f>
        <v>#VALUE!</v>
      </c>
      <c r="F162" s="57" t="e">
        <f>'Summary Data'!F159*C$3</f>
        <v>#VALUE!</v>
      </c>
      <c r="G162" s="57" t="e">
        <f>'Summary Data'!G159*D$3</f>
        <v>#VALUE!</v>
      </c>
      <c r="H162" s="57" t="e">
        <f>'Summary Data'!H159*E$3</f>
        <v>#VALUE!</v>
      </c>
      <c r="I162" s="57" t="e">
        <f>'Summary Data'!I159*F$3</f>
        <v>#VALUE!</v>
      </c>
      <c r="J162" s="57" t="e">
        <f>'Summary Data'!J159*G$3</f>
        <v>#VALUE!</v>
      </c>
      <c r="K162" s="57" t="e">
        <f>'Summary Data'!K159*H$3</f>
        <v>#VALUE!</v>
      </c>
      <c r="L162" s="57" t="e">
        <f>'Summary Data'!L159*I$3</f>
        <v>#VALUE!</v>
      </c>
      <c r="M162" s="57" t="e">
        <f>'Summary Data'!M159*J$3</f>
        <v>#VALUE!</v>
      </c>
      <c r="N162" s="57" t="e">
        <f>'Summary Data'!N159*K$3</f>
        <v>#VALUE!</v>
      </c>
      <c r="O162" s="57" t="e">
        <f>'Summary Data'!O159*L$3</f>
        <v>#VALUE!</v>
      </c>
      <c r="P162" s="57" t="e">
        <f>'Summary Data'!P159*M$3</f>
        <v>#VALUE!</v>
      </c>
      <c r="Q162" s="57" t="e">
        <f>'Summary Data'!Q159*N$3</f>
        <v>#VALUE!</v>
      </c>
      <c r="R162" s="57" t="e">
        <f>'Summary Data'!R159*O$3</f>
        <v>#VALUE!</v>
      </c>
      <c r="S162" s="57" t="e">
        <f>'Summary Data'!S159*P$3</f>
        <v>#VALUE!</v>
      </c>
      <c r="T162" s="57" t="e">
        <f>(_xlfn.XLOOKUP(A162,'Round 1 Points'!$A$10:$A$144,'Round 1 Points'!$T$10:$T$144,0)+_xlfn.XLOOKUP(A162,'Round 2 Points'!$A$10:$A$146,'Round 2 Points'!$T$10:$T$146,0)+_xlfn.XLOOKUP(A162,'Round 3 Points'!$A$10:$A$145,'Round 3 Points'!$T$10:$T$145,0)+_xlfn.XLOOKUP(A162,'Round 4 Points'!$A$10:$A$147,'Round 4 Points'!$T$10:$T$147,0))/D162</f>
        <v>#VALUE!</v>
      </c>
      <c r="U162" s="57" t="e">
        <f>'Summary Data'!T159*Q$3</f>
        <v>#VALUE!</v>
      </c>
      <c r="V162" s="57">
        <f>(_xlfn.XLOOKUP(A162,'Round 1 Points'!$A$10:$A$144,'Round 1 Points'!$V$10:$V$144,0)+_xlfn.XLOOKUP(A162,'Round 2 Points'!$A$10:$A$146,'Round 2 Points'!$V$10:$V$146,0)+_xlfn.XLOOKUP(A162,'Round 3 Points'!$A$10:$A$145,'Round 3 Points'!$V$10:$V$145,0)+_xlfn.XLOOKUP(A162,'Round 4 Points'!$A$10:$A$147,'Round 4 Points'!$V$10:$V$147,0))</f>
        <v>2.9</v>
      </c>
      <c r="W162" s="72" t="e">
        <f t="shared" si="2"/>
        <v>#VALUE!</v>
      </c>
    </row>
    <row r="163" spans="1:23" ht="16" thickBot="1" x14ac:dyDescent="0.25">
      <c r="A163" s="63" t="s">
        <v>157</v>
      </c>
      <c r="B163" t="s">
        <v>188</v>
      </c>
      <c r="C163" t="s">
        <v>195</v>
      </c>
      <c r="D163" t="e">
        <f>'Summary Data'!D160</f>
        <v>#VALUE!</v>
      </c>
      <c r="E163" s="57" t="e">
        <f>'Summary Data'!E160</f>
        <v>#VALUE!</v>
      </c>
      <c r="F163" s="57" t="e">
        <f>'Summary Data'!F160*C$3</f>
        <v>#VALUE!</v>
      </c>
      <c r="G163" s="57" t="e">
        <f>'Summary Data'!G160*D$3</f>
        <v>#VALUE!</v>
      </c>
      <c r="H163" s="57" t="e">
        <f>'Summary Data'!H160*E$3</f>
        <v>#VALUE!</v>
      </c>
      <c r="I163" s="57" t="e">
        <f>'Summary Data'!I160*F$3</f>
        <v>#VALUE!</v>
      </c>
      <c r="J163" s="57" t="e">
        <f>'Summary Data'!J160*G$3</f>
        <v>#VALUE!</v>
      </c>
      <c r="K163" s="57" t="e">
        <f>'Summary Data'!K160*H$3</f>
        <v>#VALUE!</v>
      </c>
      <c r="L163" s="57" t="e">
        <f>'Summary Data'!L160*I$3</f>
        <v>#VALUE!</v>
      </c>
      <c r="M163" s="57" t="e">
        <f>'Summary Data'!M160*J$3</f>
        <v>#VALUE!</v>
      </c>
      <c r="N163" s="57" t="e">
        <f>'Summary Data'!N160*K$3</f>
        <v>#VALUE!</v>
      </c>
      <c r="O163" s="57" t="e">
        <f>'Summary Data'!O160*L$3</f>
        <v>#VALUE!</v>
      </c>
      <c r="P163" s="57" t="e">
        <f>'Summary Data'!P160*M$3</f>
        <v>#VALUE!</v>
      </c>
      <c r="Q163" s="57" t="e">
        <f>'Summary Data'!Q160*N$3</f>
        <v>#VALUE!</v>
      </c>
      <c r="R163" s="57" t="e">
        <f>'Summary Data'!R160*O$3</f>
        <v>#VALUE!</v>
      </c>
      <c r="S163" s="57" t="e">
        <f>'Summary Data'!S160*P$3</f>
        <v>#VALUE!</v>
      </c>
      <c r="T163" s="57" t="e">
        <f>(_xlfn.XLOOKUP(A163,'Round 1 Points'!$A$10:$A$144,'Round 1 Points'!$T$10:$T$144,0)+_xlfn.XLOOKUP(A163,'Round 2 Points'!$A$10:$A$146,'Round 2 Points'!$T$10:$T$146,0)+_xlfn.XLOOKUP(A163,'Round 3 Points'!$A$10:$A$145,'Round 3 Points'!$T$10:$T$145,0)+_xlfn.XLOOKUP(A163,'Round 4 Points'!$A$10:$A$147,'Round 4 Points'!$T$10:$T$147,0))/D163</f>
        <v>#VALUE!</v>
      </c>
      <c r="U163" s="57" t="e">
        <f>'Summary Data'!T160*Q$3</f>
        <v>#VALUE!</v>
      </c>
      <c r="V163" s="57">
        <f>(_xlfn.XLOOKUP(A163,'Round 1 Points'!$A$10:$A$144,'Round 1 Points'!$V$10:$V$144,0)+_xlfn.XLOOKUP(A163,'Round 2 Points'!$A$10:$A$146,'Round 2 Points'!$V$10:$V$146,0)+_xlfn.XLOOKUP(A163,'Round 3 Points'!$A$10:$A$145,'Round 3 Points'!$V$10:$V$145,0)+_xlfn.XLOOKUP(A163,'Round 4 Points'!$A$10:$A$147,'Round 4 Points'!$V$10:$V$147,0))</f>
        <v>8</v>
      </c>
      <c r="W163" s="72" t="e">
        <f t="shared" si="2"/>
        <v>#VALUE!</v>
      </c>
    </row>
    <row r="164" spans="1:23" ht="16" thickBot="1" x14ac:dyDescent="0.25">
      <c r="A164" s="65" t="s">
        <v>158</v>
      </c>
      <c r="B164" t="s">
        <v>188</v>
      </c>
      <c r="C164" t="s">
        <v>195</v>
      </c>
      <c r="D164" t="e">
        <f>'Summary Data'!D161</f>
        <v>#VALUE!</v>
      </c>
      <c r="E164" s="57" t="e">
        <f>'Summary Data'!E161</f>
        <v>#VALUE!</v>
      </c>
      <c r="F164" s="57" t="e">
        <f>'Summary Data'!F161*C$3</f>
        <v>#VALUE!</v>
      </c>
      <c r="G164" s="57" t="e">
        <f>'Summary Data'!G161*D$3</f>
        <v>#VALUE!</v>
      </c>
      <c r="H164" s="57" t="e">
        <f>'Summary Data'!H161*E$3</f>
        <v>#VALUE!</v>
      </c>
      <c r="I164" s="57" t="e">
        <f>'Summary Data'!I161*F$3</f>
        <v>#VALUE!</v>
      </c>
      <c r="J164" s="57" t="e">
        <f>'Summary Data'!J161*G$3</f>
        <v>#VALUE!</v>
      </c>
      <c r="K164" s="57" t="e">
        <f>'Summary Data'!K161*H$3</f>
        <v>#VALUE!</v>
      </c>
      <c r="L164" s="57" t="e">
        <f>'Summary Data'!L161*I$3</f>
        <v>#VALUE!</v>
      </c>
      <c r="M164" s="57" t="e">
        <f>'Summary Data'!M161*J$3</f>
        <v>#VALUE!</v>
      </c>
      <c r="N164" s="57" t="e">
        <f>'Summary Data'!N161*K$3</f>
        <v>#VALUE!</v>
      </c>
      <c r="O164" s="57" t="e">
        <f>'Summary Data'!O161*L$3</f>
        <v>#VALUE!</v>
      </c>
      <c r="P164" s="57" t="e">
        <f>'Summary Data'!P161*M$3</f>
        <v>#VALUE!</v>
      </c>
      <c r="Q164" s="57" t="e">
        <f>'Summary Data'!Q161*N$3</f>
        <v>#VALUE!</v>
      </c>
      <c r="R164" s="57" t="e">
        <f>'Summary Data'!R161*O$3</f>
        <v>#VALUE!</v>
      </c>
      <c r="S164" s="57" t="e">
        <f>'Summary Data'!S161*P$3</f>
        <v>#VALUE!</v>
      </c>
      <c r="T164" s="57" t="e">
        <f>(_xlfn.XLOOKUP(A164,'Round 1 Points'!$A$10:$A$144,'Round 1 Points'!$T$10:$T$144,0)+_xlfn.XLOOKUP(A164,'Round 2 Points'!$A$10:$A$146,'Round 2 Points'!$T$10:$T$146,0)+_xlfn.XLOOKUP(A164,'Round 3 Points'!$A$10:$A$145,'Round 3 Points'!$T$10:$T$145,0)+_xlfn.XLOOKUP(A164,'Round 4 Points'!$A$10:$A$147,'Round 4 Points'!$T$10:$T$147,0))/D164</f>
        <v>#VALUE!</v>
      </c>
      <c r="U164" s="57" t="e">
        <f>'Summary Data'!T161*Q$3</f>
        <v>#VALUE!</v>
      </c>
      <c r="V164" s="57">
        <f>(_xlfn.XLOOKUP(A164,'Round 1 Points'!$A$10:$A$144,'Round 1 Points'!$V$10:$V$144,0)+_xlfn.XLOOKUP(A164,'Round 2 Points'!$A$10:$A$146,'Round 2 Points'!$V$10:$V$146,0)+_xlfn.XLOOKUP(A164,'Round 3 Points'!$A$10:$A$145,'Round 3 Points'!$V$10:$V$145,0)+_xlfn.XLOOKUP(A164,'Round 4 Points'!$A$10:$A$147,'Round 4 Points'!$V$10:$V$147,0))</f>
        <v>0</v>
      </c>
      <c r="W164" s="72" t="e">
        <f t="shared" si="2"/>
        <v>#VALUE!</v>
      </c>
    </row>
    <row r="165" spans="1:23" ht="16" thickBot="1" x14ac:dyDescent="0.25">
      <c r="A165" s="61" t="s">
        <v>160</v>
      </c>
      <c r="B165" t="s">
        <v>188</v>
      </c>
      <c r="C165" t="s">
        <v>197</v>
      </c>
      <c r="D165" t="e">
        <f>'Summary Data'!D162</f>
        <v>#VALUE!</v>
      </c>
      <c r="E165" s="57" t="e">
        <f>'Summary Data'!E162</f>
        <v>#VALUE!</v>
      </c>
      <c r="F165" s="57" t="e">
        <f>'Summary Data'!F162*C$3</f>
        <v>#VALUE!</v>
      </c>
      <c r="G165" s="57" t="e">
        <f>'Summary Data'!G162*D$3</f>
        <v>#VALUE!</v>
      </c>
      <c r="H165" s="57" t="e">
        <f>'Summary Data'!H162*E$3</f>
        <v>#VALUE!</v>
      </c>
      <c r="I165" s="57" t="e">
        <f>'Summary Data'!I162*F$3</f>
        <v>#VALUE!</v>
      </c>
      <c r="J165" s="57" t="e">
        <f>'Summary Data'!J162*G$3</f>
        <v>#VALUE!</v>
      </c>
      <c r="K165" s="57" t="e">
        <f>'Summary Data'!K162*H$3</f>
        <v>#VALUE!</v>
      </c>
      <c r="L165" s="57" t="e">
        <f>'Summary Data'!L162*I$3</f>
        <v>#VALUE!</v>
      </c>
      <c r="M165" s="57" t="e">
        <f>'Summary Data'!M162*J$3</f>
        <v>#VALUE!</v>
      </c>
      <c r="N165" s="57" t="e">
        <f>'Summary Data'!N162*K$3</f>
        <v>#VALUE!</v>
      </c>
      <c r="O165" s="57" t="e">
        <f>'Summary Data'!O162*L$3</f>
        <v>#VALUE!</v>
      </c>
      <c r="P165" s="57" t="e">
        <f>'Summary Data'!P162*M$3</f>
        <v>#VALUE!</v>
      </c>
      <c r="Q165" s="57" t="e">
        <f>'Summary Data'!Q162*N$3</f>
        <v>#VALUE!</v>
      </c>
      <c r="R165" s="57" t="e">
        <f>'Summary Data'!R162*O$3</f>
        <v>#VALUE!</v>
      </c>
      <c r="S165" s="57" t="e">
        <f>'Summary Data'!S162*P$3</f>
        <v>#VALUE!</v>
      </c>
      <c r="T165" s="57" t="e">
        <f>(_xlfn.XLOOKUP(A165,'Round 1 Points'!$A$10:$A$144,'Round 1 Points'!$T$10:$T$144,0)+_xlfn.XLOOKUP(A165,'Round 2 Points'!$A$10:$A$146,'Round 2 Points'!$T$10:$T$146,0)+_xlfn.XLOOKUP(A165,'Round 3 Points'!$A$10:$A$145,'Round 3 Points'!$T$10:$T$145,0)+_xlfn.XLOOKUP(A165,'Round 4 Points'!$A$10:$A$147,'Round 4 Points'!$T$10:$T$147,0))/D165</f>
        <v>#VALUE!</v>
      </c>
      <c r="U165" s="57" t="e">
        <f>'Summary Data'!T162*Q$3</f>
        <v>#VALUE!</v>
      </c>
      <c r="V165" s="57">
        <f>(_xlfn.XLOOKUP(A165,'Round 1 Points'!$A$10:$A$144,'Round 1 Points'!$V$10:$V$144,0)+_xlfn.XLOOKUP(A165,'Round 2 Points'!$A$10:$A$146,'Round 2 Points'!$V$10:$V$146,0)+_xlfn.XLOOKUP(A165,'Round 3 Points'!$A$10:$A$145,'Round 3 Points'!$V$10:$V$145,0)+_xlfn.XLOOKUP(A165,'Round 4 Points'!$A$10:$A$147,'Round 4 Points'!$V$10:$V$147,0))</f>
        <v>0</v>
      </c>
      <c r="W165" s="72" t="e">
        <f t="shared" si="2"/>
        <v>#VALUE!</v>
      </c>
    </row>
    <row r="166" spans="1:23" ht="16" thickBot="1" x14ac:dyDescent="0.25">
      <c r="A166" s="64" t="s">
        <v>165</v>
      </c>
      <c r="B166" t="s">
        <v>188</v>
      </c>
      <c r="C166" t="s">
        <v>201</v>
      </c>
      <c r="D166" t="e">
        <f>'Summary Data'!D163</f>
        <v>#VALUE!</v>
      </c>
      <c r="E166" s="57" t="e">
        <f>'Summary Data'!E163</f>
        <v>#VALUE!</v>
      </c>
      <c r="F166" s="57" t="e">
        <f>'Summary Data'!F163*C$3</f>
        <v>#VALUE!</v>
      </c>
      <c r="G166" s="57" t="e">
        <f>'Summary Data'!G163*D$3</f>
        <v>#VALUE!</v>
      </c>
      <c r="H166" s="57" t="e">
        <f>'Summary Data'!H163*E$3</f>
        <v>#VALUE!</v>
      </c>
      <c r="I166" s="57" t="e">
        <f>'Summary Data'!I163*F$3</f>
        <v>#VALUE!</v>
      </c>
      <c r="J166" s="57" t="e">
        <f>'Summary Data'!J163*G$3</f>
        <v>#VALUE!</v>
      </c>
      <c r="K166" s="57" t="e">
        <f>'Summary Data'!K163*H$3</f>
        <v>#VALUE!</v>
      </c>
      <c r="L166" s="57" t="e">
        <f>'Summary Data'!L163*I$3</f>
        <v>#VALUE!</v>
      </c>
      <c r="M166" s="57" t="e">
        <f>'Summary Data'!M163*J$3</f>
        <v>#VALUE!</v>
      </c>
      <c r="N166" s="57" t="e">
        <f>'Summary Data'!N163*K$3</f>
        <v>#VALUE!</v>
      </c>
      <c r="O166" s="57" t="e">
        <f>'Summary Data'!O163*L$3</f>
        <v>#VALUE!</v>
      </c>
      <c r="P166" s="57" t="e">
        <f>'Summary Data'!P163*M$3</f>
        <v>#VALUE!</v>
      </c>
      <c r="Q166" s="57" t="e">
        <f>'Summary Data'!Q163*N$3</f>
        <v>#VALUE!</v>
      </c>
      <c r="R166" s="57" t="e">
        <f>'Summary Data'!R163*O$3</f>
        <v>#VALUE!</v>
      </c>
      <c r="S166" s="57" t="e">
        <f>'Summary Data'!S163*P$3</f>
        <v>#VALUE!</v>
      </c>
      <c r="T166" s="57" t="e">
        <f>(_xlfn.XLOOKUP(A166,'Round 1 Points'!$A$10:$A$144,'Round 1 Points'!$T$10:$T$144,0)+_xlfn.XLOOKUP(A166,'Round 2 Points'!$A$10:$A$146,'Round 2 Points'!$T$10:$T$146,0)+_xlfn.XLOOKUP(A166,'Round 3 Points'!$A$10:$A$145,'Round 3 Points'!$T$10:$T$145,0)+_xlfn.XLOOKUP(A166,'Round 4 Points'!$A$10:$A$147,'Round 4 Points'!$T$10:$T$147,0))/D166</f>
        <v>#VALUE!</v>
      </c>
      <c r="U166" s="57" t="e">
        <f>'Summary Data'!T163*Q$3</f>
        <v>#VALUE!</v>
      </c>
      <c r="V166" s="57">
        <f>(_xlfn.XLOOKUP(A166,'Round 1 Points'!$A$10:$A$144,'Round 1 Points'!$V$10:$V$144,0)+_xlfn.XLOOKUP(A166,'Round 2 Points'!$A$10:$A$146,'Round 2 Points'!$V$10:$V$146,0)+_xlfn.XLOOKUP(A166,'Round 3 Points'!$A$10:$A$145,'Round 3 Points'!$V$10:$V$145,0)+_xlfn.XLOOKUP(A166,'Round 4 Points'!$A$10:$A$147,'Round 4 Points'!$V$10:$V$147,0))</f>
        <v>0</v>
      </c>
      <c r="W166" s="72" t="e">
        <f t="shared" si="2"/>
        <v>#VALUE!</v>
      </c>
    </row>
    <row r="167" spans="1:23" ht="16" thickBot="1" x14ac:dyDescent="0.25">
      <c r="A167" s="61" t="s">
        <v>168</v>
      </c>
      <c r="B167" t="s">
        <v>190</v>
      </c>
      <c r="C167" t="s">
        <v>199</v>
      </c>
      <c r="D167" t="e">
        <f>'Summary Data'!D164</f>
        <v>#VALUE!</v>
      </c>
      <c r="E167" s="57" t="e">
        <f>'Summary Data'!E164</f>
        <v>#VALUE!</v>
      </c>
      <c r="F167" s="57" t="e">
        <f>'Summary Data'!F164*C$3</f>
        <v>#VALUE!</v>
      </c>
      <c r="G167" s="57" t="e">
        <f>'Summary Data'!G164*D$3</f>
        <v>#VALUE!</v>
      </c>
      <c r="H167" s="57" t="e">
        <f>'Summary Data'!H164*E$3</f>
        <v>#VALUE!</v>
      </c>
      <c r="I167" s="57" t="e">
        <f>'Summary Data'!I164*F$3</f>
        <v>#VALUE!</v>
      </c>
      <c r="J167" s="57" t="e">
        <f>'Summary Data'!J164*G$3</f>
        <v>#VALUE!</v>
      </c>
      <c r="K167" s="57" t="e">
        <f>'Summary Data'!K164*H$3</f>
        <v>#VALUE!</v>
      </c>
      <c r="L167" s="57" t="e">
        <f>'Summary Data'!L164*I$3</f>
        <v>#VALUE!</v>
      </c>
      <c r="M167" s="57" t="e">
        <f>'Summary Data'!M164*J$3</f>
        <v>#VALUE!</v>
      </c>
      <c r="N167" s="57" t="e">
        <f>'Summary Data'!N164*K$3</f>
        <v>#VALUE!</v>
      </c>
      <c r="O167" s="57" t="e">
        <f>'Summary Data'!O164*L$3</f>
        <v>#VALUE!</v>
      </c>
      <c r="P167" s="57" t="e">
        <f>'Summary Data'!P164*M$3</f>
        <v>#VALUE!</v>
      </c>
      <c r="Q167" s="57" t="e">
        <f>'Summary Data'!Q164*N$3</f>
        <v>#VALUE!</v>
      </c>
      <c r="R167" s="57" t="e">
        <f>'Summary Data'!R164*O$3</f>
        <v>#VALUE!</v>
      </c>
      <c r="S167" s="57" t="e">
        <f>'Summary Data'!S164*P$3</f>
        <v>#VALUE!</v>
      </c>
      <c r="T167" s="57" t="e">
        <f>(_xlfn.XLOOKUP(A167,'Round 1 Points'!$A$10:$A$144,'Round 1 Points'!$T$10:$T$144,0)+_xlfn.XLOOKUP(A167,'Round 2 Points'!$A$10:$A$146,'Round 2 Points'!$T$10:$T$146,0)+_xlfn.XLOOKUP(A167,'Round 3 Points'!$A$10:$A$145,'Round 3 Points'!$T$10:$T$145,0)+_xlfn.XLOOKUP(A167,'Round 4 Points'!$A$10:$A$147,'Round 4 Points'!$T$10:$T$147,0))/D167</f>
        <v>#VALUE!</v>
      </c>
      <c r="U167" s="57" t="e">
        <f>'Summary Data'!T164*Q$3</f>
        <v>#VALUE!</v>
      </c>
      <c r="V167" s="57">
        <f>(_xlfn.XLOOKUP(A167,'Round 1 Points'!$A$10:$A$144,'Round 1 Points'!$V$10:$V$144,0)+_xlfn.XLOOKUP(A167,'Round 2 Points'!$A$10:$A$146,'Round 2 Points'!$V$10:$V$146,0)+_xlfn.XLOOKUP(A167,'Round 3 Points'!$A$10:$A$145,'Round 3 Points'!$V$10:$V$145,0)+_xlfn.XLOOKUP(A167,'Round 4 Points'!$A$10:$A$147,'Round 4 Points'!$V$10:$V$147,0))</f>
        <v>1.1000000000000001</v>
      </c>
      <c r="W167" s="72" t="e">
        <f t="shared" si="2"/>
        <v>#VALUE!</v>
      </c>
    </row>
    <row r="168" spans="1:23" ht="16" thickBot="1" x14ac:dyDescent="0.25">
      <c r="A168" s="63" t="s">
        <v>169</v>
      </c>
      <c r="B168" t="s">
        <v>193</v>
      </c>
      <c r="C168" t="s">
        <v>200</v>
      </c>
      <c r="D168" t="e">
        <f>'Summary Data'!D165</f>
        <v>#VALUE!</v>
      </c>
      <c r="E168" s="57" t="e">
        <f>'Summary Data'!E165</f>
        <v>#VALUE!</v>
      </c>
      <c r="F168" s="57" t="e">
        <f>'Summary Data'!F165*C$3</f>
        <v>#VALUE!</v>
      </c>
      <c r="G168" s="57" t="e">
        <f>'Summary Data'!G165*D$3</f>
        <v>#VALUE!</v>
      </c>
      <c r="H168" s="57" t="e">
        <f>'Summary Data'!H165*E$3</f>
        <v>#VALUE!</v>
      </c>
      <c r="I168" s="57" t="e">
        <f>'Summary Data'!I165*F$3</f>
        <v>#VALUE!</v>
      </c>
      <c r="J168" s="57" t="e">
        <f>'Summary Data'!J165*G$3</f>
        <v>#VALUE!</v>
      </c>
      <c r="K168" s="57" t="e">
        <f>'Summary Data'!K165*H$3</f>
        <v>#VALUE!</v>
      </c>
      <c r="L168" s="57" t="e">
        <f>'Summary Data'!L165*I$3</f>
        <v>#VALUE!</v>
      </c>
      <c r="M168" s="57" t="e">
        <f>'Summary Data'!M165*J$3</f>
        <v>#VALUE!</v>
      </c>
      <c r="N168" s="57" t="e">
        <f>'Summary Data'!N165*K$3</f>
        <v>#VALUE!</v>
      </c>
      <c r="O168" s="57" t="e">
        <f>'Summary Data'!O165*L$3</f>
        <v>#VALUE!</v>
      </c>
      <c r="P168" s="57" t="e">
        <f>'Summary Data'!P165*M$3</f>
        <v>#VALUE!</v>
      </c>
      <c r="Q168" s="57" t="e">
        <f>'Summary Data'!Q165*N$3</f>
        <v>#VALUE!</v>
      </c>
      <c r="R168" s="57" t="e">
        <f>'Summary Data'!R165*O$3</f>
        <v>#VALUE!</v>
      </c>
      <c r="S168" s="57" t="e">
        <f>'Summary Data'!S165*P$3</f>
        <v>#VALUE!</v>
      </c>
      <c r="T168" s="57" t="e">
        <f>(_xlfn.XLOOKUP(A168,'Round 1 Points'!$A$10:$A$144,'Round 1 Points'!$T$10:$T$144,0)+_xlfn.XLOOKUP(A168,'Round 2 Points'!$A$10:$A$146,'Round 2 Points'!$T$10:$T$146,0)+_xlfn.XLOOKUP(A168,'Round 3 Points'!$A$10:$A$145,'Round 3 Points'!$T$10:$T$145,0)+_xlfn.XLOOKUP(A168,'Round 4 Points'!$A$10:$A$147,'Round 4 Points'!$T$10:$T$147,0))/D168</f>
        <v>#VALUE!</v>
      </c>
      <c r="U168" s="57" t="e">
        <f>'Summary Data'!T165*Q$3</f>
        <v>#VALUE!</v>
      </c>
      <c r="V168" s="57">
        <f>(_xlfn.XLOOKUP(A168,'Round 1 Points'!$A$10:$A$144,'Round 1 Points'!$V$10:$V$144,0)+_xlfn.XLOOKUP(A168,'Round 2 Points'!$A$10:$A$146,'Round 2 Points'!$V$10:$V$146,0)+_xlfn.XLOOKUP(A168,'Round 3 Points'!$A$10:$A$145,'Round 3 Points'!$V$10:$V$145,0)+_xlfn.XLOOKUP(A168,'Round 4 Points'!$A$10:$A$147,'Round 4 Points'!$V$10:$V$147,0))</f>
        <v>1.1000000000000001</v>
      </c>
      <c r="W168" s="72" t="e">
        <f t="shared" si="2"/>
        <v>#VALUE!</v>
      </c>
    </row>
    <row r="169" spans="1:23" ht="16" thickBot="1" x14ac:dyDescent="0.25">
      <c r="A169" s="65" t="s">
        <v>170</v>
      </c>
      <c r="B169" t="s">
        <v>191</v>
      </c>
      <c r="C169" t="s">
        <v>197</v>
      </c>
      <c r="D169" t="e">
        <f>'Summary Data'!D166</f>
        <v>#VALUE!</v>
      </c>
      <c r="E169" s="57" t="e">
        <f>'Summary Data'!E166</f>
        <v>#VALUE!</v>
      </c>
      <c r="F169" s="57" t="e">
        <f>'Summary Data'!F166*C$3</f>
        <v>#VALUE!</v>
      </c>
      <c r="G169" s="57" t="e">
        <f>'Summary Data'!G166*D$3</f>
        <v>#VALUE!</v>
      </c>
      <c r="H169" s="57" t="e">
        <f>'Summary Data'!H166*E$3</f>
        <v>#VALUE!</v>
      </c>
      <c r="I169" s="57" t="e">
        <f>'Summary Data'!I166*F$3</f>
        <v>#VALUE!</v>
      </c>
      <c r="J169" s="57" t="e">
        <f>'Summary Data'!J166*G$3</f>
        <v>#VALUE!</v>
      </c>
      <c r="K169" s="57" t="e">
        <f>'Summary Data'!K166*H$3</f>
        <v>#VALUE!</v>
      </c>
      <c r="L169" s="57" t="e">
        <f>'Summary Data'!L166*I$3</f>
        <v>#VALUE!</v>
      </c>
      <c r="M169" s="57" t="e">
        <f>'Summary Data'!M166*J$3</f>
        <v>#VALUE!</v>
      </c>
      <c r="N169" s="57" t="e">
        <f>'Summary Data'!N166*K$3</f>
        <v>#VALUE!</v>
      </c>
      <c r="O169" s="57" t="e">
        <f>'Summary Data'!O166*L$3</f>
        <v>#VALUE!</v>
      </c>
      <c r="P169" s="57" t="e">
        <f>'Summary Data'!P166*M$3</f>
        <v>#VALUE!</v>
      </c>
      <c r="Q169" s="57" t="e">
        <f>'Summary Data'!Q166*N$3</f>
        <v>#VALUE!</v>
      </c>
      <c r="R169" s="57" t="e">
        <f>'Summary Data'!R166*O$3</f>
        <v>#VALUE!</v>
      </c>
      <c r="S169" s="57" t="e">
        <f>'Summary Data'!S166*P$3</f>
        <v>#VALUE!</v>
      </c>
      <c r="T169" s="57" t="e">
        <f>(_xlfn.XLOOKUP(A169,'Round 1 Points'!$A$10:$A$144,'Round 1 Points'!$T$10:$T$144,0)+_xlfn.XLOOKUP(A169,'Round 2 Points'!$A$10:$A$146,'Round 2 Points'!$T$10:$T$146,0)+_xlfn.XLOOKUP(A169,'Round 3 Points'!$A$10:$A$145,'Round 3 Points'!$T$10:$T$145,0)+_xlfn.XLOOKUP(A169,'Round 4 Points'!$A$10:$A$147,'Round 4 Points'!$T$10:$T$147,0))/D169</f>
        <v>#VALUE!</v>
      </c>
      <c r="U169" s="57" t="e">
        <f>'Summary Data'!T166*Q$3</f>
        <v>#VALUE!</v>
      </c>
      <c r="V169" s="57">
        <f>(_xlfn.XLOOKUP(A169,'Round 1 Points'!$A$10:$A$144,'Round 1 Points'!$V$10:$V$144,0)+_xlfn.XLOOKUP(A169,'Round 2 Points'!$A$10:$A$146,'Round 2 Points'!$V$10:$V$146,0)+_xlfn.XLOOKUP(A169,'Round 3 Points'!$A$10:$A$145,'Round 3 Points'!$V$10:$V$145,0)+_xlfn.XLOOKUP(A169,'Round 4 Points'!$A$10:$A$147,'Round 4 Points'!$V$10:$V$147,0))</f>
        <v>0</v>
      </c>
      <c r="W169" s="72" t="e">
        <f t="shared" si="2"/>
        <v>#VALUE!</v>
      </c>
    </row>
    <row r="170" spans="1:23" ht="16" thickBot="1" x14ac:dyDescent="0.25">
      <c r="A170" s="64" t="s">
        <v>171</v>
      </c>
      <c r="B170" t="s">
        <v>191</v>
      </c>
      <c r="C170" t="s">
        <v>198</v>
      </c>
      <c r="D170" t="e">
        <f>'Summary Data'!D167</f>
        <v>#VALUE!</v>
      </c>
      <c r="E170" s="57" t="e">
        <f>'Summary Data'!E167</f>
        <v>#VALUE!</v>
      </c>
      <c r="F170" s="57" t="e">
        <f>'Summary Data'!F167*C$3</f>
        <v>#VALUE!</v>
      </c>
      <c r="G170" s="57" t="e">
        <f>'Summary Data'!G167*D$3</f>
        <v>#VALUE!</v>
      </c>
      <c r="H170" s="57" t="e">
        <f>'Summary Data'!H167*E$3</f>
        <v>#VALUE!</v>
      </c>
      <c r="I170" s="57" t="e">
        <f>'Summary Data'!I167*F$3</f>
        <v>#VALUE!</v>
      </c>
      <c r="J170" s="57" t="e">
        <f>'Summary Data'!J167*G$3</f>
        <v>#VALUE!</v>
      </c>
      <c r="K170" s="57" t="e">
        <f>'Summary Data'!K167*H$3</f>
        <v>#VALUE!</v>
      </c>
      <c r="L170" s="57" t="e">
        <f>'Summary Data'!L167*I$3</f>
        <v>#VALUE!</v>
      </c>
      <c r="M170" s="57" t="e">
        <f>'Summary Data'!M167*J$3</f>
        <v>#VALUE!</v>
      </c>
      <c r="N170" s="57" t="e">
        <f>'Summary Data'!N167*K$3</f>
        <v>#VALUE!</v>
      </c>
      <c r="O170" s="57" t="e">
        <f>'Summary Data'!O167*L$3</f>
        <v>#VALUE!</v>
      </c>
      <c r="P170" s="57" t="e">
        <f>'Summary Data'!P167*M$3</f>
        <v>#VALUE!</v>
      </c>
      <c r="Q170" s="57" t="e">
        <f>'Summary Data'!Q167*N$3</f>
        <v>#VALUE!</v>
      </c>
      <c r="R170" s="57" t="e">
        <f>'Summary Data'!R167*O$3</f>
        <v>#VALUE!</v>
      </c>
      <c r="S170" s="57" t="e">
        <f>'Summary Data'!S167*P$3</f>
        <v>#VALUE!</v>
      </c>
      <c r="T170" s="57" t="e">
        <f>(_xlfn.XLOOKUP(A170,'Round 1 Points'!$A$10:$A$144,'Round 1 Points'!$T$10:$T$144,0)+_xlfn.XLOOKUP(A170,'Round 2 Points'!$A$10:$A$146,'Round 2 Points'!$T$10:$T$146,0)+_xlfn.XLOOKUP(A170,'Round 3 Points'!$A$10:$A$145,'Round 3 Points'!$T$10:$T$145,0)+_xlfn.XLOOKUP(A170,'Round 4 Points'!$A$10:$A$147,'Round 4 Points'!$T$10:$T$147,0))/D170</f>
        <v>#VALUE!</v>
      </c>
      <c r="U170" s="57" t="e">
        <f>'Summary Data'!T167*Q$3</f>
        <v>#VALUE!</v>
      </c>
      <c r="V170" s="57">
        <f>(_xlfn.XLOOKUP(A170,'Round 1 Points'!$A$10:$A$144,'Round 1 Points'!$V$10:$V$144,0)+_xlfn.XLOOKUP(A170,'Round 2 Points'!$A$10:$A$146,'Round 2 Points'!$V$10:$V$146,0)+_xlfn.XLOOKUP(A170,'Round 3 Points'!$A$10:$A$145,'Round 3 Points'!$V$10:$V$145,0)+_xlfn.XLOOKUP(A170,'Round 4 Points'!$A$10:$A$147,'Round 4 Points'!$V$10:$V$147,0))</f>
        <v>0</v>
      </c>
      <c r="W170" s="72" t="e">
        <f t="shared" si="2"/>
        <v>#VALUE!</v>
      </c>
    </row>
    <row r="171" spans="1:23" ht="16" thickBot="1" x14ac:dyDescent="0.25">
      <c r="A171" s="65" t="s">
        <v>172</v>
      </c>
      <c r="B171" t="s">
        <v>191</v>
      </c>
      <c r="C171" t="s">
        <v>198</v>
      </c>
      <c r="D171" t="e">
        <f>'Summary Data'!D168</f>
        <v>#VALUE!</v>
      </c>
      <c r="E171" s="57" t="e">
        <f>'Summary Data'!E168</f>
        <v>#VALUE!</v>
      </c>
      <c r="F171" s="57" t="e">
        <f>'Summary Data'!F168*C$3</f>
        <v>#VALUE!</v>
      </c>
      <c r="G171" s="57" t="e">
        <f>'Summary Data'!G168*D$3</f>
        <v>#VALUE!</v>
      </c>
      <c r="H171" s="57" t="e">
        <f>'Summary Data'!H168*E$3</f>
        <v>#VALUE!</v>
      </c>
      <c r="I171" s="57" t="e">
        <f>'Summary Data'!I168*F$3</f>
        <v>#VALUE!</v>
      </c>
      <c r="J171" s="57" t="e">
        <f>'Summary Data'!J168*G$3</f>
        <v>#VALUE!</v>
      </c>
      <c r="K171" s="57" t="e">
        <f>'Summary Data'!K168*H$3</f>
        <v>#VALUE!</v>
      </c>
      <c r="L171" s="57" t="e">
        <f>'Summary Data'!L168*I$3</f>
        <v>#VALUE!</v>
      </c>
      <c r="M171" s="57" t="e">
        <f>'Summary Data'!M168*J$3</f>
        <v>#VALUE!</v>
      </c>
      <c r="N171" s="57" t="e">
        <f>'Summary Data'!N168*K$3</f>
        <v>#VALUE!</v>
      </c>
      <c r="O171" s="57" t="e">
        <f>'Summary Data'!O168*L$3</f>
        <v>#VALUE!</v>
      </c>
      <c r="P171" s="57" t="e">
        <f>'Summary Data'!P168*M$3</f>
        <v>#VALUE!</v>
      </c>
      <c r="Q171" s="57" t="e">
        <f>'Summary Data'!Q168*N$3</f>
        <v>#VALUE!</v>
      </c>
      <c r="R171" s="57" t="e">
        <f>'Summary Data'!R168*O$3</f>
        <v>#VALUE!</v>
      </c>
      <c r="S171" s="57" t="e">
        <f>'Summary Data'!S168*P$3</f>
        <v>#VALUE!</v>
      </c>
      <c r="T171" s="57" t="e">
        <f>(_xlfn.XLOOKUP(A171,'Round 1 Points'!$A$10:$A$144,'Round 1 Points'!$T$10:$T$144,0)+_xlfn.XLOOKUP(A171,'Round 2 Points'!$A$10:$A$146,'Round 2 Points'!$T$10:$T$146,0)+_xlfn.XLOOKUP(A171,'Round 3 Points'!$A$10:$A$145,'Round 3 Points'!$T$10:$T$145,0)+_xlfn.XLOOKUP(A171,'Round 4 Points'!$A$10:$A$147,'Round 4 Points'!$T$10:$T$147,0))/D171</f>
        <v>#VALUE!</v>
      </c>
      <c r="U171" s="57" t="e">
        <f>'Summary Data'!T168*Q$3</f>
        <v>#VALUE!</v>
      </c>
      <c r="V171" s="57">
        <f>(_xlfn.XLOOKUP(A171,'Round 1 Points'!$A$10:$A$144,'Round 1 Points'!$V$10:$V$144,0)+_xlfn.XLOOKUP(A171,'Round 2 Points'!$A$10:$A$146,'Round 2 Points'!$V$10:$V$146,0)+_xlfn.XLOOKUP(A171,'Round 3 Points'!$A$10:$A$145,'Round 3 Points'!$V$10:$V$145,0)+_xlfn.XLOOKUP(A171,'Round 4 Points'!$A$10:$A$147,'Round 4 Points'!$V$10:$V$147,0))</f>
        <v>0</v>
      </c>
      <c r="W171" s="72" t="e">
        <f t="shared" si="2"/>
        <v>#VALUE!</v>
      </c>
    </row>
    <row r="172" spans="1:23" ht="16" thickBot="1" x14ac:dyDescent="0.25">
      <c r="A172" s="64" t="s">
        <v>173</v>
      </c>
      <c r="B172" t="s">
        <v>190</v>
      </c>
      <c r="C172" t="s">
        <v>199</v>
      </c>
      <c r="D172" t="e">
        <f>'Summary Data'!D169</f>
        <v>#VALUE!</v>
      </c>
      <c r="E172" s="57" t="e">
        <f>'Summary Data'!E169</f>
        <v>#VALUE!</v>
      </c>
      <c r="F172" s="57" t="e">
        <f>'Summary Data'!F169*C$3</f>
        <v>#VALUE!</v>
      </c>
      <c r="G172" s="57" t="e">
        <f>'Summary Data'!G169*D$3</f>
        <v>#VALUE!</v>
      </c>
      <c r="H172" s="57" t="e">
        <f>'Summary Data'!H169*E$3</f>
        <v>#VALUE!</v>
      </c>
      <c r="I172" s="57" t="e">
        <f>'Summary Data'!I169*F$3</f>
        <v>#VALUE!</v>
      </c>
      <c r="J172" s="57" t="e">
        <f>'Summary Data'!J169*G$3</f>
        <v>#VALUE!</v>
      </c>
      <c r="K172" s="57" t="e">
        <f>'Summary Data'!K169*H$3</f>
        <v>#VALUE!</v>
      </c>
      <c r="L172" s="57" t="e">
        <f>'Summary Data'!L169*I$3</f>
        <v>#VALUE!</v>
      </c>
      <c r="M172" s="57" t="e">
        <f>'Summary Data'!M169*J$3</f>
        <v>#VALUE!</v>
      </c>
      <c r="N172" s="57" t="e">
        <f>'Summary Data'!N169*K$3</f>
        <v>#VALUE!</v>
      </c>
      <c r="O172" s="57" t="e">
        <f>'Summary Data'!O169*L$3</f>
        <v>#VALUE!</v>
      </c>
      <c r="P172" s="57" t="e">
        <f>'Summary Data'!P169*M$3</f>
        <v>#VALUE!</v>
      </c>
      <c r="Q172" s="57" t="e">
        <f>'Summary Data'!Q169*N$3</f>
        <v>#VALUE!</v>
      </c>
      <c r="R172" s="57" t="e">
        <f>'Summary Data'!R169*O$3</f>
        <v>#VALUE!</v>
      </c>
      <c r="S172" s="57" t="e">
        <f>'Summary Data'!S169*P$3</f>
        <v>#VALUE!</v>
      </c>
      <c r="T172" s="57" t="e">
        <f>(_xlfn.XLOOKUP(A172,'Round 1 Points'!$A$10:$A$144,'Round 1 Points'!$T$10:$T$144,0)+_xlfn.XLOOKUP(A172,'Round 2 Points'!$A$10:$A$146,'Round 2 Points'!$T$10:$T$146,0)+_xlfn.XLOOKUP(A172,'Round 3 Points'!$A$10:$A$145,'Round 3 Points'!$T$10:$T$145,0)+_xlfn.XLOOKUP(A172,'Round 4 Points'!$A$10:$A$147,'Round 4 Points'!$T$10:$T$147,0))/D172</f>
        <v>#VALUE!</v>
      </c>
      <c r="U172" s="57" t="e">
        <f>'Summary Data'!T169*Q$3</f>
        <v>#VALUE!</v>
      </c>
      <c r="V172" s="57">
        <f>(_xlfn.XLOOKUP(A172,'Round 1 Points'!$A$10:$A$144,'Round 1 Points'!$V$10:$V$144,0)+_xlfn.XLOOKUP(A172,'Round 2 Points'!$A$10:$A$146,'Round 2 Points'!$V$10:$V$146,0)+_xlfn.XLOOKUP(A172,'Round 3 Points'!$A$10:$A$145,'Round 3 Points'!$V$10:$V$145,0)+_xlfn.XLOOKUP(A172,'Round 4 Points'!$A$10:$A$147,'Round 4 Points'!$V$10:$V$147,0))</f>
        <v>0</v>
      </c>
      <c r="W172" s="72" t="e">
        <f t="shared" si="2"/>
        <v>#VALUE!</v>
      </c>
    </row>
    <row r="173" spans="1:23" ht="16" thickBot="1" x14ac:dyDescent="0.25">
      <c r="A173" s="61" t="s">
        <v>174</v>
      </c>
      <c r="B173" t="s">
        <v>193</v>
      </c>
      <c r="C173" t="s">
        <v>194</v>
      </c>
      <c r="D173" t="e">
        <f>'Summary Data'!D170</f>
        <v>#VALUE!</v>
      </c>
      <c r="E173" s="57" t="e">
        <f>'Summary Data'!E170</f>
        <v>#VALUE!</v>
      </c>
      <c r="F173" s="57" t="e">
        <f>'Summary Data'!F170*C$3</f>
        <v>#VALUE!</v>
      </c>
      <c r="G173" s="57" t="e">
        <f>'Summary Data'!G170*D$3</f>
        <v>#VALUE!</v>
      </c>
      <c r="H173" s="57" t="e">
        <f>'Summary Data'!H170*E$3</f>
        <v>#VALUE!</v>
      </c>
      <c r="I173" s="57" t="e">
        <f>'Summary Data'!I170*F$3</f>
        <v>#VALUE!</v>
      </c>
      <c r="J173" s="57" t="e">
        <f>'Summary Data'!J170*G$3</f>
        <v>#VALUE!</v>
      </c>
      <c r="K173" s="57" t="e">
        <f>'Summary Data'!K170*H$3</f>
        <v>#VALUE!</v>
      </c>
      <c r="L173" s="57" t="e">
        <f>'Summary Data'!L170*I$3</f>
        <v>#VALUE!</v>
      </c>
      <c r="M173" s="57" t="e">
        <f>'Summary Data'!M170*J$3</f>
        <v>#VALUE!</v>
      </c>
      <c r="N173" s="57" t="e">
        <f>'Summary Data'!N170*K$3</f>
        <v>#VALUE!</v>
      </c>
      <c r="O173" s="57" t="e">
        <f>'Summary Data'!O170*L$3</f>
        <v>#VALUE!</v>
      </c>
      <c r="P173" s="57" t="e">
        <f>'Summary Data'!P170*M$3</f>
        <v>#VALUE!</v>
      </c>
      <c r="Q173" s="57" t="e">
        <f>'Summary Data'!Q170*N$3</f>
        <v>#VALUE!</v>
      </c>
      <c r="R173" s="57" t="e">
        <f>'Summary Data'!R170*O$3</f>
        <v>#VALUE!</v>
      </c>
      <c r="S173" s="57" t="e">
        <f>'Summary Data'!S170*P$3</f>
        <v>#VALUE!</v>
      </c>
      <c r="T173" s="57" t="e">
        <f>(_xlfn.XLOOKUP(A173,'Round 1 Points'!$A$10:$A$144,'Round 1 Points'!$T$10:$T$144,0)+_xlfn.XLOOKUP(A173,'Round 2 Points'!$A$10:$A$146,'Round 2 Points'!$T$10:$T$146,0)+_xlfn.XLOOKUP(A173,'Round 3 Points'!$A$10:$A$145,'Round 3 Points'!$T$10:$T$145,0)+_xlfn.XLOOKUP(A173,'Round 4 Points'!$A$10:$A$147,'Round 4 Points'!$T$10:$T$147,0))/D173</f>
        <v>#VALUE!</v>
      </c>
      <c r="U173" s="57" t="e">
        <f>'Summary Data'!T170*Q$3</f>
        <v>#VALUE!</v>
      </c>
      <c r="V173" s="57">
        <f>(_xlfn.XLOOKUP(A173,'Round 1 Points'!$A$10:$A$144,'Round 1 Points'!$V$10:$V$144,0)+_xlfn.XLOOKUP(A173,'Round 2 Points'!$A$10:$A$146,'Round 2 Points'!$V$10:$V$146,0)+_xlfn.XLOOKUP(A173,'Round 3 Points'!$A$10:$A$145,'Round 3 Points'!$V$10:$V$145,0)+_xlfn.XLOOKUP(A173,'Round 4 Points'!$A$10:$A$147,'Round 4 Points'!$V$10:$V$147,0))</f>
        <v>0.7</v>
      </c>
      <c r="W173" s="72" t="e">
        <f t="shared" si="2"/>
        <v>#VALUE!</v>
      </c>
    </row>
    <row r="174" spans="1:23" ht="16" thickBot="1" x14ac:dyDescent="0.25">
      <c r="A174" s="63" t="s">
        <v>175</v>
      </c>
      <c r="B174" t="s">
        <v>193</v>
      </c>
      <c r="C174" t="s">
        <v>195</v>
      </c>
      <c r="D174" t="e">
        <f>'Summary Data'!D171</f>
        <v>#VALUE!</v>
      </c>
      <c r="E174" s="57" t="e">
        <f>'Summary Data'!E171</f>
        <v>#VALUE!</v>
      </c>
      <c r="F174" s="57" t="e">
        <f>'Summary Data'!F171*C$3</f>
        <v>#VALUE!</v>
      </c>
      <c r="G174" s="57" t="e">
        <f>'Summary Data'!G171*D$3</f>
        <v>#VALUE!</v>
      </c>
      <c r="H174" s="57" t="e">
        <f>'Summary Data'!H171*E$3</f>
        <v>#VALUE!</v>
      </c>
      <c r="I174" s="57" t="e">
        <f>'Summary Data'!I171*F$3</f>
        <v>#VALUE!</v>
      </c>
      <c r="J174" s="57" t="e">
        <f>'Summary Data'!J171*G$3</f>
        <v>#VALUE!</v>
      </c>
      <c r="K174" s="57" t="e">
        <f>'Summary Data'!K171*H$3</f>
        <v>#VALUE!</v>
      </c>
      <c r="L174" s="57" t="e">
        <f>'Summary Data'!L171*I$3</f>
        <v>#VALUE!</v>
      </c>
      <c r="M174" s="57" t="e">
        <f>'Summary Data'!M171*J$3</f>
        <v>#VALUE!</v>
      </c>
      <c r="N174" s="57" t="e">
        <f>'Summary Data'!N171*K$3</f>
        <v>#VALUE!</v>
      </c>
      <c r="O174" s="57" t="e">
        <f>'Summary Data'!O171*L$3</f>
        <v>#VALUE!</v>
      </c>
      <c r="P174" s="57" t="e">
        <f>'Summary Data'!P171*M$3</f>
        <v>#VALUE!</v>
      </c>
      <c r="Q174" s="57" t="e">
        <f>'Summary Data'!Q171*N$3</f>
        <v>#VALUE!</v>
      </c>
      <c r="R174" s="57" t="e">
        <f>'Summary Data'!R171*O$3</f>
        <v>#VALUE!</v>
      </c>
      <c r="S174" s="57" t="e">
        <f>'Summary Data'!S171*P$3</f>
        <v>#VALUE!</v>
      </c>
      <c r="T174" s="57" t="e">
        <f>(_xlfn.XLOOKUP(A174,'Round 1 Points'!$A$10:$A$144,'Round 1 Points'!$T$10:$T$144,0)+_xlfn.XLOOKUP(A174,'Round 2 Points'!$A$10:$A$146,'Round 2 Points'!$T$10:$T$146,0)+_xlfn.XLOOKUP(A174,'Round 3 Points'!$A$10:$A$145,'Round 3 Points'!$T$10:$T$145,0)+_xlfn.XLOOKUP(A174,'Round 4 Points'!$A$10:$A$147,'Round 4 Points'!$T$10:$T$147,0))/D174</f>
        <v>#VALUE!</v>
      </c>
      <c r="U174" s="57" t="e">
        <f>'Summary Data'!T171*Q$3</f>
        <v>#VALUE!</v>
      </c>
      <c r="V174" s="57">
        <f>(_xlfn.XLOOKUP(A174,'Round 1 Points'!$A$10:$A$144,'Round 1 Points'!$V$10:$V$144,0)+_xlfn.XLOOKUP(A174,'Round 2 Points'!$A$10:$A$146,'Round 2 Points'!$V$10:$V$146,0)+_xlfn.XLOOKUP(A174,'Round 3 Points'!$A$10:$A$145,'Round 3 Points'!$V$10:$V$145,0)+_xlfn.XLOOKUP(A174,'Round 4 Points'!$A$10:$A$147,'Round 4 Points'!$V$10:$V$147,0))</f>
        <v>6.5</v>
      </c>
      <c r="W174" s="72" t="e">
        <f t="shared" si="2"/>
        <v>#VALUE!</v>
      </c>
    </row>
    <row r="175" spans="1:23" ht="16" thickBot="1" x14ac:dyDescent="0.25">
      <c r="A175" s="65" t="s">
        <v>176</v>
      </c>
      <c r="B175" t="s">
        <v>193</v>
      </c>
      <c r="C175" t="s">
        <v>197</v>
      </c>
      <c r="D175" t="e">
        <f>'Summary Data'!D172</f>
        <v>#VALUE!</v>
      </c>
      <c r="E175" s="57" t="e">
        <f>'Summary Data'!E172</f>
        <v>#VALUE!</v>
      </c>
      <c r="F175" s="57" t="e">
        <f>'Summary Data'!F172*C$3</f>
        <v>#VALUE!</v>
      </c>
      <c r="G175" s="57" t="e">
        <f>'Summary Data'!G172*D$3</f>
        <v>#VALUE!</v>
      </c>
      <c r="H175" s="57" t="e">
        <f>'Summary Data'!H172*E$3</f>
        <v>#VALUE!</v>
      </c>
      <c r="I175" s="57" t="e">
        <f>'Summary Data'!I172*F$3</f>
        <v>#VALUE!</v>
      </c>
      <c r="J175" s="57" t="e">
        <f>'Summary Data'!J172*G$3</f>
        <v>#VALUE!</v>
      </c>
      <c r="K175" s="57" t="e">
        <f>'Summary Data'!K172*H$3</f>
        <v>#VALUE!</v>
      </c>
      <c r="L175" s="57" t="e">
        <f>'Summary Data'!L172*I$3</f>
        <v>#VALUE!</v>
      </c>
      <c r="M175" s="57" t="e">
        <f>'Summary Data'!M172*J$3</f>
        <v>#VALUE!</v>
      </c>
      <c r="N175" s="57" t="e">
        <f>'Summary Data'!N172*K$3</f>
        <v>#VALUE!</v>
      </c>
      <c r="O175" s="57" t="e">
        <f>'Summary Data'!O172*L$3</f>
        <v>#VALUE!</v>
      </c>
      <c r="P175" s="57" t="e">
        <f>'Summary Data'!P172*M$3</f>
        <v>#VALUE!</v>
      </c>
      <c r="Q175" s="57" t="e">
        <f>'Summary Data'!Q172*N$3</f>
        <v>#VALUE!</v>
      </c>
      <c r="R175" s="57" t="e">
        <f>'Summary Data'!R172*O$3</f>
        <v>#VALUE!</v>
      </c>
      <c r="S175" s="57" t="e">
        <f>'Summary Data'!S172*P$3</f>
        <v>#VALUE!</v>
      </c>
      <c r="T175" s="57" t="e">
        <f>(_xlfn.XLOOKUP(A175,'Round 1 Points'!$A$10:$A$144,'Round 1 Points'!$T$10:$T$144,0)+_xlfn.XLOOKUP(A175,'Round 2 Points'!$A$10:$A$146,'Round 2 Points'!$T$10:$T$146,0)+_xlfn.XLOOKUP(A175,'Round 3 Points'!$A$10:$A$145,'Round 3 Points'!$T$10:$T$145,0)+_xlfn.XLOOKUP(A175,'Round 4 Points'!$A$10:$A$147,'Round 4 Points'!$T$10:$T$147,0))/D175</f>
        <v>#VALUE!</v>
      </c>
      <c r="U175" s="57" t="e">
        <f>'Summary Data'!T172*Q$3</f>
        <v>#VALUE!</v>
      </c>
      <c r="V175" s="57">
        <f>(_xlfn.XLOOKUP(A175,'Round 1 Points'!$A$10:$A$144,'Round 1 Points'!$V$10:$V$144,0)+_xlfn.XLOOKUP(A175,'Round 2 Points'!$A$10:$A$146,'Round 2 Points'!$V$10:$V$146,0)+_xlfn.XLOOKUP(A175,'Round 3 Points'!$A$10:$A$145,'Round 3 Points'!$V$10:$V$145,0)+_xlfn.XLOOKUP(A175,'Round 4 Points'!$A$10:$A$147,'Round 4 Points'!$V$10:$V$147,0))</f>
        <v>1.1000000000000001</v>
      </c>
      <c r="W175" s="72" t="e">
        <f t="shared" si="2"/>
        <v>#VALUE!</v>
      </c>
    </row>
    <row r="176" spans="1:23" ht="16" thickBot="1" x14ac:dyDescent="0.25">
      <c r="A176" s="63" t="s">
        <v>177</v>
      </c>
      <c r="B176" t="s">
        <v>193</v>
      </c>
      <c r="C176" t="s">
        <v>200</v>
      </c>
      <c r="D176" t="e">
        <f>'Summary Data'!D173</f>
        <v>#VALUE!</v>
      </c>
      <c r="E176" s="57" t="e">
        <f>'Summary Data'!E173</f>
        <v>#VALUE!</v>
      </c>
      <c r="F176" s="57" t="e">
        <f>'Summary Data'!F173*C$3</f>
        <v>#VALUE!</v>
      </c>
      <c r="G176" s="57" t="e">
        <f>'Summary Data'!G173*D$3</f>
        <v>#VALUE!</v>
      </c>
      <c r="H176" s="57" t="e">
        <f>'Summary Data'!H173*E$3</f>
        <v>#VALUE!</v>
      </c>
      <c r="I176" s="57" t="e">
        <f>'Summary Data'!I173*F$3</f>
        <v>#VALUE!</v>
      </c>
      <c r="J176" s="57" t="e">
        <f>'Summary Data'!J173*G$3</f>
        <v>#VALUE!</v>
      </c>
      <c r="K176" s="57" t="e">
        <f>'Summary Data'!K173*H$3</f>
        <v>#VALUE!</v>
      </c>
      <c r="L176" s="57" t="e">
        <f>'Summary Data'!L173*I$3</f>
        <v>#VALUE!</v>
      </c>
      <c r="M176" s="57" t="e">
        <f>'Summary Data'!M173*J$3</f>
        <v>#VALUE!</v>
      </c>
      <c r="N176" s="57" t="e">
        <f>'Summary Data'!N173*K$3</f>
        <v>#VALUE!</v>
      </c>
      <c r="O176" s="57" t="e">
        <f>'Summary Data'!O173*L$3</f>
        <v>#VALUE!</v>
      </c>
      <c r="P176" s="57" t="e">
        <f>'Summary Data'!P173*M$3</f>
        <v>#VALUE!</v>
      </c>
      <c r="Q176" s="57" t="e">
        <f>'Summary Data'!Q173*N$3</f>
        <v>#VALUE!</v>
      </c>
      <c r="R176" s="57" t="e">
        <f>'Summary Data'!R173*O$3</f>
        <v>#VALUE!</v>
      </c>
      <c r="S176" s="57" t="e">
        <f>'Summary Data'!S173*P$3</f>
        <v>#VALUE!</v>
      </c>
      <c r="T176" s="57" t="e">
        <f>(_xlfn.XLOOKUP(A176,'Round 1 Points'!$A$10:$A$144,'Round 1 Points'!$T$10:$T$144,0)+_xlfn.XLOOKUP(A176,'Round 2 Points'!$A$10:$A$146,'Round 2 Points'!$T$10:$T$146,0)+_xlfn.XLOOKUP(A176,'Round 3 Points'!$A$10:$A$145,'Round 3 Points'!$T$10:$T$145,0)+_xlfn.XLOOKUP(A176,'Round 4 Points'!$A$10:$A$147,'Round 4 Points'!$T$10:$T$147,0))/D176</f>
        <v>#VALUE!</v>
      </c>
      <c r="U176" s="57" t="e">
        <f>'Summary Data'!T173*Q$3</f>
        <v>#VALUE!</v>
      </c>
      <c r="V176" s="57">
        <f>(_xlfn.XLOOKUP(A176,'Round 1 Points'!$A$10:$A$144,'Round 1 Points'!$V$10:$V$144,0)+_xlfn.XLOOKUP(A176,'Round 2 Points'!$A$10:$A$146,'Round 2 Points'!$V$10:$V$146,0)+_xlfn.XLOOKUP(A176,'Round 3 Points'!$A$10:$A$145,'Round 3 Points'!$V$10:$V$145,0)+_xlfn.XLOOKUP(A176,'Round 4 Points'!$A$10:$A$147,'Round 4 Points'!$V$10:$V$147,0))</f>
        <v>5</v>
      </c>
      <c r="W176" s="72" t="e">
        <f t="shared" si="2"/>
        <v>#VALUE!</v>
      </c>
    </row>
    <row r="177" spans="1:23" ht="16" thickBot="1" x14ac:dyDescent="0.25">
      <c r="A177" s="61" t="s">
        <v>178</v>
      </c>
      <c r="B177" t="s">
        <v>193</v>
      </c>
      <c r="C177" t="s">
        <v>201</v>
      </c>
      <c r="D177" t="e">
        <f>'Summary Data'!D174</f>
        <v>#VALUE!</v>
      </c>
      <c r="E177" s="57" t="e">
        <f>'Summary Data'!E174</f>
        <v>#VALUE!</v>
      </c>
      <c r="F177" s="57" t="e">
        <f>'Summary Data'!F174*C$3</f>
        <v>#VALUE!</v>
      </c>
      <c r="G177" s="57" t="e">
        <f>'Summary Data'!G174*D$3</f>
        <v>#VALUE!</v>
      </c>
      <c r="H177" s="57" t="e">
        <f>'Summary Data'!H174*E$3</f>
        <v>#VALUE!</v>
      </c>
      <c r="I177" s="57" t="e">
        <f>'Summary Data'!I174*F$3</f>
        <v>#VALUE!</v>
      </c>
      <c r="J177" s="57" t="e">
        <f>'Summary Data'!J174*G$3</f>
        <v>#VALUE!</v>
      </c>
      <c r="K177" s="57" t="e">
        <f>'Summary Data'!K174*H$3</f>
        <v>#VALUE!</v>
      </c>
      <c r="L177" s="57" t="e">
        <f>'Summary Data'!L174*I$3</f>
        <v>#VALUE!</v>
      </c>
      <c r="M177" s="57" t="e">
        <f>'Summary Data'!M174*J$3</f>
        <v>#VALUE!</v>
      </c>
      <c r="N177" s="57" t="e">
        <f>'Summary Data'!N174*K$3</f>
        <v>#VALUE!</v>
      </c>
      <c r="O177" s="57" t="e">
        <f>'Summary Data'!O174*L$3</f>
        <v>#VALUE!</v>
      </c>
      <c r="P177" s="57" t="e">
        <f>'Summary Data'!P174*M$3</f>
        <v>#VALUE!</v>
      </c>
      <c r="Q177" s="57" t="e">
        <f>'Summary Data'!Q174*N$3</f>
        <v>#VALUE!</v>
      </c>
      <c r="R177" s="57" t="e">
        <f>'Summary Data'!R174*O$3</f>
        <v>#VALUE!</v>
      </c>
      <c r="S177" s="57" t="e">
        <f>'Summary Data'!S174*P$3</f>
        <v>#VALUE!</v>
      </c>
      <c r="T177" s="57" t="e">
        <f>(_xlfn.XLOOKUP(A177,'Round 1 Points'!$A$10:$A$144,'Round 1 Points'!$T$10:$T$144,0)+_xlfn.XLOOKUP(A177,'Round 2 Points'!$A$10:$A$146,'Round 2 Points'!$T$10:$T$146,0)+_xlfn.XLOOKUP(A177,'Round 3 Points'!$A$10:$A$145,'Round 3 Points'!$T$10:$T$145,0)+_xlfn.XLOOKUP(A177,'Round 4 Points'!$A$10:$A$147,'Round 4 Points'!$T$10:$T$147,0))/D177</f>
        <v>#VALUE!</v>
      </c>
      <c r="U177" s="57" t="e">
        <f>'Summary Data'!T174*Q$3</f>
        <v>#VALUE!</v>
      </c>
      <c r="V177" s="57">
        <f>(_xlfn.XLOOKUP(A177,'Round 1 Points'!$A$10:$A$144,'Round 1 Points'!$V$10:$V$144,0)+_xlfn.XLOOKUP(A177,'Round 2 Points'!$A$10:$A$146,'Round 2 Points'!$V$10:$V$146,0)+_xlfn.XLOOKUP(A177,'Round 3 Points'!$A$10:$A$145,'Round 3 Points'!$V$10:$V$145,0)+_xlfn.XLOOKUP(A177,'Round 4 Points'!$A$10:$A$147,'Round 4 Points'!$V$10:$V$147,0))</f>
        <v>1.9</v>
      </c>
      <c r="W177" s="72" t="e">
        <f t="shared" si="2"/>
        <v>#VALUE!</v>
      </c>
    </row>
    <row r="178" spans="1:23" ht="16" thickBot="1" x14ac:dyDescent="0.25">
      <c r="A178" s="64" t="s">
        <v>179</v>
      </c>
      <c r="B178" t="s">
        <v>191</v>
      </c>
      <c r="C178" t="s">
        <v>199</v>
      </c>
      <c r="D178" t="e">
        <f>'Summary Data'!D175</f>
        <v>#VALUE!</v>
      </c>
      <c r="E178" s="57" t="e">
        <f>'Summary Data'!E175</f>
        <v>#VALUE!</v>
      </c>
      <c r="F178" s="57" t="e">
        <f>'Summary Data'!F175*C$3</f>
        <v>#VALUE!</v>
      </c>
      <c r="G178" s="57" t="e">
        <f>'Summary Data'!G175*D$3</f>
        <v>#VALUE!</v>
      </c>
      <c r="H178" s="57" t="e">
        <f>'Summary Data'!H175*E$3</f>
        <v>#VALUE!</v>
      </c>
      <c r="I178" s="57" t="e">
        <f>'Summary Data'!I175*F$3</f>
        <v>#VALUE!</v>
      </c>
      <c r="J178" s="57" t="e">
        <f>'Summary Data'!J175*G$3</f>
        <v>#VALUE!</v>
      </c>
      <c r="K178" s="57" t="e">
        <f>'Summary Data'!K175*H$3</f>
        <v>#VALUE!</v>
      </c>
      <c r="L178" s="57" t="e">
        <f>'Summary Data'!L175*I$3</f>
        <v>#VALUE!</v>
      </c>
      <c r="M178" s="57" t="e">
        <f>'Summary Data'!M175*J$3</f>
        <v>#VALUE!</v>
      </c>
      <c r="N178" s="57" t="e">
        <f>'Summary Data'!N175*K$3</f>
        <v>#VALUE!</v>
      </c>
      <c r="O178" s="57" t="e">
        <f>'Summary Data'!O175*L$3</f>
        <v>#VALUE!</v>
      </c>
      <c r="P178" s="57" t="e">
        <f>'Summary Data'!P175*M$3</f>
        <v>#VALUE!</v>
      </c>
      <c r="Q178" s="57" t="e">
        <f>'Summary Data'!Q175*N$3</f>
        <v>#VALUE!</v>
      </c>
      <c r="R178" s="57" t="e">
        <f>'Summary Data'!R175*O$3</f>
        <v>#VALUE!</v>
      </c>
      <c r="S178" s="57" t="e">
        <f>'Summary Data'!S175*P$3</f>
        <v>#VALUE!</v>
      </c>
      <c r="T178" s="57" t="e">
        <f>(_xlfn.XLOOKUP(A178,'Round 1 Points'!$A$10:$A$144,'Round 1 Points'!$T$10:$T$144,0)+_xlfn.XLOOKUP(A178,'Round 2 Points'!$A$10:$A$146,'Round 2 Points'!$T$10:$T$146,0)+_xlfn.XLOOKUP(A178,'Round 3 Points'!$A$10:$A$145,'Round 3 Points'!$T$10:$T$145,0)+_xlfn.XLOOKUP(A178,'Round 4 Points'!$A$10:$A$147,'Round 4 Points'!$T$10:$T$147,0))/D178</f>
        <v>#VALUE!</v>
      </c>
      <c r="U178" s="57" t="e">
        <f>'Summary Data'!T175*Q$3</f>
        <v>#VALUE!</v>
      </c>
      <c r="V178" s="57">
        <f>(_xlfn.XLOOKUP(A178,'Round 1 Points'!$A$10:$A$144,'Round 1 Points'!$V$10:$V$144,0)+_xlfn.XLOOKUP(A178,'Round 2 Points'!$A$10:$A$146,'Round 2 Points'!$V$10:$V$146,0)+_xlfn.XLOOKUP(A178,'Round 3 Points'!$A$10:$A$145,'Round 3 Points'!$V$10:$V$145,0)+_xlfn.XLOOKUP(A178,'Round 4 Points'!$A$10:$A$147,'Round 4 Points'!$V$10:$V$147,0))</f>
        <v>0</v>
      </c>
      <c r="W178" s="72" t="e">
        <f t="shared" si="2"/>
        <v>#VALUE!</v>
      </c>
    </row>
    <row r="179" spans="1:23" ht="16" thickBot="1" x14ac:dyDescent="0.25">
      <c r="A179" s="61" t="s">
        <v>181</v>
      </c>
      <c r="B179" t="s">
        <v>189</v>
      </c>
      <c r="C179" t="s">
        <v>195</v>
      </c>
      <c r="D179" t="e">
        <f>'Summary Data'!D176</f>
        <v>#VALUE!</v>
      </c>
      <c r="E179" s="57" t="e">
        <f>'Summary Data'!E176</f>
        <v>#VALUE!</v>
      </c>
      <c r="F179" s="57" t="e">
        <f>'Summary Data'!F176*C$3</f>
        <v>#VALUE!</v>
      </c>
      <c r="G179" s="57" t="e">
        <f>'Summary Data'!G176*D$3</f>
        <v>#VALUE!</v>
      </c>
      <c r="H179" s="57" t="e">
        <f>'Summary Data'!H176*E$3</f>
        <v>#VALUE!</v>
      </c>
      <c r="I179" s="57" t="e">
        <f>'Summary Data'!I176*F$3</f>
        <v>#VALUE!</v>
      </c>
      <c r="J179" s="57" t="e">
        <f>'Summary Data'!J176*G$3</f>
        <v>#VALUE!</v>
      </c>
      <c r="K179" s="57" t="e">
        <f>'Summary Data'!K176*H$3</f>
        <v>#VALUE!</v>
      </c>
      <c r="L179" s="57" t="e">
        <f>'Summary Data'!L176*I$3</f>
        <v>#VALUE!</v>
      </c>
      <c r="M179" s="57" t="e">
        <f>'Summary Data'!M176*J$3</f>
        <v>#VALUE!</v>
      </c>
      <c r="N179" s="57" t="e">
        <f>'Summary Data'!N176*K$3</f>
        <v>#VALUE!</v>
      </c>
      <c r="O179" s="57" t="e">
        <f>'Summary Data'!O176*L$3</f>
        <v>#VALUE!</v>
      </c>
      <c r="P179" s="57" t="e">
        <f>'Summary Data'!P176*M$3</f>
        <v>#VALUE!</v>
      </c>
      <c r="Q179" s="57" t="e">
        <f>'Summary Data'!Q176*N$3</f>
        <v>#VALUE!</v>
      </c>
      <c r="R179" s="57" t="e">
        <f>'Summary Data'!R176*O$3</f>
        <v>#VALUE!</v>
      </c>
      <c r="S179" s="57" t="e">
        <f>'Summary Data'!S176*P$3</f>
        <v>#VALUE!</v>
      </c>
      <c r="T179" s="57" t="e">
        <f>(_xlfn.XLOOKUP(A179,'Round 1 Points'!$A$10:$A$144,'Round 1 Points'!$T$10:$T$144,0)+_xlfn.XLOOKUP(A179,'Round 2 Points'!$A$10:$A$146,'Round 2 Points'!$T$10:$T$146,0)+_xlfn.XLOOKUP(A179,'Round 3 Points'!$A$10:$A$145,'Round 3 Points'!$T$10:$T$145,0)+_xlfn.XLOOKUP(A179,'Round 4 Points'!$A$10:$A$147,'Round 4 Points'!$T$10:$T$147,0))/D179</f>
        <v>#VALUE!</v>
      </c>
      <c r="U179" s="57" t="e">
        <f>'Summary Data'!T176*Q$3</f>
        <v>#VALUE!</v>
      </c>
      <c r="V179" s="57">
        <f>(_xlfn.XLOOKUP(A179,'Round 1 Points'!$A$10:$A$144,'Round 1 Points'!$V$10:$V$144,0)+_xlfn.XLOOKUP(A179,'Round 2 Points'!$A$10:$A$146,'Round 2 Points'!$V$10:$V$146,0)+_xlfn.XLOOKUP(A179,'Round 3 Points'!$A$10:$A$145,'Round 3 Points'!$V$10:$V$145,0)+_xlfn.XLOOKUP(A179,'Round 4 Points'!$A$10:$A$147,'Round 4 Points'!$V$10:$V$147,0))</f>
        <v>1.4</v>
      </c>
      <c r="W179" s="72" t="e">
        <f t="shared" si="2"/>
        <v>#VALUE!</v>
      </c>
    </row>
    <row r="180" spans="1:23" ht="16" thickBot="1" x14ac:dyDescent="0.25">
      <c r="A180" s="64" t="s">
        <v>182</v>
      </c>
      <c r="B180" t="s">
        <v>189</v>
      </c>
      <c r="C180" t="s">
        <v>197</v>
      </c>
      <c r="D180" t="e">
        <f>'Summary Data'!D177</f>
        <v>#VALUE!</v>
      </c>
      <c r="E180" s="57" t="e">
        <f>'Summary Data'!E177</f>
        <v>#VALUE!</v>
      </c>
      <c r="F180" s="57" t="e">
        <f>'Summary Data'!F177*C$3</f>
        <v>#VALUE!</v>
      </c>
      <c r="G180" s="57" t="e">
        <f>'Summary Data'!G177*D$3</f>
        <v>#VALUE!</v>
      </c>
      <c r="H180" s="57" t="e">
        <f>'Summary Data'!H177*E$3</f>
        <v>#VALUE!</v>
      </c>
      <c r="I180" s="57" t="e">
        <f>'Summary Data'!I177*F$3</f>
        <v>#VALUE!</v>
      </c>
      <c r="J180" s="57" t="e">
        <f>'Summary Data'!J177*G$3</f>
        <v>#VALUE!</v>
      </c>
      <c r="K180" s="57" t="e">
        <f>'Summary Data'!K177*H$3</f>
        <v>#VALUE!</v>
      </c>
      <c r="L180" s="57" t="e">
        <f>'Summary Data'!L177*I$3</f>
        <v>#VALUE!</v>
      </c>
      <c r="M180" s="57" t="e">
        <f>'Summary Data'!M177*J$3</f>
        <v>#VALUE!</v>
      </c>
      <c r="N180" s="57" t="e">
        <f>'Summary Data'!N177*K$3</f>
        <v>#VALUE!</v>
      </c>
      <c r="O180" s="57" t="e">
        <f>'Summary Data'!O177*L$3</f>
        <v>#VALUE!</v>
      </c>
      <c r="P180" s="57" t="e">
        <f>'Summary Data'!P177*M$3</f>
        <v>#VALUE!</v>
      </c>
      <c r="Q180" s="57" t="e">
        <f>'Summary Data'!Q177*N$3</f>
        <v>#VALUE!</v>
      </c>
      <c r="R180" s="57" t="e">
        <f>'Summary Data'!R177*O$3</f>
        <v>#VALUE!</v>
      </c>
      <c r="S180" s="57" t="e">
        <f>'Summary Data'!S177*P$3</f>
        <v>#VALUE!</v>
      </c>
      <c r="T180" s="57" t="e">
        <f>(_xlfn.XLOOKUP(A180,'Round 1 Points'!$A$10:$A$144,'Round 1 Points'!$T$10:$T$144,0)+_xlfn.XLOOKUP(A180,'Round 2 Points'!$A$10:$A$146,'Round 2 Points'!$T$10:$T$146,0)+_xlfn.XLOOKUP(A180,'Round 3 Points'!$A$10:$A$145,'Round 3 Points'!$T$10:$T$145,0)+_xlfn.XLOOKUP(A180,'Round 4 Points'!$A$10:$A$147,'Round 4 Points'!$T$10:$T$147,0))/D180</f>
        <v>#VALUE!</v>
      </c>
      <c r="U180" s="57" t="e">
        <f>'Summary Data'!T177*Q$3</f>
        <v>#VALUE!</v>
      </c>
      <c r="V180" s="57">
        <f>(_xlfn.XLOOKUP(A180,'Round 1 Points'!$A$10:$A$144,'Round 1 Points'!$V$10:$V$144,0)+_xlfn.XLOOKUP(A180,'Round 2 Points'!$A$10:$A$146,'Round 2 Points'!$V$10:$V$146,0)+_xlfn.XLOOKUP(A180,'Round 3 Points'!$A$10:$A$145,'Round 3 Points'!$V$10:$V$145,0)+_xlfn.XLOOKUP(A180,'Round 4 Points'!$A$10:$A$147,'Round 4 Points'!$V$10:$V$147,0))</f>
        <v>2.7</v>
      </c>
      <c r="W180" s="72" t="e">
        <f t="shared" si="2"/>
        <v>#VALUE!</v>
      </c>
    </row>
    <row r="181" spans="1:23" ht="16" thickBot="1" x14ac:dyDescent="0.25">
      <c r="A181" s="65" t="s">
        <v>183</v>
      </c>
      <c r="B181" t="s">
        <v>189</v>
      </c>
      <c r="C181" t="s">
        <v>200</v>
      </c>
      <c r="D181" t="e">
        <f>'Summary Data'!D178</f>
        <v>#VALUE!</v>
      </c>
      <c r="E181" s="57" t="e">
        <f>'Summary Data'!E178</f>
        <v>#VALUE!</v>
      </c>
      <c r="F181" s="57" t="e">
        <f>'Summary Data'!F178*C$3</f>
        <v>#VALUE!</v>
      </c>
      <c r="G181" s="57" t="e">
        <f>'Summary Data'!G178*D$3</f>
        <v>#VALUE!</v>
      </c>
      <c r="H181" s="57" t="e">
        <f>'Summary Data'!H178*E$3</f>
        <v>#VALUE!</v>
      </c>
      <c r="I181" s="57" t="e">
        <f>'Summary Data'!I178*F$3</f>
        <v>#VALUE!</v>
      </c>
      <c r="J181" s="57" t="e">
        <f>'Summary Data'!J178*G$3</f>
        <v>#VALUE!</v>
      </c>
      <c r="K181" s="57" t="e">
        <f>'Summary Data'!K178*H$3</f>
        <v>#VALUE!</v>
      </c>
      <c r="L181" s="57" t="e">
        <f>'Summary Data'!L178*I$3</f>
        <v>#VALUE!</v>
      </c>
      <c r="M181" s="57" t="e">
        <f>'Summary Data'!M178*J$3</f>
        <v>#VALUE!</v>
      </c>
      <c r="N181" s="57" t="e">
        <f>'Summary Data'!N178*K$3</f>
        <v>#VALUE!</v>
      </c>
      <c r="O181" s="57" t="e">
        <f>'Summary Data'!O178*L$3</f>
        <v>#VALUE!</v>
      </c>
      <c r="P181" s="57" t="e">
        <f>'Summary Data'!P178*M$3</f>
        <v>#VALUE!</v>
      </c>
      <c r="Q181" s="57" t="e">
        <f>'Summary Data'!Q178*N$3</f>
        <v>#VALUE!</v>
      </c>
      <c r="R181" s="57" t="e">
        <f>'Summary Data'!R178*O$3</f>
        <v>#VALUE!</v>
      </c>
      <c r="S181" s="57" t="e">
        <f>'Summary Data'!S178*P$3</f>
        <v>#VALUE!</v>
      </c>
      <c r="T181" s="57" t="e">
        <f>(_xlfn.XLOOKUP(A181,'Round 1 Points'!$A$10:$A$144,'Round 1 Points'!$T$10:$T$144,0)+_xlfn.XLOOKUP(A181,'Round 2 Points'!$A$10:$A$146,'Round 2 Points'!$T$10:$T$146,0)+_xlfn.XLOOKUP(A181,'Round 3 Points'!$A$10:$A$145,'Round 3 Points'!$T$10:$T$145,0)+_xlfn.XLOOKUP(A181,'Round 4 Points'!$A$10:$A$147,'Round 4 Points'!$T$10:$T$147,0))/D181</f>
        <v>#VALUE!</v>
      </c>
      <c r="U181" s="57" t="e">
        <f>'Summary Data'!T178*Q$3</f>
        <v>#VALUE!</v>
      </c>
      <c r="V181" s="57">
        <f>(_xlfn.XLOOKUP(A181,'Round 1 Points'!$A$10:$A$144,'Round 1 Points'!$V$10:$V$144,0)+_xlfn.XLOOKUP(A181,'Round 2 Points'!$A$10:$A$146,'Round 2 Points'!$V$10:$V$146,0)+_xlfn.XLOOKUP(A181,'Round 3 Points'!$A$10:$A$145,'Round 3 Points'!$V$10:$V$145,0)+_xlfn.XLOOKUP(A181,'Round 4 Points'!$A$10:$A$147,'Round 4 Points'!$V$10:$V$147,0))</f>
        <v>6.5</v>
      </c>
      <c r="W181" s="72" t="e">
        <f t="shared" si="2"/>
        <v>#VALUE!</v>
      </c>
    </row>
    <row r="182" spans="1:23" ht="16" thickBot="1" x14ac:dyDescent="0.25">
      <c r="A182" s="66" t="s">
        <v>184</v>
      </c>
      <c r="B182" s="48" t="s">
        <v>189</v>
      </c>
      <c r="C182" s="48" t="s">
        <v>200</v>
      </c>
      <c r="D182" s="48" t="e">
        <f>'Summary Data'!D179</f>
        <v>#VALUE!</v>
      </c>
      <c r="E182" s="67" t="e">
        <f>'Summary Data'!E179</f>
        <v>#VALUE!</v>
      </c>
      <c r="F182" s="67" t="e">
        <f>'Summary Data'!F179*C$3</f>
        <v>#VALUE!</v>
      </c>
      <c r="G182" s="67" t="e">
        <f>'Summary Data'!G179*D$3</f>
        <v>#VALUE!</v>
      </c>
      <c r="H182" s="67" t="e">
        <f>'Summary Data'!H179*E$3</f>
        <v>#VALUE!</v>
      </c>
      <c r="I182" s="67" t="e">
        <f>'Summary Data'!I179*F$3</f>
        <v>#VALUE!</v>
      </c>
      <c r="J182" s="67" t="e">
        <f>'Summary Data'!J179*G$3</f>
        <v>#VALUE!</v>
      </c>
      <c r="K182" s="67" t="e">
        <f>'Summary Data'!K179*H$3</f>
        <v>#VALUE!</v>
      </c>
      <c r="L182" s="67" t="e">
        <f>'Summary Data'!L179*I$3</f>
        <v>#VALUE!</v>
      </c>
      <c r="M182" s="67" t="e">
        <f>'Summary Data'!M179*J$3</f>
        <v>#VALUE!</v>
      </c>
      <c r="N182" s="67" t="e">
        <f>'Summary Data'!N179*K$3</f>
        <v>#VALUE!</v>
      </c>
      <c r="O182" s="67" t="e">
        <f>'Summary Data'!O179*L$3</f>
        <v>#VALUE!</v>
      </c>
      <c r="P182" s="67" t="e">
        <f>'Summary Data'!P179*M$3</f>
        <v>#VALUE!</v>
      </c>
      <c r="Q182" s="67" t="e">
        <f>'Summary Data'!Q179*N$3</f>
        <v>#VALUE!</v>
      </c>
      <c r="R182" s="67" t="e">
        <f>'Summary Data'!R179*O$3</f>
        <v>#VALUE!</v>
      </c>
      <c r="S182" s="67" t="e">
        <f>'Summary Data'!S179*P$3</f>
        <v>#VALUE!</v>
      </c>
      <c r="T182" s="67" t="e">
        <f>(_xlfn.XLOOKUP(A182,'Round 1 Points'!$A$10:$A$144,'Round 1 Points'!$T$10:$T$144,0)+_xlfn.XLOOKUP(A182,'Round 2 Points'!$A$10:$A$146,'Round 2 Points'!$T$10:$T$146,0)+_xlfn.XLOOKUP(A182,'Round 3 Points'!$A$10:$A$145,'Round 3 Points'!$T$10:$T$145,0)+_xlfn.XLOOKUP(A182,'Round 4 Points'!$A$10:$A$147,'Round 4 Points'!$T$10:$T$147,0))/D182</f>
        <v>#VALUE!</v>
      </c>
      <c r="U182" s="67" t="e">
        <f>'Summary Data'!T179*Q$3</f>
        <v>#VALUE!</v>
      </c>
      <c r="V182" s="67">
        <f>(_xlfn.XLOOKUP(A182,'Round 1 Points'!$A$10:$A$144,'Round 1 Points'!$V$10:$V$144,0)+_xlfn.XLOOKUP(A182,'Round 2 Points'!$A$10:$A$146,'Round 2 Points'!$V$10:$V$146,0)+_xlfn.XLOOKUP(A182,'Round 3 Points'!$A$10:$A$145,'Round 3 Points'!$V$10:$V$145,0)+_xlfn.XLOOKUP(A182,'Round 4 Points'!$A$10:$A$147,'Round 4 Points'!$V$10:$V$147,0))</f>
        <v>3.2</v>
      </c>
      <c r="W182" s="73" t="e">
        <f t="shared" si="2"/>
        <v>#VALUE!</v>
      </c>
    </row>
  </sheetData>
  <mergeCells count="1">
    <mergeCell ref="E5:T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C477-147D-473F-961C-4972CA887A4B}">
  <sheetPr filterMode="1"/>
  <dimension ref="A3:T392"/>
  <sheetViews>
    <sheetView topLeftCell="B1" workbookViewId="0">
      <selection activeCell="O4" sqref="O4"/>
    </sheetView>
  </sheetViews>
  <sheetFormatPr baseColWidth="10" defaultColWidth="8.83203125" defaultRowHeight="15" x14ac:dyDescent="0.2"/>
  <cols>
    <col min="19" max="19" width="14" customWidth="1"/>
  </cols>
  <sheetData>
    <row r="3" spans="1:20" ht="16" thickBot="1" x14ac:dyDescent="0.25">
      <c r="A3" t="s">
        <v>221</v>
      </c>
      <c r="H3" t="s">
        <v>0</v>
      </c>
      <c r="I3" t="s">
        <v>224</v>
      </c>
      <c r="J3" t="s">
        <v>223</v>
      </c>
      <c r="K3" t="s">
        <v>225</v>
      </c>
      <c r="L3" t="s">
        <v>226</v>
      </c>
      <c r="N3" t="s">
        <v>0</v>
      </c>
      <c r="O3" t="s">
        <v>224</v>
      </c>
      <c r="P3" t="s">
        <v>223</v>
      </c>
      <c r="Q3" t="s">
        <v>225</v>
      </c>
      <c r="R3" t="s">
        <v>226</v>
      </c>
      <c r="S3" t="s">
        <v>228</v>
      </c>
      <c r="T3" t="s">
        <v>219</v>
      </c>
    </row>
    <row r="4" spans="1:20" ht="16" thickBot="1" x14ac:dyDescent="0.25">
      <c r="A4" s="39" t="s">
        <v>0</v>
      </c>
      <c r="B4" s="40" t="s">
        <v>203</v>
      </c>
      <c r="C4" s="40" t="s">
        <v>202</v>
      </c>
      <c r="D4" s="40" t="s">
        <v>205</v>
      </c>
      <c r="H4" s="83" t="s">
        <v>58</v>
      </c>
      <c r="I4" s="36" t="str">
        <f>_xlfn.XLOOKUP(H4,$A$5:$A$96,$E$5:$E$96,0)</f>
        <v>y</v>
      </c>
      <c r="J4" s="36" t="str">
        <f>_xlfn.XLOOKUP(H4,$A$100:$A$197,$E$100:$E$197,0)</f>
        <v>y</v>
      </c>
      <c r="K4">
        <f>_xlfn.XLOOKUP(H4,$A$202:$A$292,$E$202:$E$292,0)</f>
        <v>0</v>
      </c>
      <c r="L4">
        <f>_xlfn.XLOOKUP(H4,$A$296:$A$392,$E$296:$E$392,0)</f>
        <v>0</v>
      </c>
      <c r="N4" s="36" t="s">
        <v>58</v>
      </c>
      <c r="O4">
        <v>6.6000000000000005</v>
      </c>
      <c r="P4">
        <v>10.4</v>
      </c>
      <c r="Q4" t="s">
        <v>227</v>
      </c>
      <c r="R4" t="s">
        <v>227</v>
      </c>
      <c r="S4">
        <f>COUNT(O4:R4)</f>
        <v>2</v>
      </c>
      <c r="T4" s="56">
        <f>IF(S4=0,"",SUM(O4:R4)/S4)</f>
        <v>8.5</v>
      </c>
    </row>
    <row r="5" spans="1:20" hidden="1" x14ac:dyDescent="0.2">
      <c r="A5" s="36" t="s">
        <v>58</v>
      </c>
      <c r="B5" s="36" t="s">
        <v>188</v>
      </c>
      <c r="C5" s="36" t="s">
        <v>194</v>
      </c>
      <c r="D5" s="37">
        <v>12</v>
      </c>
      <c r="E5" s="36" t="s">
        <v>222</v>
      </c>
      <c r="F5" s="36" t="s">
        <v>224</v>
      </c>
      <c r="H5" s="36" t="s">
        <v>59</v>
      </c>
      <c r="I5" s="36">
        <f t="shared" ref="I5:I68" si="0">_xlfn.XLOOKUP(H5,$A$5:$A$96,$E$5:$E$96,0)</f>
        <v>0</v>
      </c>
      <c r="J5" s="36">
        <f t="shared" ref="J5:J68" si="1">_xlfn.XLOOKUP(H5,$A$100:$A$197,$E$100:$E$197,0)</f>
        <v>0</v>
      </c>
      <c r="K5">
        <f t="shared" ref="K5:K68" si="2">_xlfn.XLOOKUP(H5,$A$202:$A$292,$E$202:$E$292,0)</f>
        <v>0</v>
      </c>
      <c r="L5">
        <f t="shared" ref="L5:L68" si="3">_xlfn.XLOOKUP(H5,$A$296:$A$392,$E$296:$E$392,0)</f>
        <v>0</v>
      </c>
      <c r="N5" s="36" t="s">
        <v>59</v>
      </c>
      <c r="O5" t="s">
        <v>227</v>
      </c>
      <c r="P5" t="s">
        <v>227</v>
      </c>
      <c r="Q5" t="s">
        <v>227</v>
      </c>
      <c r="R5" t="s">
        <v>227</v>
      </c>
      <c r="S5">
        <f t="shared" ref="S5:S68" si="4">COUNT(O5:R5)</f>
        <v>0</v>
      </c>
      <c r="T5" s="56" t="str">
        <f t="shared" ref="T5:T68" si="5">IF(S5=0,"",SUM(O5:R5)/S5)</f>
        <v/>
      </c>
    </row>
    <row r="6" spans="1:20" hidden="1" x14ac:dyDescent="0.2">
      <c r="A6" s="36" t="s">
        <v>59</v>
      </c>
      <c r="B6" s="36" t="s">
        <v>188</v>
      </c>
      <c r="C6" s="36" t="s">
        <v>194</v>
      </c>
      <c r="D6" s="37">
        <v>68</v>
      </c>
      <c r="F6" s="36" t="s">
        <v>224</v>
      </c>
      <c r="H6" s="36" t="s">
        <v>60</v>
      </c>
      <c r="I6" s="36">
        <f t="shared" si="0"/>
        <v>0</v>
      </c>
      <c r="J6" s="36">
        <f t="shared" si="1"/>
        <v>0</v>
      </c>
      <c r="K6">
        <f t="shared" si="2"/>
        <v>0</v>
      </c>
      <c r="L6">
        <f t="shared" si="3"/>
        <v>0</v>
      </c>
      <c r="N6" s="36" t="s">
        <v>60</v>
      </c>
      <c r="O6" t="s">
        <v>227</v>
      </c>
      <c r="P6" t="s">
        <v>227</v>
      </c>
      <c r="Q6" t="s">
        <v>227</v>
      </c>
      <c r="R6" t="s">
        <v>227</v>
      </c>
      <c r="S6">
        <f t="shared" si="4"/>
        <v>0</v>
      </c>
      <c r="T6" s="56" t="str">
        <f t="shared" si="5"/>
        <v/>
      </c>
    </row>
    <row r="7" spans="1:20" x14ac:dyDescent="0.2">
      <c r="A7" s="36" t="s">
        <v>60</v>
      </c>
      <c r="B7" s="36" t="s">
        <v>188</v>
      </c>
      <c r="C7" s="36" t="s">
        <v>194</v>
      </c>
      <c r="D7" s="37">
        <v>70</v>
      </c>
      <c r="F7" s="36" t="s">
        <v>224</v>
      </c>
      <c r="H7" s="36" t="s">
        <v>63</v>
      </c>
      <c r="I7" s="36">
        <f t="shared" si="0"/>
        <v>0</v>
      </c>
      <c r="J7" s="36">
        <f t="shared" si="1"/>
        <v>0</v>
      </c>
      <c r="K7" t="str">
        <f t="shared" si="2"/>
        <v>y</v>
      </c>
      <c r="L7">
        <f t="shared" si="3"/>
        <v>0</v>
      </c>
      <c r="N7" s="36" t="s">
        <v>63</v>
      </c>
      <c r="O7" t="s">
        <v>227</v>
      </c>
      <c r="P7" t="s">
        <v>227</v>
      </c>
      <c r="Q7">
        <v>4</v>
      </c>
      <c r="R7" t="s">
        <v>227</v>
      </c>
      <c r="S7">
        <f t="shared" si="4"/>
        <v>1</v>
      </c>
      <c r="T7" s="56">
        <f t="shared" si="5"/>
        <v>4</v>
      </c>
    </row>
    <row r="8" spans="1:20" x14ac:dyDescent="0.2">
      <c r="A8" s="36" t="s">
        <v>63</v>
      </c>
      <c r="B8" s="36" t="s">
        <v>188</v>
      </c>
      <c r="C8" s="36" t="s">
        <v>196</v>
      </c>
      <c r="D8" s="37">
        <v>67</v>
      </c>
      <c r="F8" s="36" t="s">
        <v>224</v>
      </c>
      <c r="H8" s="36" t="s">
        <v>159</v>
      </c>
      <c r="I8" s="36" t="str">
        <f t="shared" si="0"/>
        <v>y</v>
      </c>
      <c r="J8" s="36">
        <f t="shared" si="1"/>
        <v>0</v>
      </c>
      <c r="K8">
        <f t="shared" si="2"/>
        <v>0</v>
      </c>
      <c r="L8">
        <f t="shared" si="3"/>
        <v>0</v>
      </c>
      <c r="N8" s="36" t="s">
        <v>159</v>
      </c>
      <c r="O8">
        <v>1.8</v>
      </c>
      <c r="P8" t="s">
        <v>227</v>
      </c>
      <c r="Q8" t="s">
        <v>227</v>
      </c>
      <c r="R8" t="s">
        <v>227</v>
      </c>
      <c r="S8">
        <f t="shared" si="4"/>
        <v>1</v>
      </c>
      <c r="T8" s="56">
        <f t="shared" si="5"/>
        <v>1.8</v>
      </c>
    </row>
    <row r="9" spans="1:20" x14ac:dyDescent="0.2">
      <c r="A9" s="36" t="s">
        <v>159</v>
      </c>
      <c r="B9" s="36" t="s">
        <v>188</v>
      </c>
      <c r="C9" s="36" t="s">
        <v>196</v>
      </c>
      <c r="D9" s="37">
        <v>13</v>
      </c>
      <c r="E9" s="36" t="s">
        <v>222</v>
      </c>
      <c r="F9" s="36" t="s">
        <v>224</v>
      </c>
      <c r="H9" s="36" t="s">
        <v>65</v>
      </c>
      <c r="I9" s="36" t="str">
        <f t="shared" si="0"/>
        <v>y</v>
      </c>
      <c r="J9" s="36" t="str">
        <f t="shared" si="1"/>
        <v>y</v>
      </c>
      <c r="K9">
        <f t="shared" si="2"/>
        <v>0</v>
      </c>
      <c r="L9">
        <f t="shared" si="3"/>
        <v>0</v>
      </c>
      <c r="N9" s="36" t="s">
        <v>65</v>
      </c>
      <c r="O9">
        <v>9.1999999999999993</v>
      </c>
      <c r="P9">
        <v>-3</v>
      </c>
      <c r="Q9" t="s">
        <v>227</v>
      </c>
      <c r="R9" t="s">
        <v>227</v>
      </c>
      <c r="S9">
        <f t="shared" si="4"/>
        <v>2</v>
      </c>
      <c r="T9" s="56">
        <f t="shared" si="5"/>
        <v>3.0999999999999996</v>
      </c>
    </row>
    <row r="10" spans="1:20" x14ac:dyDescent="0.2">
      <c r="A10" s="36" t="s">
        <v>65</v>
      </c>
      <c r="B10" s="36" t="s">
        <v>188</v>
      </c>
      <c r="C10" s="36" t="s">
        <v>197</v>
      </c>
      <c r="D10" s="37">
        <v>17</v>
      </c>
      <c r="E10" s="36" t="s">
        <v>222</v>
      </c>
      <c r="F10" s="36" t="s">
        <v>224</v>
      </c>
      <c r="H10" s="36" t="s">
        <v>66</v>
      </c>
      <c r="I10" s="36">
        <f t="shared" si="0"/>
        <v>0</v>
      </c>
      <c r="J10" s="36">
        <f t="shared" si="1"/>
        <v>0</v>
      </c>
      <c r="K10">
        <f t="shared" si="2"/>
        <v>0</v>
      </c>
      <c r="L10" t="str">
        <f t="shared" si="3"/>
        <v>y</v>
      </c>
      <c r="N10" s="36" t="s">
        <v>66</v>
      </c>
      <c r="O10" t="s">
        <v>227</v>
      </c>
      <c r="P10" t="s">
        <v>227</v>
      </c>
      <c r="Q10" t="s">
        <v>227</v>
      </c>
      <c r="R10">
        <v>2</v>
      </c>
      <c r="S10">
        <f t="shared" si="4"/>
        <v>1</v>
      </c>
      <c r="T10" s="56">
        <f t="shared" si="5"/>
        <v>2</v>
      </c>
    </row>
    <row r="11" spans="1:20" x14ac:dyDescent="0.2">
      <c r="A11" s="36" t="s">
        <v>66</v>
      </c>
      <c r="B11" s="36" t="s">
        <v>188</v>
      </c>
      <c r="C11" s="36" t="s">
        <v>197</v>
      </c>
      <c r="D11" s="37">
        <v>63</v>
      </c>
      <c r="F11" s="36" t="s">
        <v>224</v>
      </c>
      <c r="H11" s="36" t="s">
        <v>69</v>
      </c>
      <c r="I11" s="36" t="str">
        <f t="shared" si="0"/>
        <v>y</v>
      </c>
      <c r="J11" s="36">
        <f t="shared" si="1"/>
        <v>0</v>
      </c>
      <c r="K11" t="str">
        <f t="shared" si="2"/>
        <v>y</v>
      </c>
      <c r="L11" t="str">
        <f t="shared" si="3"/>
        <v>y</v>
      </c>
      <c r="N11" s="36" t="s">
        <v>69</v>
      </c>
      <c r="O11">
        <v>8</v>
      </c>
      <c r="P11" t="s">
        <v>227</v>
      </c>
      <c r="Q11">
        <v>8</v>
      </c>
      <c r="R11">
        <v>1</v>
      </c>
      <c r="S11">
        <f t="shared" si="4"/>
        <v>3</v>
      </c>
      <c r="T11" s="56">
        <f t="shared" si="5"/>
        <v>5.666666666666667</v>
      </c>
    </row>
    <row r="12" spans="1:20" hidden="1" x14ac:dyDescent="0.2">
      <c r="A12" s="36" t="s">
        <v>69</v>
      </c>
      <c r="B12" s="36" t="s">
        <v>188</v>
      </c>
      <c r="C12" s="36" t="s">
        <v>198</v>
      </c>
      <c r="D12" s="37">
        <v>26</v>
      </c>
      <c r="E12" s="36" t="s">
        <v>222</v>
      </c>
      <c r="F12" s="36" t="s">
        <v>224</v>
      </c>
      <c r="H12" s="36" t="s">
        <v>161</v>
      </c>
      <c r="I12" s="36">
        <f t="shared" si="0"/>
        <v>0</v>
      </c>
      <c r="J12" s="36">
        <f t="shared" si="1"/>
        <v>0</v>
      </c>
      <c r="K12">
        <f t="shared" si="2"/>
        <v>0</v>
      </c>
      <c r="L12">
        <f t="shared" si="3"/>
        <v>0</v>
      </c>
      <c r="N12" s="36" t="s">
        <v>161</v>
      </c>
      <c r="O12" t="s">
        <v>227</v>
      </c>
      <c r="P12" t="s">
        <v>227</v>
      </c>
      <c r="Q12" t="s">
        <v>227</v>
      </c>
      <c r="R12" t="s">
        <v>227</v>
      </c>
      <c r="S12">
        <f t="shared" si="4"/>
        <v>0</v>
      </c>
      <c r="T12" s="56" t="str">
        <f t="shared" si="5"/>
        <v/>
      </c>
    </row>
    <row r="13" spans="1:20" x14ac:dyDescent="0.2">
      <c r="A13" s="36" t="s">
        <v>161</v>
      </c>
      <c r="B13" s="36" t="s">
        <v>188</v>
      </c>
      <c r="C13" s="36" t="s">
        <v>198</v>
      </c>
      <c r="D13" s="37">
        <v>54</v>
      </c>
      <c r="F13" s="36" t="s">
        <v>224</v>
      </c>
      <c r="H13" s="36" t="s">
        <v>72</v>
      </c>
      <c r="I13" s="36" t="str">
        <f t="shared" si="0"/>
        <v>y</v>
      </c>
      <c r="J13" s="36">
        <f t="shared" si="1"/>
        <v>0</v>
      </c>
      <c r="K13" t="str">
        <f t="shared" si="2"/>
        <v>y</v>
      </c>
      <c r="L13">
        <f t="shared" si="3"/>
        <v>0</v>
      </c>
      <c r="N13" s="36" t="s">
        <v>72</v>
      </c>
      <c r="O13">
        <v>10</v>
      </c>
      <c r="P13" t="s">
        <v>227</v>
      </c>
      <c r="Q13">
        <v>5.6</v>
      </c>
      <c r="R13" t="s">
        <v>227</v>
      </c>
      <c r="S13">
        <f t="shared" si="4"/>
        <v>2</v>
      </c>
      <c r="T13" s="56">
        <f t="shared" si="5"/>
        <v>7.8</v>
      </c>
    </row>
    <row r="14" spans="1:20" hidden="1" x14ac:dyDescent="0.2">
      <c r="A14" s="36" t="s">
        <v>72</v>
      </c>
      <c r="B14" s="36" t="s">
        <v>188</v>
      </c>
      <c r="C14" s="36" t="s">
        <v>199</v>
      </c>
      <c r="D14" s="37">
        <v>19</v>
      </c>
      <c r="E14" s="36" t="s">
        <v>222</v>
      </c>
      <c r="F14" s="36" t="s">
        <v>224</v>
      </c>
      <c r="H14" s="36" t="s">
        <v>162</v>
      </c>
      <c r="I14" s="36">
        <f t="shared" si="0"/>
        <v>0</v>
      </c>
      <c r="J14" s="36">
        <f t="shared" si="1"/>
        <v>0</v>
      </c>
      <c r="K14">
        <f t="shared" si="2"/>
        <v>0</v>
      </c>
      <c r="L14">
        <f t="shared" si="3"/>
        <v>0</v>
      </c>
      <c r="N14" s="36" t="s">
        <v>162</v>
      </c>
      <c r="O14" t="s">
        <v>227</v>
      </c>
      <c r="P14" t="s">
        <v>227</v>
      </c>
      <c r="Q14" t="s">
        <v>227</v>
      </c>
      <c r="R14" t="s">
        <v>227</v>
      </c>
      <c r="S14">
        <f t="shared" si="4"/>
        <v>0</v>
      </c>
      <c r="T14" s="56" t="str">
        <f t="shared" si="5"/>
        <v/>
      </c>
    </row>
    <row r="15" spans="1:20" x14ac:dyDescent="0.2">
      <c r="A15" s="36" t="s">
        <v>162</v>
      </c>
      <c r="B15" s="36" t="s">
        <v>188</v>
      </c>
      <c r="C15" s="36" t="s">
        <v>199</v>
      </c>
      <c r="D15" s="37">
        <v>61</v>
      </c>
      <c r="F15" s="36" t="s">
        <v>224</v>
      </c>
      <c r="H15" s="36" t="s">
        <v>75</v>
      </c>
      <c r="I15" s="36" t="str">
        <f t="shared" si="0"/>
        <v>y</v>
      </c>
      <c r="J15" s="36" t="str">
        <f t="shared" si="1"/>
        <v>y</v>
      </c>
      <c r="K15" t="str">
        <f t="shared" si="2"/>
        <v>y</v>
      </c>
      <c r="L15">
        <f t="shared" si="3"/>
        <v>0</v>
      </c>
      <c r="N15" s="36" t="s">
        <v>75</v>
      </c>
      <c r="O15">
        <v>10</v>
      </c>
      <c r="P15">
        <v>6.6000000000000005</v>
      </c>
      <c r="Q15">
        <v>7.8000000000000007</v>
      </c>
      <c r="R15" t="s">
        <v>227</v>
      </c>
      <c r="S15">
        <f t="shared" si="4"/>
        <v>3</v>
      </c>
      <c r="T15" s="56">
        <f t="shared" si="5"/>
        <v>8.1333333333333346</v>
      </c>
    </row>
    <row r="16" spans="1:20" hidden="1" x14ac:dyDescent="0.2">
      <c r="A16" s="36" t="s">
        <v>75</v>
      </c>
      <c r="B16" s="36" t="s">
        <v>188</v>
      </c>
      <c r="C16" s="36" t="s">
        <v>200</v>
      </c>
      <c r="D16" s="37">
        <v>26</v>
      </c>
      <c r="E16" s="36" t="s">
        <v>222</v>
      </c>
      <c r="F16" s="36" t="s">
        <v>224</v>
      </c>
      <c r="H16" s="36" t="s">
        <v>163</v>
      </c>
      <c r="I16" s="36">
        <f t="shared" si="0"/>
        <v>0</v>
      </c>
      <c r="J16" s="36">
        <f t="shared" si="1"/>
        <v>0</v>
      </c>
      <c r="K16">
        <f t="shared" si="2"/>
        <v>0</v>
      </c>
      <c r="L16">
        <f t="shared" si="3"/>
        <v>0</v>
      </c>
      <c r="N16" s="36" t="s">
        <v>163</v>
      </c>
      <c r="O16" t="s">
        <v>227</v>
      </c>
      <c r="P16" t="s">
        <v>227</v>
      </c>
      <c r="Q16" t="s">
        <v>227</v>
      </c>
      <c r="R16" t="s">
        <v>227</v>
      </c>
      <c r="S16">
        <f t="shared" si="4"/>
        <v>0</v>
      </c>
      <c r="T16" s="56" t="str">
        <f t="shared" si="5"/>
        <v/>
      </c>
    </row>
    <row r="17" spans="1:20" x14ac:dyDescent="0.2">
      <c r="A17" s="36" t="s">
        <v>163</v>
      </c>
      <c r="B17" s="36" t="s">
        <v>188</v>
      </c>
      <c r="C17" s="36" t="s">
        <v>200</v>
      </c>
      <c r="D17" s="37">
        <v>40</v>
      </c>
      <c r="F17" s="36" t="s">
        <v>224</v>
      </c>
      <c r="H17" s="36" t="s">
        <v>77</v>
      </c>
      <c r="I17" s="36" t="str">
        <f t="shared" si="0"/>
        <v>y</v>
      </c>
      <c r="J17" s="36">
        <f t="shared" si="1"/>
        <v>0</v>
      </c>
      <c r="K17" t="str">
        <f t="shared" si="2"/>
        <v>y</v>
      </c>
      <c r="L17" t="str">
        <f t="shared" si="3"/>
        <v>y</v>
      </c>
      <c r="N17" s="36" t="s">
        <v>77</v>
      </c>
      <c r="O17">
        <v>6.4</v>
      </c>
      <c r="P17" t="s">
        <v>227</v>
      </c>
      <c r="Q17">
        <v>2.6</v>
      </c>
      <c r="R17">
        <v>4</v>
      </c>
      <c r="S17">
        <f t="shared" si="4"/>
        <v>3</v>
      </c>
      <c r="T17" s="56">
        <f t="shared" si="5"/>
        <v>4.333333333333333</v>
      </c>
    </row>
    <row r="18" spans="1:20" x14ac:dyDescent="0.2">
      <c r="A18" s="36" t="s">
        <v>77</v>
      </c>
      <c r="B18" s="36" t="s">
        <v>188</v>
      </c>
      <c r="C18" s="36" t="s">
        <v>200</v>
      </c>
      <c r="D18" s="37">
        <v>40</v>
      </c>
      <c r="E18" s="36" t="s">
        <v>222</v>
      </c>
      <c r="F18" s="36" t="s">
        <v>224</v>
      </c>
      <c r="H18" s="36" t="s">
        <v>164</v>
      </c>
      <c r="I18" s="36">
        <f t="shared" si="0"/>
        <v>0</v>
      </c>
      <c r="J18" s="36">
        <f t="shared" si="1"/>
        <v>0</v>
      </c>
      <c r="K18">
        <f t="shared" si="2"/>
        <v>0</v>
      </c>
      <c r="L18" t="str">
        <f t="shared" si="3"/>
        <v>y</v>
      </c>
      <c r="N18" s="36" t="s">
        <v>164</v>
      </c>
      <c r="O18" t="s">
        <v>227</v>
      </c>
      <c r="P18" t="s">
        <v>227</v>
      </c>
      <c r="Q18" t="s">
        <v>227</v>
      </c>
      <c r="R18">
        <v>4</v>
      </c>
      <c r="S18">
        <f t="shared" si="4"/>
        <v>1</v>
      </c>
      <c r="T18" s="56">
        <f t="shared" si="5"/>
        <v>4</v>
      </c>
    </row>
    <row r="19" spans="1:20" x14ac:dyDescent="0.2">
      <c r="A19" s="36" t="s">
        <v>164</v>
      </c>
      <c r="B19" s="36" t="s">
        <v>188</v>
      </c>
      <c r="C19" s="36" t="s">
        <v>200</v>
      </c>
      <c r="D19" s="37">
        <v>54</v>
      </c>
      <c r="F19" s="36" t="s">
        <v>224</v>
      </c>
      <c r="H19" s="36" t="s">
        <v>78</v>
      </c>
      <c r="I19" s="36" t="str">
        <f t="shared" si="0"/>
        <v>y</v>
      </c>
      <c r="J19" s="36" t="str">
        <f t="shared" si="1"/>
        <v>y</v>
      </c>
      <c r="K19">
        <f t="shared" si="2"/>
        <v>0</v>
      </c>
      <c r="L19" t="str">
        <f t="shared" si="3"/>
        <v>y</v>
      </c>
      <c r="N19" s="36" t="s">
        <v>78</v>
      </c>
      <c r="O19">
        <v>5.8000000000000007</v>
      </c>
      <c r="P19">
        <v>5.6</v>
      </c>
      <c r="Q19" t="s">
        <v>227</v>
      </c>
      <c r="R19">
        <v>2</v>
      </c>
      <c r="S19">
        <f t="shared" si="4"/>
        <v>3</v>
      </c>
      <c r="T19" s="56">
        <f t="shared" si="5"/>
        <v>4.4666666666666668</v>
      </c>
    </row>
    <row r="20" spans="1:20" hidden="1" x14ac:dyDescent="0.2">
      <c r="A20" s="36" t="s">
        <v>78</v>
      </c>
      <c r="B20" s="36" t="s">
        <v>188</v>
      </c>
      <c r="C20" s="36" t="s">
        <v>201</v>
      </c>
      <c r="D20" s="37">
        <v>19</v>
      </c>
      <c r="E20" s="36" t="s">
        <v>222</v>
      </c>
      <c r="F20" s="36" t="s">
        <v>224</v>
      </c>
      <c r="H20" s="36" t="s">
        <v>79</v>
      </c>
      <c r="I20" s="36">
        <f t="shared" si="0"/>
        <v>0</v>
      </c>
      <c r="J20" s="36">
        <f t="shared" si="1"/>
        <v>0</v>
      </c>
      <c r="K20">
        <f t="shared" si="2"/>
        <v>0</v>
      </c>
      <c r="L20">
        <f t="shared" si="3"/>
        <v>0</v>
      </c>
      <c r="N20" s="36" t="s">
        <v>79</v>
      </c>
      <c r="O20" t="s">
        <v>227</v>
      </c>
      <c r="P20" t="s">
        <v>227</v>
      </c>
      <c r="Q20" t="s">
        <v>227</v>
      </c>
      <c r="R20" t="s">
        <v>227</v>
      </c>
      <c r="S20">
        <f t="shared" si="4"/>
        <v>0</v>
      </c>
      <c r="T20" s="56" t="str">
        <f t="shared" si="5"/>
        <v/>
      </c>
    </row>
    <row r="21" spans="1:20" x14ac:dyDescent="0.2">
      <c r="A21" s="36" t="s">
        <v>79</v>
      </c>
      <c r="B21" s="36" t="s">
        <v>188</v>
      </c>
      <c r="C21" s="36" t="s">
        <v>201</v>
      </c>
      <c r="D21" s="37">
        <v>61</v>
      </c>
      <c r="F21" s="36" t="s">
        <v>224</v>
      </c>
      <c r="H21" s="36" t="s">
        <v>129</v>
      </c>
      <c r="I21" s="36" t="str">
        <f t="shared" si="0"/>
        <v>y</v>
      </c>
      <c r="J21" s="36" t="str">
        <f t="shared" si="1"/>
        <v>y</v>
      </c>
      <c r="K21">
        <f t="shared" si="2"/>
        <v>0</v>
      </c>
      <c r="L21">
        <f t="shared" si="3"/>
        <v>0</v>
      </c>
      <c r="N21" s="36" t="s">
        <v>129</v>
      </c>
      <c r="O21">
        <v>11.6</v>
      </c>
      <c r="P21">
        <v>8</v>
      </c>
      <c r="Q21" t="s">
        <v>227</v>
      </c>
      <c r="R21" t="s">
        <v>227</v>
      </c>
      <c r="S21">
        <f t="shared" si="4"/>
        <v>2</v>
      </c>
      <c r="T21" s="56">
        <f t="shared" si="5"/>
        <v>9.8000000000000007</v>
      </c>
    </row>
    <row r="22" spans="1:20" hidden="1" x14ac:dyDescent="0.2">
      <c r="A22" s="36" t="s">
        <v>129</v>
      </c>
      <c r="B22" s="36" t="s">
        <v>189</v>
      </c>
      <c r="C22" s="36" t="s">
        <v>195</v>
      </c>
      <c r="D22" s="37">
        <v>20</v>
      </c>
      <c r="E22" s="36" t="s">
        <v>222</v>
      </c>
      <c r="F22" s="36" t="s">
        <v>224</v>
      </c>
      <c r="H22" s="36" t="s">
        <v>130</v>
      </c>
      <c r="I22" s="36">
        <f t="shared" si="0"/>
        <v>0</v>
      </c>
      <c r="J22" s="36">
        <f t="shared" si="1"/>
        <v>0</v>
      </c>
      <c r="K22">
        <f t="shared" si="2"/>
        <v>0</v>
      </c>
      <c r="L22">
        <f t="shared" si="3"/>
        <v>0</v>
      </c>
      <c r="N22" s="36" t="s">
        <v>130</v>
      </c>
      <c r="O22" t="s">
        <v>227</v>
      </c>
      <c r="P22" t="s">
        <v>227</v>
      </c>
      <c r="Q22" t="s">
        <v>227</v>
      </c>
      <c r="R22" t="s">
        <v>227</v>
      </c>
      <c r="S22">
        <f t="shared" si="4"/>
        <v>0</v>
      </c>
      <c r="T22" s="56" t="str">
        <f t="shared" si="5"/>
        <v/>
      </c>
    </row>
    <row r="23" spans="1:20" x14ac:dyDescent="0.2">
      <c r="A23" s="36" t="s">
        <v>130</v>
      </c>
      <c r="B23" s="36" t="s">
        <v>189</v>
      </c>
      <c r="C23" s="36" t="s">
        <v>195</v>
      </c>
      <c r="D23" s="37">
        <v>60</v>
      </c>
      <c r="F23" s="36" t="s">
        <v>224</v>
      </c>
      <c r="H23" s="36" t="s">
        <v>132</v>
      </c>
      <c r="I23" s="36" t="str">
        <f t="shared" si="0"/>
        <v>y</v>
      </c>
      <c r="J23" s="36" t="str">
        <f t="shared" si="1"/>
        <v>y</v>
      </c>
      <c r="K23">
        <f t="shared" si="2"/>
        <v>0</v>
      </c>
      <c r="L23" t="str">
        <f t="shared" si="3"/>
        <v>y</v>
      </c>
      <c r="N23" s="36" t="s">
        <v>132</v>
      </c>
      <c r="O23">
        <v>4.2</v>
      </c>
      <c r="P23">
        <v>12</v>
      </c>
      <c r="Q23" t="s">
        <v>227</v>
      </c>
      <c r="R23">
        <v>2</v>
      </c>
      <c r="S23">
        <f t="shared" si="4"/>
        <v>3</v>
      </c>
      <c r="T23" s="56">
        <f t="shared" si="5"/>
        <v>6.0666666666666664</v>
      </c>
    </row>
    <row r="24" spans="1:20" hidden="1" x14ac:dyDescent="0.2">
      <c r="A24" s="36" t="s">
        <v>132</v>
      </c>
      <c r="B24" s="36" t="s">
        <v>189</v>
      </c>
      <c r="C24" s="36" t="s">
        <v>196</v>
      </c>
      <c r="D24" s="37">
        <v>12</v>
      </c>
      <c r="E24" s="36" t="s">
        <v>222</v>
      </c>
      <c r="F24" s="36" t="s">
        <v>224</v>
      </c>
      <c r="H24" s="36" t="s">
        <v>133</v>
      </c>
      <c r="I24" s="36">
        <f t="shared" si="0"/>
        <v>0</v>
      </c>
      <c r="J24" s="36">
        <f t="shared" si="1"/>
        <v>0</v>
      </c>
      <c r="K24">
        <f t="shared" si="2"/>
        <v>0</v>
      </c>
      <c r="L24">
        <f t="shared" si="3"/>
        <v>0</v>
      </c>
      <c r="N24" s="36" t="s">
        <v>133</v>
      </c>
      <c r="O24" t="s">
        <v>227</v>
      </c>
      <c r="P24" t="s">
        <v>227</v>
      </c>
      <c r="Q24" t="s">
        <v>227</v>
      </c>
      <c r="R24" t="s">
        <v>227</v>
      </c>
      <c r="S24">
        <f t="shared" si="4"/>
        <v>0</v>
      </c>
      <c r="T24" s="56" t="str">
        <f t="shared" si="5"/>
        <v/>
      </c>
    </row>
    <row r="25" spans="1:20" x14ac:dyDescent="0.2">
      <c r="A25" s="36" t="s">
        <v>133</v>
      </c>
      <c r="B25" s="36" t="s">
        <v>189</v>
      </c>
      <c r="C25" s="36" t="s">
        <v>196</v>
      </c>
      <c r="D25" s="37">
        <v>68</v>
      </c>
      <c r="F25" s="36" t="s">
        <v>224</v>
      </c>
      <c r="H25" s="36" t="s">
        <v>134</v>
      </c>
      <c r="I25" s="36" t="str">
        <f t="shared" si="0"/>
        <v>y</v>
      </c>
      <c r="J25" s="36" t="str">
        <f t="shared" si="1"/>
        <v>y</v>
      </c>
      <c r="K25">
        <f t="shared" si="2"/>
        <v>0</v>
      </c>
      <c r="L25">
        <f t="shared" si="3"/>
        <v>0</v>
      </c>
      <c r="N25" s="36" t="s">
        <v>134</v>
      </c>
      <c r="O25">
        <v>8.1999999999999993</v>
      </c>
      <c r="P25">
        <v>3.8000000000000003</v>
      </c>
      <c r="Q25" t="s">
        <v>227</v>
      </c>
      <c r="R25" t="s">
        <v>227</v>
      </c>
      <c r="S25">
        <f t="shared" si="4"/>
        <v>2</v>
      </c>
      <c r="T25" s="56">
        <f t="shared" si="5"/>
        <v>6</v>
      </c>
    </row>
    <row r="26" spans="1:20" x14ac:dyDescent="0.2">
      <c r="A26" s="36" t="s">
        <v>134</v>
      </c>
      <c r="B26" s="36" t="s">
        <v>189</v>
      </c>
      <c r="C26" s="36" t="s">
        <v>197</v>
      </c>
      <c r="D26" s="37">
        <v>16</v>
      </c>
      <c r="E26" s="36" t="s">
        <v>222</v>
      </c>
      <c r="F26" s="36" t="s">
        <v>224</v>
      </c>
      <c r="H26" s="36" t="s">
        <v>135</v>
      </c>
      <c r="I26" s="36">
        <f t="shared" si="0"/>
        <v>0</v>
      </c>
      <c r="J26" s="36">
        <f t="shared" si="1"/>
        <v>0</v>
      </c>
      <c r="K26" t="str">
        <f t="shared" si="2"/>
        <v>y</v>
      </c>
      <c r="L26">
        <f t="shared" si="3"/>
        <v>0</v>
      </c>
      <c r="N26" s="36" t="s">
        <v>135</v>
      </c>
      <c r="O26" t="s">
        <v>227</v>
      </c>
      <c r="P26" t="s">
        <v>227</v>
      </c>
      <c r="Q26">
        <v>9.1999999999999993</v>
      </c>
      <c r="R26" t="s">
        <v>227</v>
      </c>
      <c r="S26">
        <f t="shared" si="4"/>
        <v>1</v>
      </c>
      <c r="T26" s="56">
        <f t="shared" si="5"/>
        <v>9.1999999999999993</v>
      </c>
    </row>
    <row r="27" spans="1:20" x14ac:dyDescent="0.2">
      <c r="A27" s="36" t="s">
        <v>135</v>
      </c>
      <c r="B27" s="36" t="s">
        <v>189</v>
      </c>
      <c r="C27" s="36" t="s">
        <v>197</v>
      </c>
      <c r="D27" s="37">
        <v>64</v>
      </c>
      <c r="E27" s="36"/>
      <c r="F27" s="36" t="s">
        <v>224</v>
      </c>
      <c r="H27" s="36" t="s">
        <v>136</v>
      </c>
      <c r="I27" s="36" t="str">
        <f t="shared" si="0"/>
        <v>y</v>
      </c>
      <c r="J27" s="36" t="str">
        <f t="shared" si="1"/>
        <v>y</v>
      </c>
      <c r="K27">
        <f t="shared" si="2"/>
        <v>0</v>
      </c>
      <c r="L27" t="str">
        <f t="shared" si="3"/>
        <v>y</v>
      </c>
      <c r="N27" s="36" t="s">
        <v>136</v>
      </c>
      <c r="O27">
        <v>12.4</v>
      </c>
      <c r="P27">
        <v>6.4</v>
      </c>
      <c r="Q27" t="s">
        <v>227</v>
      </c>
      <c r="R27">
        <v>46.2</v>
      </c>
      <c r="S27">
        <f t="shared" si="4"/>
        <v>3</v>
      </c>
      <c r="T27" s="56">
        <f t="shared" si="5"/>
        <v>21.666666666666668</v>
      </c>
    </row>
    <row r="28" spans="1:20" x14ac:dyDescent="0.2">
      <c r="A28" s="36" t="s">
        <v>136</v>
      </c>
      <c r="B28" s="36" t="s">
        <v>189</v>
      </c>
      <c r="C28" s="36" t="s">
        <v>198</v>
      </c>
      <c r="D28" s="37">
        <v>20</v>
      </c>
      <c r="E28" s="36" t="s">
        <v>222</v>
      </c>
      <c r="F28" s="36" t="s">
        <v>224</v>
      </c>
      <c r="H28" s="36" t="s">
        <v>138</v>
      </c>
      <c r="I28" s="36">
        <f t="shared" si="0"/>
        <v>0</v>
      </c>
      <c r="J28" s="36">
        <f t="shared" si="1"/>
        <v>0</v>
      </c>
      <c r="K28" t="str">
        <f t="shared" si="2"/>
        <v>y</v>
      </c>
      <c r="L28">
        <f t="shared" si="3"/>
        <v>0</v>
      </c>
      <c r="N28" s="36" t="s">
        <v>138</v>
      </c>
      <c r="O28" t="s">
        <v>227</v>
      </c>
      <c r="P28" t="s">
        <v>227</v>
      </c>
      <c r="Q28">
        <v>11.8</v>
      </c>
      <c r="R28" t="s">
        <v>227</v>
      </c>
      <c r="S28">
        <f t="shared" si="4"/>
        <v>1</v>
      </c>
      <c r="T28" s="56">
        <f t="shared" si="5"/>
        <v>11.8</v>
      </c>
    </row>
    <row r="29" spans="1:20" hidden="1" x14ac:dyDescent="0.2">
      <c r="A29" s="36" t="s">
        <v>138</v>
      </c>
      <c r="B29" s="36" t="s">
        <v>189</v>
      </c>
      <c r="C29" s="36" t="s">
        <v>198</v>
      </c>
      <c r="D29" s="37">
        <v>60</v>
      </c>
      <c r="F29" s="36" t="s">
        <v>224</v>
      </c>
      <c r="H29" s="36" t="s">
        <v>140</v>
      </c>
      <c r="I29" s="36">
        <f t="shared" si="0"/>
        <v>0</v>
      </c>
      <c r="J29" s="36">
        <f t="shared" si="1"/>
        <v>0</v>
      </c>
      <c r="K29">
        <f t="shared" si="2"/>
        <v>0</v>
      </c>
      <c r="L29">
        <f t="shared" si="3"/>
        <v>0</v>
      </c>
      <c r="N29" s="36" t="s">
        <v>140</v>
      </c>
      <c r="O29" t="s">
        <v>227</v>
      </c>
      <c r="P29" t="s">
        <v>227</v>
      </c>
      <c r="Q29" t="s">
        <v>227</v>
      </c>
      <c r="R29" t="s">
        <v>227</v>
      </c>
      <c r="S29">
        <f t="shared" si="4"/>
        <v>0</v>
      </c>
      <c r="T29" s="56" t="str">
        <f t="shared" si="5"/>
        <v/>
      </c>
    </row>
    <row r="30" spans="1:20" x14ac:dyDescent="0.2">
      <c r="A30" s="36" t="s">
        <v>140</v>
      </c>
      <c r="B30" s="36" t="s">
        <v>189</v>
      </c>
      <c r="C30" s="36" t="s">
        <v>199</v>
      </c>
      <c r="D30" s="37">
        <v>54</v>
      </c>
      <c r="F30" s="36" t="s">
        <v>224</v>
      </c>
      <c r="H30" s="36" t="s">
        <v>141</v>
      </c>
      <c r="I30" s="36" t="str">
        <f t="shared" si="0"/>
        <v>y</v>
      </c>
      <c r="J30" s="36" t="str">
        <f t="shared" si="1"/>
        <v>y</v>
      </c>
      <c r="K30">
        <f t="shared" si="2"/>
        <v>0</v>
      </c>
      <c r="L30">
        <f t="shared" si="3"/>
        <v>0</v>
      </c>
      <c r="N30" s="36" t="s">
        <v>141</v>
      </c>
      <c r="O30">
        <v>5</v>
      </c>
      <c r="P30">
        <v>8</v>
      </c>
      <c r="Q30" t="s">
        <v>227</v>
      </c>
      <c r="R30" t="s">
        <v>227</v>
      </c>
      <c r="S30">
        <f t="shared" si="4"/>
        <v>2</v>
      </c>
      <c r="T30" s="56">
        <f t="shared" si="5"/>
        <v>6.5</v>
      </c>
    </row>
    <row r="31" spans="1:20" hidden="1" x14ac:dyDescent="0.2">
      <c r="A31" s="36" t="s">
        <v>141</v>
      </c>
      <c r="B31" s="36" t="s">
        <v>189</v>
      </c>
      <c r="C31" s="36" t="s">
        <v>199</v>
      </c>
      <c r="D31" s="37">
        <v>26</v>
      </c>
      <c r="E31" s="36" t="s">
        <v>222</v>
      </c>
      <c r="F31" s="36" t="s">
        <v>224</v>
      </c>
      <c r="H31" s="36" t="s">
        <v>143</v>
      </c>
      <c r="I31" s="36">
        <f t="shared" si="0"/>
        <v>0</v>
      </c>
      <c r="J31" s="36">
        <f t="shared" si="1"/>
        <v>0</v>
      </c>
      <c r="K31">
        <f t="shared" si="2"/>
        <v>0</v>
      </c>
      <c r="L31">
        <f t="shared" si="3"/>
        <v>0</v>
      </c>
      <c r="N31" s="36" t="s">
        <v>143</v>
      </c>
      <c r="O31" t="s">
        <v>227</v>
      </c>
      <c r="P31" t="s">
        <v>227</v>
      </c>
      <c r="Q31" t="s">
        <v>227</v>
      </c>
      <c r="R31" t="s">
        <v>227</v>
      </c>
      <c r="S31">
        <f t="shared" si="4"/>
        <v>0</v>
      </c>
      <c r="T31" s="56" t="str">
        <f t="shared" si="5"/>
        <v/>
      </c>
    </row>
    <row r="32" spans="1:20" x14ac:dyDescent="0.2">
      <c r="A32" s="36" t="s">
        <v>143</v>
      </c>
      <c r="B32" s="36" t="s">
        <v>189</v>
      </c>
      <c r="C32" s="36" t="s">
        <v>200</v>
      </c>
      <c r="D32" s="37">
        <v>60</v>
      </c>
      <c r="F32" s="36" t="s">
        <v>224</v>
      </c>
      <c r="H32" s="36" t="s">
        <v>144</v>
      </c>
      <c r="I32" s="36" t="str">
        <f t="shared" si="0"/>
        <v>y</v>
      </c>
      <c r="J32" s="36" t="str">
        <f t="shared" si="1"/>
        <v>y</v>
      </c>
      <c r="K32" t="str">
        <f t="shared" si="2"/>
        <v>y</v>
      </c>
      <c r="L32">
        <f t="shared" si="3"/>
        <v>0</v>
      </c>
      <c r="N32" s="36" t="s">
        <v>144</v>
      </c>
      <c r="O32">
        <v>5.4</v>
      </c>
      <c r="P32">
        <v>4.8</v>
      </c>
      <c r="Q32">
        <v>8.4</v>
      </c>
      <c r="R32" t="s">
        <v>227</v>
      </c>
      <c r="S32">
        <f t="shared" si="4"/>
        <v>3</v>
      </c>
      <c r="T32" s="56">
        <f t="shared" si="5"/>
        <v>6.2</v>
      </c>
    </row>
    <row r="33" spans="1:20" x14ac:dyDescent="0.2">
      <c r="A33" s="36" t="s">
        <v>144</v>
      </c>
      <c r="B33" s="36" t="s">
        <v>189</v>
      </c>
      <c r="C33" s="36" t="s">
        <v>200</v>
      </c>
      <c r="D33" s="37">
        <v>7</v>
      </c>
      <c r="E33" s="36" t="s">
        <v>222</v>
      </c>
      <c r="F33" s="36" t="s">
        <v>224</v>
      </c>
      <c r="H33" s="36" t="s">
        <v>145</v>
      </c>
      <c r="I33" s="36" t="str">
        <f t="shared" si="0"/>
        <v>y</v>
      </c>
      <c r="J33" s="36" t="str">
        <f t="shared" si="1"/>
        <v>y</v>
      </c>
      <c r="K33" t="str">
        <f t="shared" si="2"/>
        <v>y</v>
      </c>
      <c r="L33" t="str">
        <f t="shared" si="3"/>
        <v>y</v>
      </c>
      <c r="N33" s="36" t="s">
        <v>145</v>
      </c>
      <c r="O33">
        <v>5</v>
      </c>
      <c r="P33">
        <v>10.4</v>
      </c>
      <c r="Q33">
        <v>17.8</v>
      </c>
      <c r="R33">
        <v>1</v>
      </c>
      <c r="S33">
        <f t="shared" si="4"/>
        <v>4</v>
      </c>
      <c r="T33" s="56">
        <f t="shared" si="5"/>
        <v>8.5500000000000007</v>
      </c>
    </row>
    <row r="34" spans="1:20" hidden="1" x14ac:dyDescent="0.2">
      <c r="A34" s="36" t="s">
        <v>145</v>
      </c>
      <c r="B34" s="36" t="s">
        <v>189</v>
      </c>
      <c r="C34" s="36" t="s">
        <v>200</v>
      </c>
      <c r="D34" s="37">
        <v>20</v>
      </c>
      <c r="E34" s="36" t="s">
        <v>222</v>
      </c>
      <c r="F34" s="36" t="s">
        <v>224</v>
      </c>
      <c r="H34" s="36" t="s">
        <v>146</v>
      </c>
      <c r="I34" s="36">
        <f t="shared" si="0"/>
        <v>0</v>
      </c>
      <c r="J34" s="36">
        <f t="shared" si="1"/>
        <v>0</v>
      </c>
      <c r="K34">
        <f t="shared" si="2"/>
        <v>0</v>
      </c>
      <c r="L34">
        <f t="shared" si="3"/>
        <v>0</v>
      </c>
      <c r="N34" s="36" t="s">
        <v>146</v>
      </c>
      <c r="O34" t="s">
        <v>227</v>
      </c>
      <c r="P34" t="s">
        <v>227</v>
      </c>
      <c r="Q34" t="s">
        <v>227</v>
      </c>
      <c r="R34" t="s">
        <v>227</v>
      </c>
      <c r="S34">
        <f t="shared" si="4"/>
        <v>0</v>
      </c>
      <c r="T34" s="56" t="str">
        <f t="shared" si="5"/>
        <v/>
      </c>
    </row>
    <row r="35" spans="1:20" x14ac:dyDescent="0.2">
      <c r="A35" s="36" t="s">
        <v>146</v>
      </c>
      <c r="B35" s="36" t="s">
        <v>189</v>
      </c>
      <c r="C35" s="36" t="s">
        <v>200</v>
      </c>
      <c r="D35" s="37">
        <v>73</v>
      </c>
      <c r="F35" s="36" t="s">
        <v>224</v>
      </c>
      <c r="H35" s="36" t="s">
        <v>147</v>
      </c>
      <c r="I35" s="36" t="str">
        <f t="shared" si="0"/>
        <v>y</v>
      </c>
      <c r="J35" s="36">
        <f t="shared" si="1"/>
        <v>0</v>
      </c>
      <c r="K35">
        <f t="shared" si="2"/>
        <v>0</v>
      </c>
      <c r="L35">
        <f t="shared" si="3"/>
        <v>0</v>
      </c>
      <c r="N35" s="36" t="s">
        <v>147</v>
      </c>
      <c r="O35">
        <v>4.8</v>
      </c>
      <c r="P35" t="s">
        <v>227</v>
      </c>
      <c r="Q35" t="s">
        <v>227</v>
      </c>
      <c r="R35" t="s">
        <v>227</v>
      </c>
      <c r="S35">
        <f t="shared" si="4"/>
        <v>1</v>
      </c>
      <c r="T35" s="56">
        <f t="shared" si="5"/>
        <v>4.8</v>
      </c>
    </row>
    <row r="36" spans="1:20" x14ac:dyDescent="0.2">
      <c r="A36" s="36" t="s">
        <v>147</v>
      </c>
      <c r="B36" s="36" t="s">
        <v>189</v>
      </c>
      <c r="C36" s="36" t="s">
        <v>201</v>
      </c>
      <c r="D36" s="37">
        <v>7</v>
      </c>
      <c r="E36" s="36" t="s">
        <v>222</v>
      </c>
      <c r="F36" s="36" t="s">
        <v>224</v>
      </c>
      <c r="H36" s="36" t="s">
        <v>152</v>
      </c>
      <c r="I36" s="36">
        <f t="shared" si="0"/>
        <v>0</v>
      </c>
      <c r="J36" s="36">
        <f t="shared" si="1"/>
        <v>0</v>
      </c>
      <c r="K36" t="str">
        <f t="shared" si="2"/>
        <v>y</v>
      </c>
      <c r="L36">
        <f t="shared" si="3"/>
        <v>0</v>
      </c>
      <c r="N36" s="36" t="s">
        <v>152</v>
      </c>
      <c r="O36" t="s">
        <v>227</v>
      </c>
      <c r="P36" t="s">
        <v>227</v>
      </c>
      <c r="Q36">
        <v>17</v>
      </c>
      <c r="R36" t="s">
        <v>227</v>
      </c>
      <c r="S36">
        <f t="shared" si="4"/>
        <v>1</v>
      </c>
      <c r="T36" s="56">
        <f t="shared" si="5"/>
        <v>17</v>
      </c>
    </row>
    <row r="37" spans="1:20" hidden="1" x14ac:dyDescent="0.2">
      <c r="A37" s="36" t="s">
        <v>152</v>
      </c>
      <c r="B37" s="36" t="s">
        <v>189</v>
      </c>
      <c r="C37" s="36" t="s">
        <v>201</v>
      </c>
      <c r="D37" s="37">
        <v>73</v>
      </c>
      <c r="F37" s="36" t="s">
        <v>224</v>
      </c>
      <c r="H37" s="36" t="s">
        <v>81</v>
      </c>
      <c r="I37" s="36">
        <f t="shared" si="0"/>
        <v>0</v>
      </c>
      <c r="J37" s="36">
        <f t="shared" si="1"/>
        <v>0</v>
      </c>
      <c r="K37">
        <f t="shared" si="2"/>
        <v>0</v>
      </c>
      <c r="L37">
        <f t="shared" si="3"/>
        <v>0</v>
      </c>
      <c r="N37" s="36" t="s">
        <v>81</v>
      </c>
      <c r="O37" t="s">
        <v>227</v>
      </c>
      <c r="P37" t="s">
        <v>227</v>
      </c>
      <c r="Q37" t="s">
        <v>227</v>
      </c>
      <c r="R37" t="s">
        <v>227</v>
      </c>
      <c r="S37">
        <f t="shared" si="4"/>
        <v>0</v>
      </c>
      <c r="T37" s="56" t="str">
        <f t="shared" si="5"/>
        <v/>
      </c>
    </row>
    <row r="38" spans="1:20" x14ac:dyDescent="0.2">
      <c r="A38" s="36" t="s">
        <v>81</v>
      </c>
      <c r="B38" s="36" t="s">
        <v>190</v>
      </c>
      <c r="C38" s="36" t="s">
        <v>194</v>
      </c>
      <c r="D38" s="37">
        <v>64</v>
      </c>
      <c r="F38" s="36" t="s">
        <v>224</v>
      </c>
      <c r="H38" s="36" t="s">
        <v>166</v>
      </c>
      <c r="I38" s="36" t="str">
        <f t="shared" si="0"/>
        <v>y</v>
      </c>
      <c r="J38" s="36">
        <f t="shared" si="1"/>
        <v>0</v>
      </c>
      <c r="K38">
        <f t="shared" si="2"/>
        <v>0</v>
      </c>
      <c r="L38">
        <f t="shared" si="3"/>
        <v>0</v>
      </c>
      <c r="N38" s="36" t="s">
        <v>166</v>
      </c>
      <c r="O38">
        <v>5.6</v>
      </c>
      <c r="P38" t="s">
        <v>227</v>
      </c>
      <c r="Q38" t="s">
        <v>227</v>
      </c>
      <c r="R38" t="s">
        <v>227</v>
      </c>
      <c r="S38">
        <f t="shared" si="4"/>
        <v>1</v>
      </c>
      <c r="T38" s="56">
        <f t="shared" si="5"/>
        <v>5.6</v>
      </c>
    </row>
    <row r="39" spans="1:20" x14ac:dyDescent="0.2">
      <c r="A39" s="36" t="s">
        <v>166</v>
      </c>
      <c r="B39" s="36" t="s">
        <v>190</v>
      </c>
      <c r="C39" s="36" t="s">
        <v>194</v>
      </c>
      <c r="D39" s="37">
        <v>16</v>
      </c>
      <c r="E39" s="36" t="s">
        <v>222</v>
      </c>
      <c r="F39" s="36" t="s">
        <v>224</v>
      </c>
      <c r="H39" s="36" t="s">
        <v>85</v>
      </c>
      <c r="I39" s="36" t="str">
        <f t="shared" si="0"/>
        <v>y</v>
      </c>
      <c r="J39" s="36">
        <f t="shared" si="1"/>
        <v>0</v>
      </c>
      <c r="K39">
        <f t="shared" si="2"/>
        <v>0</v>
      </c>
      <c r="L39">
        <f t="shared" si="3"/>
        <v>0</v>
      </c>
      <c r="N39" s="36" t="s">
        <v>85</v>
      </c>
      <c r="O39">
        <v>2</v>
      </c>
      <c r="P39" t="s">
        <v>227</v>
      </c>
      <c r="Q39" t="s">
        <v>227</v>
      </c>
      <c r="R39" t="s">
        <v>227</v>
      </c>
      <c r="S39">
        <f t="shared" si="4"/>
        <v>1</v>
      </c>
      <c r="T39" s="56">
        <f t="shared" si="5"/>
        <v>2</v>
      </c>
    </row>
    <row r="40" spans="1:20" hidden="1" x14ac:dyDescent="0.2">
      <c r="A40" s="36" t="s">
        <v>85</v>
      </c>
      <c r="B40" s="36" t="s">
        <v>190</v>
      </c>
      <c r="C40" s="36" t="s">
        <v>195</v>
      </c>
      <c r="D40" s="37">
        <v>4</v>
      </c>
      <c r="E40" s="36" t="s">
        <v>222</v>
      </c>
      <c r="F40" s="36" t="s">
        <v>224</v>
      </c>
      <c r="H40" s="36" t="s">
        <v>185</v>
      </c>
      <c r="I40" s="36">
        <f t="shared" si="0"/>
        <v>0</v>
      </c>
      <c r="J40" s="36">
        <f t="shared" si="1"/>
        <v>0</v>
      </c>
      <c r="K40">
        <f t="shared" si="2"/>
        <v>0</v>
      </c>
      <c r="L40">
        <f t="shared" si="3"/>
        <v>0</v>
      </c>
      <c r="N40" s="36" t="s">
        <v>185</v>
      </c>
      <c r="O40" t="s">
        <v>227</v>
      </c>
      <c r="P40" t="s">
        <v>227</v>
      </c>
      <c r="Q40" t="s">
        <v>227</v>
      </c>
      <c r="R40" t="s">
        <v>227</v>
      </c>
      <c r="S40">
        <f t="shared" si="4"/>
        <v>0</v>
      </c>
      <c r="T40" s="56" t="str">
        <f t="shared" si="5"/>
        <v/>
      </c>
    </row>
    <row r="41" spans="1:20" hidden="1" x14ac:dyDescent="0.2">
      <c r="A41" s="36" t="s">
        <v>185</v>
      </c>
      <c r="B41" s="36" t="s">
        <v>190</v>
      </c>
      <c r="C41" s="36" t="s">
        <v>195</v>
      </c>
      <c r="D41" s="37">
        <v>76</v>
      </c>
      <c r="F41" s="36" t="s">
        <v>224</v>
      </c>
      <c r="H41" s="36" t="s">
        <v>89</v>
      </c>
      <c r="I41" s="36">
        <f t="shared" si="0"/>
        <v>0</v>
      </c>
      <c r="J41" s="36">
        <f t="shared" si="1"/>
        <v>0</v>
      </c>
      <c r="K41">
        <f t="shared" si="2"/>
        <v>0</v>
      </c>
      <c r="L41">
        <f t="shared" si="3"/>
        <v>0</v>
      </c>
      <c r="N41" s="36" t="s">
        <v>89</v>
      </c>
      <c r="O41" t="s">
        <v>227</v>
      </c>
      <c r="P41" t="s">
        <v>227</v>
      </c>
      <c r="Q41" t="s">
        <v>227</v>
      </c>
      <c r="R41" t="s">
        <v>227</v>
      </c>
      <c r="S41">
        <f t="shared" si="4"/>
        <v>0</v>
      </c>
      <c r="T41" s="56" t="str">
        <f t="shared" si="5"/>
        <v/>
      </c>
    </row>
    <row r="42" spans="1:20" x14ac:dyDescent="0.2">
      <c r="A42" s="36" t="s">
        <v>89</v>
      </c>
      <c r="B42" s="36" t="s">
        <v>190</v>
      </c>
      <c r="C42" s="36" t="s">
        <v>197</v>
      </c>
      <c r="D42" s="37">
        <v>58</v>
      </c>
      <c r="F42" s="36" t="s">
        <v>224</v>
      </c>
      <c r="H42" s="36" t="s">
        <v>186</v>
      </c>
      <c r="I42" s="36" t="str">
        <f t="shared" si="0"/>
        <v>y</v>
      </c>
      <c r="J42" s="36">
        <f t="shared" si="1"/>
        <v>0</v>
      </c>
      <c r="K42">
        <f t="shared" si="2"/>
        <v>0</v>
      </c>
      <c r="L42">
        <f t="shared" si="3"/>
        <v>0</v>
      </c>
      <c r="N42" s="36" t="s">
        <v>186</v>
      </c>
      <c r="O42">
        <v>6</v>
      </c>
      <c r="P42" t="s">
        <v>227</v>
      </c>
      <c r="Q42" t="s">
        <v>227</v>
      </c>
      <c r="R42" t="s">
        <v>227</v>
      </c>
      <c r="S42">
        <f t="shared" si="4"/>
        <v>1</v>
      </c>
      <c r="T42" s="56">
        <f t="shared" si="5"/>
        <v>6</v>
      </c>
    </row>
    <row r="43" spans="1:20" x14ac:dyDescent="0.2">
      <c r="A43" s="36" t="s">
        <v>186</v>
      </c>
      <c r="B43" s="36" t="s">
        <v>190</v>
      </c>
      <c r="C43" s="36" t="s">
        <v>197</v>
      </c>
      <c r="D43" s="37">
        <v>22</v>
      </c>
      <c r="E43" s="36" t="s">
        <v>222</v>
      </c>
      <c r="F43" s="36" t="s">
        <v>224</v>
      </c>
      <c r="H43" s="36" t="s">
        <v>167</v>
      </c>
      <c r="I43" s="36">
        <f t="shared" si="0"/>
        <v>0</v>
      </c>
      <c r="J43" s="36">
        <f t="shared" si="1"/>
        <v>0</v>
      </c>
      <c r="K43" t="str">
        <f t="shared" si="2"/>
        <v>y</v>
      </c>
      <c r="L43" t="str">
        <f t="shared" si="3"/>
        <v>y</v>
      </c>
      <c r="N43" s="36" t="s">
        <v>167</v>
      </c>
      <c r="O43" t="s">
        <v>227</v>
      </c>
      <c r="P43" t="s">
        <v>227</v>
      </c>
      <c r="Q43">
        <v>21.2</v>
      </c>
      <c r="R43">
        <v>14.2</v>
      </c>
      <c r="S43">
        <f t="shared" si="4"/>
        <v>2</v>
      </c>
      <c r="T43" s="56">
        <f t="shared" si="5"/>
        <v>17.7</v>
      </c>
    </row>
    <row r="44" spans="1:20" hidden="1" x14ac:dyDescent="0.2">
      <c r="A44" s="36" t="s">
        <v>167</v>
      </c>
      <c r="B44" s="36" t="s">
        <v>190</v>
      </c>
      <c r="C44" s="36" t="s">
        <v>198</v>
      </c>
      <c r="D44" s="37">
        <v>61</v>
      </c>
      <c r="F44" s="36" t="s">
        <v>224</v>
      </c>
      <c r="H44" s="36" t="s">
        <v>90</v>
      </c>
      <c r="I44" s="36">
        <f t="shared" si="0"/>
        <v>0</v>
      </c>
      <c r="J44" s="36">
        <f t="shared" si="1"/>
        <v>0</v>
      </c>
      <c r="K44">
        <f t="shared" si="2"/>
        <v>0</v>
      </c>
      <c r="L44">
        <f t="shared" si="3"/>
        <v>0</v>
      </c>
      <c r="N44" s="36" t="s">
        <v>90</v>
      </c>
      <c r="O44" t="s">
        <v>227</v>
      </c>
      <c r="P44" t="s">
        <v>227</v>
      </c>
      <c r="Q44" t="s">
        <v>227</v>
      </c>
      <c r="R44" t="s">
        <v>227</v>
      </c>
      <c r="S44">
        <f t="shared" si="4"/>
        <v>0</v>
      </c>
      <c r="T44" s="56" t="str">
        <f t="shared" si="5"/>
        <v/>
      </c>
    </row>
    <row r="45" spans="1:20" x14ac:dyDescent="0.2">
      <c r="A45" s="36" t="s">
        <v>90</v>
      </c>
      <c r="B45" s="36" t="s">
        <v>190</v>
      </c>
      <c r="C45" s="36" t="s">
        <v>198</v>
      </c>
      <c r="D45" s="37">
        <v>56</v>
      </c>
      <c r="F45" s="36" t="s">
        <v>224</v>
      </c>
      <c r="H45" s="36" t="s">
        <v>91</v>
      </c>
      <c r="I45" s="36" t="str">
        <f t="shared" si="0"/>
        <v>y</v>
      </c>
      <c r="J45" s="36" t="str">
        <f t="shared" si="1"/>
        <v>y</v>
      </c>
      <c r="K45">
        <f t="shared" si="2"/>
        <v>0</v>
      </c>
      <c r="L45">
        <f t="shared" si="3"/>
        <v>0</v>
      </c>
      <c r="N45" s="36" t="s">
        <v>91</v>
      </c>
      <c r="O45">
        <v>17.399999999999999</v>
      </c>
      <c r="P45">
        <v>8</v>
      </c>
      <c r="Q45" t="s">
        <v>227</v>
      </c>
      <c r="R45" t="s">
        <v>227</v>
      </c>
      <c r="S45">
        <f t="shared" si="4"/>
        <v>2</v>
      </c>
      <c r="T45" s="56">
        <f t="shared" si="5"/>
        <v>12.7</v>
      </c>
    </row>
    <row r="46" spans="1:20" x14ac:dyDescent="0.2">
      <c r="A46" s="36" t="s">
        <v>91</v>
      </c>
      <c r="B46" s="36" t="s">
        <v>190</v>
      </c>
      <c r="C46" s="36" t="s">
        <v>198</v>
      </c>
      <c r="D46" s="37">
        <v>24</v>
      </c>
      <c r="E46" s="36" t="s">
        <v>222</v>
      </c>
      <c r="F46" s="36" t="s">
        <v>224</v>
      </c>
      <c r="H46" s="36" t="s">
        <v>95</v>
      </c>
      <c r="I46" s="36" t="str">
        <f t="shared" si="0"/>
        <v>y</v>
      </c>
      <c r="J46" s="36" t="str">
        <f t="shared" si="1"/>
        <v>y</v>
      </c>
      <c r="K46">
        <f t="shared" si="2"/>
        <v>0</v>
      </c>
      <c r="L46">
        <f t="shared" si="3"/>
        <v>0</v>
      </c>
      <c r="N46" s="36" t="s">
        <v>95</v>
      </c>
      <c r="O46">
        <v>8.6</v>
      </c>
      <c r="P46">
        <v>3</v>
      </c>
      <c r="Q46" t="s">
        <v>227</v>
      </c>
      <c r="R46" t="s">
        <v>227</v>
      </c>
      <c r="S46">
        <f t="shared" si="4"/>
        <v>2</v>
      </c>
      <c r="T46" s="56">
        <f t="shared" si="5"/>
        <v>5.8</v>
      </c>
    </row>
    <row r="47" spans="1:20" x14ac:dyDescent="0.2">
      <c r="A47" s="36" t="s">
        <v>95</v>
      </c>
      <c r="B47" s="36" t="s">
        <v>190</v>
      </c>
      <c r="C47" s="36" t="s">
        <v>199</v>
      </c>
      <c r="D47" s="37">
        <v>19</v>
      </c>
      <c r="E47" s="36" t="s">
        <v>222</v>
      </c>
      <c r="F47" s="36" t="s">
        <v>224</v>
      </c>
      <c r="H47" s="36" t="s">
        <v>97</v>
      </c>
      <c r="I47" s="36" t="str">
        <f t="shared" si="0"/>
        <v>y</v>
      </c>
      <c r="J47" s="36" t="str">
        <f t="shared" si="1"/>
        <v>y</v>
      </c>
      <c r="K47" t="str">
        <f t="shared" si="2"/>
        <v>y</v>
      </c>
      <c r="L47" t="str">
        <f t="shared" si="3"/>
        <v>y</v>
      </c>
      <c r="N47" s="36" t="s">
        <v>97</v>
      </c>
      <c r="O47">
        <v>1</v>
      </c>
      <c r="P47">
        <v>3.6</v>
      </c>
      <c r="Q47">
        <v>4.2</v>
      </c>
      <c r="R47">
        <v>1</v>
      </c>
      <c r="S47">
        <f t="shared" si="4"/>
        <v>4</v>
      </c>
      <c r="T47" s="56">
        <f t="shared" si="5"/>
        <v>2.4500000000000002</v>
      </c>
    </row>
    <row r="48" spans="1:20" hidden="1" x14ac:dyDescent="0.2">
      <c r="A48" s="36" t="s">
        <v>97</v>
      </c>
      <c r="B48" s="36" t="s">
        <v>190</v>
      </c>
      <c r="C48" s="36" t="s">
        <v>200</v>
      </c>
      <c r="D48" s="37">
        <v>19</v>
      </c>
      <c r="E48" s="36" t="s">
        <v>222</v>
      </c>
      <c r="F48" s="36" t="s">
        <v>224</v>
      </c>
      <c r="H48" s="36" t="s">
        <v>98</v>
      </c>
      <c r="I48" s="36">
        <f t="shared" si="0"/>
        <v>0</v>
      </c>
      <c r="J48" s="36">
        <f t="shared" si="1"/>
        <v>0</v>
      </c>
      <c r="K48">
        <f t="shared" si="2"/>
        <v>0</v>
      </c>
      <c r="L48">
        <f t="shared" si="3"/>
        <v>0</v>
      </c>
      <c r="N48" s="36" t="s">
        <v>98</v>
      </c>
      <c r="O48" t="s">
        <v>227</v>
      </c>
      <c r="P48" t="s">
        <v>227</v>
      </c>
      <c r="Q48" t="s">
        <v>227</v>
      </c>
      <c r="R48" t="s">
        <v>227</v>
      </c>
      <c r="S48">
        <f t="shared" si="4"/>
        <v>0</v>
      </c>
      <c r="T48" s="56" t="str">
        <f t="shared" si="5"/>
        <v/>
      </c>
    </row>
    <row r="49" spans="1:20" hidden="1" x14ac:dyDescent="0.2">
      <c r="A49" s="36" t="s">
        <v>98</v>
      </c>
      <c r="B49" s="36" t="s">
        <v>190</v>
      </c>
      <c r="C49" s="36" t="s">
        <v>200</v>
      </c>
      <c r="D49" s="37">
        <v>61</v>
      </c>
      <c r="F49" s="36" t="s">
        <v>224</v>
      </c>
      <c r="H49" s="36" t="s">
        <v>99</v>
      </c>
      <c r="I49" s="36">
        <f t="shared" si="0"/>
        <v>0</v>
      </c>
      <c r="J49" s="36">
        <f t="shared" si="1"/>
        <v>0</v>
      </c>
      <c r="K49">
        <f t="shared" si="2"/>
        <v>0</v>
      </c>
      <c r="L49">
        <f t="shared" si="3"/>
        <v>0</v>
      </c>
      <c r="N49" s="36" t="s">
        <v>99</v>
      </c>
      <c r="O49" t="s">
        <v>227</v>
      </c>
      <c r="P49" t="s">
        <v>227</v>
      </c>
      <c r="Q49" t="s">
        <v>227</v>
      </c>
      <c r="R49" t="s">
        <v>227</v>
      </c>
      <c r="S49">
        <f t="shared" si="4"/>
        <v>0</v>
      </c>
      <c r="T49" s="56" t="str">
        <f t="shared" si="5"/>
        <v/>
      </c>
    </row>
    <row r="50" spans="1:20" x14ac:dyDescent="0.2">
      <c r="A50" s="36" t="s">
        <v>99</v>
      </c>
      <c r="B50" s="36" t="s">
        <v>190</v>
      </c>
      <c r="C50" s="36" t="s">
        <v>200</v>
      </c>
      <c r="D50" s="37">
        <v>61</v>
      </c>
      <c r="F50" s="36" t="s">
        <v>224</v>
      </c>
      <c r="H50" s="36" t="s">
        <v>100</v>
      </c>
      <c r="I50" s="36" t="str">
        <f t="shared" si="0"/>
        <v>y</v>
      </c>
      <c r="J50" s="36" t="str">
        <f t="shared" si="1"/>
        <v>y</v>
      </c>
      <c r="K50" t="str">
        <f t="shared" si="2"/>
        <v>y</v>
      </c>
      <c r="L50" t="str">
        <f t="shared" si="3"/>
        <v>y</v>
      </c>
      <c r="N50" s="36" t="s">
        <v>100</v>
      </c>
      <c r="O50">
        <v>7.4</v>
      </c>
      <c r="P50">
        <v>3</v>
      </c>
      <c r="Q50">
        <v>8.6</v>
      </c>
      <c r="R50">
        <v>2.8000000000000003</v>
      </c>
      <c r="S50">
        <f t="shared" si="4"/>
        <v>4</v>
      </c>
      <c r="T50" s="56">
        <f t="shared" si="5"/>
        <v>5.45</v>
      </c>
    </row>
    <row r="51" spans="1:20" hidden="1" x14ac:dyDescent="0.2">
      <c r="A51" s="36" t="s">
        <v>100</v>
      </c>
      <c r="B51" s="36" t="s">
        <v>190</v>
      </c>
      <c r="C51" s="36" t="s">
        <v>200</v>
      </c>
      <c r="D51" s="37">
        <v>19</v>
      </c>
      <c r="E51" s="36" t="s">
        <v>222</v>
      </c>
      <c r="F51" s="36" t="s">
        <v>224</v>
      </c>
      <c r="H51" s="36" t="s">
        <v>34</v>
      </c>
      <c r="I51" s="36">
        <f t="shared" si="0"/>
        <v>0</v>
      </c>
      <c r="J51" s="36">
        <f t="shared" si="1"/>
        <v>0</v>
      </c>
      <c r="K51">
        <f t="shared" si="2"/>
        <v>0</v>
      </c>
      <c r="L51">
        <f t="shared" si="3"/>
        <v>0</v>
      </c>
      <c r="N51" s="36" t="s">
        <v>34</v>
      </c>
      <c r="O51" t="s">
        <v>227</v>
      </c>
      <c r="P51" t="s">
        <v>227</v>
      </c>
      <c r="Q51" t="s">
        <v>227</v>
      </c>
      <c r="R51" t="s">
        <v>227</v>
      </c>
      <c r="S51">
        <f t="shared" si="4"/>
        <v>0</v>
      </c>
      <c r="T51" s="56" t="str">
        <f t="shared" si="5"/>
        <v/>
      </c>
    </row>
    <row r="52" spans="1:20" x14ac:dyDescent="0.2">
      <c r="A52" s="36" t="s">
        <v>34</v>
      </c>
      <c r="B52" s="36" t="s">
        <v>191</v>
      </c>
      <c r="C52" s="36" t="s">
        <v>194</v>
      </c>
      <c r="D52" s="37">
        <v>66</v>
      </c>
      <c r="F52" s="36" t="s">
        <v>224</v>
      </c>
      <c r="H52" s="36" t="s">
        <v>35</v>
      </c>
      <c r="I52" s="36" t="str">
        <f t="shared" si="0"/>
        <v>y</v>
      </c>
      <c r="J52" s="36" t="str">
        <f t="shared" si="1"/>
        <v>y</v>
      </c>
      <c r="K52" t="str">
        <f t="shared" si="2"/>
        <v>y</v>
      </c>
      <c r="L52" t="str">
        <f t="shared" si="3"/>
        <v>y</v>
      </c>
      <c r="N52" s="36" t="s">
        <v>35</v>
      </c>
      <c r="O52">
        <v>6.8000000000000007</v>
      </c>
      <c r="P52">
        <v>56</v>
      </c>
      <c r="Q52">
        <v>1</v>
      </c>
      <c r="R52">
        <v>12.8</v>
      </c>
      <c r="S52">
        <f t="shared" si="4"/>
        <v>4</v>
      </c>
      <c r="T52" s="56">
        <f t="shared" si="5"/>
        <v>19.149999999999999</v>
      </c>
    </row>
    <row r="53" spans="1:20" x14ac:dyDescent="0.2">
      <c r="A53" s="36" t="s">
        <v>35</v>
      </c>
      <c r="B53" s="36" t="s">
        <v>191</v>
      </c>
      <c r="C53" s="36" t="s">
        <v>194</v>
      </c>
      <c r="D53" s="37">
        <v>14</v>
      </c>
      <c r="E53" s="36" t="s">
        <v>222</v>
      </c>
      <c r="F53" s="36" t="s">
        <v>224</v>
      </c>
      <c r="H53" s="36" t="s">
        <v>38</v>
      </c>
      <c r="I53" s="36" t="str">
        <f t="shared" si="0"/>
        <v>y</v>
      </c>
      <c r="J53" s="36" t="str">
        <f t="shared" si="1"/>
        <v>y</v>
      </c>
      <c r="K53">
        <f t="shared" si="2"/>
        <v>0</v>
      </c>
      <c r="L53" t="str">
        <f t="shared" si="3"/>
        <v>y</v>
      </c>
      <c r="N53" s="36" t="s">
        <v>38</v>
      </c>
      <c r="O53">
        <v>1</v>
      </c>
      <c r="P53">
        <v>5.4</v>
      </c>
      <c r="Q53" t="s">
        <v>227</v>
      </c>
      <c r="R53">
        <v>1</v>
      </c>
      <c r="S53">
        <f t="shared" si="4"/>
        <v>3</v>
      </c>
      <c r="T53" s="56">
        <f t="shared" si="5"/>
        <v>2.4666666666666668</v>
      </c>
    </row>
    <row r="54" spans="1:20" hidden="1" x14ac:dyDescent="0.2">
      <c r="A54" s="36" t="s">
        <v>38</v>
      </c>
      <c r="B54" s="36" t="s">
        <v>191</v>
      </c>
      <c r="C54" s="36" t="s">
        <v>195</v>
      </c>
      <c r="D54" s="37">
        <v>4</v>
      </c>
      <c r="E54" s="36" t="s">
        <v>222</v>
      </c>
      <c r="F54" s="36" t="s">
        <v>224</v>
      </c>
      <c r="H54" s="36" t="s">
        <v>39</v>
      </c>
      <c r="I54" s="36">
        <f t="shared" si="0"/>
        <v>0</v>
      </c>
      <c r="J54" s="36">
        <f t="shared" si="1"/>
        <v>0</v>
      </c>
      <c r="K54">
        <f t="shared" si="2"/>
        <v>0</v>
      </c>
      <c r="L54">
        <f t="shared" si="3"/>
        <v>0</v>
      </c>
      <c r="N54" s="36" t="s">
        <v>39</v>
      </c>
      <c r="O54" t="s">
        <v>227</v>
      </c>
      <c r="P54" t="s">
        <v>227</v>
      </c>
      <c r="Q54" t="s">
        <v>227</v>
      </c>
      <c r="R54" t="s">
        <v>227</v>
      </c>
      <c r="S54">
        <f t="shared" si="4"/>
        <v>0</v>
      </c>
      <c r="T54" s="56" t="str">
        <f t="shared" si="5"/>
        <v/>
      </c>
    </row>
    <row r="55" spans="1:20" x14ac:dyDescent="0.2">
      <c r="A55" s="36" t="s">
        <v>39</v>
      </c>
      <c r="B55" s="36" t="s">
        <v>191</v>
      </c>
      <c r="C55" s="36" t="s">
        <v>195</v>
      </c>
      <c r="D55" s="37">
        <v>76</v>
      </c>
      <c r="F55" s="36" t="s">
        <v>224</v>
      </c>
      <c r="H55" s="36" t="s">
        <v>42</v>
      </c>
      <c r="I55" s="36" t="str">
        <f t="shared" si="0"/>
        <v>y</v>
      </c>
      <c r="J55" s="36" t="str">
        <f t="shared" si="1"/>
        <v>y</v>
      </c>
      <c r="K55">
        <f t="shared" si="2"/>
        <v>0</v>
      </c>
      <c r="L55">
        <f t="shared" si="3"/>
        <v>0</v>
      </c>
      <c r="N55" s="36" t="s">
        <v>42</v>
      </c>
      <c r="O55">
        <v>1</v>
      </c>
      <c r="P55">
        <v>4.5999999999999996</v>
      </c>
      <c r="Q55" t="s">
        <v>227</v>
      </c>
      <c r="R55" t="s">
        <v>227</v>
      </c>
      <c r="S55">
        <f t="shared" si="4"/>
        <v>2</v>
      </c>
      <c r="T55" s="56">
        <f t="shared" si="5"/>
        <v>2.8</v>
      </c>
    </row>
    <row r="56" spans="1:20" hidden="1" x14ac:dyDescent="0.2">
      <c r="A56" s="36" t="s">
        <v>42</v>
      </c>
      <c r="B56" s="36" t="s">
        <v>191</v>
      </c>
      <c r="C56" s="36" t="s">
        <v>197</v>
      </c>
      <c r="D56" s="37">
        <v>11</v>
      </c>
      <c r="E56" s="36" t="s">
        <v>222</v>
      </c>
      <c r="F56" s="36" t="s">
        <v>224</v>
      </c>
      <c r="H56" s="36" t="s">
        <v>43</v>
      </c>
      <c r="I56" s="36">
        <f t="shared" si="0"/>
        <v>0</v>
      </c>
      <c r="J56" s="36">
        <f t="shared" si="1"/>
        <v>0</v>
      </c>
      <c r="K56">
        <f t="shared" si="2"/>
        <v>0</v>
      </c>
      <c r="L56">
        <f t="shared" si="3"/>
        <v>0</v>
      </c>
      <c r="N56" s="36" t="s">
        <v>43</v>
      </c>
      <c r="O56" t="s">
        <v>227</v>
      </c>
      <c r="P56" t="s">
        <v>227</v>
      </c>
      <c r="Q56" t="s">
        <v>227</v>
      </c>
      <c r="R56" t="s">
        <v>227</v>
      </c>
      <c r="S56">
        <f t="shared" si="4"/>
        <v>0</v>
      </c>
      <c r="T56" s="56" t="str">
        <f t="shared" si="5"/>
        <v/>
      </c>
    </row>
    <row r="57" spans="1:20" hidden="1" x14ac:dyDescent="0.2">
      <c r="A57" s="36" t="s">
        <v>43</v>
      </c>
      <c r="B57" s="36" t="s">
        <v>191</v>
      </c>
      <c r="C57" s="36" t="s">
        <v>197</v>
      </c>
      <c r="D57" s="37">
        <v>69</v>
      </c>
      <c r="F57" s="36" t="s">
        <v>224</v>
      </c>
      <c r="H57" s="36" t="s">
        <v>44</v>
      </c>
      <c r="I57" s="36">
        <f t="shared" si="0"/>
        <v>0</v>
      </c>
      <c r="J57" s="36">
        <f t="shared" si="1"/>
        <v>0</v>
      </c>
      <c r="K57">
        <f t="shared" si="2"/>
        <v>0</v>
      </c>
      <c r="L57">
        <f t="shared" si="3"/>
        <v>0</v>
      </c>
      <c r="N57" s="36" t="s">
        <v>44</v>
      </c>
      <c r="O57" t="s">
        <v>227</v>
      </c>
      <c r="P57" t="s">
        <v>227</v>
      </c>
      <c r="Q57" t="s">
        <v>227</v>
      </c>
      <c r="R57" t="s">
        <v>227</v>
      </c>
      <c r="S57">
        <f t="shared" si="4"/>
        <v>0</v>
      </c>
      <c r="T57" s="56" t="str">
        <f t="shared" si="5"/>
        <v/>
      </c>
    </row>
    <row r="58" spans="1:20" x14ac:dyDescent="0.2">
      <c r="A58" s="36" t="s">
        <v>44</v>
      </c>
      <c r="B58" s="36" t="s">
        <v>191</v>
      </c>
      <c r="C58" s="36" t="s">
        <v>198</v>
      </c>
      <c r="D58" s="37">
        <v>58</v>
      </c>
      <c r="F58" s="36" t="s">
        <v>224</v>
      </c>
      <c r="H58" s="36" t="s">
        <v>45</v>
      </c>
      <c r="I58" s="36" t="str">
        <f t="shared" si="0"/>
        <v>y</v>
      </c>
      <c r="J58" s="36" t="str">
        <f t="shared" si="1"/>
        <v>y</v>
      </c>
      <c r="K58" t="str">
        <f t="shared" si="2"/>
        <v>y</v>
      </c>
      <c r="L58">
        <f t="shared" si="3"/>
        <v>0</v>
      </c>
      <c r="N58" s="36" t="s">
        <v>45</v>
      </c>
      <c r="O58">
        <v>8.6</v>
      </c>
      <c r="P58">
        <v>4.8000000000000007</v>
      </c>
      <c r="Q58">
        <v>6</v>
      </c>
      <c r="R58" t="s">
        <v>227</v>
      </c>
      <c r="S58">
        <f t="shared" si="4"/>
        <v>3</v>
      </c>
      <c r="T58" s="56">
        <f t="shared" si="5"/>
        <v>6.4666666666666659</v>
      </c>
    </row>
    <row r="59" spans="1:20" hidden="1" x14ac:dyDescent="0.2">
      <c r="A59" s="36" t="s">
        <v>45</v>
      </c>
      <c r="B59" s="36" t="s">
        <v>191</v>
      </c>
      <c r="C59" s="36" t="s">
        <v>198</v>
      </c>
      <c r="D59" s="37">
        <v>22</v>
      </c>
      <c r="E59" s="36" t="s">
        <v>222</v>
      </c>
      <c r="F59" s="36" t="s">
        <v>224</v>
      </c>
      <c r="H59" s="36" t="s">
        <v>48</v>
      </c>
      <c r="I59" s="36">
        <f t="shared" si="0"/>
        <v>0</v>
      </c>
      <c r="J59" s="36">
        <f t="shared" si="1"/>
        <v>0</v>
      </c>
      <c r="K59">
        <f t="shared" si="2"/>
        <v>0</v>
      </c>
      <c r="L59">
        <f t="shared" si="3"/>
        <v>0</v>
      </c>
      <c r="N59" s="36" t="s">
        <v>48</v>
      </c>
      <c r="O59" t="s">
        <v>227</v>
      </c>
      <c r="P59" t="s">
        <v>227</v>
      </c>
      <c r="Q59" t="s">
        <v>227</v>
      </c>
      <c r="R59" t="s">
        <v>227</v>
      </c>
      <c r="S59">
        <f t="shared" si="4"/>
        <v>0</v>
      </c>
      <c r="T59" s="56" t="str">
        <f t="shared" si="5"/>
        <v/>
      </c>
    </row>
    <row r="60" spans="1:20" x14ac:dyDescent="0.2">
      <c r="A60" s="36" t="s">
        <v>48</v>
      </c>
      <c r="B60" s="36" t="s">
        <v>191</v>
      </c>
      <c r="C60" s="36" t="s">
        <v>199</v>
      </c>
      <c r="D60" s="37">
        <v>66</v>
      </c>
      <c r="F60" s="36" t="s">
        <v>224</v>
      </c>
      <c r="H60" s="36" t="s">
        <v>49</v>
      </c>
      <c r="I60" s="36" t="str">
        <f t="shared" si="0"/>
        <v>y</v>
      </c>
      <c r="J60" s="36" t="str">
        <f t="shared" si="1"/>
        <v>y</v>
      </c>
      <c r="K60" t="str">
        <f t="shared" si="2"/>
        <v>y</v>
      </c>
      <c r="L60">
        <f t="shared" si="3"/>
        <v>0</v>
      </c>
      <c r="N60" s="36" t="s">
        <v>49</v>
      </c>
      <c r="O60">
        <v>11.4</v>
      </c>
      <c r="P60">
        <v>10.4</v>
      </c>
      <c r="Q60">
        <v>20.6</v>
      </c>
      <c r="R60" t="s">
        <v>227</v>
      </c>
      <c r="S60">
        <f t="shared" si="4"/>
        <v>3</v>
      </c>
      <c r="T60" s="56">
        <f t="shared" si="5"/>
        <v>14.133333333333335</v>
      </c>
    </row>
    <row r="61" spans="1:20" x14ac:dyDescent="0.2">
      <c r="A61" s="36" t="s">
        <v>49</v>
      </c>
      <c r="B61" s="36" t="s">
        <v>191</v>
      </c>
      <c r="C61" s="36" t="s">
        <v>199</v>
      </c>
      <c r="D61" s="37">
        <v>14</v>
      </c>
      <c r="E61" s="36" t="s">
        <v>222</v>
      </c>
      <c r="F61" s="36" t="s">
        <v>224</v>
      </c>
      <c r="H61" s="36" t="s">
        <v>180</v>
      </c>
      <c r="I61" s="36" t="str">
        <f t="shared" si="0"/>
        <v>y</v>
      </c>
      <c r="J61" s="36">
        <f t="shared" si="1"/>
        <v>0</v>
      </c>
      <c r="K61">
        <f t="shared" si="2"/>
        <v>0</v>
      </c>
      <c r="L61" t="str">
        <f t="shared" si="3"/>
        <v>y</v>
      </c>
      <c r="N61" s="36" t="s">
        <v>180</v>
      </c>
      <c r="O61">
        <v>8</v>
      </c>
      <c r="P61" t="s">
        <v>227</v>
      </c>
      <c r="Q61" t="s">
        <v>227</v>
      </c>
      <c r="R61">
        <v>7.8000000000000007</v>
      </c>
      <c r="S61">
        <f t="shared" si="4"/>
        <v>2</v>
      </c>
      <c r="T61" s="56">
        <f t="shared" si="5"/>
        <v>7.9</v>
      </c>
    </row>
    <row r="62" spans="1:20" x14ac:dyDescent="0.2">
      <c r="A62" s="36" t="s">
        <v>180</v>
      </c>
      <c r="B62" s="36" t="s">
        <v>191</v>
      </c>
      <c r="C62" s="36" t="s">
        <v>200</v>
      </c>
      <c r="D62" s="37">
        <v>22</v>
      </c>
      <c r="E62" s="36" t="s">
        <v>222</v>
      </c>
      <c r="F62" s="36" t="s">
        <v>224</v>
      </c>
      <c r="H62" s="36" t="s">
        <v>51</v>
      </c>
      <c r="I62" s="36" t="str">
        <f t="shared" si="0"/>
        <v>y</v>
      </c>
      <c r="J62" s="36" t="str">
        <f t="shared" si="1"/>
        <v>y</v>
      </c>
      <c r="K62" t="str">
        <f t="shared" si="2"/>
        <v>y</v>
      </c>
      <c r="L62" t="str">
        <f t="shared" si="3"/>
        <v>y</v>
      </c>
      <c r="N62" s="36" t="s">
        <v>51</v>
      </c>
      <c r="O62">
        <v>3.4</v>
      </c>
      <c r="P62">
        <v>3</v>
      </c>
      <c r="Q62">
        <v>9</v>
      </c>
      <c r="R62">
        <v>7</v>
      </c>
      <c r="S62">
        <f t="shared" si="4"/>
        <v>4</v>
      </c>
      <c r="T62" s="56">
        <f t="shared" si="5"/>
        <v>5.6</v>
      </c>
    </row>
    <row r="63" spans="1:20" x14ac:dyDescent="0.2">
      <c r="A63" s="36" t="s">
        <v>51</v>
      </c>
      <c r="B63" s="36" t="s">
        <v>191</v>
      </c>
      <c r="C63" s="36" t="s">
        <v>200</v>
      </c>
      <c r="D63" s="37">
        <v>14</v>
      </c>
      <c r="E63" s="36" t="s">
        <v>222</v>
      </c>
      <c r="F63" s="36" t="s">
        <v>224</v>
      </c>
      <c r="H63" s="36" t="s">
        <v>53</v>
      </c>
      <c r="I63" s="36">
        <f t="shared" si="0"/>
        <v>0</v>
      </c>
      <c r="J63" s="36" t="str">
        <f t="shared" si="1"/>
        <v>y</v>
      </c>
      <c r="K63" t="str">
        <f t="shared" si="2"/>
        <v>y</v>
      </c>
      <c r="L63">
        <f t="shared" si="3"/>
        <v>0</v>
      </c>
      <c r="N63" s="36" t="s">
        <v>53</v>
      </c>
      <c r="O63" t="s">
        <v>227</v>
      </c>
      <c r="P63">
        <v>1</v>
      </c>
      <c r="Q63">
        <v>4</v>
      </c>
      <c r="R63" t="s">
        <v>227</v>
      </c>
      <c r="S63">
        <f t="shared" si="4"/>
        <v>2</v>
      </c>
      <c r="T63" s="56">
        <f t="shared" si="5"/>
        <v>2.5</v>
      </c>
    </row>
    <row r="64" spans="1:20" hidden="1" x14ac:dyDescent="0.2">
      <c r="A64" s="36" t="s">
        <v>53</v>
      </c>
      <c r="B64" s="36" t="s">
        <v>191</v>
      </c>
      <c r="C64" s="36" t="s">
        <v>200</v>
      </c>
      <c r="D64" s="37">
        <v>58</v>
      </c>
      <c r="F64" s="36" t="s">
        <v>224</v>
      </c>
      <c r="H64" s="36" t="s">
        <v>54</v>
      </c>
      <c r="I64" s="36">
        <f t="shared" si="0"/>
        <v>0</v>
      </c>
      <c r="J64" s="36">
        <f t="shared" si="1"/>
        <v>0</v>
      </c>
      <c r="K64">
        <f t="shared" si="2"/>
        <v>0</v>
      </c>
      <c r="L64">
        <f t="shared" si="3"/>
        <v>0</v>
      </c>
      <c r="N64" s="36" t="s">
        <v>54</v>
      </c>
      <c r="O64" t="s">
        <v>227</v>
      </c>
      <c r="P64" t="s">
        <v>227</v>
      </c>
      <c r="Q64" t="s">
        <v>227</v>
      </c>
      <c r="R64" t="s">
        <v>227</v>
      </c>
      <c r="S64">
        <f t="shared" si="4"/>
        <v>0</v>
      </c>
      <c r="T64" s="56" t="str">
        <f t="shared" si="5"/>
        <v/>
      </c>
    </row>
    <row r="65" spans="1:20" x14ac:dyDescent="0.2">
      <c r="A65" s="36" t="s">
        <v>54</v>
      </c>
      <c r="B65" s="36" t="s">
        <v>191</v>
      </c>
      <c r="C65" s="36" t="s">
        <v>200</v>
      </c>
      <c r="D65" s="37">
        <v>66</v>
      </c>
      <c r="F65" s="36" t="s">
        <v>224</v>
      </c>
      <c r="H65" s="36" t="s">
        <v>55</v>
      </c>
      <c r="I65" s="36" t="str">
        <f t="shared" si="0"/>
        <v>y</v>
      </c>
      <c r="J65" s="36" t="str">
        <f t="shared" si="1"/>
        <v>y</v>
      </c>
      <c r="K65" t="str">
        <f t="shared" si="2"/>
        <v>y</v>
      </c>
      <c r="L65" t="str">
        <f t="shared" si="3"/>
        <v>y</v>
      </c>
      <c r="N65" s="36" t="s">
        <v>55</v>
      </c>
      <c r="O65">
        <v>3.4</v>
      </c>
      <c r="P65">
        <v>12.8</v>
      </c>
      <c r="Q65">
        <v>5.4</v>
      </c>
      <c r="R65">
        <v>10</v>
      </c>
      <c r="S65">
        <f t="shared" si="4"/>
        <v>4</v>
      </c>
      <c r="T65" s="56">
        <f t="shared" si="5"/>
        <v>7.9</v>
      </c>
    </row>
    <row r="66" spans="1:20" hidden="1" x14ac:dyDescent="0.2">
      <c r="A66" s="36" t="s">
        <v>55</v>
      </c>
      <c r="B66" s="36" t="s">
        <v>191</v>
      </c>
      <c r="C66" s="36" t="s">
        <v>201</v>
      </c>
      <c r="D66" s="37">
        <v>22</v>
      </c>
      <c r="E66" s="36" t="s">
        <v>222</v>
      </c>
      <c r="F66" s="36" t="s">
        <v>224</v>
      </c>
      <c r="H66" s="36" t="s">
        <v>56</v>
      </c>
      <c r="I66" s="36">
        <f t="shared" si="0"/>
        <v>0</v>
      </c>
      <c r="J66" s="36">
        <f t="shared" si="1"/>
        <v>0</v>
      </c>
      <c r="K66">
        <f t="shared" si="2"/>
        <v>0</v>
      </c>
      <c r="L66">
        <f t="shared" si="3"/>
        <v>0</v>
      </c>
      <c r="N66" s="36" t="s">
        <v>56</v>
      </c>
      <c r="O66" t="s">
        <v>227</v>
      </c>
      <c r="P66" t="s">
        <v>227</v>
      </c>
      <c r="Q66" t="s">
        <v>227</v>
      </c>
      <c r="R66" t="s">
        <v>227</v>
      </c>
      <c r="S66">
        <f t="shared" si="4"/>
        <v>0</v>
      </c>
      <c r="T66" s="56" t="str">
        <f t="shared" si="5"/>
        <v/>
      </c>
    </row>
    <row r="67" spans="1:20" x14ac:dyDescent="0.2">
      <c r="A67" s="36" t="s">
        <v>56</v>
      </c>
      <c r="B67" s="36" t="s">
        <v>191</v>
      </c>
      <c r="C67" s="36" t="s">
        <v>201</v>
      </c>
      <c r="D67" s="37">
        <v>58</v>
      </c>
      <c r="F67" s="36" t="s">
        <v>224</v>
      </c>
      <c r="H67" s="36" t="s">
        <v>103</v>
      </c>
      <c r="I67" s="36">
        <f t="shared" si="0"/>
        <v>0</v>
      </c>
      <c r="J67" s="36" t="str">
        <f t="shared" si="1"/>
        <v>y</v>
      </c>
      <c r="K67">
        <f t="shared" si="2"/>
        <v>0</v>
      </c>
      <c r="L67">
        <f t="shared" si="3"/>
        <v>0</v>
      </c>
      <c r="N67" s="36" t="s">
        <v>103</v>
      </c>
      <c r="O67" t="s">
        <v>227</v>
      </c>
      <c r="P67">
        <v>5.4</v>
      </c>
      <c r="Q67" t="s">
        <v>227</v>
      </c>
      <c r="R67" t="s">
        <v>227</v>
      </c>
      <c r="S67">
        <f t="shared" si="4"/>
        <v>1</v>
      </c>
      <c r="T67" s="56">
        <f t="shared" si="5"/>
        <v>5.4</v>
      </c>
    </row>
    <row r="68" spans="1:20" x14ac:dyDescent="0.2">
      <c r="A68" s="36" t="s">
        <v>103</v>
      </c>
      <c r="B68" s="36" t="s">
        <v>192</v>
      </c>
      <c r="C68" s="36" t="s">
        <v>194</v>
      </c>
      <c r="D68" s="37">
        <v>66</v>
      </c>
      <c r="F68" s="36" t="s">
        <v>224</v>
      </c>
      <c r="H68" s="36" t="s">
        <v>105</v>
      </c>
      <c r="I68" s="36" t="str">
        <f t="shared" si="0"/>
        <v>y</v>
      </c>
      <c r="J68" s="36" t="str">
        <f t="shared" si="1"/>
        <v>y</v>
      </c>
      <c r="K68" t="str">
        <f t="shared" si="2"/>
        <v>y</v>
      </c>
      <c r="L68" t="str">
        <f t="shared" si="3"/>
        <v>y</v>
      </c>
      <c r="N68" s="36" t="s">
        <v>105</v>
      </c>
      <c r="O68">
        <v>0</v>
      </c>
      <c r="P68">
        <v>24.6</v>
      </c>
      <c r="Q68">
        <v>0</v>
      </c>
      <c r="R68">
        <v>17</v>
      </c>
      <c r="S68">
        <f t="shared" si="4"/>
        <v>4</v>
      </c>
      <c r="T68" s="56">
        <f t="shared" si="5"/>
        <v>10.4</v>
      </c>
    </row>
    <row r="69" spans="1:20" x14ac:dyDescent="0.2">
      <c r="A69" s="36" t="s">
        <v>105</v>
      </c>
      <c r="B69" s="36" t="s">
        <v>192</v>
      </c>
      <c r="C69" s="36" t="s">
        <v>194</v>
      </c>
      <c r="D69" s="37">
        <v>6</v>
      </c>
      <c r="E69" s="36" t="s">
        <v>222</v>
      </c>
      <c r="F69" s="36" t="s">
        <v>224</v>
      </c>
      <c r="H69" s="36" t="s">
        <v>107</v>
      </c>
      <c r="I69" s="36" t="str">
        <f t="shared" ref="I69:I132" si="6">_xlfn.XLOOKUP(H69,$A$5:$A$96,$E$5:$E$96,0)</f>
        <v>y</v>
      </c>
      <c r="J69" s="36">
        <f t="shared" ref="J69:J132" si="7">_xlfn.XLOOKUP(H69,$A$100:$A$197,$E$100:$E$197,0)</f>
        <v>0</v>
      </c>
      <c r="K69">
        <f t="shared" ref="K69:K132" si="8">_xlfn.XLOOKUP(H69,$A$202:$A$292,$E$202:$E$292,0)</f>
        <v>0</v>
      </c>
      <c r="L69">
        <f t="shared" ref="L69:L132" si="9">_xlfn.XLOOKUP(H69,$A$296:$A$392,$E$296:$E$392,0)</f>
        <v>0</v>
      </c>
      <c r="N69" s="36" t="s">
        <v>107</v>
      </c>
      <c r="O69">
        <v>3.8000000000000003</v>
      </c>
      <c r="P69" t="s">
        <v>227</v>
      </c>
      <c r="Q69" t="s">
        <v>227</v>
      </c>
      <c r="R69" t="s">
        <v>227</v>
      </c>
      <c r="S69">
        <f t="shared" ref="S69:S132" si="10">COUNT(O69:R69)</f>
        <v>1</v>
      </c>
      <c r="T69" s="56">
        <f t="shared" ref="T69:T132" si="11">IF(S69=0,"",SUM(O69:R69)/S69)</f>
        <v>3.8000000000000003</v>
      </c>
    </row>
    <row r="70" spans="1:20" hidden="1" x14ac:dyDescent="0.2">
      <c r="A70" s="36" t="s">
        <v>107</v>
      </c>
      <c r="B70" s="36" t="s">
        <v>192</v>
      </c>
      <c r="C70" s="36" t="s">
        <v>194</v>
      </c>
      <c r="D70" s="37">
        <v>14</v>
      </c>
      <c r="E70" s="36" t="s">
        <v>222</v>
      </c>
      <c r="F70" s="36" t="s">
        <v>224</v>
      </c>
      <c r="H70" s="36" t="s">
        <v>111</v>
      </c>
      <c r="I70" s="36">
        <f t="shared" si="6"/>
        <v>0</v>
      </c>
      <c r="J70" s="36">
        <f t="shared" si="7"/>
        <v>0</v>
      </c>
      <c r="K70">
        <f t="shared" si="8"/>
        <v>0</v>
      </c>
      <c r="L70">
        <f t="shared" si="9"/>
        <v>0</v>
      </c>
      <c r="N70" s="36" t="s">
        <v>111</v>
      </c>
      <c r="O70" t="s">
        <v>227</v>
      </c>
      <c r="P70" t="s">
        <v>227</v>
      </c>
      <c r="Q70" t="s">
        <v>227</v>
      </c>
      <c r="R70" t="s">
        <v>227</v>
      </c>
      <c r="S70">
        <f t="shared" si="10"/>
        <v>0</v>
      </c>
      <c r="T70" s="56" t="str">
        <f t="shared" si="11"/>
        <v/>
      </c>
    </row>
    <row r="71" spans="1:20" x14ac:dyDescent="0.2">
      <c r="A71" s="36" t="s">
        <v>111</v>
      </c>
      <c r="B71" s="36" t="s">
        <v>192</v>
      </c>
      <c r="C71" s="36" t="s">
        <v>197</v>
      </c>
      <c r="D71" s="37">
        <v>74</v>
      </c>
      <c r="F71" s="36" t="s">
        <v>224</v>
      </c>
      <c r="H71" s="36" t="s">
        <v>112</v>
      </c>
      <c r="I71" s="36" t="str">
        <f t="shared" si="6"/>
        <v>y</v>
      </c>
      <c r="J71" s="36" t="str">
        <f t="shared" si="7"/>
        <v>y</v>
      </c>
      <c r="K71" t="str">
        <f t="shared" si="8"/>
        <v>y</v>
      </c>
      <c r="L71" t="str">
        <f t="shared" si="9"/>
        <v>y</v>
      </c>
      <c r="N71" s="36" t="s">
        <v>112</v>
      </c>
      <c r="O71">
        <v>1.8</v>
      </c>
      <c r="P71">
        <v>5.2</v>
      </c>
      <c r="Q71">
        <v>11</v>
      </c>
      <c r="R71">
        <v>20.6</v>
      </c>
      <c r="S71">
        <f t="shared" si="10"/>
        <v>4</v>
      </c>
      <c r="T71" s="56">
        <f t="shared" si="11"/>
        <v>9.65</v>
      </c>
    </row>
    <row r="72" spans="1:20" hidden="1" x14ac:dyDescent="0.2">
      <c r="A72" s="36" t="s">
        <v>112</v>
      </c>
      <c r="B72" s="36" t="s">
        <v>192</v>
      </c>
      <c r="C72" s="36" t="s">
        <v>198</v>
      </c>
      <c r="D72" s="37">
        <v>11</v>
      </c>
      <c r="E72" s="36" t="s">
        <v>222</v>
      </c>
      <c r="F72" s="36" t="s">
        <v>224</v>
      </c>
      <c r="H72" s="36" t="s">
        <v>114</v>
      </c>
      <c r="I72" s="36">
        <f t="shared" si="6"/>
        <v>0</v>
      </c>
      <c r="J72" s="36">
        <f t="shared" si="7"/>
        <v>0</v>
      </c>
      <c r="K72">
        <f t="shared" si="8"/>
        <v>0</v>
      </c>
      <c r="L72">
        <f t="shared" si="9"/>
        <v>0</v>
      </c>
      <c r="N72" s="36" t="s">
        <v>114</v>
      </c>
      <c r="O72" t="s">
        <v>227</v>
      </c>
      <c r="P72" t="s">
        <v>227</v>
      </c>
      <c r="Q72" t="s">
        <v>227</v>
      </c>
      <c r="R72" t="s">
        <v>227</v>
      </c>
      <c r="S72">
        <f t="shared" si="10"/>
        <v>0</v>
      </c>
      <c r="T72" s="56" t="str">
        <f t="shared" si="11"/>
        <v/>
      </c>
    </row>
    <row r="73" spans="1:20" x14ac:dyDescent="0.2">
      <c r="A73" s="36" t="s">
        <v>114</v>
      </c>
      <c r="B73" s="36" t="s">
        <v>192</v>
      </c>
      <c r="C73" s="36" t="s">
        <v>198</v>
      </c>
      <c r="D73" s="37">
        <v>65</v>
      </c>
      <c r="F73" s="36" t="s">
        <v>224</v>
      </c>
      <c r="H73" s="36" t="s">
        <v>154</v>
      </c>
      <c r="I73" s="36" t="str">
        <f t="shared" si="6"/>
        <v>y</v>
      </c>
      <c r="J73" s="36">
        <f t="shared" si="7"/>
        <v>0</v>
      </c>
      <c r="K73" t="str">
        <f t="shared" si="8"/>
        <v>y</v>
      </c>
      <c r="L73" t="str">
        <f t="shared" si="9"/>
        <v>y</v>
      </c>
      <c r="N73" s="36" t="s">
        <v>154</v>
      </c>
      <c r="O73">
        <v>2</v>
      </c>
      <c r="P73" t="s">
        <v>227</v>
      </c>
      <c r="Q73">
        <v>17.600000000000001</v>
      </c>
      <c r="R73">
        <v>0</v>
      </c>
      <c r="S73">
        <f t="shared" si="10"/>
        <v>3</v>
      </c>
      <c r="T73" s="56">
        <f t="shared" si="11"/>
        <v>6.5333333333333341</v>
      </c>
    </row>
    <row r="74" spans="1:20" hidden="1" x14ac:dyDescent="0.2">
      <c r="A74" s="36" t="s">
        <v>154</v>
      </c>
      <c r="B74" s="36" t="s">
        <v>192</v>
      </c>
      <c r="C74" s="36" t="s">
        <v>198</v>
      </c>
      <c r="D74" s="37">
        <v>11</v>
      </c>
      <c r="E74" s="36" t="s">
        <v>222</v>
      </c>
      <c r="F74" s="36" t="s">
        <v>224</v>
      </c>
      <c r="H74" s="36" t="s">
        <v>117</v>
      </c>
      <c r="I74" s="36">
        <f t="shared" si="6"/>
        <v>0</v>
      </c>
      <c r="J74" s="36">
        <f t="shared" si="7"/>
        <v>0</v>
      </c>
      <c r="K74">
        <f t="shared" si="8"/>
        <v>0</v>
      </c>
      <c r="L74">
        <f t="shared" si="9"/>
        <v>0</v>
      </c>
      <c r="N74" s="36" t="s">
        <v>117</v>
      </c>
      <c r="O74" t="s">
        <v>227</v>
      </c>
      <c r="P74" t="s">
        <v>227</v>
      </c>
      <c r="Q74" t="s">
        <v>227</v>
      </c>
      <c r="R74" t="s">
        <v>227</v>
      </c>
      <c r="S74">
        <f t="shared" si="10"/>
        <v>0</v>
      </c>
      <c r="T74" s="56" t="str">
        <f t="shared" si="11"/>
        <v/>
      </c>
    </row>
    <row r="75" spans="1:20" hidden="1" x14ac:dyDescent="0.2">
      <c r="A75" s="36" t="s">
        <v>117</v>
      </c>
      <c r="B75" s="36" t="s">
        <v>192</v>
      </c>
      <c r="C75" s="36" t="s">
        <v>199</v>
      </c>
      <c r="D75" s="37">
        <v>69</v>
      </c>
      <c r="F75" s="36" t="s">
        <v>224</v>
      </c>
      <c r="H75" s="36" t="s">
        <v>116</v>
      </c>
      <c r="I75" s="36">
        <f t="shared" si="6"/>
        <v>0</v>
      </c>
      <c r="J75" s="36">
        <f t="shared" si="7"/>
        <v>0</v>
      </c>
      <c r="K75">
        <f t="shared" si="8"/>
        <v>0</v>
      </c>
      <c r="L75">
        <f t="shared" si="9"/>
        <v>0</v>
      </c>
      <c r="N75" s="36" t="s">
        <v>116</v>
      </c>
      <c r="O75" t="s">
        <v>227</v>
      </c>
      <c r="P75" t="s">
        <v>227</v>
      </c>
      <c r="Q75" t="s">
        <v>227</v>
      </c>
      <c r="R75" t="s">
        <v>227</v>
      </c>
      <c r="S75">
        <f t="shared" si="10"/>
        <v>0</v>
      </c>
      <c r="T75" s="56" t="str">
        <f t="shared" si="11"/>
        <v/>
      </c>
    </row>
    <row r="76" spans="1:20" x14ac:dyDescent="0.2">
      <c r="A76" s="36" t="s">
        <v>116</v>
      </c>
      <c r="B76" s="36" t="s">
        <v>192</v>
      </c>
      <c r="C76" s="36" t="s">
        <v>199</v>
      </c>
      <c r="D76" s="37">
        <v>69</v>
      </c>
      <c r="F76" s="36" t="s">
        <v>224</v>
      </c>
      <c r="H76" s="36" t="s">
        <v>119</v>
      </c>
      <c r="I76" s="36" t="str">
        <f t="shared" si="6"/>
        <v>y</v>
      </c>
      <c r="J76" s="36" t="str">
        <f t="shared" si="7"/>
        <v>y</v>
      </c>
      <c r="K76">
        <f t="shared" si="8"/>
        <v>0</v>
      </c>
      <c r="L76" t="str">
        <f t="shared" si="9"/>
        <v>y</v>
      </c>
      <c r="N76" s="36" t="s">
        <v>119</v>
      </c>
      <c r="O76">
        <v>3.2</v>
      </c>
      <c r="P76">
        <v>42.2</v>
      </c>
      <c r="Q76" t="s">
        <v>227</v>
      </c>
      <c r="R76">
        <v>22.2</v>
      </c>
      <c r="S76">
        <f t="shared" si="10"/>
        <v>3</v>
      </c>
      <c r="T76" s="56">
        <f t="shared" si="11"/>
        <v>22.533333333333335</v>
      </c>
    </row>
    <row r="77" spans="1:20" x14ac:dyDescent="0.2">
      <c r="A77" s="36" t="s">
        <v>119</v>
      </c>
      <c r="B77" s="36" t="s">
        <v>192</v>
      </c>
      <c r="C77" s="36" t="s">
        <v>199</v>
      </c>
      <c r="D77" s="37">
        <v>15</v>
      </c>
      <c r="E77" s="36" t="s">
        <v>222</v>
      </c>
      <c r="F77" s="36" t="s">
        <v>224</v>
      </c>
      <c r="H77" s="36" t="s">
        <v>187</v>
      </c>
      <c r="I77" s="36" t="str">
        <f t="shared" si="6"/>
        <v>y</v>
      </c>
      <c r="J77" s="36">
        <f t="shared" si="7"/>
        <v>0</v>
      </c>
      <c r="K77">
        <f t="shared" si="8"/>
        <v>0</v>
      </c>
      <c r="L77">
        <f t="shared" si="9"/>
        <v>0</v>
      </c>
      <c r="N77" s="36" t="s">
        <v>187</v>
      </c>
      <c r="O77">
        <v>2.4000000000000004</v>
      </c>
      <c r="P77" t="s">
        <v>227</v>
      </c>
      <c r="Q77" t="s">
        <v>227</v>
      </c>
      <c r="R77" t="s">
        <v>227</v>
      </c>
      <c r="S77">
        <f t="shared" si="10"/>
        <v>1</v>
      </c>
      <c r="T77" s="56">
        <f t="shared" si="11"/>
        <v>2.4000000000000004</v>
      </c>
    </row>
    <row r="78" spans="1:20" x14ac:dyDescent="0.2">
      <c r="A78" s="36" t="s">
        <v>187</v>
      </c>
      <c r="B78" s="36" t="s">
        <v>192</v>
      </c>
      <c r="C78" s="36" t="s">
        <v>200</v>
      </c>
      <c r="D78" s="37">
        <v>24</v>
      </c>
      <c r="E78" s="36" t="s">
        <v>222</v>
      </c>
      <c r="F78" s="36" t="s">
        <v>224</v>
      </c>
      <c r="H78" s="36" t="s">
        <v>120</v>
      </c>
      <c r="I78" s="36">
        <f t="shared" si="6"/>
        <v>0</v>
      </c>
      <c r="J78" s="36" t="str">
        <f t="shared" si="7"/>
        <v>y</v>
      </c>
      <c r="K78">
        <f t="shared" si="8"/>
        <v>0</v>
      </c>
      <c r="L78">
        <f t="shared" si="9"/>
        <v>0</v>
      </c>
      <c r="N78" s="36" t="s">
        <v>120</v>
      </c>
      <c r="O78" t="s">
        <v>227</v>
      </c>
      <c r="P78">
        <v>-1.2000000000000002</v>
      </c>
      <c r="Q78" t="s">
        <v>227</v>
      </c>
      <c r="R78" t="s">
        <v>227</v>
      </c>
      <c r="S78">
        <f t="shared" si="10"/>
        <v>1</v>
      </c>
      <c r="T78" s="56">
        <f t="shared" si="11"/>
        <v>-1.2000000000000002</v>
      </c>
    </row>
    <row r="79" spans="1:20" hidden="1" x14ac:dyDescent="0.2">
      <c r="A79" s="36" t="s">
        <v>120</v>
      </c>
      <c r="B79" s="36" t="s">
        <v>192</v>
      </c>
      <c r="C79" s="36" t="s">
        <v>200</v>
      </c>
      <c r="D79" s="37">
        <v>56</v>
      </c>
      <c r="F79" s="36" t="s">
        <v>224</v>
      </c>
      <c r="H79" s="36" t="s">
        <v>121</v>
      </c>
      <c r="I79" s="36">
        <f t="shared" si="6"/>
        <v>0</v>
      </c>
      <c r="J79" s="36">
        <f t="shared" si="7"/>
        <v>0</v>
      </c>
      <c r="K79">
        <f t="shared" si="8"/>
        <v>0</v>
      </c>
      <c r="L79">
        <f t="shared" si="9"/>
        <v>0</v>
      </c>
      <c r="N79" s="36" t="s">
        <v>121</v>
      </c>
      <c r="O79" t="s">
        <v>227</v>
      </c>
      <c r="P79" t="s">
        <v>227</v>
      </c>
      <c r="Q79" t="s">
        <v>227</v>
      </c>
      <c r="R79" t="s">
        <v>227</v>
      </c>
      <c r="S79">
        <f t="shared" si="10"/>
        <v>0</v>
      </c>
      <c r="T79" s="56" t="str">
        <f t="shared" si="11"/>
        <v/>
      </c>
    </row>
    <row r="80" spans="1:20" x14ac:dyDescent="0.2">
      <c r="A80" s="36" t="s">
        <v>121</v>
      </c>
      <c r="B80" s="36" t="s">
        <v>192</v>
      </c>
      <c r="C80" s="36" t="s">
        <v>200</v>
      </c>
      <c r="D80" s="37">
        <v>69</v>
      </c>
      <c r="F80" s="36" t="s">
        <v>224</v>
      </c>
      <c r="H80" s="36" t="s">
        <v>123</v>
      </c>
      <c r="I80" s="36" t="str">
        <f t="shared" si="6"/>
        <v>y</v>
      </c>
      <c r="J80" s="36" t="str">
        <f t="shared" si="7"/>
        <v>y</v>
      </c>
      <c r="K80" t="str">
        <f t="shared" si="8"/>
        <v>y</v>
      </c>
      <c r="L80" t="str">
        <f t="shared" si="9"/>
        <v>y</v>
      </c>
      <c r="N80" s="36" t="s">
        <v>123</v>
      </c>
      <c r="O80">
        <v>1.8</v>
      </c>
      <c r="P80">
        <v>3.4000000000000004</v>
      </c>
      <c r="Q80">
        <v>12.2</v>
      </c>
      <c r="R80">
        <v>0</v>
      </c>
      <c r="S80">
        <f t="shared" si="10"/>
        <v>4</v>
      </c>
      <c r="T80" s="56">
        <f t="shared" si="11"/>
        <v>4.3499999999999996</v>
      </c>
    </row>
    <row r="81" spans="1:20" x14ac:dyDescent="0.2">
      <c r="A81" s="36" t="s">
        <v>123</v>
      </c>
      <c r="B81" s="36" t="s">
        <v>192</v>
      </c>
      <c r="C81" s="36" t="s">
        <v>200</v>
      </c>
      <c r="D81" s="37">
        <v>11</v>
      </c>
      <c r="E81" s="36" t="s">
        <v>222</v>
      </c>
      <c r="F81" s="36" t="s">
        <v>224</v>
      </c>
      <c r="H81" s="36" t="s">
        <v>124</v>
      </c>
      <c r="I81" s="36" t="str">
        <f t="shared" si="6"/>
        <v>y</v>
      </c>
      <c r="J81" s="36" t="str">
        <f t="shared" si="7"/>
        <v>y</v>
      </c>
      <c r="K81" t="str">
        <f t="shared" si="8"/>
        <v>y</v>
      </c>
      <c r="L81" t="str">
        <f t="shared" si="9"/>
        <v>y</v>
      </c>
      <c r="N81" s="36" t="s">
        <v>124</v>
      </c>
      <c r="O81">
        <v>0</v>
      </c>
      <c r="P81">
        <v>9</v>
      </c>
      <c r="Q81">
        <v>19.2</v>
      </c>
      <c r="R81">
        <v>3</v>
      </c>
      <c r="S81">
        <f t="shared" si="10"/>
        <v>4</v>
      </c>
      <c r="T81" s="56">
        <f t="shared" si="11"/>
        <v>7.8</v>
      </c>
    </row>
    <row r="82" spans="1:20" hidden="1" x14ac:dyDescent="0.2">
      <c r="A82" s="36" t="s">
        <v>124</v>
      </c>
      <c r="B82" s="36" t="s">
        <v>192</v>
      </c>
      <c r="C82" s="36" t="s">
        <v>201</v>
      </c>
      <c r="D82" s="37">
        <v>11</v>
      </c>
      <c r="E82" s="36" t="s">
        <v>222</v>
      </c>
      <c r="F82" s="36" t="s">
        <v>224</v>
      </c>
      <c r="H82" s="36" t="s">
        <v>125</v>
      </c>
      <c r="I82" s="36">
        <f t="shared" si="6"/>
        <v>0</v>
      </c>
      <c r="J82" s="36">
        <f t="shared" si="7"/>
        <v>0</v>
      </c>
      <c r="K82">
        <f t="shared" si="8"/>
        <v>0</v>
      </c>
      <c r="L82">
        <f t="shared" si="9"/>
        <v>0</v>
      </c>
      <c r="N82" s="36" t="s">
        <v>125</v>
      </c>
      <c r="O82" t="s">
        <v>227</v>
      </c>
      <c r="P82" t="s">
        <v>227</v>
      </c>
      <c r="Q82" t="s">
        <v>227</v>
      </c>
      <c r="R82" t="s">
        <v>227</v>
      </c>
      <c r="S82">
        <f t="shared" si="10"/>
        <v>0</v>
      </c>
      <c r="T82" s="56" t="str">
        <f t="shared" si="11"/>
        <v/>
      </c>
    </row>
    <row r="83" spans="1:20" x14ac:dyDescent="0.2">
      <c r="A83" s="36" t="s">
        <v>125</v>
      </c>
      <c r="B83" s="36" t="s">
        <v>192</v>
      </c>
      <c r="C83" s="36" t="s">
        <v>201</v>
      </c>
      <c r="D83" s="37">
        <v>69</v>
      </c>
      <c r="F83" s="36" t="s">
        <v>224</v>
      </c>
      <c r="H83" s="36" t="s">
        <v>17</v>
      </c>
      <c r="I83" s="36" t="str">
        <f t="shared" si="6"/>
        <v>y</v>
      </c>
      <c r="J83" s="36" t="str">
        <f t="shared" si="7"/>
        <v>y</v>
      </c>
      <c r="K83" t="str">
        <f t="shared" si="8"/>
        <v>y</v>
      </c>
      <c r="L83">
        <f t="shared" si="9"/>
        <v>0</v>
      </c>
      <c r="N83" s="36" t="s">
        <v>17</v>
      </c>
      <c r="O83">
        <v>16.600000000000001</v>
      </c>
      <c r="P83">
        <v>5.8000000000000007</v>
      </c>
      <c r="Q83">
        <v>3</v>
      </c>
      <c r="R83" t="s">
        <v>227</v>
      </c>
      <c r="S83">
        <f t="shared" si="10"/>
        <v>3</v>
      </c>
      <c r="T83" s="56">
        <f t="shared" si="11"/>
        <v>8.4666666666666668</v>
      </c>
    </row>
    <row r="84" spans="1:20" hidden="1" x14ac:dyDescent="0.2">
      <c r="A84" s="36" t="s">
        <v>17</v>
      </c>
      <c r="B84" s="36" t="s">
        <v>193</v>
      </c>
      <c r="C84" s="36" t="s">
        <v>196</v>
      </c>
      <c r="D84" s="37">
        <v>15</v>
      </c>
      <c r="E84" s="36" t="s">
        <v>222</v>
      </c>
      <c r="F84" s="36" t="s">
        <v>224</v>
      </c>
      <c r="H84" s="36" t="s">
        <v>18</v>
      </c>
      <c r="I84" s="36">
        <f t="shared" si="6"/>
        <v>0</v>
      </c>
      <c r="J84" s="36">
        <f t="shared" si="7"/>
        <v>0</v>
      </c>
      <c r="K84">
        <f t="shared" si="8"/>
        <v>0</v>
      </c>
      <c r="L84">
        <f t="shared" si="9"/>
        <v>0</v>
      </c>
      <c r="N84" s="36" t="s">
        <v>18</v>
      </c>
      <c r="O84" t="s">
        <v>227</v>
      </c>
      <c r="P84" t="s">
        <v>227</v>
      </c>
      <c r="Q84" t="s">
        <v>227</v>
      </c>
      <c r="R84" t="s">
        <v>227</v>
      </c>
      <c r="S84">
        <f t="shared" si="10"/>
        <v>0</v>
      </c>
      <c r="T84" s="56" t="str">
        <f t="shared" si="11"/>
        <v/>
      </c>
    </row>
    <row r="85" spans="1:20" hidden="1" x14ac:dyDescent="0.2">
      <c r="A85" s="36" t="s">
        <v>18</v>
      </c>
      <c r="B85" s="36" t="s">
        <v>193</v>
      </c>
      <c r="C85" s="36" t="s">
        <v>196</v>
      </c>
      <c r="D85" s="37">
        <v>65</v>
      </c>
      <c r="F85" s="36" t="s">
        <v>224</v>
      </c>
      <c r="H85" s="36" t="s">
        <v>20</v>
      </c>
      <c r="I85" s="36">
        <f t="shared" si="6"/>
        <v>0</v>
      </c>
      <c r="J85" s="36">
        <f t="shared" si="7"/>
        <v>0</v>
      </c>
      <c r="K85">
        <f t="shared" si="8"/>
        <v>0</v>
      </c>
      <c r="L85">
        <f t="shared" si="9"/>
        <v>0</v>
      </c>
      <c r="N85" s="36" t="s">
        <v>20</v>
      </c>
      <c r="O85" t="s">
        <v>227</v>
      </c>
      <c r="P85" t="s">
        <v>227</v>
      </c>
      <c r="Q85" t="s">
        <v>227</v>
      </c>
      <c r="R85" t="s">
        <v>227</v>
      </c>
      <c r="S85">
        <f t="shared" si="10"/>
        <v>0</v>
      </c>
      <c r="T85" s="56" t="str">
        <f t="shared" si="11"/>
        <v/>
      </c>
    </row>
    <row r="86" spans="1:20" x14ac:dyDescent="0.2">
      <c r="A86" s="36" t="s">
        <v>20</v>
      </c>
      <c r="B86" s="36" t="s">
        <v>193</v>
      </c>
      <c r="C86" s="36" t="s">
        <v>198</v>
      </c>
      <c r="D86" s="37">
        <v>61</v>
      </c>
      <c r="F86" s="36" t="s">
        <v>224</v>
      </c>
      <c r="H86" s="36" t="s">
        <v>23</v>
      </c>
      <c r="I86" s="36" t="str">
        <f t="shared" si="6"/>
        <v>y</v>
      </c>
      <c r="J86" s="36" t="str">
        <f t="shared" si="7"/>
        <v>y</v>
      </c>
      <c r="K86">
        <f t="shared" si="8"/>
        <v>0</v>
      </c>
      <c r="L86" t="str">
        <f t="shared" si="9"/>
        <v>y</v>
      </c>
      <c r="N86" s="36" t="s">
        <v>23</v>
      </c>
      <c r="O86">
        <v>11</v>
      </c>
      <c r="P86">
        <v>11.600000000000001</v>
      </c>
      <c r="Q86" t="s">
        <v>227</v>
      </c>
      <c r="R86">
        <v>2</v>
      </c>
      <c r="S86">
        <f t="shared" si="10"/>
        <v>3</v>
      </c>
      <c r="T86" s="56">
        <f t="shared" si="11"/>
        <v>8.2000000000000011</v>
      </c>
    </row>
    <row r="87" spans="1:20" hidden="1" x14ac:dyDescent="0.2">
      <c r="A87" s="36" t="s">
        <v>23</v>
      </c>
      <c r="B87" s="36" t="s">
        <v>193</v>
      </c>
      <c r="C87" s="36" t="s">
        <v>198</v>
      </c>
      <c r="D87" s="37">
        <v>19</v>
      </c>
      <c r="E87" s="36" t="s">
        <v>222</v>
      </c>
      <c r="F87" s="36" t="s">
        <v>224</v>
      </c>
      <c r="H87" s="36" t="s">
        <v>24</v>
      </c>
      <c r="I87" s="36">
        <f t="shared" si="6"/>
        <v>0</v>
      </c>
      <c r="J87" s="36">
        <f t="shared" si="7"/>
        <v>0</v>
      </c>
      <c r="K87">
        <f t="shared" si="8"/>
        <v>0</v>
      </c>
      <c r="L87">
        <f t="shared" si="9"/>
        <v>0</v>
      </c>
      <c r="N87" s="36" t="s">
        <v>24</v>
      </c>
      <c r="O87" t="s">
        <v>227</v>
      </c>
      <c r="P87" t="s">
        <v>227</v>
      </c>
      <c r="Q87" t="s">
        <v>227</v>
      </c>
      <c r="R87" t="s">
        <v>227</v>
      </c>
      <c r="S87">
        <f t="shared" si="10"/>
        <v>0</v>
      </c>
      <c r="T87" s="56" t="str">
        <f t="shared" si="11"/>
        <v/>
      </c>
    </row>
    <row r="88" spans="1:20" x14ac:dyDescent="0.2">
      <c r="A88" s="36" t="s">
        <v>24</v>
      </c>
      <c r="B88" s="36" t="s">
        <v>193</v>
      </c>
      <c r="C88" s="36" t="s">
        <v>198</v>
      </c>
      <c r="D88" s="37">
        <v>70</v>
      </c>
      <c r="F88" s="36" t="s">
        <v>224</v>
      </c>
      <c r="H88" s="36" t="s">
        <v>26</v>
      </c>
      <c r="I88" s="36" t="str">
        <f t="shared" si="6"/>
        <v>y</v>
      </c>
      <c r="J88" s="36" t="str">
        <f t="shared" si="7"/>
        <v>y</v>
      </c>
      <c r="K88" t="str">
        <f t="shared" si="8"/>
        <v>y</v>
      </c>
      <c r="L88" t="str">
        <f t="shared" si="9"/>
        <v>y</v>
      </c>
      <c r="N88" s="36" t="s">
        <v>26</v>
      </c>
      <c r="O88">
        <v>24.6</v>
      </c>
      <c r="P88">
        <v>25.6</v>
      </c>
      <c r="Q88">
        <v>12.6</v>
      </c>
      <c r="R88">
        <v>9.6</v>
      </c>
      <c r="S88">
        <f t="shared" si="10"/>
        <v>4</v>
      </c>
      <c r="T88" s="56">
        <f t="shared" si="11"/>
        <v>18.100000000000001</v>
      </c>
    </row>
    <row r="89" spans="1:20" hidden="1" x14ac:dyDescent="0.2">
      <c r="A89" s="36" t="s">
        <v>26</v>
      </c>
      <c r="B89" s="36" t="s">
        <v>193</v>
      </c>
      <c r="C89" s="36" t="s">
        <v>199</v>
      </c>
      <c r="D89" s="37">
        <v>26</v>
      </c>
      <c r="E89" s="36" t="s">
        <v>222</v>
      </c>
      <c r="F89" s="36" t="s">
        <v>224</v>
      </c>
      <c r="H89" s="36" t="s">
        <v>27</v>
      </c>
      <c r="I89" s="36">
        <f t="shared" si="6"/>
        <v>0</v>
      </c>
      <c r="J89" s="36">
        <f t="shared" si="7"/>
        <v>0</v>
      </c>
      <c r="K89">
        <f t="shared" si="8"/>
        <v>0</v>
      </c>
      <c r="L89">
        <f t="shared" si="9"/>
        <v>0</v>
      </c>
      <c r="N89" s="36" t="s">
        <v>27</v>
      </c>
      <c r="O89" t="s">
        <v>227</v>
      </c>
      <c r="P89" t="s">
        <v>227</v>
      </c>
      <c r="Q89" t="s">
        <v>227</v>
      </c>
      <c r="R89" t="s">
        <v>227</v>
      </c>
      <c r="S89">
        <f t="shared" si="10"/>
        <v>0</v>
      </c>
      <c r="T89" s="56" t="str">
        <f t="shared" si="11"/>
        <v/>
      </c>
    </row>
    <row r="90" spans="1:20" hidden="1" x14ac:dyDescent="0.2">
      <c r="A90" s="36" t="s">
        <v>27</v>
      </c>
      <c r="B90" s="36" t="s">
        <v>193</v>
      </c>
      <c r="C90" s="36" t="s">
        <v>199</v>
      </c>
      <c r="D90" s="37">
        <v>54</v>
      </c>
      <c r="F90" s="36" t="s">
        <v>224</v>
      </c>
      <c r="H90" s="36" t="s">
        <v>28</v>
      </c>
      <c r="I90" s="36">
        <f t="shared" si="6"/>
        <v>0</v>
      </c>
      <c r="J90" s="36">
        <f t="shared" si="7"/>
        <v>0</v>
      </c>
      <c r="K90">
        <f t="shared" si="8"/>
        <v>0</v>
      </c>
      <c r="L90">
        <f t="shared" si="9"/>
        <v>0</v>
      </c>
      <c r="N90" s="36" t="s">
        <v>28</v>
      </c>
      <c r="O90" t="s">
        <v>227</v>
      </c>
      <c r="P90" t="s">
        <v>227</v>
      </c>
      <c r="Q90" t="s">
        <v>227</v>
      </c>
      <c r="R90" t="s">
        <v>227</v>
      </c>
      <c r="S90">
        <f t="shared" si="10"/>
        <v>0</v>
      </c>
      <c r="T90" s="56" t="str">
        <f t="shared" si="11"/>
        <v/>
      </c>
    </row>
    <row r="91" spans="1:20" hidden="1" x14ac:dyDescent="0.2">
      <c r="A91" s="36" t="s">
        <v>28</v>
      </c>
      <c r="B91" s="36" t="s">
        <v>193</v>
      </c>
      <c r="C91" s="36" t="s">
        <v>200</v>
      </c>
      <c r="D91" s="37">
        <v>51</v>
      </c>
      <c r="F91" s="36" t="s">
        <v>224</v>
      </c>
      <c r="H91" s="36" t="s">
        <v>29</v>
      </c>
      <c r="I91" s="36">
        <f t="shared" si="6"/>
        <v>0</v>
      </c>
      <c r="J91" s="36">
        <f t="shared" si="7"/>
        <v>0</v>
      </c>
      <c r="K91">
        <f t="shared" si="8"/>
        <v>0</v>
      </c>
      <c r="L91">
        <f t="shared" si="9"/>
        <v>0</v>
      </c>
      <c r="N91" s="36" t="s">
        <v>29</v>
      </c>
      <c r="O91" t="s">
        <v>227</v>
      </c>
      <c r="P91" t="s">
        <v>227</v>
      </c>
      <c r="Q91" t="s">
        <v>227</v>
      </c>
      <c r="R91" t="s">
        <v>227</v>
      </c>
      <c r="S91">
        <f t="shared" si="10"/>
        <v>0</v>
      </c>
      <c r="T91" s="56" t="str">
        <f t="shared" si="11"/>
        <v/>
      </c>
    </row>
    <row r="92" spans="1:20" x14ac:dyDescent="0.2">
      <c r="A92" s="36" t="s">
        <v>29</v>
      </c>
      <c r="B92" s="36" t="s">
        <v>193</v>
      </c>
      <c r="C92" s="36" t="s">
        <v>200</v>
      </c>
      <c r="D92" s="37">
        <v>51</v>
      </c>
      <c r="F92" s="36" t="s">
        <v>224</v>
      </c>
      <c r="H92" s="36" t="s">
        <v>30</v>
      </c>
      <c r="I92" s="36" t="str">
        <f t="shared" si="6"/>
        <v>y</v>
      </c>
      <c r="J92" s="36" t="str">
        <f t="shared" si="7"/>
        <v>y</v>
      </c>
      <c r="K92" t="str">
        <f t="shared" si="8"/>
        <v>y</v>
      </c>
      <c r="L92" t="str">
        <f t="shared" si="9"/>
        <v>y</v>
      </c>
      <c r="N92" s="36" t="s">
        <v>30</v>
      </c>
      <c r="O92">
        <v>3</v>
      </c>
      <c r="P92">
        <v>17</v>
      </c>
      <c r="Q92">
        <v>25.4</v>
      </c>
      <c r="R92">
        <v>2</v>
      </c>
      <c r="S92">
        <f t="shared" si="10"/>
        <v>4</v>
      </c>
      <c r="T92" s="56">
        <f t="shared" si="11"/>
        <v>11.85</v>
      </c>
    </row>
    <row r="93" spans="1:20" x14ac:dyDescent="0.2">
      <c r="A93" s="36" t="s">
        <v>30</v>
      </c>
      <c r="B93" s="36" t="s">
        <v>193</v>
      </c>
      <c r="C93" s="36" t="s">
        <v>200</v>
      </c>
      <c r="D93" s="37">
        <v>29</v>
      </c>
      <c r="E93" s="36" t="s">
        <v>222</v>
      </c>
      <c r="F93" s="36" t="s">
        <v>224</v>
      </c>
      <c r="H93" s="36" t="s">
        <v>31</v>
      </c>
      <c r="I93" s="36" t="str">
        <f t="shared" si="6"/>
        <v>y</v>
      </c>
      <c r="J93" s="36" t="str">
        <f t="shared" si="7"/>
        <v>y</v>
      </c>
      <c r="K93" t="str">
        <f t="shared" si="8"/>
        <v>y</v>
      </c>
      <c r="L93" t="str">
        <f t="shared" si="9"/>
        <v>y</v>
      </c>
      <c r="N93" s="36" t="s">
        <v>31</v>
      </c>
      <c r="O93">
        <v>7</v>
      </c>
      <c r="P93">
        <v>15.2</v>
      </c>
      <c r="Q93">
        <v>1.6</v>
      </c>
      <c r="R93">
        <v>5</v>
      </c>
      <c r="S93">
        <f t="shared" si="10"/>
        <v>4</v>
      </c>
      <c r="T93" s="56">
        <f t="shared" si="11"/>
        <v>7.2</v>
      </c>
    </row>
    <row r="94" spans="1:20" x14ac:dyDescent="0.2">
      <c r="A94" s="36" t="s">
        <v>31</v>
      </c>
      <c r="B94" s="36" t="s">
        <v>193</v>
      </c>
      <c r="C94" s="36" t="s">
        <v>200</v>
      </c>
      <c r="D94" s="37">
        <v>29</v>
      </c>
      <c r="E94" s="36" t="s">
        <v>222</v>
      </c>
      <c r="F94" s="36" t="s">
        <v>224</v>
      </c>
      <c r="H94" s="36" t="s">
        <v>32</v>
      </c>
      <c r="I94" s="36" t="str">
        <f t="shared" si="6"/>
        <v>y</v>
      </c>
      <c r="J94" s="36" t="str">
        <f t="shared" si="7"/>
        <v>y</v>
      </c>
      <c r="K94" t="str">
        <f t="shared" si="8"/>
        <v>y</v>
      </c>
      <c r="L94">
        <f t="shared" si="9"/>
        <v>0</v>
      </c>
      <c r="N94" s="36" t="s">
        <v>32</v>
      </c>
      <c r="O94">
        <v>11</v>
      </c>
      <c r="P94">
        <v>5.6</v>
      </c>
      <c r="Q94">
        <v>8.8000000000000007</v>
      </c>
      <c r="R94" t="s">
        <v>227</v>
      </c>
      <c r="S94">
        <f t="shared" si="10"/>
        <v>3</v>
      </c>
      <c r="T94" s="56">
        <f t="shared" si="11"/>
        <v>8.4666666666666668</v>
      </c>
    </row>
    <row r="95" spans="1:20" hidden="1" x14ac:dyDescent="0.2">
      <c r="A95" s="36" t="s">
        <v>32</v>
      </c>
      <c r="B95" s="36" t="s">
        <v>193</v>
      </c>
      <c r="C95" s="36" t="s">
        <v>201</v>
      </c>
      <c r="D95" s="37">
        <v>19</v>
      </c>
      <c r="E95" s="36" t="s">
        <v>222</v>
      </c>
      <c r="F95" s="36" t="s">
        <v>224</v>
      </c>
      <c r="H95" s="36" t="s">
        <v>33</v>
      </c>
      <c r="I95" s="36">
        <f t="shared" si="6"/>
        <v>0</v>
      </c>
      <c r="J95" s="36">
        <f t="shared" si="7"/>
        <v>0</v>
      </c>
      <c r="K95">
        <f t="shared" si="8"/>
        <v>0</v>
      </c>
      <c r="L95">
        <f t="shared" si="9"/>
        <v>0</v>
      </c>
      <c r="N95" s="36" t="s">
        <v>33</v>
      </c>
      <c r="O95" t="s">
        <v>227</v>
      </c>
      <c r="P95" t="s">
        <v>227</v>
      </c>
      <c r="Q95" t="s">
        <v>227</v>
      </c>
      <c r="R95" t="s">
        <v>227</v>
      </c>
      <c r="S95">
        <f t="shared" si="10"/>
        <v>0</v>
      </c>
      <c r="T95" s="56" t="str">
        <f t="shared" si="11"/>
        <v/>
      </c>
    </row>
    <row r="96" spans="1:20" hidden="1" x14ac:dyDescent="0.2">
      <c r="A96" s="36" t="s">
        <v>33</v>
      </c>
      <c r="B96" s="36" t="s">
        <v>193</v>
      </c>
      <c r="C96" s="36" t="s">
        <v>201</v>
      </c>
      <c r="D96" s="37">
        <v>61</v>
      </c>
      <c r="F96" s="36" t="s">
        <v>224</v>
      </c>
      <c r="H96" s="36" t="s">
        <v>223</v>
      </c>
      <c r="I96" s="36">
        <f t="shared" si="6"/>
        <v>0</v>
      </c>
      <c r="J96" s="36">
        <f t="shared" si="7"/>
        <v>0</v>
      </c>
      <c r="K96">
        <f t="shared" si="8"/>
        <v>0</v>
      </c>
      <c r="L96">
        <f t="shared" si="9"/>
        <v>0</v>
      </c>
      <c r="N96" s="36" t="s">
        <v>223</v>
      </c>
      <c r="O96" t="s">
        <v>227</v>
      </c>
      <c r="P96" t="s">
        <v>227</v>
      </c>
      <c r="Q96" t="s">
        <v>227</v>
      </c>
      <c r="R96" t="s">
        <v>227</v>
      </c>
      <c r="S96">
        <f t="shared" si="10"/>
        <v>0</v>
      </c>
      <c r="T96" s="56" t="str">
        <f t="shared" si="11"/>
        <v/>
      </c>
    </row>
    <row r="97" spans="1:20" ht="16" thickBot="1" x14ac:dyDescent="0.25">
      <c r="H97" s="36" t="s">
        <v>148</v>
      </c>
      <c r="I97" s="36">
        <f t="shared" si="6"/>
        <v>0</v>
      </c>
      <c r="J97" s="36" t="str">
        <f t="shared" si="7"/>
        <v>y</v>
      </c>
      <c r="K97">
        <f t="shared" si="8"/>
        <v>0</v>
      </c>
      <c r="L97" t="str">
        <f t="shared" si="9"/>
        <v>y</v>
      </c>
      <c r="N97" s="36" t="s">
        <v>148</v>
      </c>
      <c r="O97" t="s">
        <v>227</v>
      </c>
      <c r="P97">
        <v>30.6</v>
      </c>
      <c r="Q97" t="s">
        <v>227</v>
      </c>
      <c r="R97">
        <v>6.6000000000000005</v>
      </c>
      <c r="S97">
        <f t="shared" si="10"/>
        <v>2</v>
      </c>
      <c r="T97" s="56">
        <f t="shared" si="11"/>
        <v>18.600000000000001</v>
      </c>
    </row>
    <row r="98" spans="1:20" ht="16" hidden="1" thickBot="1" x14ac:dyDescent="0.25">
      <c r="A98" s="36" t="s">
        <v>223</v>
      </c>
      <c r="H98" s="36" t="s">
        <v>13</v>
      </c>
      <c r="I98" s="36">
        <f t="shared" si="6"/>
        <v>0</v>
      </c>
      <c r="J98" s="36">
        <f t="shared" si="7"/>
        <v>0</v>
      </c>
      <c r="K98">
        <f t="shared" si="8"/>
        <v>0</v>
      </c>
      <c r="L98">
        <f t="shared" si="9"/>
        <v>0</v>
      </c>
      <c r="N98" s="36" t="s">
        <v>13</v>
      </c>
      <c r="O98" t="s">
        <v>227</v>
      </c>
      <c r="P98" t="s">
        <v>227</v>
      </c>
      <c r="Q98" t="s">
        <v>227</v>
      </c>
      <c r="R98" t="s">
        <v>227</v>
      </c>
      <c r="S98">
        <f t="shared" si="10"/>
        <v>0</v>
      </c>
      <c r="T98" s="56" t="str">
        <f t="shared" si="11"/>
        <v/>
      </c>
    </row>
    <row r="99" spans="1:20" ht="16" hidden="1" thickBot="1" x14ac:dyDescent="0.25">
      <c r="A99" s="39" t="s">
        <v>0</v>
      </c>
      <c r="B99" s="40" t="s">
        <v>203</v>
      </c>
      <c r="C99" s="40" t="s">
        <v>202</v>
      </c>
      <c r="D99" s="40" t="s">
        <v>205</v>
      </c>
      <c r="H99" s="83" t="s">
        <v>14</v>
      </c>
      <c r="I99" s="36">
        <f t="shared" si="6"/>
        <v>0</v>
      </c>
      <c r="J99" s="36">
        <f t="shared" si="7"/>
        <v>0</v>
      </c>
      <c r="K99">
        <f t="shared" si="8"/>
        <v>0</v>
      </c>
      <c r="L99">
        <f t="shared" si="9"/>
        <v>0</v>
      </c>
      <c r="N99" s="36" t="s">
        <v>14</v>
      </c>
      <c r="O99" t="s">
        <v>227</v>
      </c>
      <c r="P99" t="s">
        <v>227</v>
      </c>
      <c r="Q99" t="s">
        <v>227</v>
      </c>
      <c r="R99" t="s">
        <v>227</v>
      </c>
      <c r="S99">
        <f t="shared" si="10"/>
        <v>0</v>
      </c>
      <c r="T99" s="56" t="str">
        <f t="shared" si="11"/>
        <v/>
      </c>
    </row>
    <row r="100" spans="1:20" ht="16" thickBot="1" x14ac:dyDescent="0.25">
      <c r="A100" s="77" t="s">
        <v>129</v>
      </c>
      <c r="B100" s="36" t="s">
        <v>189</v>
      </c>
      <c r="C100" s="36" t="s">
        <v>195</v>
      </c>
      <c r="D100" s="37">
        <v>14</v>
      </c>
      <c r="E100" s="36" t="s">
        <v>222</v>
      </c>
      <c r="F100" s="36" t="s">
        <v>223</v>
      </c>
      <c r="H100" s="77" t="s">
        <v>21</v>
      </c>
      <c r="I100" s="36">
        <f t="shared" si="6"/>
        <v>0</v>
      </c>
      <c r="J100" s="36" t="str">
        <f t="shared" si="7"/>
        <v>y</v>
      </c>
      <c r="K100" t="str">
        <f t="shared" si="8"/>
        <v>y</v>
      </c>
      <c r="L100">
        <f t="shared" si="9"/>
        <v>0</v>
      </c>
      <c r="N100" s="36" t="s">
        <v>21</v>
      </c>
      <c r="O100" t="s">
        <v>227</v>
      </c>
      <c r="P100">
        <v>6</v>
      </c>
      <c r="Q100">
        <v>29.2</v>
      </c>
      <c r="R100" t="s">
        <v>227</v>
      </c>
      <c r="S100">
        <f t="shared" si="10"/>
        <v>2</v>
      </c>
      <c r="T100" s="56">
        <f t="shared" si="11"/>
        <v>17.600000000000001</v>
      </c>
    </row>
    <row r="101" spans="1:20" ht="16" hidden="1" thickBot="1" x14ac:dyDescent="0.25">
      <c r="A101" s="76" t="s">
        <v>130</v>
      </c>
      <c r="B101" s="36" t="s">
        <v>189</v>
      </c>
      <c r="C101" s="36" t="s">
        <v>195</v>
      </c>
      <c r="D101" s="37">
        <v>66</v>
      </c>
      <c r="F101" s="36" t="s">
        <v>223</v>
      </c>
      <c r="H101" s="76" t="s">
        <v>40</v>
      </c>
      <c r="I101" s="36">
        <f t="shared" si="6"/>
        <v>0</v>
      </c>
      <c r="J101" s="36">
        <f t="shared" si="7"/>
        <v>0</v>
      </c>
      <c r="K101">
        <f t="shared" si="8"/>
        <v>0</v>
      </c>
      <c r="L101">
        <f t="shared" si="9"/>
        <v>0</v>
      </c>
      <c r="N101" s="36" t="s">
        <v>40</v>
      </c>
      <c r="O101" t="s">
        <v>227</v>
      </c>
      <c r="P101" t="s">
        <v>227</v>
      </c>
      <c r="Q101" t="s">
        <v>227</v>
      </c>
      <c r="R101" t="s">
        <v>227</v>
      </c>
      <c r="S101">
        <f t="shared" si="10"/>
        <v>0</v>
      </c>
      <c r="T101" s="56" t="str">
        <f t="shared" si="11"/>
        <v/>
      </c>
    </row>
    <row r="102" spans="1:20" ht="16" hidden="1" thickBot="1" x14ac:dyDescent="0.25">
      <c r="A102" s="76" t="s">
        <v>132</v>
      </c>
      <c r="B102" s="36" t="s">
        <v>189</v>
      </c>
      <c r="C102" s="36" t="s">
        <v>196</v>
      </c>
      <c r="D102" s="37">
        <v>32</v>
      </c>
      <c r="E102" s="36" t="s">
        <v>222</v>
      </c>
      <c r="F102" s="36" t="s">
        <v>223</v>
      </c>
      <c r="H102" s="76" t="s">
        <v>52</v>
      </c>
      <c r="I102" s="36">
        <f t="shared" si="6"/>
        <v>0</v>
      </c>
      <c r="J102" s="36">
        <f t="shared" si="7"/>
        <v>0</v>
      </c>
      <c r="K102">
        <f t="shared" si="8"/>
        <v>0</v>
      </c>
      <c r="L102">
        <f t="shared" si="9"/>
        <v>0</v>
      </c>
      <c r="N102" s="36" t="s">
        <v>52</v>
      </c>
      <c r="O102" t="s">
        <v>227</v>
      </c>
      <c r="P102" t="s">
        <v>227</v>
      </c>
      <c r="Q102" t="s">
        <v>227</v>
      </c>
      <c r="R102" t="s">
        <v>227</v>
      </c>
      <c r="S102">
        <f t="shared" si="10"/>
        <v>0</v>
      </c>
      <c r="T102" s="56" t="str">
        <f t="shared" si="11"/>
        <v/>
      </c>
    </row>
    <row r="103" spans="1:20" ht="16" hidden="1" thickBot="1" x14ac:dyDescent="0.25">
      <c r="A103" s="77" t="s">
        <v>133</v>
      </c>
      <c r="B103" s="36" t="s">
        <v>189</v>
      </c>
      <c r="C103" s="36" t="s">
        <v>196</v>
      </c>
      <c r="D103" s="37">
        <v>48</v>
      </c>
      <c r="F103" s="36" t="s">
        <v>223</v>
      </c>
      <c r="H103" s="77" t="s">
        <v>57</v>
      </c>
      <c r="I103" s="36">
        <f t="shared" si="6"/>
        <v>0</v>
      </c>
      <c r="J103" s="36">
        <f t="shared" si="7"/>
        <v>0</v>
      </c>
      <c r="K103">
        <f t="shared" si="8"/>
        <v>0</v>
      </c>
      <c r="L103">
        <f t="shared" si="9"/>
        <v>0</v>
      </c>
      <c r="N103" s="36" t="s">
        <v>57</v>
      </c>
      <c r="O103" t="s">
        <v>227</v>
      </c>
      <c r="P103" t="s">
        <v>227</v>
      </c>
      <c r="Q103" t="s">
        <v>227</v>
      </c>
      <c r="R103" t="s">
        <v>227</v>
      </c>
      <c r="S103">
        <f t="shared" si="10"/>
        <v>0</v>
      </c>
      <c r="T103" s="56" t="str">
        <f t="shared" si="11"/>
        <v/>
      </c>
    </row>
    <row r="104" spans="1:20" ht="16" thickBot="1" x14ac:dyDescent="0.25">
      <c r="A104" s="76" t="s">
        <v>134</v>
      </c>
      <c r="B104" s="36" t="s">
        <v>189</v>
      </c>
      <c r="C104" s="36" t="s">
        <v>197</v>
      </c>
      <c r="D104" s="37">
        <v>24</v>
      </c>
      <c r="E104" s="36" t="s">
        <v>222</v>
      </c>
      <c r="F104" s="36" t="s">
        <v>223</v>
      </c>
      <c r="H104" s="76" t="s">
        <v>62</v>
      </c>
      <c r="I104" s="36">
        <f t="shared" si="6"/>
        <v>0</v>
      </c>
      <c r="J104" s="36">
        <f t="shared" si="7"/>
        <v>0</v>
      </c>
      <c r="K104">
        <f t="shared" si="8"/>
        <v>0</v>
      </c>
      <c r="L104" t="str">
        <f t="shared" si="9"/>
        <v>y</v>
      </c>
      <c r="N104" s="36" t="s">
        <v>62</v>
      </c>
      <c r="O104" t="s">
        <v>227</v>
      </c>
      <c r="P104" t="s">
        <v>227</v>
      </c>
      <c r="Q104" t="s">
        <v>227</v>
      </c>
      <c r="R104">
        <v>1</v>
      </c>
      <c r="S104">
        <f t="shared" si="10"/>
        <v>1</v>
      </c>
      <c r="T104" s="56">
        <f t="shared" si="11"/>
        <v>1</v>
      </c>
    </row>
    <row r="105" spans="1:20" ht="16" thickBot="1" x14ac:dyDescent="0.25">
      <c r="A105" s="77" t="s">
        <v>135</v>
      </c>
      <c r="B105" s="36" t="s">
        <v>189</v>
      </c>
      <c r="C105" s="36" t="s">
        <v>197</v>
      </c>
      <c r="D105" s="37">
        <v>56</v>
      </c>
      <c r="F105" s="36" t="s">
        <v>223</v>
      </c>
      <c r="H105" s="77" t="s">
        <v>64</v>
      </c>
      <c r="I105" s="36">
        <f t="shared" si="6"/>
        <v>0</v>
      </c>
      <c r="J105" s="36" t="str">
        <f t="shared" si="7"/>
        <v>y</v>
      </c>
      <c r="K105">
        <f t="shared" si="8"/>
        <v>0</v>
      </c>
      <c r="L105">
        <f t="shared" si="9"/>
        <v>0</v>
      </c>
      <c r="N105" s="36" t="s">
        <v>64</v>
      </c>
      <c r="O105" t="s">
        <v>227</v>
      </c>
      <c r="P105">
        <v>4.5999999999999996</v>
      </c>
      <c r="Q105" t="s">
        <v>227</v>
      </c>
      <c r="R105" t="s">
        <v>227</v>
      </c>
      <c r="S105">
        <f t="shared" si="10"/>
        <v>1</v>
      </c>
      <c r="T105" s="56">
        <f t="shared" si="11"/>
        <v>4.5999999999999996</v>
      </c>
    </row>
    <row r="106" spans="1:20" ht="16" thickBot="1" x14ac:dyDescent="0.25">
      <c r="A106" s="76" t="s">
        <v>136</v>
      </c>
      <c r="B106" s="36" t="s">
        <v>189</v>
      </c>
      <c r="C106" s="36" t="s">
        <v>198</v>
      </c>
      <c r="D106" s="37">
        <v>24</v>
      </c>
      <c r="E106" s="36" t="s">
        <v>222</v>
      </c>
      <c r="F106" s="36" t="s">
        <v>223</v>
      </c>
      <c r="H106" s="76" t="s">
        <v>67</v>
      </c>
      <c r="I106" s="36">
        <f t="shared" si="6"/>
        <v>0</v>
      </c>
      <c r="J106" s="36" t="str">
        <f t="shared" si="7"/>
        <v>y</v>
      </c>
      <c r="K106">
        <f t="shared" si="8"/>
        <v>0</v>
      </c>
      <c r="L106">
        <f t="shared" si="9"/>
        <v>0</v>
      </c>
      <c r="N106" s="36" t="s">
        <v>67</v>
      </c>
      <c r="O106" t="s">
        <v>227</v>
      </c>
      <c r="P106">
        <v>13</v>
      </c>
      <c r="Q106" t="s">
        <v>227</v>
      </c>
      <c r="R106" t="s">
        <v>227</v>
      </c>
      <c r="S106">
        <f t="shared" si="10"/>
        <v>1</v>
      </c>
      <c r="T106" s="56">
        <f t="shared" si="11"/>
        <v>13</v>
      </c>
    </row>
    <row r="107" spans="1:20" ht="16" hidden="1" thickBot="1" x14ac:dyDescent="0.25">
      <c r="A107" s="76" t="s">
        <v>138</v>
      </c>
      <c r="B107" s="36" t="s">
        <v>189</v>
      </c>
      <c r="C107" s="36" t="s">
        <v>198</v>
      </c>
      <c r="D107" s="37">
        <v>56</v>
      </c>
      <c r="F107" s="36" t="s">
        <v>223</v>
      </c>
      <c r="H107" s="76" t="s">
        <v>68</v>
      </c>
      <c r="I107" s="36">
        <f t="shared" si="6"/>
        <v>0</v>
      </c>
      <c r="J107" s="36">
        <f t="shared" si="7"/>
        <v>0</v>
      </c>
      <c r="K107">
        <f t="shared" si="8"/>
        <v>0</v>
      </c>
      <c r="L107">
        <f t="shared" si="9"/>
        <v>0</v>
      </c>
      <c r="N107" s="36" t="s">
        <v>68</v>
      </c>
      <c r="O107" t="s">
        <v>227</v>
      </c>
      <c r="P107" t="s">
        <v>227</v>
      </c>
      <c r="Q107" t="s">
        <v>227</v>
      </c>
      <c r="R107" t="s">
        <v>227</v>
      </c>
      <c r="S107">
        <f t="shared" si="10"/>
        <v>0</v>
      </c>
      <c r="T107" s="56" t="str">
        <f t="shared" si="11"/>
        <v/>
      </c>
    </row>
    <row r="108" spans="1:20" ht="16" thickBot="1" x14ac:dyDescent="0.25">
      <c r="A108" s="76" t="s">
        <v>140</v>
      </c>
      <c r="B108" s="36" t="s">
        <v>189</v>
      </c>
      <c r="C108" s="36" t="s">
        <v>199</v>
      </c>
      <c r="D108" s="37">
        <v>45</v>
      </c>
      <c r="F108" s="36" t="s">
        <v>223</v>
      </c>
      <c r="H108" s="76" t="s">
        <v>71</v>
      </c>
      <c r="I108" s="36">
        <f t="shared" si="6"/>
        <v>0</v>
      </c>
      <c r="J108" s="36" t="str">
        <f t="shared" si="7"/>
        <v>y</v>
      </c>
      <c r="K108">
        <f t="shared" si="8"/>
        <v>0</v>
      </c>
      <c r="L108" t="str">
        <f t="shared" si="9"/>
        <v>y</v>
      </c>
      <c r="N108" s="36" t="s">
        <v>71</v>
      </c>
      <c r="O108" t="s">
        <v>227</v>
      </c>
      <c r="P108">
        <v>1.2</v>
      </c>
      <c r="Q108" t="s">
        <v>227</v>
      </c>
      <c r="R108">
        <v>2.4</v>
      </c>
      <c r="S108">
        <f t="shared" si="10"/>
        <v>2</v>
      </c>
      <c r="T108" s="56">
        <f t="shared" si="11"/>
        <v>1.7999999999999998</v>
      </c>
    </row>
    <row r="109" spans="1:20" ht="16" thickBot="1" x14ac:dyDescent="0.25">
      <c r="A109" s="77" t="s">
        <v>141</v>
      </c>
      <c r="B109" s="36" t="s">
        <v>189</v>
      </c>
      <c r="C109" s="36" t="s">
        <v>199</v>
      </c>
      <c r="D109" s="37">
        <v>35</v>
      </c>
      <c r="E109" s="36" t="s">
        <v>222</v>
      </c>
      <c r="F109" s="36" t="s">
        <v>223</v>
      </c>
      <c r="H109" s="77" t="s">
        <v>74</v>
      </c>
      <c r="I109" s="36">
        <f t="shared" si="6"/>
        <v>0</v>
      </c>
      <c r="J109" s="36" t="str">
        <f t="shared" si="7"/>
        <v>y</v>
      </c>
      <c r="K109">
        <f t="shared" si="8"/>
        <v>0</v>
      </c>
      <c r="L109">
        <f t="shared" si="9"/>
        <v>0</v>
      </c>
      <c r="N109" s="36" t="s">
        <v>74</v>
      </c>
      <c r="O109" t="s">
        <v>227</v>
      </c>
      <c r="P109">
        <v>9.6</v>
      </c>
      <c r="Q109" t="s">
        <v>227</v>
      </c>
      <c r="R109" t="s">
        <v>227</v>
      </c>
      <c r="S109">
        <f t="shared" si="10"/>
        <v>1</v>
      </c>
      <c r="T109" s="56">
        <f t="shared" si="11"/>
        <v>9.6</v>
      </c>
    </row>
    <row r="110" spans="1:20" ht="16" hidden="1" thickBot="1" x14ac:dyDescent="0.25">
      <c r="A110" s="77" t="s">
        <v>143</v>
      </c>
      <c r="B110" s="36" t="s">
        <v>189</v>
      </c>
      <c r="C110" s="36" t="s">
        <v>200</v>
      </c>
      <c r="D110" s="37">
        <v>61</v>
      </c>
      <c r="F110" s="36" t="s">
        <v>223</v>
      </c>
      <c r="H110" s="77" t="s">
        <v>76</v>
      </c>
      <c r="I110" s="36">
        <f t="shared" si="6"/>
        <v>0</v>
      </c>
      <c r="J110" s="36">
        <f t="shared" si="7"/>
        <v>0</v>
      </c>
      <c r="K110">
        <f t="shared" si="8"/>
        <v>0</v>
      </c>
      <c r="L110">
        <f t="shared" si="9"/>
        <v>0</v>
      </c>
      <c r="N110" s="36" t="s">
        <v>76</v>
      </c>
      <c r="O110" t="s">
        <v>227</v>
      </c>
      <c r="P110" t="s">
        <v>227</v>
      </c>
      <c r="Q110" t="s">
        <v>227</v>
      </c>
      <c r="R110" t="s">
        <v>227</v>
      </c>
      <c r="S110">
        <f t="shared" si="10"/>
        <v>0</v>
      </c>
      <c r="T110" s="56" t="str">
        <f t="shared" si="11"/>
        <v/>
      </c>
    </row>
    <row r="111" spans="1:20" ht="16" thickBot="1" x14ac:dyDescent="0.25">
      <c r="A111" s="76" t="s">
        <v>144</v>
      </c>
      <c r="B111" s="36" t="s">
        <v>189</v>
      </c>
      <c r="C111" s="36" t="s">
        <v>200</v>
      </c>
      <c r="D111" s="37">
        <v>11</v>
      </c>
      <c r="E111" s="36" t="s">
        <v>222</v>
      </c>
      <c r="F111" s="36" t="s">
        <v>223</v>
      </c>
      <c r="H111" s="76" t="s">
        <v>80</v>
      </c>
      <c r="I111" s="36">
        <f t="shared" si="6"/>
        <v>0</v>
      </c>
      <c r="J111" s="36" t="str">
        <f t="shared" si="7"/>
        <v>y</v>
      </c>
      <c r="K111" t="str">
        <f t="shared" si="8"/>
        <v>y</v>
      </c>
      <c r="L111" t="str">
        <f t="shared" si="9"/>
        <v>y</v>
      </c>
      <c r="N111" s="36" t="s">
        <v>80</v>
      </c>
      <c r="O111" t="s">
        <v>227</v>
      </c>
      <c r="P111">
        <v>18.399999999999999</v>
      </c>
      <c r="Q111">
        <v>2.4000000000000004</v>
      </c>
      <c r="R111">
        <v>3.8000000000000003</v>
      </c>
      <c r="S111">
        <f t="shared" si="10"/>
        <v>3</v>
      </c>
      <c r="T111" s="56">
        <f t="shared" si="11"/>
        <v>8.1999999999999993</v>
      </c>
    </row>
    <row r="112" spans="1:20" ht="16" hidden="1" thickBot="1" x14ac:dyDescent="0.25">
      <c r="A112" s="77" t="s">
        <v>145</v>
      </c>
      <c r="B112" s="36" t="s">
        <v>189</v>
      </c>
      <c r="C112" s="36" t="s">
        <v>200</v>
      </c>
      <c r="D112" s="37">
        <v>19</v>
      </c>
      <c r="E112" s="36" t="s">
        <v>222</v>
      </c>
      <c r="F112" s="36" t="s">
        <v>223</v>
      </c>
      <c r="H112" s="77" t="s">
        <v>86</v>
      </c>
      <c r="I112" s="36">
        <f t="shared" si="6"/>
        <v>0</v>
      </c>
      <c r="J112" s="36">
        <f t="shared" si="7"/>
        <v>0</v>
      </c>
      <c r="K112">
        <f t="shared" si="8"/>
        <v>0</v>
      </c>
      <c r="L112">
        <f t="shared" si="9"/>
        <v>0</v>
      </c>
      <c r="N112" s="36" t="s">
        <v>86</v>
      </c>
      <c r="O112" t="s">
        <v>227</v>
      </c>
      <c r="P112" t="s">
        <v>227</v>
      </c>
      <c r="Q112" t="s">
        <v>227</v>
      </c>
      <c r="R112" t="s">
        <v>227</v>
      </c>
      <c r="S112">
        <f t="shared" si="10"/>
        <v>0</v>
      </c>
      <c r="T112" s="56" t="str">
        <f t="shared" si="11"/>
        <v/>
      </c>
    </row>
    <row r="113" spans="1:20" ht="16" thickBot="1" x14ac:dyDescent="0.25">
      <c r="A113" s="76" t="s">
        <v>146</v>
      </c>
      <c r="B113" s="36" t="s">
        <v>189</v>
      </c>
      <c r="C113" s="36" t="s">
        <v>200</v>
      </c>
      <c r="D113" s="37">
        <v>69</v>
      </c>
      <c r="F113" s="36" t="s">
        <v>223</v>
      </c>
      <c r="H113" s="76" t="s">
        <v>87</v>
      </c>
      <c r="I113" s="36">
        <f t="shared" si="6"/>
        <v>0</v>
      </c>
      <c r="J113" s="36" t="str">
        <f t="shared" si="7"/>
        <v>y</v>
      </c>
      <c r="K113" t="str">
        <f t="shared" si="8"/>
        <v>y</v>
      </c>
      <c r="L113">
        <f t="shared" si="9"/>
        <v>0</v>
      </c>
      <c r="N113" s="36" t="s">
        <v>87</v>
      </c>
      <c r="O113" t="s">
        <v>227</v>
      </c>
      <c r="P113">
        <v>4</v>
      </c>
      <c r="Q113">
        <v>1.4000000000000001</v>
      </c>
      <c r="R113" t="s">
        <v>227</v>
      </c>
      <c r="S113">
        <f t="shared" si="10"/>
        <v>2</v>
      </c>
      <c r="T113" s="56">
        <f t="shared" si="11"/>
        <v>2.7</v>
      </c>
    </row>
    <row r="114" spans="1:20" ht="16" thickBot="1" x14ac:dyDescent="0.25">
      <c r="A114" s="77" t="s">
        <v>147</v>
      </c>
      <c r="B114" s="36" t="s">
        <v>189</v>
      </c>
      <c r="C114" s="36" t="s">
        <v>201</v>
      </c>
      <c r="D114" s="37">
        <v>25</v>
      </c>
      <c r="E114" s="36"/>
      <c r="F114" s="36" t="s">
        <v>223</v>
      </c>
      <c r="H114" s="77" t="s">
        <v>88</v>
      </c>
      <c r="I114" s="36">
        <f t="shared" si="6"/>
        <v>0</v>
      </c>
      <c r="J114" s="36" t="str">
        <f t="shared" si="7"/>
        <v>y</v>
      </c>
      <c r="K114" t="str">
        <f t="shared" si="8"/>
        <v>y</v>
      </c>
      <c r="L114" t="str">
        <f t="shared" si="9"/>
        <v>y</v>
      </c>
      <c r="N114" s="36" t="s">
        <v>88</v>
      </c>
      <c r="O114" t="s">
        <v>227</v>
      </c>
      <c r="P114">
        <v>12.2</v>
      </c>
      <c r="Q114">
        <v>1</v>
      </c>
      <c r="R114">
        <v>8.6</v>
      </c>
      <c r="S114">
        <f t="shared" si="10"/>
        <v>3</v>
      </c>
      <c r="T114" s="56">
        <f t="shared" si="11"/>
        <v>7.2666666666666657</v>
      </c>
    </row>
    <row r="115" spans="1:20" ht="16" hidden="1" thickBot="1" x14ac:dyDescent="0.25">
      <c r="A115" s="76" t="s">
        <v>148</v>
      </c>
      <c r="B115" s="36" t="s">
        <v>189</v>
      </c>
      <c r="C115" s="36" t="s">
        <v>201</v>
      </c>
      <c r="D115" s="37">
        <v>55</v>
      </c>
      <c r="E115" s="36" t="s">
        <v>222</v>
      </c>
      <c r="F115" s="36" t="s">
        <v>223</v>
      </c>
      <c r="H115" s="76" t="s">
        <v>93</v>
      </c>
      <c r="I115" s="36">
        <f t="shared" si="6"/>
        <v>0</v>
      </c>
      <c r="J115" s="36">
        <f t="shared" si="7"/>
        <v>0</v>
      </c>
      <c r="K115">
        <f t="shared" si="8"/>
        <v>0</v>
      </c>
      <c r="L115">
        <f t="shared" si="9"/>
        <v>0</v>
      </c>
      <c r="N115" s="36" t="s">
        <v>93</v>
      </c>
      <c r="O115" t="s">
        <v>227</v>
      </c>
      <c r="P115" t="s">
        <v>227</v>
      </c>
      <c r="Q115" t="s">
        <v>227</v>
      </c>
      <c r="R115" t="s">
        <v>227</v>
      </c>
      <c r="S115">
        <f t="shared" si="10"/>
        <v>0</v>
      </c>
      <c r="T115" s="56" t="str">
        <f t="shared" si="11"/>
        <v/>
      </c>
    </row>
    <row r="116" spans="1:20" ht="16" hidden="1" thickBot="1" x14ac:dyDescent="0.25">
      <c r="A116" s="77" t="s">
        <v>13</v>
      </c>
      <c r="B116" s="36" t="s">
        <v>193</v>
      </c>
      <c r="C116" s="36" t="s">
        <v>194</v>
      </c>
      <c r="D116" s="37">
        <v>61</v>
      </c>
      <c r="F116" s="36" t="s">
        <v>223</v>
      </c>
      <c r="H116" s="77" t="s">
        <v>101</v>
      </c>
      <c r="I116" s="36">
        <f t="shared" si="6"/>
        <v>0</v>
      </c>
      <c r="J116" s="36">
        <f t="shared" si="7"/>
        <v>0</v>
      </c>
      <c r="K116">
        <f t="shared" si="8"/>
        <v>0</v>
      </c>
      <c r="L116">
        <f t="shared" si="9"/>
        <v>0</v>
      </c>
      <c r="N116" s="36" t="s">
        <v>101</v>
      </c>
      <c r="O116" t="s">
        <v>227</v>
      </c>
      <c r="P116" t="s">
        <v>227</v>
      </c>
      <c r="Q116" t="s">
        <v>227</v>
      </c>
      <c r="R116" t="s">
        <v>227</v>
      </c>
      <c r="S116">
        <f t="shared" si="10"/>
        <v>0</v>
      </c>
      <c r="T116" s="56" t="str">
        <f t="shared" si="11"/>
        <v/>
      </c>
    </row>
    <row r="117" spans="1:20" ht="16" thickBot="1" x14ac:dyDescent="0.25">
      <c r="A117" s="76" t="s">
        <v>14</v>
      </c>
      <c r="B117" s="36" t="s">
        <v>193</v>
      </c>
      <c r="C117" s="36" t="s">
        <v>195</v>
      </c>
      <c r="D117" s="37">
        <v>68</v>
      </c>
      <c r="F117" s="36" t="s">
        <v>223</v>
      </c>
      <c r="H117" s="76" t="s">
        <v>102</v>
      </c>
      <c r="I117" s="36">
        <f t="shared" si="6"/>
        <v>0</v>
      </c>
      <c r="J117" s="36" t="str">
        <f t="shared" si="7"/>
        <v>y</v>
      </c>
      <c r="K117" t="str">
        <f t="shared" si="8"/>
        <v>y</v>
      </c>
      <c r="L117" t="str">
        <f t="shared" si="9"/>
        <v>y</v>
      </c>
      <c r="N117" s="36" t="s">
        <v>102</v>
      </c>
      <c r="O117" t="s">
        <v>227</v>
      </c>
      <c r="P117">
        <v>4.8</v>
      </c>
      <c r="Q117">
        <v>0</v>
      </c>
      <c r="R117">
        <v>7.2</v>
      </c>
      <c r="S117">
        <f t="shared" si="10"/>
        <v>3</v>
      </c>
      <c r="T117" s="56">
        <f t="shared" si="11"/>
        <v>4</v>
      </c>
    </row>
    <row r="118" spans="1:20" ht="16" thickBot="1" x14ac:dyDescent="0.25">
      <c r="A118" s="77" t="s">
        <v>17</v>
      </c>
      <c r="B118" s="36" t="s">
        <v>193</v>
      </c>
      <c r="C118" s="36" t="s">
        <v>196</v>
      </c>
      <c r="D118" s="37">
        <v>19</v>
      </c>
      <c r="E118" s="36" t="s">
        <v>222</v>
      </c>
      <c r="F118" s="36" t="s">
        <v>223</v>
      </c>
      <c r="H118" s="77" t="s">
        <v>109</v>
      </c>
      <c r="I118" s="36">
        <f t="shared" si="6"/>
        <v>0</v>
      </c>
      <c r="J118" s="36">
        <f t="shared" si="7"/>
        <v>0</v>
      </c>
      <c r="K118" t="str">
        <f t="shared" si="8"/>
        <v>y</v>
      </c>
      <c r="L118" t="str">
        <f t="shared" si="9"/>
        <v>y</v>
      </c>
      <c r="N118" s="36" t="s">
        <v>109</v>
      </c>
      <c r="O118" t="s">
        <v>227</v>
      </c>
      <c r="P118" t="s">
        <v>227</v>
      </c>
      <c r="Q118">
        <v>1</v>
      </c>
      <c r="R118">
        <v>4.8000000000000007</v>
      </c>
      <c r="S118">
        <f t="shared" si="10"/>
        <v>2</v>
      </c>
      <c r="T118" s="56">
        <f t="shared" si="11"/>
        <v>2.9000000000000004</v>
      </c>
    </row>
    <row r="119" spans="1:20" ht="16" hidden="1" thickBot="1" x14ac:dyDescent="0.25">
      <c r="A119" s="76" t="s">
        <v>20</v>
      </c>
      <c r="B119" s="36" t="s">
        <v>193</v>
      </c>
      <c r="C119" s="36" t="s">
        <v>198</v>
      </c>
      <c r="D119" s="37">
        <v>52</v>
      </c>
      <c r="F119" s="36" t="s">
        <v>223</v>
      </c>
      <c r="H119" s="76" t="s">
        <v>113</v>
      </c>
      <c r="I119" s="36">
        <f t="shared" si="6"/>
        <v>0</v>
      </c>
      <c r="J119" s="36">
        <f t="shared" si="7"/>
        <v>0</v>
      </c>
      <c r="K119">
        <f t="shared" si="8"/>
        <v>0</v>
      </c>
      <c r="L119">
        <f t="shared" si="9"/>
        <v>0</v>
      </c>
      <c r="N119" s="36" t="s">
        <v>113</v>
      </c>
      <c r="O119" t="s">
        <v>227</v>
      </c>
      <c r="P119" t="s">
        <v>227</v>
      </c>
      <c r="Q119" t="s">
        <v>227</v>
      </c>
      <c r="R119" t="s">
        <v>227</v>
      </c>
      <c r="S119">
        <f t="shared" si="10"/>
        <v>0</v>
      </c>
      <c r="T119" s="56" t="str">
        <f t="shared" si="11"/>
        <v/>
      </c>
    </row>
    <row r="120" spans="1:20" ht="16" thickBot="1" x14ac:dyDescent="0.25">
      <c r="A120" s="77" t="s">
        <v>21</v>
      </c>
      <c r="B120" s="36" t="s">
        <v>193</v>
      </c>
      <c r="C120" s="36" t="s">
        <v>198</v>
      </c>
      <c r="D120" s="37">
        <v>11</v>
      </c>
      <c r="E120" s="36" t="s">
        <v>222</v>
      </c>
      <c r="F120" s="36" t="s">
        <v>223</v>
      </c>
      <c r="H120" s="77" t="s">
        <v>115</v>
      </c>
      <c r="I120" s="36">
        <f t="shared" si="6"/>
        <v>0</v>
      </c>
      <c r="J120" s="36" t="str">
        <f t="shared" si="7"/>
        <v>y</v>
      </c>
      <c r="K120">
        <f t="shared" si="8"/>
        <v>0</v>
      </c>
      <c r="L120">
        <f t="shared" si="9"/>
        <v>0</v>
      </c>
      <c r="N120" s="36" t="s">
        <v>115</v>
      </c>
      <c r="O120" t="s">
        <v>227</v>
      </c>
      <c r="P120">
        <v>13.2</v>
      </c>
      <c r="Q120" t="s">
        <v>227</v>
      </c>
      <c r="R120" t="s">
        <v>227</v>
      </c>
      <c r="S120">
        <f t="shared" si="10"/>
        <v>1</v>
      </c>
      <c r="T120" s="56">
        <f t="shared" si="11"/>
        <v>13.2</v>
      </c>
    </row>
    <row r="121" spans="1:20" ht="16" thickBot="1" x14ac:dyDescent="0.25">
      <c r="A121" s="77" t="s">
        <v>23</v>
      </c>
      <c r="B121" s="36" t="s">
        <v>193</v>
      </c>
      <c r="C121" s="36" t="s">
        <v>198</v>
      </c>
      <c r="D121" s="37">
        <v>28</v>
      </c>
      <c r="E121" s="36" t="s">
        <v>222</v>
      </c>
      <c r="F121" s="36" t="s">
        <v>223</v>
      </c>
      <c r="H121" s="77" t="s">
        <v>122</v>
      </c>
      <c r="I121" s="36">
        <f t="shared" si="6"/>
        <v>0</v>
      </c>
      <c r="J121" s="36">
        <f t="shared" si="7"/>
        <v>0</v>
      </c>
      <c r="K121" t="str">
        <f t="shared" si="8"/>
        <v>y</v>
      </c>
      <c r="L121" t="str">
        <f t="shared" si="9"/>
        <v>y</v>
      </c>
      <c r="N121" s="36" t="s">
        <v>122</v>
      </c>
      <c r="O121" t="s">
        <v>227</v>
      </c>
      <c r="P121" t="s">
        <v>227</v>
      </c>
      <c r="Q121">
        <v>16</v>
      </c>
      <c r="R121">
        <v>4.8000000000000007</v>
      </c>
      <c r="S121">
        <f t="shared" si="10"/>
        <v>2</v>
      </c>
      <c r="T121" s="56">
        <f t="shared" si="11"/>
        <v>10.4</v>
      </c>
    </row>
    <row r="122" spans="1:20" ht="16" thickBot="1" x14ac:dyDescent="0.25">
      <c r="A122" s="76" t="s">
        <v>24</v>
      </c>
      <c r="B122" s="36" t="s">
        <v>193</v>
      </c>
      <c r="C122" s="36" t="s">
        <v>198</v>
      </c>
      <c r="D122" s="37">
        <v>69</v>
      </c>
      <c r="F122" s="36" t="s">
        <v>223</v>
      </c>
      <c r="H122" s="76" t="s">
        <v>149</v>
      </c>
      <c r="I122" s="36">
        <f t="shared" si="6"/>
        <v>0</v>
      </c>
      <c r="J122" s="36">
        <f t="shared" si="7"/>
        <v>0</v>
      </c>
      <c r="K122" t="str">
        <f t="shared" si="8"/>
        <v>y</v>
      </c>
      <c r="L122">
        <f t="shared" si="9"/>
        <v>0</v>
      </c>
      <c r="N122" s="36" t="s">
        <v>149</v>
      </c>
      <c r="O122" t="s">
        <v>227</v>
      </c>
      <c r="P122" t="s">
        <v>227</v>
      </c>
      <c r="Q122">
        <v>0</v>
      </c>
      <c r="R122" t="s">
        <v>227</v>
      </c>
      <c r="S122">
        <f t="shared" si="10"/>
        <v>1</v>
      </c>
      <c r="T122" s="56">
        <f t="shared" si="11"/>
        <v>0</v>
      </c>
    </row>
    <row r="123" spans="1:20" ht="16" thickBot="1" x14ac:dyDescent="0.25">
      <c r="A123" s="76" t="s">
        <v>26</v>
      </c>
      <c r="B123" s="36" t="s">
        <v>193</v>
      </c>
      <c r="C123" s="36" t="s">
        <v>199</v>
      </c>
      <c r="D123" s="37">
        <v>35</v>
      </c>
      <c r="E123" s="36" t="s">
        <v>222</v>
      </c>
      <c r="F123" s="36" t="s">
        <v>223</v>
      </c>
      <c r="H123" s="76" t="s">
        <v>150</v>
      </c>
      <c r="I123" s="36">
        <f t="shared" si="6"/>
        <v>0</v>
      </c>
      <c r="J123" s="36">
        <f t="shared" si="7"/>
        <v>0</v>
      </c>
      <c r="K123" t="str">
        <f t="shared" si="8"/>
        <v>y</v>
      </c>
      <c r="L123">
        <f t="shared" si="9"/>
        <v>0</v>
      </c>
      <c r="N123" s="36" t="s">
        <v>150</v>
      </c>
      <c r="O123" t="s">
        <v>227</v>
      </c>
      <c r="P123" t="s">
        <v>227</v>
      </c>
      <c r="Q123">
        <v>2</v>
      </c>
      <c r="R123" t="s">
        <v>227</v>
      </c>
      <c r="S123">
        <f t="shared" si="10"/>
        <v>1</v>
      </c>
      <c r="T123" s="56">
        <f t="shared" si="11"/>
        <v>2</v>
      </c>
    </row>
    <row r="124" spans="1:20" ht="16" thickBot="1" x14ac:dyDescent="0.25">
      <c r="A124" s="77" t="s">
        <v>27</v>
      </c>
      <c r="B124" s="36" t="s">
        <v>193</v>
      </c>
      <c r="C124" s="36" t="s">
        <v>199</v>
      </c>
      <c r="D124" s="37">
        <v>45</v>
      </c>
      <c r="F124" s="36" t="s">
        <v>223</v>
      </c>
      <c r="H124" s="77" t="s">
        <v>151</v>
      </c>
      <c r="I124" s="36">
        <f t="shared" si="6"/>
        <v>0</v>
      </c>
      <c r="J124" s="36">
        <f t="shared" si="7"/>
        <v>0</v>
      </c>
      <c r="K124" t="str">
        <f t="shared" si="8"/>
        <v>y</v>
      </c>
      <c r="L124" t="str">
        <f t="shared" si="9"/>
        <v>y</v>
      </c>
      <c r="N124" s="36" t="s">
        <v>151</v>
      </c>
      <c r="O124" t="s">
        <v>227</v>
      </c>
      <c r="P124" t="s">
        <v>227</v>
      </c>
      <c r="Q124">
        <v>23.6</v>
      </c>
      <c r="R124">
        <v>8.1999999999999993</v>
      </c>
      <c r="S124">
        <f t="shared" si="10"/>
        <v>2</v>
      </c>
      <c r="T124" s="56">
        <f t="shared" si="11"/>
        <v>15.9</v>
      </c>
    </row>
    <row r="125" spans="1:20" ht="16" hidden="1" thickBot="1" x14ac:dyDescent="0.25">
      <c r="A125" s="76" t="s">
        <v>28</v>
      </c>
      <c r="B125" s="36" t="s">
        <v>193</v>
      </c>
      <c r="C125" s="36" t="s">
        <v>200</v>
      </c>
      <c r="D125" s="37">
        <v>44</v>
      </c>
      <c r="F125" s="36" t="s">
        <v>223</v>
      </c>
      <c r="H125" s="76" t="s">
        <v>106</v>
      </c>
      <c r="I125" s="36">
        <f t="shared" si="6"/>
        <v>0</v>
      </c>
      <c r="J125" s="36">
        <f t="shared" si="7"/>
        <v>0</v>
      </c>
      <c r="K125">
        <f t="shared" si="8"/>
        <v>0</v>
      </c>
      <c r="L125">
        <f t="shared" si="9"/>
        <v>0</v>
      </c>
      <c r="N125" s="36" t="s">
        <v>106</v>
      </c>
      <c r="O125" t="s">
        <v>227</v>
      </c>
      <c r="P125" t="s">
        <v>227</v>
      </c>
      <c r="Q125" t="s">
        <v>227</v>
      </c>
      <c r="R125" t="s">
        <v>227</v>
      </c>
      <c r="S125">
        <f t="shared" si="10"/>
        <v>0</v>
      </c>
      <c r="T125" s="56" t="str">
        <f t="shared" si="11"/>
        <v/>
      </c>
    </row>
    <row r="126" spans="1:20" ht="16" thickBot="1" x14ac:dyDescent="0.25">
      <c r="A126" s="77" t="s">
        <v>29</v>
      </c>
      <c r="B126" s="36" t="s">
        <v>193</v>
      </c>
      <c r="C126" s="36" t="s">
        <v>200</v>
      </c>
      <c r="D126" s="37">
        <v>56</v>
      </c>
      <c r="F126" s="36" t="s">
        <v>223</v>
      </c>
      <c r="H126" s="77" t="s">
        <v>110</v>
      </c>
      <c r="I126" s="36">
        <f t="shared" si="6"/>
        <v>0</v>
      </c>
      <c r="J126" s="36">
        <f t="shared" si="7"/>
        <v>0</v>
      </c>
      <c r="K126" t="str">
        <f t="shared" si="8"/>
        <v>y</v>
      </c>
      <c r="L126">
        <f t="shared" si="9"/>
        <v>0</v>
      </c>
      <c r="N126" s="36" t="s">
        <v>110</v>
      </c>
      <c r="O126" t="s">
        <v>227</v>
      </c>
      <c r="P126" t="s">
        <v>227</v>
      </c>
      <c r="Q126">
        <v>3.8000000000000003</v>
      </c>
      <c r="R126" t="s">
        <v>227</v>
      </c>
      <c r="S126">
        <f t="shared" si="10"/>
        <v>1</v>
      </c>
      <c r="T126" s="56">
        <f t="shared" si="11"/>
        <v>3.8000000000000003</v>
      </c>
    </row>
    <row r="127" spans="1:20" ht="16" hidden="1" thickBot="1" x14ac:dyDescent="0.25">
      <c r="A127" s="76" t="s">
        <v>30</v>
      </c>
      <c r="B127" s="36" t="s">
        <v>193</v>
      </c>
      <c r="C127" s="36" t="s">
        <v>200</v>
      </c>
      <c r="D127" s="37">
        <v>36</v>
      </c>
      <c r="E127" s="36" t="s">
        <v>222</v>
      </c>
      <c r="F127" s="36" t="s">
        <v>223</v>
      </c>
      <c r="H127" s="76" t="s">
        <v>153</v>
      </c>
      <c r="I127" s="36">
        <f t="shared" si="6"/>
        <v>0</v>
      </c>
      <c r="J127" s="36">
        <f t="shared" si="7"/>
        <v>0</v>
      </c>
      <c r="K127">
        <f t="shared" si="8"/>
        <v>0</v>
      </c>
      <c r="L127">
        <f t="shared" si="9"/>
        <v>0</v>
      </c>
      <c r="N127" s="36" t="s">
        <v>153</v>
      </c>
      <c r="O127" t="s">
        <v>227</v>
      </c>
      <c r="P127" t="s">
        <v>227</v>
      </c>
      <c r="Q127" t="s">
        <v>227</v>
      </c>
      <c r="R127" t="s">
        <v>227</v>
      </c>
      <c r="S127">
        <f t="shared" si="10"/>
        <v>0</v>
      </c>
      <c r="T127" s="56" t="str">
        <f t="shared" si="11"/>
        <v/>
      </c>
    </row>
    <row r="128" spans="1:20" ht="16" thickBot="1" x14ac:dyDescent="0.25">
      <c r="A128" s="77" t="s">
        <v>31</v>
      </c>
      <c r="B128" s="36" t="s">
        <v>193</v>
      </c>
      <c r="C128" s="36" t="s">
        <v>200</v>
      </c>
      <c r="D128" s="37">
        <v>24</v>
      </c>
      <c r="E128" s="36" t="s">
        <v>222</v>
      </c>
      <c r="F128" s="36" t="s">
        <v>223</v>
      </c>
      <c r="H128" s="77" t="s">
        <v>158</v>
      </c>
      <c r="I128" s="36">
        <f t="shared" si="6"/>
        <v>0</v>
      </c>
      <c r="J128" s="36">
        <f t="shared" si="7"/>
        <v>0</v>
      </c>
      <c r="K128" t="str">
        <f t="shared" si="8"/>
        <v>y</v>
      </c>
      <c r="L128">
        <f t="shared" si="9"/>
        <v>0</v>
      </c>
      <c r="N128" s="36" t="s">
        <v>158</v>
      </c>
      <c r="O128" t="s">
        <v>227</v>
      </c>
      <c r="P128" t="s">
        <v>227</v>
      </c>
      <c r="Q128">
        <v>10.8</v>
      </c>
      <c r="R128" t="s">
        <v>227</v>
      </c>
      <c r="S128">
        <f t="shared" si="10"/>
        <v>1</v>
      </c>
      <c r="T128" s="56">
        <f t="shared" si="11"/>
        <v>10.8</v>
      </c>
    </row>
    <row r="129" spans="1:20" ht="16" thickBot="1" x14ac:dyDescent="0.25">
      <c r="A129" s="76" t="s">
        <v>32</v>
      </c>
      <c r="B129" s="36" t="s">
        <v>193</v>
      </c>
      <c r="C129" s="36" t="s">
        <v>201</v>
      </c>
      <c r="D129" s="37">
        <v>6</v>
      </c>
      <c r="E129" s="36" t="s">
        <v>222</v>
      </c>
      <c r="F129" s="36" t="s">
        <v>223</v>
      </c>
      <c r="H129" s="76" t="s">
        <v>160</v>
      </c>
      <c r="I129" s="36">
        <f t="shared" si="6"/>
        <v>0</v>
      </c>
      <c r="J129" s="36">
        <f t="shared" si="7"/>
        <v>0</v>
      </c>
      <c r="K129" t="str">
        <f t="shared" si="8"/>
        <v>y</v>
      </c>
      <c r="L129">
        <f t="shared" si="9"/>
        <v>0</v>
      </c>
      <c r="N129" s="36" t="s">
        <v>160</v>
      </c>
      <c r="O129" t="s">
        <v>227</v>
      </c>
      <c r="P129" t="s">
        <v>227</v>
      </c>
      <c r="Q129">
        <v>4</v>
      </c>
      <c r="R129" t="s">
        <v>227</v>
      </c>
      <c r="S129">
        <f t="shared" si="10"/>
        <v>1</v>
      </c>
      <c r="T129" s="56">
        <f t="shared" si="11"/>
        <v>4</v>
      </c>
    </row>
    <row r="130" spans="1:20" ht="16" hidden="1" thickBot="1" x14ac:dyDescent="0.25">
      <c r="A130" s="77" t="s">
        <v>33</v>
      </c>
      <c r="B130" s="36" t="s">
        <v>193</v>
      </c>
      <c r="C130" s="36" t="s">
        <v>201</v>
      </c>
      <c r="D130" s="37">
        <v>74</v>
      </c>
      <c r="F130" s="36" t="s">
        <v>223</v>
      </c>
      <c r="H130" s="77" t="s">
        <v>73</v>
      </c>
      <c r="I130" s="36">
        <f t="shared" si="6"/>
        <v>0</v>
      </c>
      <c r="J130" s="36">
        <f t="shared" si="7"/>
        <v>0</v>
      </c>
      <c r="K130">
        <f t="shared" si="8"/>
        <v>0</v>
      </c>
      <c r="L130">
        <f t="shared" si="9"/>
        <v>0</v>
      </c>
      <c r="N130" s="36" t="s">
        <v>73</v>
      </c>
      <c r="O130" t="s">
        <v>227</v>
      </c>
      <c r="P130" t="s">
        <v>227</v>
      </c>
      <c r="Q130" t="s">
        <v>227</v>
      </c>
      <c r="R130" t="s">
        <v>227</v>
      </c>
      <c r="S130">
        <f t="shared" si="10"/>
        <v>0</v>
      </c>
      <c r="T130" s="56" t="str">
        <f t="shared" si="11"/>
        <v/>
      </c>
    </row>
    <row r="131" spans="1:20" ht="16" thickBot="1" x14ac:dyDescent="0.25">
      <c r="A131" s="76" t="s">
        <v>34</v>
      </c>
      <c r="B131" s="36" t="s">
        <v>191</v>
      </c>
      <c r="C131" s="36" t="s">
        <v>194</v>
      </c>
      <c r="D131" s="37">
        <v>13</v>
      </c>
      <c r="F131" s="36" t="s">
        <v>223</v>
      </c>
      <c r="H131" s="76" t="s">
        <v>165</v>
      </c>
      <c r="I131" s="36">
        <f t="shared" si="6"/>
        <v>0</v>
      </c>
      <c r="J131" s="36">
        <f t="shared" si="7"/>
        <v>0</v>
      </c>
      <c r="K131" t="str">
        <f t="shared" si="8"/>
        <v>y</v>
      </c>
      <c r="L131">
        <f t="shared" si="9"/>
        <v>0</v>
      </c>
      <c r="N131" s="36" t="s">
        <v>165</v>
      </c>
      <c r="O131" t="s">
        <v>227</v>
      </c>
      <c r="P131" t="s">
        <v>227</v>
      </c>
      <c r="Q131">
        <v>4</v>
      </c>
      <c r="R131" t="s">
        <v>227</v>
      </c>
      <c r="S131">
        <f t="shared" si="10"/>
        <v>1</v>
      </c>
      <c r="T131" s="56">
        <f t="shared" si="11"/>
        <v>4</v>
      </c>
    </row>
    <row r="132" spans="1:20" ht="16" thickBot="1" x14ac:dyDescent="0.25">
      <c r="A132" s="77" t="s">
        <v>35</v>
      </c>
      <c r="B132" s="36" t="s">
        <v>191</v>
      </c>
      <c r="C132" s="36" t="s">
        <v>194</v>
      </c>
      <c r="D132" s="37">
        <v>67</v>
      </c>
      <c r="E132" s="36" t="s">
        <v>222</v>
      </c>
      <c r="F132" s="36" t="s">
        <v>223</v>
      </c>
      <c r="H132" s="77" t="s">
        <v>168</v>
      </c>
      <c r="I132" s="36">
        <f t="shared" si="6"/>
        <v>0</v>
      </c>
      <c r="J132" s="36">
        <f t="shared" si="7"/>
        <v>0</v>
      </c>
      <c r="K132" t="str">
        <f t="shared" si="8"/>
        <v>y</v>
      </c>
      <c r="L132">
        <f t="shared" si="9"/>
        <v>0</v>
      </c>
      <c r="N132" s="36" t="s">
        <v>168</v>
      </c>
      <c r="O132" t="s">
        <v>227</v>
      </c>
      <c r="P132" t="s">
        <v>227</v>
      </c>
      <c r="Q132">
        <v>2.2000000000000002</v>
      </c>
      <c r="R132" t="s">
        <v>227</v>
      </c>
      <c r="S132">
        <f t="shared" si="10"/>
        <v>1</v>
      </c>
      <c r="T132" s="56">
        <f t="shared" si="11"/>
        <v>2.2000000000000002</v>
      </c>
    </row>
    <row r="133" spans="1:20" ht="16" hidden="1" thickBot="1" x14ac:dyDescent="0.25">
      <c r="A133" s="76" t="s">
        <v>38</v>
      </c>
      <c r="B133" s="36" t="s">
        <v>191</v>
      </c>
      <c r="C133" s="36" t="s">
        <v>195</v>
      </c>
      <c r="D133" s="37">
        <v>8</v>
      </c>
      <c r="E133" s="36" t="s">
        <v>222</v>
      </c>
      <c r="F133" s="36" t="s">
        <v>223</v>
      </c>
      <c r="H133" s="76" t="s">
        <v>22</v>
      </c>
      <c r="I133" s="36">
        <f t="shared" ref="I133:I158" si="12">_xlfn.XLOOKUP(H133,$A$5:$A$96,$E$5:$E$96,0)</f>
        <v>0</v>
      </c>
      <c r="J133" s="36">
        <f t="shared" ref="J133:J158" si="13">_xlfn.XLOOKUP(H133,$A$100:$A$197,$E$100:$E$197,0)</f>
        <v>0</v>
      </c>
      <c r="K133">
        <f t="shared" ref="K133:K158" si="14">_xlfn.XLOOKUP(H133,$A$202:$A$292,$E$202:$E$292,0)</f>
        <v>0</v>
      </c>
      <c r="L133">
        <f t="shared" ref="L133:L158" si="15">_xlfn.XLOOKUP(H133,$A$296:$A$392,$E$296:$E$392,0)</f>
        <v>0</v>
      </c>
      <c r="N133" s="36" t="s">
        <v>22</v>
      </c>
      <c r="O133" t="s">
        <v>227</v>
      </c>
      <c r="P133" t="s">
        <v>227</v>
      </c>
      <c r="Q133" t="s">
        <v>227</v>
      </c>
      <c r="R133" t="s">
        <v>227</v>
      </c>
      <c r="S133">
        <f t="shared" ref="S133:S158" si="16">COUNT(O133:R133)</f>
        <v>0</v>
      </c>
      <c r="T133" s="56" t="str">
        <f t="shared" ref="T133:T158" si="17">IF(S133=0,"",SUM(O133:R133)/S133)</f>
        <v/>
      </c>
    </row>
    <row r="134" spans="1:20" ht="16" hidden="1" thickBot="1" x14ac:dyDescent="0.25">
      <c r="A134" s="76" t="s">
        <v>40</v>
      </c>
      <c r="B134" s="36" t="s">
        <v>191</v>
      </c>
      <c r="C134" s="36" t="s">
        <v>195</v>
      </c>
      <c r="D134" s="37">
        <v>72</v>
      </c>
      <c r="F134" s="36" t="s">
        <v>223</v>
      </c>
      <c r="H134" s="76" t="s">
        <v>169</v>
      </c>
      <c r="I134" s="36">
        <f t="shared" si="12"/>
        <v>0</v>
      </c>
      <c r="J134" s="36">
        <f t="shared" si="13"/>
        <v>0</v>
      </c>
      <c r="K134">
        <f t="shared" si="14"/>
        <v>0</v>
      </c>
      <c r="L134">
        <f t="shared" si="15"/>
        <v>0</v>
      </c>
      <c r="N134" s="36" t="s">
        <v>169</v>
      </c>
      <c r="O134" t="s">
        <v>227</v>
      </c>
      <c r="P134" t="s">
        <v>227</v>
      </c>
      <c r="Q134" t="s">
        <v>227</v>
      </c>
      <c r="R134" t="s">
        <v>227</v>
      </c>
      <c r="S134">
        <f t="shared" si="16"/>
        <v>0</v>
      </c>
      <c r="T134" s="56" t="str">
        <f t="shared" si="17"/>
        <v/>
      </c>
    </row>
    <row r="135" spans="1:20" ht="16" hidden="1" thickBot="1" x14ac:dyDescent="0.25">
      <c r="A135" s="76" t="s">
        <v>42</v>
      </c>
      <c r="B135" s="36" t="s">
        <v>191</v>
      </c>
      <c r="C135" s="36" t="s">
        <v>197</v>
      </c>
      <c r="D135" s="37">
        <v>21</v>
      </c>
      <c r="E135" s="36" t="s">
        <v>222</v>
      </c>
      <c r="F135" s="36" t="s">
        <v>223</v>
      </c>
      <c r="H135" s="76" t="s">
        <v>36</v>
      </c>
      <c r="I135" s="36">
        <f t="shared" si="12"/>
        <v>0</v>
      </c>
      <c r="J135" s="36">
        <f t="shared" si="13"/>
        <v>0</v>
      </c>
      <c r="K135">
        <f t="shared" si="14"/>
        <v>0</v>
      </c>
      <c r="L135">
        <f t="shared" si="15"/>
        <v>0</v>
      </c>
      <c r="N135" s="36" t="s">
        <v>36</v>
      </c>
      <c r="O135" t="s">
        <v>227</v>
      </c>
      <c r="P135" t="s">
        <v>227</v>
      </c>
      <c r="Q135" t="s">
        <v>227</v>
      </c>
      <c r="R135" t="s">
        <v>227</v>
      </c>
      <c r="S135">
        <f t="shared" si="16"/>
        <v>0</v>
      </c>
      <c r="T135" s="56" t="str">
        <f t="shared" si="17"/>
        <v/>
      </c>
    </row>
    <row r="136" spans="1:20" ht="16" thickBot="1" x14ac:dyDescent="0.25">
      <c r="A136" s="77" t="s">
        <v>43</v>
      </c>
      <c r="B136" s="36" t="s">
        <v>191</v>
      </c>
      <c r="C136" s="36" t="s">
        <v>197</v>
      </c>
      <c r="D136" s="37">
        <v>59</v>
      </c>
      <c r="F136" s="36" t="s">
        <v>223</v>
      </c>
      <c r="H136" s="77" t="s">
        <v>170</v>
      </c>
      <c r="I136" s="36">
        <f t="shared" si="12"/>
        <v>0</v>
      </c>
      <c r="J136" s="36">
        <f t="shared" si="13"/>
        <v>0</v>
      </c>
      <c r="K136" t="str">
        <f t="shared" si="14"/>
        <v>y</v>
      </c>
      <c r="L136" t="str">
        <f t="shared" si="15"/>
        <v>y</v>
      </c>
      <c r="N136" s="36" t="s">
        <v>170</v>
      </c>
      <c r="O136" t="s">
        <v>227</v>
      </c>
      <c r="P136" t="s">
        <v>227</v>
      </c>
      <c r="Q136">
        <v>8</v>
      </c>
      <c r="R136">
        <v>2</v>
      </c>
      <c r="S136">
        <f t="shared" si="16"/>
        <v>2</v>
      </c>
      <c r="T136" s="56">
        <f t="shared" si="17"/>
        <v>5</v>
      </c>
    </row>
    <row r="137" spans="1:20" ht="16" hidden="1" thickBot="1" x14ac:dyDescent="0.25">
      <c r="A137" s="76" t="s">
        <v>44</v>
      </c>
      <c r="B137" s="36" t="s">
        <v>191</v>
      </c>
      <c r="C137" s="36" t="s">
        <v>198</v>
      </c>
      <c r="D137" s="37">
        <v>39</v>
      </c>
      <c r="F137" s="36" t="s">
        <v>223</v>
      </c>
      <c r="H137" s="76" t="s">
        <v>46</v>
      </c>
      <c r="I137" s="36">
        <f t="shared" si="12"/>
        <v>0</v>
      </c>
      <c r="J137" s="36">
        <f t="shared" si="13"/>
        <v>0</v>
      </c>
      <c r="K137">
        <f t="shared" si="14"/>
        <v>0</v>
      </c>
      <c r="L137">
        <f t="shared" si="15"/>
        <v>0</v>
      </c>
      <c r="N137" s="36" t="s">
        <v>46</v>
      </c>
      <c r="O137" t="s">
        <v>227</v>
      </c>
      <c r="P137" t="s">
        <v>227</v>
      </c>
      <c r="Q137" t="s">
        <v>227</v>
      </c>
      <c r="R137" t="s">
        <v>227</v>
      </c>
      <c r="S137">
        <f t="shared" si="16"/>
        <v>0</v>
      </c>
      <c r="T137" s="56" t="str">
        <f t="shared" si="17"/>
        <v/>
      </c>
    </row>
    <row r="138" spans="1:20" ht="16" thickBot="1" x14ac:dyDescent="0.25">
      <c r="A138" s="77" t="s">
        <v>45</v>
      </c>
      <c r="B138" s="36" t="s">
        <v>191</v>
      </c>
      <c r="C138" s="36" t="s">
        <v>198</v>
      </c>
      <c r="D138" s="37">
        <v>36</v>
      </c>
      <c r="E138" s="36" t="s">
        <v>222</v>
      </c>
      <c r="F138" s="36" t="s">
        <v>223</v>
      </c>
      <c r="H138" s="77" t="s">
        <v>171</v>
      </c>
      <c r="I138" s="36">
        <f t="shared" si="12"/>
        <v>0</v>
      </c>
      <c r="J138" s="36">
        <f t="shared" si="13"/>
        <v>0</v>
      </c>
      <c r="K138" t="str">
        <f t="shared" si="14"/>
        <v>y</v>
      </c>
      <c r="L138">
        <f t="shared" si="15"/>
        <v>0</v>
      </c>
      <c r="N138" s="36" t="s">
        <v>171</v>
      </c>
      <c r="O138" t="s">
        <v>227</v>
      </c>
      <c r="P138" t="s">
        <v>227</v>
      </c>
      <c r="Q138">
        <v>11</v>
      </c>
      <c r="R138" t="s">
        <v>227</v>
      </c>
      <c r="S138">
        <f t="shared" si="16"/>
        <v>1</v>
      </c>
      <c r="T138" s="56">
        <f t="shared" si="17"/>
        <v>11</v>
      </c>
    </row>
    <row r="139" spans="1:20" ht="16" thickBot="1" x14ac:dyDescent="0.25">
      <c r="A139" s="76" t="s">
        <v>48</v>
      </c>
      <c r="B139" s="36" t="s">
        <v>191</v>
      </c>
      <c r="C139" s="36" t="s">
        <v>199</v>
      </c>
      <c r="D139" s="37">
        <v>64</v>
      </c>
      <c r="F139" s="36" t="s">
        <v>223</v>
      </c>
      <c r="H139" s="76" t="s">
        <v>172</v>
      </c>
      <c r="I139" s="36">
        <f t="shared" si="12"/>
        <v>0</v>
      </c>
      <c r="J139" s="36">
        <f t="shared" si="13"/>
        <v>0</v>
      </c>
      <c r="K139">
        <f t="shared" si="14"/>
        <v>0</v>
      </c>
      <c r="L139" t="str">
        <f t="shared" si="15"/>
        <v>y</v>
      </c>
      <c r="N139" s="36" t="s">
        <v>172</v>
      </c>
      <c r="O139" t="s">
        <v>227</v>
      </c>
      <c r="P139" t="s">
        <v>227</v>
      </c>
      <c r="Q139" t="s">
        <v>227</v>
      </c>
      <c r="R139">
        <v>2.6</v>
      </c>
      <c r="S139">
        <f t="shared" si="16"/>
        <v>1</v>
      </c>
      <c r="T139" s="56">
        <f t="shared" si="17"/>
        <v>2.6</v>
      </c>
    </row>
    <row r="140" spans="1:20" ht="16" hidden="1" thickBot="1" x14ac:dyDescent="0.25">
      <c r="A140" s="77" t="s">
        <v>49</v>
      </c>
      <c r="B140" s="36" t="s">
        <v>191</v>
      </c>
      <c r="C140" s="36" t="s">
        <v>199</v>
      </c>
      <c r="D140" s="37">
        <v>16</v>
      </c>
      <c r="E140" s="36" t="s">
        <v>222</v>
      </c>
      <c r="F140" s="36" t="s">
        <v>223</v>
      </c>
      <c r="H140" s="77" t="s">
        <v>50</v>
      </c>
      <c r="I140" s="36">
        <f t="shared" si="12"/>
        <v>0</v>
      </c>
      <c r="J140" s="36">
        <f t="shared" si="13"/>
        <v>0</v>
      </c>
      <c r="K140">
        <f t="shared" si="14"/>
        <v>0</v>
      </c>
      <c r="L140">
        <f t="shared" si="15"/>
        <v>0</v>
      </c>
      <c r="N140" s="36" t="s">
        <v>50</v>
      </c>
      <c r="O140" t="s">
        <v>227</v>
      </c>
      <c r="P140" t="s">
        <v>227</v>
      </c>
      <c r="Q140" t="s">
        <v>227</v>
      </c>
      <c r="R140" t="s">
        <v>227</v>
      </c>
      <c r="S140">
        <f t="shared" si="16"/>
        <v>0</v>
      </c>
      <c r="T140" s="56" t="str">
        <f t="shared" si="17"/>
        <v/>
      </c>
    </row>
    <row r="141" spans="1:20" ht="16" thickBot="1" x14ac:dyDescent="0.25">
      <c r="A141" s="77" t="s">
        <v>51</v>
      </c>
      <c r="B141" s="36" t="s">
        <v>191</v>
      </c>
      <c r="C141" s="36" t="s">
        <v>200</v>
      </c>
      <c r="D141" s="37">
        <v>16</v>
      </c>
      <c r="E141" s="36" t="s">
        <v>222</v>
      </c>
      <c r="F141" s="36" t="s">
        <v>223</v>
      </c>
      <c r="H141" s="77" t="s">
        <v>156</v>
      </c>
      <c r="I141" s="36">
        <f t="shared" si="12"/>
        <v>0</v>
      </c>
      <c r="J141" s="36">
        <f t="shared" si="13"/>
        <v>0</v>
      </c>
      <c r="K141">
        <f t="shared" si="14"/>
        <v>0</v>
      </c>
      <c r="L141" t="str">
        <f t="shared" si="15"/>
        <v>y</v>
      </c>
      <c r="N141" s="36" t="s">
        <v>156</v>
      </c>
      <c r="O141" t="s">
        <v>227</v>
      </c>
      <c r="P141" t="s">
        <v>227</v>
      </c>
      <c r="Q141" t="s">
        <v>227</v>
      </c>
      <c r="R141">
        <v>12.200000000000001</v>
      </c>
      <c r="S141">
        <f t="shared" si="16"/>
        <v>1</v>
      </c>
      <c r="T141" s="56">
        <f t="shared" si="17"/>
        <v>12.200000000000001</v>
      </c>
    </row>
    <row r="142" spans="1:20" ht="16" hidden="1" thickBot="1" x14ac:dyDescent="0.25">
      <c r="A142" s="76" t="s">
        <v>52</v>
      </c>
      <c r="B142" s="36" t="s">
        <v>191</v>
      </c>
      <c r="C142" s="36" t="s">
        <v>200</v>
      </c>
      <c r="D142" s="37">
        <v>64</v>
      </c>
      <c r="F142" s="36" t="s">
        <v>223</v>
      </c>
      <c r="H142" s="76" t="s">
        <v>82</v>
      </c>
      <c r="I142" s="36">
        <f t="shared" si="12"/>
        <v>0</v>
      </c>
      <c r="J142" s="36">
        <f t="shared" si="13"/>
        <v>0</v>
      </c>
      <c r="K142">
        <f t="shared" si="14"/>
        <v>0</v>
      </c>
      <c r="L142">
        <f t="shared" si="15"/>
        <v>0</v>
      </c>
      <c r="N142" s="36" t="s">
        <v>82</v>
      </c>
      <c r="O142" t="s">
        <v>227</v>
      </c>
      <c r="P142" t="s">
        <v>227</v>
      </c>
      <c r="Q142" t="s">
        <v>227</v>
      </c>
      <c r="R142" t="s">
        <v>227</v>
      </c>
      <c r="S142">
        <f t="shared" si="16"/>
        <v>0</v>
      </c>
      <c r="T142" s="56" t="str">
        <f t="shared" si="17"/>
        <v/>
      </c>
    </row>
    <row r="143" spans="1:20" ht="16" thickBot="1" x14ac:dyDescent="0.25">
      <c r="A143" s="77" t="s">
        <v>53</v>
      </c>
      <c r="B143" s="36" t="s">
        <v>191</v>
      </c>
      <c r="C143" s="36" t="s">
        <v>200</v>
      </c>
      <c r="D143" s="37">
        <v>16</v>
      </c>
      <c r="E143" s="36" t="s">
        <v>222</v>
      </c>
      <c r="F143" s="36" t="s">
        <v>223</v>
      </c>
      <c r="H143" s="77" t="s">
        <v>84</v>
      </c>
      <c r="I143" s="36">
        <f t="shared" si="12"/>
        <v>0</v>
      </c>
      <c r="J143" s="36">
        <f t="shared" si="13"/>
        <v>0</v>
      </c>
      <c r="K143">
        <f t="shared" si="14"/>
        <v>0</v>
      </c>
      <c r="L143" t="str">
        <f t="shared" si="15"/>
        <v>y</v>
      </c>
      <c r="N143" s="36" t="s">
        <v>84</v>
      </c>
      <c r="O143" t="s">
        <v>227</v>
      </c>
      <c r="P143" t="s">
        <v>227</v>
      </c>
      <c r="Q143" t="s">
        <v>227</v>
      </c>
      <c r="R143">
        <v>12.8</v>
      </c>
      <c r="S143">
        <f t="shared" si="16"/>
        <v>1</v>
      </c>
      <c r="T143" s="56">
        <f t="shared" si="17"/>
        <v>12.8</v>
      </c>
    </row>
    <row r="144" spans="1:20" ht="16" thickBot="1" x14ac:dyDescent="0.25">
      <c r="A144" s="76" t="s">
        <v>54</v>
      </c>
      <c r="B144" s="36" t="s">
        <v>191</v>
      </c>
      <c r="C144" s="36" t="s">
        <v>200</v>
      </c>
      <c r="D144" s="37">
        <v>64</v>
      </c>
      <c r="F144" s="36" t="s">
        <v>223</v>
      </c>
      <c r="H144" s="76" t="s">
        <v>173</v>
      </c>
      <c r="I144" s="36">
        <f t="shared" si="12"/>
        <v>0</v>
      </c>
      <c r="J144" s="36">
        <f t="shared" si="13"/>
        <v>0</v>
      </c>
      <c r="K144">
        <f t="shared" si="14"/>
        <v>0</v>
      </c>
      <c r="L144" t="str">
        <f t="shared" si="15"/>
        <v>y</v>
      </c>
      <c r="N144" s="36" t="s">
        <v>173</v>
      </c>
      <c r="O144" t="s">
        <v>227</v>
      </c>
      <c r="P144" t="s">
        <v>227</v>
      </c>
      <c r="Q144" t="s">
        <v>227</v>
      </c>
      <c r="R144">
        <v>0.60000000000000009</v>
      </c>
      <c r="S144">
        <f t="shared" si="16"/>
        <v>1</v>
      </c>
      <c r="T144" s="56">
        <f t="shared" si="17"/>
        <v>0.60000000000000009</v>
      </c>
    </row>
    <row r="145" spans="1:20" ht="16" thickBot="1" x14ac:dyDescent="0.25">
      <c r="A145" s="77" t="s">
        <v>55</v>
      </c>
      <c r="B145" s="36" t="s">
        <v>191</v>
      </c>
      <c r="C145" s="36" t="s">
        <v>201</v>
      </c>
      <c r="D145" s="37">
        <v>27</v>
      </c>
      <c r="E145" s="36" t="s">
        <v>222</v>
      </c>
      <c r="F145" s="36" t="s">
        <v>223</v>
      </c>
      <c r="H145" s="77" t="s">
        <v>174</v>
      </c>
      <c r="I145" s="36">
        <f t="shared" si="12"/>
        <v>0</v>
      </c>
      <c r="J145" s="36">
        <f t="shared" si="13"/>
        <v>0</v>
      </c>
      <c r="K145">
        <f t="shared" si="14"/>
        <v>0</v>
      </c>
      <c r="L145" t="str">
        <f t="shared" si="15"/>
        <v>y</v>
      </c>
      <c r="N145" s="36" t="s">
        <v>174</v>
      </c>
      <c r="O145" t="s">
        <v>227</v>
      </c>
      <c r="P145" t="s">
        <v>227</v>
      </c>
      <c r="Q145" t="s">
        <v>227</v>
      </c>
      <c r="R145">
        <v>11.2</v>
      </c>
      <c r="S145">
        <f t="shared" si="16"/>
        <v>1</v>
      </c>
      <c r="T145" s="56">
        <f t="shared" si="17"/>
        <v>11.2</v>
      </c>
    </row>
    <row r="146" spans="1:20" ht="16" hidden="1" thickBot="1" x14ac:dyDescent="0.25">
      <c r="A146" s="76" t="s">
        <v>56</v>
      </c>
      <c r="B146" s="36" t="s">
        <v>191</v>
      </c>
      <c r="C146" s="36" t="s">
        <v>201</v>
      </c>
      <c r="D146" s="37">
        <v>48</v>
      </c>
      <c r="F146" s="36" t="s">
        <v>223</v>
      </c>
      <c r="H146" s="76" t="s">
        <v>175</v>
      </c>
      <c r="I146" s="36">
        <f t="shared" si="12"/>
        <v>0</v>
      </c>
      <c r="J146" s="36">
        <f t="shared" si="13"/>
        <v>0</v>
      </c>
      <c r="K146">
        <f t="shared" si="14"/>
        <v>0</v>
      </c>
      <c r="L146">
        <f t="shared" si="15"/>
        <v>0</v>
      </c>
      <c r="N146" s="36" t="s">
        <v>175</v>
      </c>
      <c r="O146" t="s">
        <v>227</v>
      </c>
      <c r="P146" t="s">
        <v>227</v>
      </c>
      <c r="Q146" t="s">
        <v>227</v>
      </c>
      <c r="R146" t="s">
        <v>227</v>
      </c>
      <c r="S146">
        <f t="shared" si="16"/>
        <v>0</v>
      </c>
      <c r="T146" s="56" t="str">
        <f t="shared" si="17"/>
        <v/>
      </c>
    </row>
    <row r="147" spans="1:20" ht="16" thickBot="1" x14ac:dyDescent="0.25">
      <c r="A147" s="76" t="s">
        <v>57</v>
      </c>
      <c r="B147" s="36" t="s">
        <v>188</v>
      </c>
      <c r="C147" s="36" t="s">
        <v>194</v>
      </c>
      <c r="D147" s="37">
        <v>59</v>
      </c>
      <c r="F147" s="36" t="s">
        <v>223</v>
      </c>
      <c r="H147" s="76" t="s">
        <v>16</v>
      </c>
      <c r="I147" s="36">
        <f t="shared" si="12"/>
        <v>0</v>
      </c>
      <c r="J147" s="36">
        <f t="shared" si="13"/>
        <v>0</v>
      </c>
      <c r="K147">
        <f t="shared" si="14"/>
        <v>0</v>
      </c>
      <c r="L147" t="str">
        <f t="shared" si="15"/>
        <v>y</v>
      </c>
      <c r="N147" s="36" t="s">
        <v>16</v>
      </c>
      <c r="O147" t="s">
        <v>227</v>
      </c>
      <c r="P147" t="s">
        <v>227</v>
      </c>
      <c r="Q147" t="s">
        <v>227</v>
      </c>
      <c r="R147">
        <v>4.2</v>
      </c>
      <c r="S147">
        <f t="shared" si="16"/>
        <v>1</v>
      </c>
      <c r="T147" s="56">
        <f t="shared" si="17"/>
        <v>4.2</v>
      </c>
    </row>
    <row r="148" spans="1:20" ht="16" hidden="1" thickBot="1" x14ac:dyDescent="0.25">
      <c r="A148" s="77" t="s">
        <v>58</v>
      </c>
      <c r="B148" s="36" t="s">
        <v>188</v>
      </c>
      <c r="C148" s="36" t="s">
        <v>194</v>
      </c>
      <c r="D148" s="37">
        <v>28</v>
      </c>
      <c r="E148" s="36" t="s">
        <v>222</v>
      </c>
      <c r="F148" s="36" t="s">
        <v>223</v>
      </c>
      <c r="H148" s="77" t="s">
        <v>19</v>
      </c>
      <c r="I148" s="36">
        <f t="shared" si="12"/>
        <v>0</v>
      </c>
      <c r="J148" s="36">
        <f t="shared" si="13"/>
        <v>0</v>
      </c>
      <c r="K148">
        <f t="shared" si="14"/>
        <v>0</v>
      </c>
      <c r="L148">
        <f t="shared" si="15"/>
        <v>0</v>
      </c>
      <c r="N148" s="36" t="s">
        <v>19</v>
      </c>
      <c r="O148" t="s">
        <v>227</v>
      </c>
      <c r="P148" t="s">
        <v>227</v>
      </c>
      <c r="Q148" t="s">
        <v>227</v>
      </c>
      <c r="R148" t="s">
        <v>227</v>
      </c>
      <c r="S148">
        <f t="shared" si="16"/>
        <v>0</v>
      </c>
      <c r="T148" s="56" t="str">
        <f t="shared" si="17"/>
        <v/>
      </c>
    </row>
    <row r="149" spans="1:20" ht="16" thickBot="1" x14ac:dyDescent="0.25">
      <c r="A149" s="77" t="s">
        <v>60</v>
      </c>
      <c r="B149" s="36" t="s">
        <v>188</v>
      </c>
      <c r="C149" s="36" t="s">
        <v>194</v>
      </c>
      <c r="D149" s="37">
        <v>69</v>
      </c>
      <c r="F149" s="36" t="s">
        <v>223</v>
      </c>
      <c r="H149" s="77" t="s">
        <v>176</v>
      </c>
      <c r="I149" s="36">
        <f t="shared" si="12"/>
        <v>0</v>
      </c>
      <c r="J149" s="36">
        <f t="shared" si="13"/>
        <v>0</v>
      </c>
      <c r="K149">
        <f t="shared" si="14"/>
        <v>0</v>
      </c>
      <c r="L149" t="str">
        <f t="shared" si="15"/>
        <v>y</v>
      </c>
      <c r="N149" s="36" t="s">
        <v>176</v>
      </c>
      <c r="O149" t="s">
        <v>227</v>
      </c>
      <c r="P149" t="s">
        <v>227</v>
      </c>
      <c r="Q149" t="s">
        <v>227</v>
      </c>
      <c r="R149">
        <v>0.4</v>
      </c>
      <c r="S149">
        <f t="shared" si="16"/>
        <v>1</v>
      </c>
      <c r="T149" s="56">
        <f t="shared" si="17"/>
        <v>0.4</v>
      </c>
    </row>
    <row r="150" spans="1:20" ht="16" hidden="1" thickBot="1" x14ac:dyDescent="0.25">
      <c r="A150" s="77" t="s">
        <v>62</v>
      </c>
      <c r="B150" s="36" t="s">
        <v>188</v>
      </c>
      <c r="C150" s="36" t="s">
        <v>195</v>
      </c>
      <c r="D150" s="37">
        <v>73</v>
      </c>
      <c r="F150" s="36" t="s">
        <v>223</v>
      </c>
      <c r="H150" s="77" t="s">
        <v>177</v>
      </c>
      <c r="I150" s="36">
        <f t="shared" si="12"/>
        <v>0</v>
      </c>
      <c r="J150" s="36">
        <f t="shared" si="13"/>
        <v>0</v>
      </c>
      <c r="K150">
        <f t="shared" si="14"/>
        <v>0</v>
      </c>
      <c r="L150">
        <f t="shared" si="15"/>
        <v>0</v>
      </c>
      <c r="N150" s="36" t="s">
        <v>177</v>
      </c>
      <c r="O150" t="s">
        <v>227</v>
      </c>
      <c r="P150" t="s">
        <v>227</v>
      </c>
      <c r="Q150" t="s">
        <v>227</v>
      </c>
      <c r="R150" t="s">
        <v>227</v>
      </c>
      <c r="S150">
        <f t="shared" si="16"/>
        <v>0</v>
      </c>
      <c r="T150" s="56" t="str">
        <f t="shared" si="17"/>
        <v/>
      </c>
    </row>
    <row r="151" spans="1:20" ht="16" thickBot="1" x14ac:dyDescent="0.25">
      <c r="A151" s="76" t="s">
        <v>63</v>
      </c>
      <c r="B151" s="36" t="s">
        <v>188</v>
      </c>
      <c r="C151" s="36" t="s">
        <v>196</v>
      </c>
      <c r="D151" s="37">
        <v>57</v>
      </c>
      <c r="F151" s="36" t="s">
        <v>223</v>
      </c>
      <c r="H151" s="76" t="s">
        <v>178</v>
      </c>
      <c r="I151" s="36">
        <f t="shared" si="12"/>
        <v>0</v>
      </c>
      <c r="J151" s="36">
        <f t="shared" si="13"/>
        <v>0</v>
      </c>
      <c r="K151">
        <f t="shared" si="14"/>
        <v>0</v>
      </c>
      <c r="L151" t="str">
        <f t="shared" si="15"/>
        <v>y</v>
      </c>
      <c r="N151" s="36" t="s">
        <v>178</v>
      </c>
      <c r="O151" t="s">
        <v>227</v>
      </c>
      <c r="P151" t="s">
        <v>227</v>
      </c>
      <c r="Q151" t="s">
        <v>227</v>
      </c>
      <c r="R151">
        <v>4.2</v>
      </c>
      <c r="S151">
        <f t="shared" si="16"/>
        <v>1</v>
      </c>
      <c r="T151" s="56">
        <f t="shared" si="17"/>
        <v>4.2</v>
      </c>
    </row>
    <row r="152" spans="1:20" ht="16" thickBot="1" x14ac:dyDescent="0.25">
      <c r="A152" s="77" t="s">
        <v>64</v>
      </c>
      <c r="B152" s="36" t="s">
        <v>188</v>
      </c>
      <c r="C152" s="36" t="s">
        <v>196</v>
      </c>
      <c r="D152" s="37">
        <v>23</v>
      </c>
      <c r="E152" s="36" t="s">
        <v>222</v>
      </c>
      <c r="F152" s="36" t="s">
        <v>223</v>
      </c>
      <c r="H152" s="77" t="s">
        <v>179</v>
      </c>
      <c r="I152" s="36">
        <f t="shared" si="12"/>
        <v>0</v>
      </c>
      <c r="J152" s="36">
        <f t="shared" si="13"/>
        <v>0</v>
      </c>
      <c r="K152">
        <f t="shared" si="14"/>
        <v>0</v>
      </c>
      <c r="L152" t="str">
        <f t="shared" si="15"/>
        <v>y</v>
      </c>
      <c r="N152" s="36" t="s">
        <v>179</v>
      </c>
      <c r="O152" t="s">
        <v>227</v>
      </c>
      <c r="P152" t="s">
        <v>227</v>
      </c>
      <c r="Q152" t="s">
        <v>227</v>
      </c>
      <c r="R152">
        <v>10.8</v>
      </c>
      <c r="S152">
        <f t="shared" si="16"/>
        <v>1</v>
      </c>
      <c r="T152" s="56">
        <f t="shared" si="17"/>
        <v>10.8</v>
      </c>
    </row>
    <row r="153" spans="1:20" ht="16" thickBot="1" x14ac:dyDescent="0.25">
      <c r="A153" s="76" t="s">
        <v>65</v>
      </c>
      <c r="B153" s="36" t="s">
        <v>188</v>
      </c>
      <c r="C153" s="36" t="s">
        <v>197</v>
      </c>
      <c r="D153" s="37">
        <v>23</v>
      </c>
      <c r="E153" s="36" t="s">
        <v>222</v>
      </c>
      <c r="F153" s="36" t="s">
        <v>223</v>
      </c>
      <c r="H153" s="76" t="s">
        <v>181</v>
      </c>
      <c r="I153" s="36">
        <f t="shared" si="12"/>
        <v>0</v>
      </c>
      <c r="J153" s="36">
        <f t="shared" si="13"/>
        <v>0</v>
      </c>
      <c r="K153">
        <f t="shared" si="14"/>
        <v>0</v>
      </c>
      <c r="L153" t="str">
        <f t="shared" si="15"/>
        <v>y</v>
      </c>
      <c r="N153" s="36" t="s">
        <v>181</v>
      </c>
      <c r="O153" t="s">
        <v>227</v>
      </c>
      <c r="P153" t="s">
        <v>227</v>
      </c>
      <c r="Q153" t="s">
        <v>227</v>
      </c>
      <c r="R153">
        <v>6.8</v>
      </c>
      <c r="S153">
        <f t="shared" si="16"/>
        <v>1</v>
      </c>
      <c r="T153" s="56">
        <f t="shared" si="17"/>
        <v>6.8</v>
      </c>
    </row>
    <row r="154" spans="1:20" ht="16" hidden="1" thickBot="1" x14ac:dyDescent="0.25">
      <c r="A154" s="77" t="s">
        <v>66</v>
      </c>
      <c r="B154" s="36" t="s">
        <v>188</v>
      </c>
      <c r="C154" s="36" t="s">
        <v>197</v>
      </c>
      <c r="D154" s="37">
        <v>57</v>
      </c>
      <c r="F154" s="36" t="s">
        <v>223</v>
      </c>
      <c r="H154" s="77" t="s">
        <v>131</v>
      </c>
      <c r="I154" s="36">
        <f t="shared" si="12"/>
        <v>0</v>
      </c>
      <c r="J154" s="36">
        <f t="shared" si="13"/>
        <v>0</v>
      </c>
      <c r="K154">
        <f t="shared" si="14"/>
        <v>0</v>
      </c>
      <c r="L154">
        <f t="shared" si="15"/>
        <v>0</v>
      </c>
      <c r="N154" s="36" t="s">
        <v>131</v>
      </c>
      <c r="O154" t="s">
        <v>227</v>
      </c>
      <c r="P154" t="s">
        <v>227</v>
      </c>
      <c r="Q154" t="s">
        <v>227</v>
      </c>
      <c r="R154" t="s">
        <v>227</v>
      </c>
      <c r="S154">
        <f t="shared" si="16"/>
        <v>0</v>
      </c>
      <c r="T154" s="56" t="str">
        <f t="shared" si="17"/>
        <v/>
      </c>
    </row>
    <row r="155" spans="1:20" ht="16" thickBot="1" x14ac:dyDescent="0.25">
      <c r="A155" s="76" t="s">
        <v>67</v>
      </c>
      <c r="B155" s="36" t="s">
        <v>188</v>
      </c>
      <c r="C155" s="36" t="s">
        <v>198</v>
      </c>
      <c r="D155" s="37">
        <v>28</v>
      </c>
      <c r="E155" s="36" t="s">
        <v>222</v>
      </c>
      <c r="F155" s="36" t="s">
        <v>223</v>
      </c>
      <c r="H155" s="76" t="s">
        <v>182</v>
      </c>
      <c r="I155" s="36">
        <f t="shared" si="12"/>
        <v>0</v>
      </c>
      <c r="J155" s="36">
        <f t="shared" si="13"/>
        <v>0</v>
      </c>
      <c r="K155">
        <f t="shared" si="14"/>
        <v>0</v>
      </c>
      <c r="L155" t="str">
        <f t="shared" si="15"/>
        <v>y</v>
      </c>
      <c r="N155" s="36" t="s">
        <v>182</v>
      </c>
      <c r="O155" t="s">
        <v>227</v>
      </c>
      <c r="P155" t="s">
        <v>227</v>
      </c>
      <c r="Q155" t="s">
        <v>227</v>
      </c>
      <c r="R155">
        <v>22.8</v>
      </c>
      <c r="S155">
        <f t="shared" si="16"/>
        <v>1</v>
      </c>
      <c r="T155" s="56">
        <f t="shared" si="17"/>
        <v>22.8</v>
      </c>
    </row>
    <row r="156" spans="1:20" ht="16" hidden="1" thickBot="1" x14ac:dyDescent="0.25">
      <c r="A156" s="77" t="s">
        <v>68</v>
      </c>
      <c r="B156" s="36" t="s">
        <v>188</v>
      </c>
      <c r="C156" s="36" t="s">
        <v>198</v>
      </c>
      <c r="D156" s="37">
        <v>52</v>
      </c>
      <c r="F156" s="36" t="s">
        <v>223</v>
      </c>
      <c r="H156" s="77" t="s">
        <v>137</v>
      </c>
      <c r="I156" s="36">
        <f t="shared" si="12"/>
        <v>0</v>
      </c>
      <c r="J156" s="36">
        <f t="shared" si="13"/>
        <v>0</v>
      </c>
      <c r="K156">
        <f t="shared" si="14"/>
        <v>0</v>
      </c>
      <c r="L156">
        <f t="shared" si="15"/>
        <v>0</v>
      </c>
      <c r="N156" s="36" t="s">
        <v>137</v>
      </c>
      <c r="O156" t="s">
        <v>227</v>
      </c>
      <c r="P156" t="s">
        <v>227</v>
      </c>
      <c r="Q156" t="s">
        <v>227</v>
      </c>
      <c r="R156" t="s">
        <v>227</v>
      </c>
      <c r="S156">
        <f t="shared" si="16"/>
        <v>0</v>
      </c>
      <c r="T156" s="56" t="str">
        <f t="shared" si="17"/>
        <v/>
      </c>
    </row>
    <row r="157" spans="1:20" ht="16" hidden="1" thickBot="1" x14ac:dyDescent="0.25">
      <c r="A157" s="76" t="s">
        <v>71</v>
      </c>
      <c r="B157" s="36" t="s">
        <v>188</v>
      </c>
      <c r="C157" s="36" t="s">
        <v>199</v>
      </c>
      <c r="D157" s="37">
        <v>14</v>
      </c>
      <c r="E157" s="36" t="s">
        <v>222</v>
      </c>
      <c r="F157" s="36" t="s">
        <v>223</v>
      </c>
      <c r="H157" s="76" t="s">
        <v>183</v>
      </c>
      <c r="I157" s="36">
        <f t="shared" si="12"/>
        <v>0</v>
      </c>
      <c r="J157" s="36">
        <f t="shared" si="13"/>
        <v>0</v>
      </c>
      <c r="K157">
        <f t="shared" si="14"/>
        <v>0</v>
      </c>
      <c r="L157">
        <f t="shared" si="15"/>
        <v>0</v>
      </c>
      <c r="N157" s="36" t="s">
        <v>183</v>
      </c>
      <c r="O157" t="s">
        <v>227</v>
      </c>
      <c r="P157" t="s">
        <v>227</v>
      </c>
      <c r="Q157" t="s">
        <v>227</v>
      </c>
      <c r="R157" t="s">
        <v>227</v>
      </c>
      <c r="S157">
        <f t="shared" si="16"/>
        <v>0</v>
      </c>
      <c r="T157" s="56" t="str">
        <f t="shared" si="17"/>
        <v/>
      </c>
    </row>
    <row r="158" spans="1:20" ht="16" thickBot="1" x14ac:dyDescent="0.25">
      <c r="A158" s="77" t="s">
        <v>72</v>
      </c>
      <c r="B158" s="36" t="s">
        <v>188</v>
      </c>
      <c r="C158" s="36" t="s">
        <v>199</v>
      </c>
      <c r="D158" s="37">
        <v>66</v>
      </c>
      <c r="F158" s="36" t="s">
        <v>223</v>
      </c>
      <c r="H158" s="77" t="s">
        <v>184</v>
      </c>
      <c r="I158" s="36">
        <f t="shared" si="12"/>
        <v>0</v>
      </c>
      <c r="J158" s="36">
        <f t="shared" si="13"/>
        <v>0</v>
      </c>
      <c r="K158">
        <f t="shared" si="14"/>
        <v>0</v>
      </c>
      <c r="L158" t="str">
        <f t="shared" si="15"/>
        <v>y</v>
      </c>
      <c r="N158" s="36" t="s">
        <v>184</v>
      </c>
      <c r="O158" t="s">
        <v>227</v>
      </c>
      <c r="P158" t="s">
        <v>227</v>
      </c>
      <c r="Q158" t="s">
        <v>227</v>
      </c>
      <c r="R158">
        <v>4</v>
      </c>
      <c r="S158">
        <f t="shared" si="16"/>
        <v>1</v>
      </c>
      <c r="T158" s="56">
        <f t="shared" si="17"/>
        <v>4</v>
      </c>
    </row>
    <row r="159" spans="1:20" ht="16" thickBot="1" x14ac:dyDescent="0.25">
      <c r="A159" s="77" t="s">
        <v>74</v>
      </c>
      <c r="B159" s="36" t="s">
        <v>188</v>
      </c>
      <c r="C159" s="36" t="s">
        <v>200</v>
      </c>
      <c r="D159" s="37">
        <v>16</v>
      </c>
      <c r="E159" s="36" t="s">
        <v>222</v>
      </c>
      <c r="F159" s="36" t="s">
        <v>223</v>
      </c>
    </row>
    <row r="160" spans="1:20" ht="16" thickBot="1" x14ac:dyDescent="0.25">
      <c r="A160" s="76" t="s">
        <v>75</v>
      </c>
      <c r="B160" s="36" t="s">
        <v>188</v>
      </c>
      <c r="C160" s="36" t="s">
        <v>200</v>
      </c>
      <c r="D160" s="37">
        <v>28</v>
      </c>
      <c r="E160" s="36" t="s">
        <v>222</v>
      </c>
      <c r="F160" s="36" t="s">
        <v>223</v>
      </c>
    </row>
    <row r="161" spans="1:6" ht="16" thickBot="1" x14ac:dyDescent="0.25">
      <c r="A161" s="77" t="s">
        <v>76</v>
      </c>
      <c r="B161" s="36" t="s">
        <v>188</v>
      </c>
      <c r="C161" s="36" t="s">
        <v>200</v>
      </c>
      <c r="D161" s="37">
        <v>52</v>
      </c>
      <c r="F161" s="36" t="s">
        <v>223</v>
      </c>
    </row>
    <row r="162" spans="1:6" ht="16" thickBot="1" x14ac:dyDescent="0.25">
      <c r="A162" s="76" t="s">
        <v>77</v>
      </c>
      <c r="B162" s="36" t="s">
        <v>188</v>
      </c>
      <c r="C162" s="36" t="s">
        <v>200</v>
      </c>
      <c r="D162" s="37">
        <v>64</v>
      </c>
      <c r="F162" s="36" t="s">
        <v>223</v>
      </c>
    </row>
    <row r="163" spans="1:6" ht="16" thickBot="1" x14ac:dyDescent="0.25">
      <c r="A163" s="77" t="s">
        <v>78</v>
      </c>
      <c r="B163" s="36" t="s">
        <v>188</v>
      </c>
      <c r="C163" s="36" t="s">
        <v>201</v>
      </c>
      <c r="D163" s="37">
        <v>16</v>
      </c>
      <c r="E163" s="36" t="s">
        <v>222</v>
      </c>
      <c r="F163" s="36" t="s">
        <v>223</v>
      </c>
    </row>
    <row r="164" spans="1:6" ht="16" thickBot="1" x14ac:dyDescent="0.25">
      <c r="A164" s="76" t="s">
        <v>79</v>
      </c>
      <c r="B164" s="36" t="s">
        <v>188</v>
      </c>
      <c r="C164" s="36" t="s">
        <v>201</v>
      </c>
      <c r="D164" s="37">
        <v>64</v>
      </c>
      <c r="F164" s="36" t="s">
        <v>223</v>
      </c>
    </row>
    <row r="165" spans="1:6" ht="16" thickBot="1" x14ac:dyDescent="0.25">
      <c r="A165" s="76" t="s">
        <v>80</v>
      </c>
      <c r="B165" s="36" t="s">
        <v>190</v>
      </c>
      <c r="C165" s="36" t="s">
        <v>194</v>
      </c>
      <c r="D165" s="37">
        <v>26</v>
      </c>
      <c r="E165" s="36" t="s">
        <v>222</v>
      </c>
      <c r="F165" s="36" t="s">
        <v>223</v>
      </c>
    </row>
    <row r="166" spans="1:6" ht="16" thickBot="1" x14ac:dyDescent="0.25">
      <c r="A166" s="77" t="s">
        <v>81</v>
      </c>
      <c r="B166" s="36" t="s">
        <v>190</v>
      </c>
      <c r="C166" s="36" t="s">
        <v>194</v>
      </c>
      <c r="D166" s="37">
        <v>54</v>
      </c>
      <c r="F166" s="36" t="s">
        <v>223</v>
      </c>
    </row>
    <row r="167" spans="1:6" ht="16" thickBot="1" x14ac:dyDescent="0.25">
      <c r="A167" s="76" t="s">
        <v>86</v>
      </c>
      <c r="B167" s="36" t="s">
        <v>190</v>
      </c>
      <c r="C167" s="36" t="s">
        <v>195</v>
      </c>
      <c r="D167" s="37">
        <v>72</v>
      </c>
      <c r="F167" s="36" t="s">
        <v>223</v>
      </c>
    </row>
    <row r="168" spans="1:6" ht="16" thickBot="1" x14ac:dyDescent="0.25">
      <c r="A168" s="77" t="s">
        <v>87</v>
      </c>
      <c r="B168" s="36" t="s">
        <v>190</v>
      </c>
      <c r="C168" s="36" t="s">
        <v>196</v>
      </c>
      <c r="D168" s="37">
        <v>8</v>
      </c>
      <c r="E168" s="36" t="s">
        <v>222</v>
      </c>
      <c r="F168" s="36" t="s">
        <v>223</v>
      </c>
    </row>
    <row r="169" spans="1:6" ht="16" thickBot="1" x14ac:dyDescent="0.25">
      <c r="A169" s="76" t="s">
        <v>88</v>
      </c>
      <c r="B169" s="36" t="s">
        <v>190</v>
      </c>
      <c r="C169" s="36" t="s">
        <v>197</v>
      </c>
      <c r="D169" s="37">
        <v>20</v>
      </c>
      <c r="E169" s="36" t="s">
        <v>222</v>
      </c>
      <c r="F169" s="36" t="s">
        <v>223</v>
      </c>
    </row>
    <row r="170" spans="1:6" ht="16" thickBot="1" x14ac:dyDescent="0.25">
      <c r="A170" s="77" t="s">
        <v>89</v>
      </c>
      <c r="B170" s="36" t="s">
        <v>190</v>
      </c>
      <c r="C170" s="36" t="s">
        <v>197</v>
      </c>
      <c r="D170" s="37">
        <v>60</v>
      </c>
      <c r="F170" s="36" t="s">
        <v>223</v>
      </c>
    </row>
    <row r="171" spans="1:6" ht="16" thickBot="1" x14ac:dyDescent="0.25">
      <c r="A171" s="76" t="s">
        <v>90</v>
      </c>
      <c r="B171" s="36" t="s">
        <v>190</v>
      </c>
      <c r="C171" s="36" t="s">
        <v>198</v>
      </c>
      <c r="D171" s="37">
        <v>65</v>
      </c>
      <c r="F171" s="36" t="s">
        <v>223</v>
      </c>
    </row>
    <row r="172" spans="1:6" ht="16" thickBot="1" x14ac:dyDescent="0.25">
      <c r="A172" s="77" t="s">
        <v>91</v>
      </c>
      <c r="B172" s="36" t="s">
        <v>190</v>
      </c>
      <c r="C172" s="36" t="s">
        <v>198</v>
      </c>
      <c r="D172" s="37">
        <v>27</v>
      </c>
      <c r="E172" s="36" t="s">
        <v>222</v>
      </c>
      <c r="F172" s="36" t="s">
        <v>223</v>
      </c>
    </row>
    <row r="173" spans="1:6" ht="16" thickBot="1" x14ac:dyDescent="0.25">
      <c r="A173" s="77" t="s">
        <v>93</v>
      </c>
      <c r="B173" s="36" t="s">
        <v>190</v>
      </c>
      <c r="C173" s="36" t="s">
        <v>198</v>
      </c>
      <c r="D173" s="37">
        <v>53</v>
      </c>
      <c r="F173" s="36" t="s">
        <v>223</v>
      </c>
    </row>
    <row r="174" spans="1:6" ht="16" thickBot="1" x14ac:dyDescent="0.25">
      <c r="A174" s="77" t="s">
        <v>95</v>
      </c>
      <c r="B174" s="36" t="s">
        <v>190</v>
      </c>
      <c r="C174" s="36" t="s">
        <v>199</v>
      </c>
      <c r="D174" s="37">
        <v>15</v>
      </c>
      <c r="E174" s="36" t="s">
        <v>222</v>
      </c>
      <c r="F174" s="36" t="s">
        <v>223</v>
      </c>
    </row>
    <row r="175" spans="1:6" ht="16" thickBot="1" x14ac:dyDescent="0.25">
      <c r="A175" s="77" t="s">
        <v>97</v>
      </c>
      <c r="B175" s="36" t="s">
        <v>190</v>
      </c>
      <c r="C175" s="36" t="s">
        <v>200</v>
      </c>
      <c r="D175" s="37">
        <v>31</v>
      </c>
      <c r="E175" s="36" t="s">
        <v>222</v>
      </c>
      <c r="F175" s="36" t="s">
        <v>223</v>
      </c>
    </row>
    <row r="176" spans="1:6" ht="16" thickBot="1" x14ac:dyDescent="0.25">
      <c r="A176" s="76" t="s">
        <v>98</v>
      </c>
      <c r="B176" s="36" t="s">
        <v>190</v>
      </c>
      <c r="C176" s="36" t="s">
        <v>200</v>
      </c>
      <c r="D176" s="37">
        <v>54</v>
      </c>
      <c r="F176" s="36" t="s">
        <v>223</v>
      </c>
    </row>
    <row r="177" spans="1:6" ht="16" thickBot="1" x14ac:dyDescent="0.25">
      <c r="A177" s="77" t="s">
        <v>99</v>
      </c>
      <c r="B177" s="36" t="s">
        <v>190</v>
      </c>
      <c r="C177" s="36" t="s">
        <v>200</v>
      </c>
      <c r="D177" s="37">
        <v>49</v>
      </c>
      <c r="F177" s="36" t="s">
        <v>223</v>
      </c>
    </row>
    <row r="178" spans="1:6" ht="16" thickBot="1" x14ac:dyDescent="0.25">
      <c r="A178" s="76" t="s">
        <v>100</v>
      </c>
      <c r="B178" s="36" t="s">
        <v>190</v>
      </c>
      <c r="C178" s="36" t="s">
        <v>200</v>
      </c>
      <c r="D178" s="37">
        <v>26</v>
      </c>
      <c r="E178" s="36" t="s">
        <v>222</v>
      </c>
      <c r="F178" s="36" t="s">
        <v>223</v>
      </c>
    </row>
    <row r="179" spans="1:6" ht="16" thickBot="1" x14ac:dyDescent="0.25">
      <c r="A179" s="77" t="s">
        <v>101</v>
      </c>
      <c r="B179" s="36" t="s">
        <v>190</v>
      </c>
      <c r="C179" s="36" t="s">
        <v>201</v>
      </c>
      <c r="D179" s="37">
        <v>73</v>
      </c>
      <c r="F179" s="36" t="s">
        <v>223</v>
      </c>
    </row>
    <row r="180" spans="1:6" ht="16" thickBot="1" x14ac:dyDescent="0.25">
      <c r="A180" s="76" t="s">
        <v>102</v>
      </c>
      <c r="B180" s="36" t="s">
        <v>190</v>
      </c>
      <c r="C180" s="36" t="s">
        <v>201</v>
      </c>
      <c r="D180" s="37">
        <v>7</v>
      </c>
      <c r="E180" s="36" t="s">
        <v>222</v>
      </c>
      <c r="F180" s="36" t="s">
        <v>223</v>
      </c>
    </row>
    <row r="181" spans="1:6" ht="16" thickBot="1" x14ac:dyDescent="0.25">
      <c r="A181" s="76" t="s">
        <v>103</v>
      </c>
      <c r="B181" s="36" t="s">
        <v>192</v>
      </c>
      <c r="C181" s="36" t="s">
        <v>194</v>
      </c>
      <c r="D181" s="37">
        <v>33</v>
      </c>
      <c r="E181" s="36" t="s">
        <v>222</v>
      </c>
      <c r="F181" s="36" t="s">
        <v>223</v>
      </c>
    </row>
    <row r="182" spans="1:6" ht="16" thickBot="1" x14ac:dyDescent="0.25">
      <c r="A182" s="76" t="s">
        <v>105</v>
      </c>
      <c r="B182" s="36" t="s">
        <v>192</v>
      </c>
      <c r="C182" s="36" t="s">
        <v>194</v>
      </c>
      <c r="D182" s="37">
        <v>18</v>
      </c>
      <c r="E182" s="36" t="s">
        <v>222</v>
      </c>
      <c r="F182" s="36" t="s">
        <v>223</v>
      </c>
    </row>
    <row r="183" spans="1:6" ht="16" thickBot="1" x14ac:dyDescent="0.25">
      <c r="A183" s="76" t="s">
        <v>109</v>
      </c>
      <c r="B183" s="36" t="s">
        <v>192</v>
      </c>
      <c r="C183" s="36" t="s">
        <v>195</v>
      </c>
      <c r="D183" s="37">
        <v>47</v>
      </c>
      <c r="F183" s="36" t="s">
        <v>223</v>
      </c>
    </row>
    <row r="184" spans="1:6" ht="16" thickBot="1" x14ac:dyDescent="0.25">
      <c r="A184" s="76" t="s">
        <v>111</v>
      </c>
      <c r="B184" s="36" t="s">
        <v>192</v>
      </c>
      <c r="C184" s="36" t="s">
        <v>197</v>
      </c>
      <c r="D184" s="37">
        <v>62</v>
      </c>
      <c r="F184" s="36" t="s">
        <v>223</v>
      </c>
    </row>
    <row r="185" spans="1:6" ht="16" thickBot="1" x14ac:dyDescent="0.25">
      <c r="A185" s="77" t="s">
        <v>112</v>
      </c>
      <c r="B185" s="36" t="s">
        <v>192</v>
      </c>
      <c r="C185" s="36" t="s">
        <v>198</v>
      </c>
      <c r="D185" s="37">
        <v>8</v>
      </c>
      <c r="E185" s="36" t="s">
        <v>222</v>
      </c>
      <c r="F185" s="36" t="s">
        <v>223</v>
      </c>
    </row>
    <row r="186" spans="1:6" ht="16" thickBot="1" x14ac:dyDescent="0.25">
      <c r="A186" s="76" t="s">
        <v>113</v>
      </c>
      <c r="B186" s="36" t="s">
        <v>192</v>
      </c>
      <c r="C186" s="36" t="s">
        <v>198</v>
      </c>
      <c r="D186" s="37">
        <v>23</v>
      </c>
      <c r="F186" s="36" t="s">
        <v>223</v>
      </c>
    </row>
    <row r="187" spans="1:6" ht="16" thickBot="1" x14ac:dyDescent="0.25">
      <c r="A187" s="77" t="s">
        <v>114</v>
      </c>
      <c r="B187" s="36" t="s">
        <v>192</v>
      </c>
      <c r="C187" s="36" t="s">
        <v>198</v>
      </c>
      <c r="D187" s="37">
        <v>74</v>
      </c>
      <c r="F187" s="36" t="s">
        <v>223</v>
      </c>
    </row>
    <row r="188" spans="1:6" ht="16" thickBot="1" x14ac:dyDescent="0.25">
      <c r="A188" s="76" t="s">
        <v>115</v>
      </c>
      <c r="B188" s="36" t="s">
        <v>192</v>
      </c>
      <c r="C188" s="36" t="s">
        <v>198</v>
      </c>
      <c r="D188" s="37">
        <v>23</v>
      </c>
      <c r="E188" s="36" t="s">
        <v>222</v>
      </c>
      <c r="F188" s="36" t="s">
        <v>223</v>
      </c>
    </row>
    <row r="189" spans="1:6" ht="16" thickBot="1" x14ac:dyDescent="0.25">
      <c r="A189" s="77" t="s">
        <v>116</v>
      </c>
      <c r="B189" s="36" t="s">
        <v>192</v>
      </c>
      <c r="C189" s="36" t="s">
        <v>199</v>
      </c>
      <c r="D189" s="37">
        <v>48</v>
      </c>
      <c r="F189" s="36" t="s">
        <v>223</v>
      </c>
    </row>
    <row r="190" spans="1:6" ht="16" thickBot="1" x14ac:dyDescent="0.25">
      <c r="A190" s="76" t="s">
        <v>117</v>
      </c>
      <c r="B190" s="36" t="s">
        <v>192</v>
      </c>
      <c r="C190" s="36" t="s">
        <v>199</v>
      </c>
      <c r="D190" s="37">
        <v>72</v>
      </c>
      <c r="F190" s="36" t="s">
        <v>223</v>
      </c>
    </row>
    <row r="191" spans="1:6" ht="16" thickBot="1" x14ac:dyDescent="0.25">
      <c r="A191" s="76" t="s">
        <v>119</v>
      </c>
      <c r="B191" s="36" t="s">
        <v>192</v>
      </c>
      <c r="C191" s="36" t="s">
        <v>199</v>
      </c>
      <c r="D191" s="37">
        <v>56</v>
      </c>
      <c r="E191" s="36" t="s">
        <v>222</v>
      </c>
      <c r="F191" s="36" t="s">
        <v>223</v>
      </c>
    </row>
    <row r="192" spans="1:6" ht="16" thickBot="1" x14ac:dyDescent="0.25">
      <c r="A192" s="77" t="s">
        <v>120</v>
      </c>
      <c r="B192" s="36" t="s">
        <v>192</v>
      </c>
      <c r="C192" s="36" t="s">
        <v>200</v>
      </c>
      <c r="D192" s="37">
        <v>21</v>
      </c>
      <c r="E192" s="36" t="s">
        <v>222</v>
      </c>
      <c r="F192" s="36" t="s">
        <v>223</v>
      </c>
    </row>
    <row r="193" spans="1:6" ht="16" thickBot="1" x14ac:dyDescent="0.25">
      <c r="A193" s="76" t="s">
        <v>121</v>
      </c>
      <c r="B193" s="36" t="s">
        <v>192</v>
      </c>
      <c r="C193" s="36" t="s">
        <v>200</v>
      </c>
      <c r="D193" s="37">
        <v>55</v>
      </c>
      <c r="F193" s="36" t="s">
        <v>223</v>
      </c>
    </row>
    <row r="194" spans="1:6" ht="16" thickBot="1" x14ac:dyDescent="0.25">
      <c r="A194" s="77" t="s">
        <v>122</v>
      </c>
      <c r="B194" s="36" t="s">
        <v>192</v>
      </c>
      <c r="C194" s="36" t="s">
        <v>200</v>
      </c>
      <c r="D194" s="37">
        <v>54</v>
      </c>
      <c r="F194" s="36" t="s">
        <v>223</v>
      </c>
    </row>
    <row r="195" spans="1:6" ht="16" thickBot="1" x14ac:dyDescent="0.25">
      <c r="A195" s="76" t="s">
        <v>123</v>
      </c>
      <c r="B195" s="36" t="s">
        <v>192</v>
      </c>
      <c r="C195" s="36" t="s">
        <v>200</v>
      </c>
      <c r="D195" s="37">
        <v>25</v>
      </c>
      <c r="E195" s="36" t="s">
        <v>222</v>
      </c>
      <c r="F195" s="36" t="s">
        <v>223</v>
      </c>
    </row>
    <row r="196" spans="1:6" ht="16" thickBot="1" x14ac:dyDescent="0.25">
      <c r="A196" s="77" t="s">
        <v>124</v>
      </c>
      <c r="B196" s="36" t="s">
        <v>192</v>
      </c>
      <c r="C196" s="36" t="s">
        <v>201</v>
      </c>
      <c r="D196" s="37">
        <v>19</v>
      </c>
      <c r="E196" s="36" t="s">
        <v>222</v>
      </c>
      <c r="F196" s="36" t="s">
        <v>223</v>
      </c>
    </row>
    <row r="197" spans="1:6" ht="16" thickBot="1" x14ac:dyDescent="0.25">
      <c r="A197" s="78" t="s">
        <v>125</v>
      </c>
      <c r="B197" s="75" t="s">
        <v>192</v>
      </c>
      <c r="C197" s="75" t="s">
        <v>201</v>
      </c>
      <c r="D197" s="79">
        <v>61</v>
      </c>
      <c r="F197" s="36" t="s">
        <v>223</v>
      </c>
    </row>
    <row r="200" spans="1:6" ht="16" thickBot="1" x14ac:dyDescent="0.25"/>
    <row r="201" spans="1:6" ht="16" thickBot="1" x14ac:dyDescent="0.25">
      <c r="A201" s="39" t="s">
        <v>0</v>
      </c>
      <c r="B201" s="40" t="s">
        <v>203</v>
      </c>
      <c r="C201" s="40" t="s">
        <v>202</v>
      </c>
      <c r="D201" s="40" t="s">
        <v>205</v>
      </c>
    </row>
    <row r="202" spans="1:6" x14ac:dyDescent="0.2">
      <c r="A202" s="81" t="s">
        <v>149</v>
      </c>
      <c r="B202" s="36" t="s">
        <v>189</v>
      </c>
      <c r="C202" s="36" t="s">
        <v>194</v>
      </c>
      <c r="D202" s="37">
        <v>8</v>
      </c>
      <c r="E202" s="36" t="s">
        <v>222</v>
      </c>
      <c r="F202" s="36" t="s">
        <v>225</v>
      </c>
    </row>
    <row r="203" spans="1:6" x14ac:dyDescent="0.2">
      <c r="A203" s="81" t="s">
        <v>130</v>
      </c>
      <c r="B203" s="36" t="s">
        <v>189</v>
      </c>
      <c r="C203" s="36" t="s">
        <v>195</v>
      </c>
      <c r="D203" s="37">
        <v>72</v>
      </c>
      <c r="F203" s="36" t="s">
        <v>225</v>
      </c>
    </row>
    <row r="204" spans="1:6" x14ac:dyDescent="0.2">
      <c r="A204" s="81" t="s">
        <v>132</v>
      </c>
      <c r="B204" s="36" t="s">
        <v>189</v>
      </c>
      <c r="C204" s="36" t="s">
        <v>196</v>
      </c>
      <c r="D204" s="37">
        <v>78</v>
      </c>
      <c r="F204" s="36" t="s">
        <v>225</v>
      </c>
    </row>
    <row r="205" spans="1:6" x14ac:dyDescent="0.2">
      <c r="A205" s="81" t="s">
        <v>150</v>
      </c>
      <c r="B205" s="36" t="s">
        <v>189</v>
      </c>
      <c r="C205" s="36" t="s">
        <v>196</v>
      </c>
      <c r="D205" s="37">
        <v>2</v>
      </c>
      <c r="E205" s="36" t="s">
        <v>222</v>
      </c>
      <c r="F205" s="36" t="s">
        <v>225</v>
      </c>
    </row>
    <row r="206" spans="1:6" x14ac:dyDescent="0.2">
      <c r="A206" s="81" t="s">
        <v>134</v>
      </c>
      <c r="B206" s="36" t="s">
        <v>189</v>
      </c>
      <c r="C206" s="36" t="s">
        <v>197</v>
      </c>
      <c r="D206" s="37">
        <v>65</v>
      </c>
      <c r="F206" s="36" t="s">
        <v>225</v>
      </c>
    </row>
    <row r="207" spans="1:6" x14ac:dyDescent="0.2">
      <c r="A207" s="81" t="s">
        <v>135</v>
      </c>
      <c r="B207" s="36" t="s">
        <v>189</v>
      </c>
      <c r="C207" s="36" t="s">
        <v>197</v>
      </c>
      <c r="D207" s="37">
        <v>15</v>
      </c>
      <c r="E207" s="36" t="s">
        <v>222</v>
      </c>
      <c r="F207" s="36" t="s">
        <v>225</v>
      </c>
    </row>
    <row r="208" spans="1:6" x14ac:dyDescent="0.2">
      <c r="A208" s="81" t="s">
        <v>136</v>
      </c>
      <c r="B208" s="36" t="s">
        <v>189</v>
      </c>
      <c r="C208" s="36" t="s">
        <v>198</v>
      </c>
      <c r="D208" s="37">
        <v>56</v>
      </c>
      <c r="F208" s="36" t="s">
        <v>225</v>
      </c>
    </row>
    <row r="209" spans="1:6" x14ac:dyDescent="0.2">
      <c r="A209" s="81" t="s">
        <v>138</v>
      </c>
      <c r="B209" s="36" t="s">
        <v>189</v>
      </c>
      <c r="C209" s="36" t="s">
        <v>198</v>
      </c>
      <c r="D209" s="37">
        <v>24</v>
      </c>
      <c r="E209" s="36" t="s">
        <v>222</v>
      </c>
      <c r="F209" s="36" t="s">
        <v>225</v>
      </c>
    </row>
    <row r="210" spans="1:6" x14ac:dyDescent="0.2">
      <c r="A210" s="81" t="s">
        <v>151</v>
      </c>
      <c r="B210" s="36" t="s">
        <v>189</v>
      </c>
      <c r="C210" s="36" t="s">
        <v>199</v>
      </c>
      <c r="D210" s="37">
        <v>28</v>
      </c>
      <c r="E210" s="36" t="s">
        <v>222</v>
      </c>
      <c r="F210" s="36" t="s">
        <v>225</v>
      </c>
    </row>
    <row r="211" spans="1:6" x14ac:dyDescent="0.2">
      <c r="A211" s="81" t="s">
        <v>141</v>
      </c>
      <c r="B211" s="36" t="s">
        <v>189</v>
      </c>
      <c r="C211" s="36" t="s">
        <v>199</v>
      </c>
      <c r="D211" s="37">
        <v>52</v>
      </c>
      <c r="F211" s="36" t="s">
        <v>225</v>
      </c>
    </row>
    <row r="212" spans="1:6" x14ac:dyDescent="0.2">
      <c r="A212" s="81" t="s">
        <v>143</v>
      </c>
      <c r="B212" s="36" t="s">
        <v>189</v>
      </c>
      <c r="C212" s="36" t="s">
        <v>200</v>
      </c>
      <c r="D212" s="37">
        <v>37</v>
      </c>
      <c r="F212" s="36" t="s">
        <v>225</v>
      </c>
    </row>
    <row r="213" spans="1:6" x14ac:dyDescent="0.2">
      <c r="A213" s="81" t="s">
        <v>144</v>
      </c>
      <c r="B213" s="36" t="s">
        <v>189</v>
      </c>
      <c r="C213" s="36" t="s">
        <v>200</v>
      </c>
      <c r="D213" s="37">
        <v>15</v>
      </c>
      <c r="E213" s="36" t="s">
        <v>222</v>
      </c>
      <c r="F213" s="36" t="s">
        <v>225</v>
      </c>
    </row>
    <row r="214" spans="1:6" x14ac:dyDescent="0.2">
      <c r="A214" s="81" t="s">
        <v>145</v>
      </c>
      <c r="B214" s="36" t="s">
        <v>189</v>
      </c>
      <c r="C214" s="36" t="s">
        <v>200</v>
      </c>
      <c r="D214" s="37">
        <v>43</v>
      </c>
      <c r="E214" s="36" t="s">
        <v>222</v>
      </c>
      <c r="F214" s="36" t="s">
        <v>225</v>
      </c>
    </row>
    <row r="215" spans="1:6" x14ac:dyDescent="0.2">
      <c r="A215" s="81" t="s">
        <v>146</v>
      </c>
      <c r="B215" s="36" t="s">
        <v>189</v>
      </c>
      <c r="C215" s="36" t="s">
        <v>200</v>
      </c>
      <c r="D215" s="37">
        <v>65</v>
      </c>
      <c r="F215" s="36" t="s">
        <v>225</v>
      </c>
    </row>
    <row r="216" spans="1:6" x14ac:dyDescent="0.2">
      <c r="A216" s="81" t="s">
        <v>148</v>
      </c>
      <c r="B216" s="36" t="s">
        <v>189</v>
      </c>
      <c r="C216" s="36" t="s">
        <v>201</v>
      </c>
      <c r="D216" s="37">
        <v>56</v>
      </c>
      <c r="F216" s="36" t="s">
        <v>225</v>
      </c>
    </row>
    <row r="217" spans="1:6" x14ac:dyDescent="0.2">
      <c r="A217" s="81" t="s">
        <v>152</v>
      </c>
      <c r="B217" s="36" t="s">
        <v>189</v>
      </c>
      <c r="C217" s="36" t="s">
        <v>201</v>
      </c>
      <c r="D217" s="37">
        <v>24</v>
      </c>
      <c r="E217" s="36" t="s">
        <v>222</v>
      </c>
      <c r="F217" s="36" t="s">
        <v>225</v>
      </c>
    </row>
    <row r="218" spans="1:6" x14ac:dyDescent="0.2">
      <c r="A218" s="81" t="s">
        <v>105</v>
      </c>
      <c r="B218" s="36" t="s">
        <v>192</v>
      </c>
      <c r="C218" s="36" t="s">
        <v>194</v>
      </c>
      <c r="D218" s="37">
        <v>13</v>
      </c>
      <c r="E218" s="36" t="s">
        <v>222</v>
      </c>
      <c r="F218" s="36" t="s">
        <v>225</v>
      </c>
    </row>
    <row r="219" spans="1:6" x14ac:dyDescent="0.2">
      <c r="A219" s="81" t="s">
        <v>106</v>
      </c>
      <c r="B219" s="36" t="s">
        <v>192</v>
      </c>
      <c r="C219" s="36" t="s">
        <v>194</v>
      </c>
      <c r="D219" s="37">
        <v>78</v>
      </c>
      <c r="F219" s="36" t="s">
        <v>225</v>
      </c>
    </row>
    <row r="220" spans="1:6" x14ac:dyDescent="0.2">
      <c r="A220" s="81" t="s">
        <v>109</v>
      </c>
      <c r="B220" s="36" t="s">
        <v>192</v>
      </c>
      <c r="C220" s="36" t="s">
        <v>195</v>
      </c>
      <c r="D220" s="37">
        <v>2</v>
      </c>
      <c r="E220" s="36" t="s">
        <v>222</v>
      </c>
      <c r="F220" s="36" t="s">
        <v>225</v>
      </c>
    </row>
    <row r="221" spans="1:6" x14ac:dyDescent="0.2">
      <c r="A221" s="81" t="s">
        <v>110</v>
      </c>
      <c r="B221" s="36" t="s">
        <v>192</v>
      </c>
      <c r="C221" s="36" t="s">
        <v>196</v>
      </c>
      <c r="D221" s="37">
        <v>8</v>
      </c>
      <c r="E221" s="36" t="s">
        <v>222</v>
      </c>
      <c r="F221" s="36" t="s">
        <v>225</v>
      </c>
    </row>
    <row r="222" spans="1:6" x14ac:dyDescent="0.2">
      <c r="A222" s="81" t="s">
        <v>153</v>
      </c>
      <c r="B222" s="36" t="s">
        <v>192</v>
      </c>
      <c r="C222" s="36" t="s">
        <v>196</v>
      </c>
      <c r="D222" s="37">
        <v>72</v>
      </c>
      <c r="F222" s="36" t="s">
        <v>225</v>
      </c>
    </row>
    <row r="223" spans="1:6" x14ac:dyDescent="0.2">
      <c r="A223" s="81" t="s">
        <v>111</v>
      </c>
      <c r="B223" s="36" t="s">
        <v>192</v>
      </c>
      <c r="C223" s="36" t="s">
        <v>197</v>
      </c>
      <c r="D223" s="37">
        <v>67</v>
      </c>
      <c r="F223" s="36" t="s">
        <v>225</v>
      </c>
    </row>
    <row r="224" spans="1:6" x14ac:dyDescent="0.2">
      <c r="A224" s="81" t="s">
        <v>112</v>
      </c>
      <c r="B224" s="36" t="s">
        <v>192</v>
      </c>
      <c r="C224" s="36" t="s">
        <v>198</v>
      </c>
      <c r="D224" s="37">
        <v>15</v>
      </c>
      <c r="E224" s="36" t="s">
        <v>222</v>
      </c>
      <c r="F224" s="36" t="s">
        <v>225</v>
      </c>
    </row>
    <row r="225" spans="1:6" x14ac:dyDescent="0.2">
      <c r="A225" s="81" t="s">
        <v>154</v>
      </c>
      <c r="B225" s="36" t="s">
        <v>192</v>
      </c>
      <c r="C225" s="36" t="s">
        <v>198</v>
      </c>
      <c r="D225" s="37">
        <v>15</v>
      </c>
      <c r="E225" s="36" t="s">
        <v>222</v>
      </c>
      <c r="F225" s="36" t="s">
        <v>225</v>
      </c>
    </row>
    <row r="226" spans="1:6" x14ac:dyDescent="0.2">
      <c r="A226" s="81" t="s">
        <v>117</v>
      </c>
      <c r="B226" s="36" t="s">
        <v>192</v>
      </c>
      <c r="C226" s="36" t="s">
        <v>199</v>
      </c>
      <c r="D226" s="37">
        <v>65</v>
      </c>
      <c r="F226" s="36" t="s">
        <v>225</v>
      </c>
    </row>
    <row r="227" spans="1:6" x14ac:dyDescent="0.2">
      <c r="A227" s="81" t="s">
        <v>116</v>
      </c>
      <c r="B227" s="36" t="s">
        <v>192</v>
      </c>
      <c r="C227" s="36" t="s">
        <v>199</v>
      </c>
      <c r="D227" s="37">
        <v>65</v>
      </c>
      <c r="F227" s="36" t="s">
        <v>225</v>
      </c>
    </row>
    <row r="228" spans="1:6" x14ac:dyDescent="0.2">
      <c r="A228" s="81" t="s">
        <v>120</v>
      </c>
      <c r="B228" s="36" t="s">
        <v>192</v>
      </c>
      <c r="C228" s="36" t="s">
        <v>200</v>
      </c>
      <c r="D228" s="37">
        <v>47</v>
      </c>
      <c r="F228" s="36" t="s">
        <v>225</v>
      </c>
    </row>
    <row r="229" spans="1:6" x14ac:dyDescent="0.2">
      <c r="A229" s="81" t="s">
        <v>121</v>
      </c>
      <c r="B229" s="36" t="s">
        <v>192</v>
      </c>
      <c r="C229" s="36" t="s">
        <v>200</v>
      </c>
      <c r="D229" s="37">
        <v>60</v>
      </c>
      <c r="F229" s="36" t="s">
        <v>225</v>
      </c>
    </row>
    <row r="230" spans="1:6" x14ac:dyDescent="0.2">
      <c r="A230" s="81" t="s">
        <v>122</v>
      </c>
      <c r="B230" s="36" t="s">
        <v>192</v>
      </c>
      <c r="C230" s="36" t="s">
        <v>200</v>
      </c>
      <c r="D230" s="37">
        <v>33</v>
      </c>
      <c r="E230" s="36" t="s">
        <v>222</v>
      </c>
      <c r="F230" s="36" t="s">
        <v>225</v>
      </c>
    </row>
    <row r="231" spans="1:6" x14ac:dyDescent="0.2">
      <c r="A231" s="81" t="s">
        <v>123</v>
      </c>
      <c r="B231" s="36" t="s">
        <v>192</v>
      </c>
      <c r="C231" s="36" t="s">
        <v>200</v>
      </c>
      <c r="D231" s="37">
        <v>20</v>
      </c>
      <c r="E231" s="36" t="s">
        <v>222</v>
      </c>
      <c r="F231" s="36" t="s">
        <v>225</v>
      </c>
    </row>
    <row r="232" spans="1:6" x14ac:dyDescent="0.2">
      <c r="A232" s="81" t="s">
        <v>124</v>
      </c>
      <c r="B232" s="36" t="s">
        <v>192</v>
      </c>
      <c r="C232" s="36" t="s">
        <v>201</v>
      </c>
      <c r="D232" s="37">
        <v>29</v>
      </c>
      <c r="E232" s="36" t="s">
        <v>222</v>
      </c>
      <c r="F232" s="36" t="s">
        <v>225</v>
      </c>
    </row>
    <row r="233" spans="1:6" x14ac:dyDescent="0.2">
      <c r="A233" s="81" t="s">
        <v>125</v>
      </c>
      <c r="B233" s="36" t="s">
        <v>192</v>
      </c>
      <c r="C233" s="36" t="s">
        <v>201</v>
      </c>
      <c r="D233" s="37">
        <v>51</v>
      </c>
      <c r="F233" s="36" t="s">
        <v>225</v>
      </c>
    </row>
    <row r="234" spans="1:6" x14ac:dyDescent="0.2">
      <c r="A234" s="81" t="s">
        <v>57</v>
      </c>
      <c r="B234" s="36" t="s">
        <v>188</v>
      </c>
      <c r="C234" s="36" t="s">
        <v>194</v>
      </c>
      <c r="D234" s="37">
        <v>54</v>
      </c>
      <c r="F234" s="36" t="s">
        <v>225</v>
      </c>
    </row>
    <row r="235" spans="1:6" x14ac:dyDescent="0.2">
      <c r="A235" s="81" t="s">
        <v>158</v>
      </c>
      <c r="B235" s="36" t="s">
        <v>188</v>
      </c>
      <c r="C235" s="36" t="s">
        <v>195</v>
      </c>
      <c r="D235" s="37">
        <v>26</v>
      </c>
      <c r="E235" s="36" t="s">
        <v>222</v>
      </c>
      <c r="F235" s="36" t="s">
        <v>225</v>
      </c>
    </row>
    <row r="236" spans="1:6" x14ac:dyDescent="0.2">
      <c r="A236" s="81" t="s">
        <v>63</v>
      </c>
      <c r="B236" s="36" t="s">
        <v>188</v>
      </c>
      <c r="C236" s="36" t="s">
        <v>196</v>
      </c>
      <c r="D236" s="37">
        <v>26</v>
      </c>
      <c r="E236" s="36" t="s">
        <v>222</v>
      </c>
      <c r="F236" s="36" t="s">
        <v>225</v>
      </c>
    </row>
    <row r="237" spans="1:6" x14ac:dyDescent="0.2">
      <c r="A237" s="81" t="s">
        <v>159</v>
      </c>
      <c r="B237" s="36" t="s">
        <v>188</v>
      </c>
      <c r="C237" s="36" t="s">
        <v>196</v>
      </c>
      <c r="D237" s="37">
        <v>54</v>
      </c>
      <c r="F237" s="36" t="s">
        <v>225</v>
      </c>
    </row>
    <row r="238" spans="1:6" x14ac:dyDescent="0.2">
      <c r="A238" s="81" t="s">
        <v>160</v>
      </c>
      <c r="B238" s="36" t="s">
        <v>188</v>
      </c>
      <c r="C238" s="36" t="s">
        <v>197</v>
      </c>
      <c r="D238" s="37">
        <v>11</v>
      </c>
      <c r="E238" s="36" t="s">
        <v>222</v>
      </c>
      <c r="F238" s="36" t="s">
        <v>225</v>
      </c>
    </row>
    <row r="239" spans="1:6" x14ac:dyDescent="0.2">
      <c r="A239" s="81" t="s">
        <v>66</v>
      </c>
      <c r="B239" s="36" t="s">
        <v>188</v>
      </c>
      <c r="C239" s="36" t="s">
        <v>197</v>
      </c>
      <c r="D239" s="37">
        <v>69</v>
      </c>
      <c r="F239" s="36" t="s">
        <v>225</v>
      </c>
    </row>
    <row r="240" spans="1:6" x14ac:dyDescent="0.2">
      <c r="A240" s="81" t="s">
        <v>69</v>
      </c>
      <c r="B240" s="36" t="s">
        <v>188</v>
      </c>
      <c r="C240" s="36" t="s">
        <v>198</v>
      </c>
      <c r="D240" s="37">
        <v>17</v>
      </c>
      <c r="E240" s="36" t="s">
        <v>222</v>
      </c>
      <c r="F240" s="36" t="s">
        <v>225</v>
      </c>
    </row>
    <row r="241" spans="1:6" x14ac:dyDescent="0.2">
      <c r="A241" s="81" t="s">
        <v>72</v>
      </c>
      <c r="B241" s="36" t="s">
        <v>188</v>
      </c>
      <c r="C241" s="36" t="s">
        <v>199</v>
      </c>
      <c r="D241" s="37">
        <v>17</v>
      </c>
      <c r="E241" s="36" t="s">
        <v>222</v>
      </c>
      <c r="F241" s="36" t="s">
        <v>225</v>
      </c>
    </row>
    <row r="242" spans="1:6" x14ac:dyDescent="0.2">
      <c r="A242" s="81" t="s">
        <v>162</v>
      </c>
      <c r="B242" s="36" t="s">
        <v>188</v>
      </c>
      <c r="C242" s="36" t="s">
        <v>199</v>
      </c>
      <c r="D242" s="37">
        <v>63</v>
      </c>
      <c r="F242" s="36" t="s">
        <v>225</v>
      </c>
    </row>
    <row r="243" spans="1:6" x14ac:dyDescent="0.2">
      <c r="A243" s="81" t="s">
        <v>73</v>
      </c>
      <c r="B243" s="36" t="s">
        <v>188</v>
      </c>
      <c r="C243" s="36" t="s">
        <v>199</v>
      </c>
      <c r="D243" s="37">
        <v>63</v>
      </c>
      <c r="F243" s="36" t="s">
        <v>225</v>
      </c>
    </row>
    <row r="244" spans="1:6" x14ac:dyDescent="0.2">
      <c r="A244" s="81" t="s">
        <v>75</v>
      </c>
      <c r="B244" s="36" t="s">
        <v>188</v>
      </c>
      <c r="C244" s="36" t="s">
        <v>200</v>
      </c>
      <c r="D244" s="37">
        <v>24</v>
      </c>
      <c r="E244" s="36" t="s">
        <v>222</v>
      </c>
      <c r="F244" s="36" t="s">
        <v>225</v>
      </c>
    </row>
    <row r="245" spans="1:6" x14ac:dyDescent="0.2">
      <c r="A245" s="81" t="s">
        <v>163</v>
      </c>
      <c r="B245" s="36" t="s">
        <v>188</v>
      </c>
      <c r="C245" s="36" t="s">
        <v>200</v>
      </c>
      <c r="D245" s="37">
        <v>56</v>
      </c>
      <c r="F245" s="36" t="s">
        <v>225</v>
      </c>
    </row>
    <row r="246" spans="1:6" x14ac:dyDescent="0.2">
      <c r="A246" s="81" t="s">
        <v>77</v>
      </c>
      <c r="B246" s="36" t="s">
        <v>188</v>
      </c>
      <c r="C246" s="36" t="s">
        <v>200</v>
      </c>
      <c r="D246" s="37">
        <v>24</v>
      </c>
      <c r="E246" s="36" t="s">
        <v>222</v>
      </c>
      <c r="F246" s="36" t="s">
        <v>225</v>
      </c>
    </row>
    <row r="247" spans="1:6" x14ac:dyDescent="0.2">
      <c r="A247" s="81" t="s">
        <v>164</v>
      </c>
      <c r="B247" s="36" t="s">
        <v>188</v>
      </c>
      <c r="C247" s="36" t="s">
        <v>200</v>
      </c>
      <c r="D247" s="37">
        <v>56</v>
      </c>
      <c r="F247" s="36" t="s">
        <v>225</v>
      </c>
    </row>
    <row r="248" spans="1:6" x14ac:dyDescent="0.2">
      <c r="A248" s="81" t="s">
        <v>79</v>
      </c>
      <c r="B248" s="36" t="s">
        <v>188</v>
      </c>
      <c r="C248" s="36" t="s">
        <v>201</v>
      </c>
      <c r="D248" s="37">
        <v>69</v>
      </c>
      <c r="F248" s="36" t="s">
        <v>225</v>
      </c>
    </row>
    <row r="249" spans="1:6" x14ac:dyDescent="0.2">
      <c r="A249" s="81" t="s">
        <v>165</v>
      </c>
      <c r="B249" s="36" t="s">
        <v>188</v>
      </c>
      <c r="C249" s="36" t="s">
        <v>201</v>
      </c>
      <c r="D249" s="37">
        <v>11</v>
      </c>
      <c r="E249" s="36" t="s">
        <v>222</v>
      </c>
      <c r="F249" s="36" t="s">
        <v>225</v>
      </c>
    </row>
    <row r="250" spans="1:6" x14ac:dyDescent="0.2">
      <c r="A250" s="81" t="s">
        <v>80</v>
      </c>
      <c r="B250" s="36" t="s">
        <v>190</v>
      </c>
      <c r="C250" s="36" t="s">
        <v>194</v>
      </c>
      <c r="D250" s="37">
        <v>1</v>
      </c>
      <c r="E250" s="36" t="s">
        <v>222</v>
      </c>
      <c r="F250" s="36" t="s">
        <v>225</v>
      </c>
    </row>
    <row r="251" spans="1:6" x14ac:dyDescent="0.2">
      <c r="A251" s="81" t="s">
        <v>87</v>
      </c>
      <c r="B251" s="36" t="s">
        <v>190</v>
      </c>
      <c r="C251" s="36" t="s">
        <v>196</v>
      </c>
      <c r="D251" s="37">
        <v>1</v>
      </c>
      <c r="E251" s="36" t="s">
        <v>222</v>
      </c>
      <c r="F251" s="36" t="s">
        <v>225</v>
      </c>
    </row>
    <row r="252" spans="1:6" x14ac:dyDescent="0.2">
      <c r="A252" s="81" t="s">
        <v>88</v>
      </c>
      <c r="B252" s="36" t="s">
        <v>190</v>
      </c>
      <c r="C252" s="36" t="s">
        <v>197</v>
      </c>
      <c r="D252" s="37">
        <v>8</v>
      </c>
      <c r="E252" s="36" t="s">
        <v>222</v>
      </c>
      <c r="F252" s="36" t="s">
        <v>225</v>
      </c>
    </row>
    <row r="253" spans="1:6" x14ac:dyDescent="0.2">
      <c r="A253" s="81" t="s">
        <v>89</v>
      </c>
      <c r="B253" s="36" t="s">
        <v>190</v>
      </c>
      <c r="C253" s="36" t="s">
        <v>197</v>
      </c>
      <c r="D253" s="37">
        <v>72</v>
      </c>
      <c r="F253" s="36" t="s">
        <v>225</v>
      </c>
    </row>
    <row r="254" spans="1:6" x14ac:dyDescent="0.2">
      <c r="A254" s="81" t="s">
        <v>167</v>
      </c>
      <c r="B254" s="36" t="s">
        <v>190</v>
      </c>
      <c r="C254" s="36" t="s">
        <v>198</v>
      </c>
      <c r="D254" s="37">
        <v>21</v>
      </c>
      <c r="E254" s="36" t="s">
        <v>222</v>
      </c>
      <c r="F254" s="36" t="s">
        <v>225</v>
      </c>
    </row>
    <row r="255" spans="1:6" x14ac:dyDescent="0.2">
      <c r="A255" s="81" t="s">
        <v>90</v>
      </c>
      <c r="B255" s="36" t="s">
        <v>190</v>
      </c>
      <c r="C255" s="36" t="s">
        <v>198</v>
      </c>
      <c r="D255" s="37">
        <v>69</v>
      </c>
      <c r="F255" s="36" t="s">
        <v>225</v>
      </c>
    </row>
    <row r="256" spans="1:6" x14ac:dyDescent="0.2">
      <c r="A256" s="81" t="s">
        <v>93</v>
      </c>
      <c r="B256" s="36" t="s">
        <v>190</v>
      </c>
      <c r="C256" s="36" t="s">
        <v>198</v>
      </c>
      <c r="D256" s="37">
        <v>59</v>
      </c>
      <c r="F256" s="36" t="s">
        <v>225</v>
      </c>
    </row>
    <row r="257" spans="1:6" x14ac:dyDescent="0.2">
      <c r="A257" s="81" t="s">
        <v>168</v>
      </c>
      <c r="B257" s="36" t="s">
        <v>190</v>
      </c>
      <c r="C257" s="36" t="s">
        <v>199</v>
      </c>
      <c r="D257" s="37">
        <v>11</v>
      </c>
      <c r="E257" s="36" t="s">
        <v>222</v>
      </c>
      <c r="F257" s="36" t="s">
        <v>225</v>
      </c>
    </row>
    <row r="258" spans="1:6" x14ac:dyDescent="0.2">
      <c r="A258" s="81" t="s">
        <v>97</v>
      </c>
      <c r="B258" s="36" t="s">
        <v>190</v>
      </c>
      <c r="C258" s="36" t="s">
        <v>200</v>
      </c>
      <c r="D258" s="37">
        <v>16</v>
      </c>
      <c r="E258" s="36" t="s">
        <v>222</v>
      </c>
      <c r="F258" s="36" t="s">
        <v>225</v>
      </c>
    </row>
    <row r="259" spans="1:6" x14ac:dyDescent="0.2">
      <c r="A259" s="81" t="s">
        <v>98</v>
      </c>
      <c r="B259" s="36" t="s">
        <v>190</v>
      </c>
      <c r="C259" s="36" t="s">
        <v>200</v>
      </c>
      <c r="D259" s="37">
        <v>54</v>
      </c>
      <c r="F259" s="36" t="s">
        <v>225</v>
      </c>
    </row>
    <row r="260" spans="1:6" x14ac:dyDescent="0.2">
      <c r="A260" s="81" t="s">
        <v>99</v>
      </c>
      <c r="B260" s="36" t="s">
        <v>190</v>
      </c>
      <c r="C260" s="36" t="s">
        <v>200</v>
      </c>
      <c r="D260" s="37">
        <v>64</v>
      </c>
      <c r="F260" s="36" t="s">
        <v>225</v>
      </c>
    </row>
    <row r="261" spans="1:6" x14ac:dyDescent="0.2">
      <c r="A261" s="81" t="s">
        <v>100</v>
      </c>
      <c r="B261" s="36" t="s">
        <v>190</v>
      </c>
      <c r="C261" s="36" t="s">
        <v>200</v>
      </c>
      <c r="D261" s="37">
        <v>26</v>
      </c>
      <c r="E261" s="36" t="s">
        <v>222</v>
      </c>
      <c r="F261" s="36" t="s">
        <v>225</v>
      </c>
    </row>
    <row r="262" spans="1:6" x14ac:dyDescent="0.2">
      <c r="A262" s="81" t="s">
        <v>102</v>
      </c>
      <c r="B262" s="36" t="s">
        <v>190</v>
      </c>
      <c r="C262" s="36" t="s">
        <v>201</v>
      </c>
      <c r="D262" s="37">
        <v>1</v>
      </c>
      <c r="E262" s="36" t="s">
        <v>222</v>
      </c>
      <c r="F262" s="36" t="s">
        <v>225</v>
      </c>
    </row>
    <row r="263" spans="1:6" x14ac:dyDescent="0.2">
      <c r="A263" s="81" t="s">
        <v>17</v>
      </c>
      <c r="B263" s="36" t="s">
        <v>193</v>
      </c>
      <c r="C263" s="36" t="s">
        <v>196</v>
      </c>
      <c r="D263" s="37">
        <v>11</v>
      </c>
      <c r="E263" s="36" t="s">
        <v>222</v>
      </c>
      <c r="F263" s="36" t="s">
        <v>225</v>
      </c>
    </row>
    <row r="264" spans="1:6" x14ac:dyDescent="0.2">
      <c r="A264" s="81" t="s">
        <v>18</v>
      </c>
      <c r="B264" s="36" t="s">
        <v>193</v>
      </c>
      <c r="C264" s="36" t="s">
        <v>196</v>
      </c>
      <c r="D264" s="37">
        <v>69</v>
      </c>
      <c r="F264" s="36" t="s">
        <v>225</v>
      </c>
    </row>
    <row r="265" spans="1:6" x14ac:dyDescent="0.2">
      <c r="A265" s="81" t="s">
        <v>20</v>
      </c>
      <c r="B265" s="36" t="s">
        <v>193</v>
      </c>
      <c r="C265" s="36" t="s">
        <v>198</v>
      </c>
      <c r="D265" s="37">
        <v>12</v>
      </c>
      <c r="F265" s="36" t="s">
        <v>225</v>
      </c>
    </row>
    <row r="266" spans="1:6" x14ac:dyDescent="0.2">
      <c r="A266" s="81" t="s">
        <v>21</v>
      </c>
      <c r="B266" s="36" t="s">
        <v>193</v>
      </c>
      <c r="C266" s="36" t="s">
        <v>198</v>
      </c>
      <c r="D266" s="37">
        <v>63</v>
      </c>
      <c r="E266" s="36" t="s">
        <v>222</v>
      </c>
      <c r="F266" s="36" t="s">
        <v>225</v>
      </c>
    </row>
    <row r="267" spans="1:6" x14ac:dyDescent="0.2">
      <c r="A267" s="81" t="s">
        <v>22</v>
      </c>
      <c r="B267" s="36" t="s">
        <v>193</v>
      </c>
      <c r="C267" s="36" t="s">
        <v>198</v>
      </c>
      <c r="D267" s="37">
        <v>17</v>
      </c>
      <c r="F267" s="36" t="s">
        <v>225</v>
      </c>
    </row>
    <row r="268" spans="1:6" x14ac:dyDescent="0.2">
      <c r="A268" s="81" t="s">
        <v>26</v>
      </c>
      <c r="B268" s="36" t="s">
        <v>193</v>
      </c>
      <c r="C268" s="36" t="s">
        <v>199</v>
      </c>
      <c r="D268" s="37">
        <v>27</v>
      </c>
      <c r="E268" s="36" t="s">
        <v>222</v>
      </c>
      <c r="F268" s="36" t="s">
        <v>225</v>
      </c>
    </row>
    <row r="269" spans="1:6" x14ac:dyDescent="0.2">
      <c r="A269" s="81" t="s">
        <v>27</v>
      </c>
      <c r="B269" s="36" t="s">
        <v>193</v>
      </c>
      <c r="C269" s="36" t="s">
        <v>199</v>
      </c>
      <c r="D269" s="37">
        <v>53</v>
      </c>
      <c r="F269" s="36" t="s">
        <v>225</v>
      </c>
    </row>
    <row r="270" spans="1:6" x14ac:dyDescent="0.2">
      <c r="A270" s="81" t="s">
        <v>29</v>
      </c>
      <c r="B270" s="36" t="s">
        <v>193</v>
      </c>
      <c r="C270" s="36" t="s">
        <v>200</v>
      </c>
      <c r="D270" s="37">
        <v>63</v>
      </c>
      <c r="F270" s="36" t="s">
        <v>225</v>
      </c>
    </row>
    <row r="271" spans="1:6" x14ac:dyDescent="0.2">
      <c r="A271" s="81" t="s">
        <v>30</v>
      </c>
      <c r="B271" s="36" t="s">
        <v>193</v>
      </c>
      <c r="C271" s="36" t="s">
        <v>200</v>
      </c>
      <c r="D271" s="37">
        <v>68</v>
      </c>
      <c r="E271" s="36" t="s">
        <v>222</v>
      </c>
      <c r="F271" s="36" t="s">
        <v>225</v>
      </c>
    </row>
    <row r="272" spans="1:6" x14ac:dyDescent="0.2">
      <c r="A272" s="81" t="s">
        <v>169</v>
      </c>
      <c r="B272" s="36" t="s">
        <v>193</v>
      </c>
      <c r="C272" s="36" t="s">
        <v>200</v>
      </c>
      <c r="D272" s="37">
        <v>11</v>
      </c>
      <c r="F272" s="36" t="s">
        <v>225</v>
      </c>
    </row>
    <row r="273" spans="1:6" x14ac:dyDescent="0.2">
      <c r="A273" s="81" t="s">
        <v>31</v>
      </c>
      <c r="B273" s="36" t="s">
        <v>193</v>
      </c>
      <c r="C273" s="36" t="s">
        <v>200</v>
      </c>
      <c r="D273" s="37">
        <v>17</v>
      </c>
      <c r="E273" s="36" t="s">
        <v>222</v>
      </c>
      <c r="F273" s="36" t="s">
        <v>225</v>
      </c>
    </row>
    <row r="274" spans="1:6" x14ac:dyDescent="0.2">
      <c r="A274" s="81" t="s">
        <v>32</v>
      </c>
      <c r="B274" s="36" t="s">
        <v>193</v>
      </c>
      <c r="C274" s="36" t="s">
        <v>201</v>
      </c>
      <c r="D274" s="37">
        <v>11</v>
      </c>
      <c r="E274" s="36" t="s">
        <v>222</v>
      </c>
      <c r="F274" s="36" t="s">
        <v>225</v>
      </c>
    </row>
    <row r="275" spans="1:6" x14ac:dyDescent="0.2">
      <c r="A275" s="81" t="s">
        <v>33</v>
      </c>
      <c r="B275" s="36" t="s">
        <v>193</v>
      </c>
      <c r="C275" s="36" t="s">
        <v>201</v>
      </c>
      <c r="D275" s="37">
        <v>69</v>
      </c>
      <c r="F275" s="36" t="s">
        <v>225</v>
      </c>
    </row>
    <row r="276" spans="1:6" x14ac:dyDescent="0.2">
      <c r="A276" s="81" t="s">
        <v>35</v>
      </c>
      <c r="B276" s="36" t="s">
        <v>191</v>
      </c>
      <c r="C276" s="36" t="s">
        <v>194</v>
      </c>
      <c r="D276" s="37">
        <v>11</v>
      </c>
      <c r="E276" s="36" t="s">
        <v>222</v>
      </c>
      <c r="F276" s="36" t="s">
        <v>225</v>
      </c>
    </row>
    <row r="277" spans="1:6" x14ac:dyDescent="0.2">
      <c r="A277" s="81" t="s">
        <v>36</v>
      </c>
      <c r="B277" s="36" t="s">
        <v>191</v>
      </c>
      <c r="C277" s="36" t="s">
        <v>194</v>
      </c>
      <c r="D277" s="37">
        <v>69</v>
      </c>
      <c r="F277" s="36" t="s">
        <v>225</v>
      </c>
    </row>
    <row r="278" spans="1:6" x14ac:dyDescent="0.2">
      <c r="A278" s="81" t="s">
        <v>170</v>
      </c>
      <c r="B278" s="36" t="s">
        <v>191</v>
      </c>
      <c r="C278" s="36" t="s">
        <v>197</v>
      </c>
      <c r="D278" s="37">
        <v>23</v>
      </c>
      <c r="E278" s="36" t="s">
        <v>222</v>
      </c>
      <c r="F278" s="36" t="s">
        <v>225</v>
      </c>
    </row>
    <row r="279" spans="1:6" x14ac:dyDescent="0.2">
      <c r="A279" s="81" t="s">
        <v>43</v>
      </c>
      <c r="B279" s="36" t="s">
        <v>191</v>
      </c>
      <c r="C279" s="36" t="s">
        <v>197</v>
      </c>
      <c r="D279" s="37">
        <v>57</v>
      </c>
      <c r="F279" s="36" t="s">
        <v>225</v>
      </c>
    </row>
    <row r="280" spans="1:6" x14ac:dyDescent="0.2">
      <c r="A280" s="81" t="s">
        <v>45</v>
      </c>
      <c r="B280" s="36" t="s">
        <v>191</v>
      </c>
      <c r="C280" s="36" t="s">
        <v>198</v>
      </c>
      <c r="D280" s="37">
        <v>23</v>
      </c>
      <c r="E280" s="36" t="s">
        <v>222</v>
      </c>
      <c r="F280" s="36" t="s">
        <v>225</v>
      </c>
    </row>
    <row r="281" spans="1:6" x14ac:dyDescent="0.2">
      <c r="A281" s="81" t="s">
        <v>46</v>
      </c>
      <c r="B281" s="36" t="s">
        <v>191</v>
      </c>
      <c r="C281" s="36" t="s">
        <v>198</v>
      </c>
      <c r="D281" s="37">
        <v>57</v>
      </c>
      <c r="F281" s="36" t="s">
        <v>225</v>
      </c>
    </row>
    <row r="282" spans="1:6" x14ac:dyDescent="0.2">
      <c r="A282" s="81" t="s">
        <v>171</v>
      </c>
      <c r="B282" s="36" t="s">
        <v>191</v>
      </c>
      <c r="C282" s="36" t="s">
        <v>198</v>
      </c>
      <c r="D282" s="37">
        <v>9</v>
      </c>
      <c r="E282" s="36" t="s">
        <v>222</v>
      </c>
      <c r="F282" s="36" t="s">
        <v>225</v>
      </c>
    </row>
    <row r="283" spans="1:6" x14ac:dyDescent="0.2">
      <c r="A283" s="81" t="s">
        <v>172</v>
      </c>
      <c r="B283" s="36" t="s">
        <v>191</v>
      </c>
      <c r="C283" s="36" t="s">
        <v>198</v>
      </c>
      <c r="D283" s="37">
        <v>10</v>
      </c>
      <c r="F283" s="36" t="s">
        <v>225</v>
      </c>
    </row>
    <row r="284" spans="1:6" x14ac:dyDescent="0.2">
      <c r="A284" s="81" t="s">
        <v>48</v>
      </c>
      <c r="B284" s="36" t="s">
        <v>191</v>
      </c>
      <c r="C284" s="36" t="s">
        <v>199</v>
      </c>
      <c r="D284" s="37">
        <v>7</v>
      </c>
      <c r="F284" s="36" t="s">
        <v>225</v>
      </c>
    </row>
    <row r="285" spans="1:6" x14ac:dyDescent="0.2">
      <c r="A285" s="81" t="s">
        <v>49</v>
      </c>
      <c r="B285" s="36" t="s">
        <v>191</v>
      </c>
      <c r="C285" s="36" t="s">
        <v>199</v>
      </c>
      <c r="D285" s="37">
        <v>70</v>
      </c>
      <c r="E285" s="36" t="s">
        <v>222</v>
      </c>
      <c r="F285" s="36" t="s">
        <v>225</v>
      </c>
    </row>
    <row r="286" spans="1:6" x14ac:dyDescent="0.2">
      <c r="A286" s="81" t="s">
        <v>50</v>
      </c>
      <c r="B286" s="36" t="s">
        <v>191</v>
      </c>
      <c r="C286" s="36" t="s">
        <v>199</v>
      </c>
      <c r="D286" s="37">
        <v>71</v>
      </c>
      <c r="E286" s="36"/>
      <c r="F286" s="36" t="s">
        <v>225</v>
      </c>
    </row>
    <row r="287" spans="1:6" x14ac:dyDescent="0.2">
      <c r="A287" s="81" t="s">
        <v>51</v>
      </c>
      <c r="B287" s="36" t="s">
        <v>191</v>
      </c>
      <c r="C287" s="36" t="s">
        <v>200</v>
      </c>
      <c r="D287" s="37">
        <v>17</v>
      </c>
      <c r="E287" s="36" t="s">
        <v>222</v>
      </c>
      <c r="F287" s="36" t="s">
        <v>225</v>
      </c>
    </row>
    <row r="288" spans="1:6" x14ac:dyDescent="0.2">
      <c r="A288" s="81" t="s">
        <v>52</v>
      </c>
      <c r="B288" s="36" t="s">
        <v>191</v>
      </c>
      <c r="C288" s="36" t="s">
        <v>200</v>
      </c>
      <c r="D288" s="37">
        <v>63</v>
      </c>
      <c r="F288" s="36" t="s">
        <v>225</v>
      </c>
    </row>
    <row r="289" spans="1:6" x14ac:dyDescent="0.2">
      <c r="A289" s="81" t="s">
        <v>53</v>
      </c>
      <c r="B289" s="36" t="s">
        <v>191</v>
      </c>
      <c r="C289" s="36" t="s">
        <v>200</v>
      </c>
      <c r="D289" s="37">
        <v>17</v>
      </c>
      <c r="E289" s="36" t="s">
        <v>222</v>
      </c>
      <c r="F289" s="36" t="s">
        <v>225</v>
      </c>
    </row>
    <row r="290" spans="1:6" x14ac:dyDescent="0.2">
      <c r="A290" s="81" t="s">
        <v>54</v>
      </c>
      <c r="B290" s="36" t="s">
        <v>191</v>
      </c>
      <c r="C290" s="36" t="s">
        <v>200</v>
      </c>
      <c r="D290" s="37">
        <v>63</v>
      </c>
      <c r="F290" s="36" t="s">
        <v>225</v>
      </c>
    </row>
    <row r="291" spans="1:6" x14ac:dyDescent="0.2">
      <c r="A291" s="81" t="s">
        <v>55</v>
      </c>
      <c r="B291" s="36" t="s">
        <v>191</v>
      </c>
      <c r="C291" s="36" t="s">
        <v>201</v>
      </c>
      <c r="D291" s="37">
        <v>17</v>
      </c>
      <c r="E291" s="36" t="s">
        <v>222</v>
      </c>
      <c r="F291" s="36" t="s">
        <v>225</v>
      </c>
    </row>
    <row r="292" spans="1:6" ht="16" thickBot="1" x14ac:dyDescent="0.25">
      <c r="A292" s="82" t="s">
        <v>56</v>
      </c>
      <c r="B292" s="75" t="s">
        <v>191</v>
      </c>
      <c r="C292" s="75" t="s">
        <v>201</v>
      </c>
      <c r="D292" s="79">
        <v>63</v>
      </c>
      <c r="F292" s="36" t="s">
        <v>225</v>
      </c>
    </row>
    <row r="294" spans="1:6" ht="16" thickBot="1" x14ac:dyDescent="0.25"/>
    <row r="295" spans="1:6" ht="16" thickBot="1" x14ac:dyDescent="0.25">
      <c r="A295" s="39" t="s">
        <v>0</v>
      </c>
      <c r="B295" s="40" t="s">
        <v>203</v>
      </c>
      <c r="C295" s="40" t="s">
        <v>202</v>
      </c>
      <c r="D295" s="40" t="s">
        <v>205</v>
      </c>
    </row>
    <row r="296" spans="1:6" x14ac:dyDescent="0.2">
      <c r="A296" s="36" t="s">
        <v>103</v>
      </c>
      <c r="B296" s="36" t="s">
        <v>192</v>
      </c>
      <c r="C296" s="36" t="s">
        <v>194</v>
      </c>
      <c r="D296" s="37">
        <v>69</v>
      </c>
      <c r="F296" s="36" t="s">
        <v>226</v>
      </c>
    </row>
    <row r="297" spans="1:6" x14ac:dyDescent="0.2">
      <c r="A297" s="36" t="s">
        <v>105</v>
      </c>
      <c r="B297" s="36" t="s">
        <v>192</v>
      </c>
      <c r="C297" s="36" t="s">
        <v>194</v>
      </c>
      <c r="D297" s="37">
        <v>24</v>
      </c>
      <c r="E297" s="36" t="s">
        <v>222</v>
      </c>
      <c r="F297" s="36" t="s">
        <v>226</v>
      </c>
    </row>
    <row r="298" spans="1:6" x14ac:dyDescent="0.2">
      <c r="A298" s="36" t="s">
        <v>106</v>
      </c>
      <c r="B298" s="36" t="s">
        <v>192</v>
      </c>
      <c r="C298" s="36" t="s">
        <v>194</v>
      </c>
      <c r="D298" s="37">
        <v>59</v>
      </c>
      <c r="F298" s="36" t="s">
        <v>226</v>
      </c>
    </row>
    <row r="299" spans="1:6" x14ac:dyDescent="0.2">
      <c r="A299" s="36" t="s">
        <v>109</v>
      </c>
      <c r="B299" s="36" t="s">
        <v>192</v>
      </c>
      <c r="C299" s="36" t="s">
        <v>195</v>
      </c>
      <c r="D299" s="37">
        <v>21</v>
      </c>
      <c r="E299" s="36" t="s">
        <v>222</v>
      </c>
      <c r="F299" s="36" t="s">
        <v>226</v>
      </c>
    </row>
    <row r="300" spans="1:6" x14ac:dyDescent="0.2">
      <c r="A300" s="36" t="s">
        <v>111</v>
      </c>
      <c r="B300" s="36" t="s">
        <v>192</v>
      </c>
      <c r="C300" s="36" t="s">
        <v>197</v>
      </c>
      <c r="D300" s="37">
        <v>56</v>
      </c>
      <c r="F300" s="36" t="s">
        <v>226</v>
      </c>
    </row>
    <row r="301" spans="1:6" x14ac:dyDescent="0.2">
      <c r="A301" s="36" t="s">
        <v>112</v>
      </c>
      <c r="B301" s="36" t="s">
        <v>192</v>
      </c>
      <c r="C301" s="36" t="s">
        <v>198</v>
      </c>
      <c r="D301" s="37">
        <v>20</v>
      </c>
      <c r="E301" s="36" t="s">
        <v>222</v>
      </c>
      <c r="F301" s="36" t="s">
        <v>226</v>
      </c>
    </row>
    <row r="302" spans="1:6" x14ac:dyDescent="0.2">
      <c r="A302" s="36" t="s">
        <v>113</v>
      </c>
      <c r="B302" s="36" t="s">
        <v>192</v>
      </c>
      <c r="C302" s="36" t="s">
        <v>198</v>
      </c>
      <c r="D302" s="37">
        <v>77</v>
      </c>
      <c r="F302" s="36" t="s">
        <v>226</v>
      </c>
    </row>
    <row r="303" spans="1:6" x14ac:dyDescent="0.2">
      <c r="A303" s="36" t="s">
        <v>114</v>
      </c>
      <c r="B303" s="36" t="s">
        <v>192</v>
      </c>
      <c r="C303" s="36" t="s">
        <v>198</v>
      </c>
      <c r="D303" s="37">
        <v>52</v>
      </c>
      <c r="F303" s="36" t="s">
        <v>226</v>
      </c>
    </row>
    <row r="304" spans="1:6" x14ac:dyDescent="0.2">
      <c r="A304" s="36" t="s">
        <v>154</v>
      </c>
      <c r="B304" s="36" t="s">
        <v>192</v>
      </c>
      <c r="C304" s="36" t="s">
        <v>198</v>
      </c>
      <c r="D304" s="37">
        <v>3</v>
      </c>
      <c r="E304" s="36" t="s">
        <v>222</v>
      </c>
      <c r="F304" s="36" t="s">
        <v>226</v>
      </c>
    </row>
    <row r="305" spans="1:6" x14ac:dyDescent="0.2">
      <c r="A305" s="36" t="s">
        <v>117</v>
      </c>
      <c r="B305" s="36" t="s">
        <v>192</v>
      </c>
      <c r="C305" s="36" t="s">
        <v>199</v>
      </c>
      <c r="D305" s="37">
        <v>60</v>
      </c>
      <c r="F305" s="36" t="s">
        <v>226</v>
      </c>
    </row>
    <row r="306" spans="1:6" x14ac:dyDescent="0.2">
      <c r="A306" s="36" t="s">
        <v>116</v>
      </c>
      <c r="B306" s="36" t="s">
        <v>192</v>
      </c>
      <c r="C306" s="36" t="s">
        <v>199</v>
      </c>
      <c r="D306" s="37">
        <v>71</v>
      </c>
      <c r="F306" s="36" t="s">
        <v>226</v>
      </c>
    </row>
    <row r="307" spans="1:6" x14ac:dyDescent="0.2">
      <c r="A307" s="36" t="s">
        <v>119</v>
      </c>
      <c r="B307" s="36" t="s">
        <v>192</v>
      </c>
      <c r="C307" s="36" t="s">
        <v>199</v>
      </c>
      <c r="D307" s="37">
        <v>28</v>
      </c>
      <c r="E307" s="36" t="s">
        <v>222</v>
      </c>
      <c r="F307" s="36" t="s">
        <v>226</v>
      </c>
    </row>
    <row r="308" spans="1:6" x14ac:dyDescent="0.2">
      <c r="A308" s="36" t="s">
        <v>120</v>
      </c>
      <c r="B308" s="36" t="s">
        <v>192</v>
      </c>
      <c r="C308" s="36" t="s">
        <v>200</v>
      </c>
      <c r="D308" s="37">
        <v>42</v>
      </c>
      <c r="F308" s="36" t="s">
        <v>226</v>
      </c>
    </row>
    <row r="309" spans="1:6" x14ac:dyDescent="0.2">
      <c r="A309" s="36" t="s">
        <v>121</v>
      </c>
      <c r="B309" s="36" t="s">
        <v>192</v>
      </c>
      <c r="C309" s="36" t="s">
        <v>200</v>
      </c>
      <c r="D309" s="37">
        <v>62</v>
      </c>
      <c r="F309" s="36" t="s">
        <v>226</v>
      </c>
    </row>
    <row r="310" spans="1:6" x14ac:dyDescent="0.2">
      <c r="A310" s="36" t="s">
        <v>122</v>
      </c>
      <c r="B310" s="36" t="s">
        <v>192</v>
      </c>
      <c r="C310" s="36" t="s">
        <v>200</v>
      </c>
      <c r="D310" s="37">
        <v>38</v>
      </c>
      <c r="E310" s="36" t="s">
        <v>222</v>
      </c>
      <c r="F310" s="36" t="s">
        <v>226</v>
      </c>
    </row>
    <row r="311" spans="1:6" x14ac:dyDescent="0.2">
      <c r="A311" s="36" t="s">
        <v>123</v>
      </c>
      <c r="B311" s="36" t="s">
        <v>192</v>
      </c>
      <c r="C311" s="36" t="s">
        <v>200</v>
      </c>
      <c r="D311" s="37">
        <v>18</v>
      </c>
      <c r="E311" s="36" t="s">
        <v>222</v>
      </c>
      <c r="F311" s="36" t="s">
        <v>226</v>
      </c>
    </row>
    <row r="312" spans="1:6" x14ac:dyDescent="0.2">
      <c r="A312" s="36" t="s">
        <v>124</v>
      </c>
      <c r="B312" s="36" t="s">
        <v>192</v>
      </c>
      <c r="C312" s="36" t="s">
        <v>201</v>
      </c>
      <c r="D312" s="37">
        <v>28</v>
      </c>
      <c r="E312" s="36" t="s">
        <v>222</v>
      </c>
      <c r="F312" s="36" t="s">
        <v>226</v>
      </c>
    </row>
    <row r="313" spans="1:6" x14ac:dyDescent="0.2">
      <c r="A313" s="36" t="s">
        <v>125</v>
      </c>
      <c r="B313" s="36" t="s">
        <v>192</v>
      </c>
      <c r="C313" s="36" t="s">
        <v>201</v>
      </c>
      <c r="D313" s="37">
        <v>52</v>
      </c>
      <c r="F313" s="36" t="s">
        <v>226</v>
      </c>
    </row>
    <row r="314" spans="1:6" x14ac:dyDescent="0.2">
      <c r="A314" s="36" t="s">
        <v>57</v>
      </c>
      <c r="B314" s="36" t="s">
        <v>188</v>
      </c>
      <c r="C314" s="36" t="s">
        <v>194</v>
      </c>
      <c r="D314" s="37">
        <v>51</v>
      </c>
      <c r="F314" s="36" t="s">
        <v>226</v>
      </c>
    </row>
    <row r="315" spans="1:6" x14ac:dyDescent="0.2">
      <c r="A315" s="36" t="s">
        <v>156</v>
      </c>
      <c r="B315" s="36" t="s">
        <v>188</v>
      </c>
      <c r="C315" s="36" t="s">
        <v>194</v>
      </c>
      <c r="D315" s="37">
        <v>29</v>
      </c>
      <c r="E315" s="36" t="s">
        <v>222</v>
      </c>
      <c r="F315" s="36" t="s">
        <v>226</v>
      </c>
    </row>
    <row r="316" spans="1:6" x14ac:dyDescent="0.2">
      <c r="A316" s="36" t="s">
        <v>60</v>
      </c>
      <c r="B316" s="36" t="s">
        <v>188</v>
      </c>
      <c r="C316" s="36" t="s">
        <v>194</v>
      </c>
      <c r="D316" s="37">
        <v>62</v>
      </c>
      <c r="F316" s="36" t="s">
        <v>226</v>
      </c>
    </row>
    <row r="317" spans="1:6" x14ac:dyDescent="0.2">
      <c r="A317" s="36" t="s">
        <v>62</v>
      </c>
      <c r="B317" s="36" t="s">
        <v>188</v>
      </c>
      <c r="C317" s="36" t="s">
        <v>195</v>
      </c>
      <c r="D317" s="37">
        <v>18</v>
      </c>
      <c r="E317" s="36" t="s">
        <v>222</v>
      </c>
      <c r="F317" s="36" t="s">
        <v>226</v>
      </c>
    </row>
    <row r="318" spans="1:6" x14ac:dyDescent="0.2">
      <c r="A318" s="36" t="s">
        <v>65</v>
      </c>
      <c r="B318" s="36" t="s">
        <v>188</v>
      </c>
      <c r="C318" s="36" t="s">
        <v>197</v>
      </c>
      <c r="D318" s="37">
        <v>54</v>
      </c>
      <c r="F318" s="36" t="s">
        <v>226</v>
      </c>
    </row>
    <row r="319" spans="1:6" x14ac:dyDescent="0.2">
      <c r="A319" s="36" t="s">
        <v>66</v>
      </c>
      <c r="B319" s="36" t="s">
        <v>188</v>
      </c>
      <c r="C319" s="36" t="s">
        <v>197</v>
      </c>
      <c r="D319" s="37">
        <v>26</v>
      </c>
      <c r="E319" s="36" t="s">
        <v>222</v>
      </c>
      <c r="F319" s="36" t="s">
        <v>226</v>
      </c>
    </row>
    <row r="320" spans="1:6" x14ac:dyDescent="0.2">
      <c r="A320" s="36" t="s">
        <v>68</v>
      </c>
      <c r="B320" s="36" t="s">
        <v>188</v>
      </c>
      <c r="C320" s="36" t="s">
        <v>198</v>
      </c>
      <c r="D320" s="37">
        <v>60</v>
      </c>
      <c r="F320" s="36" t="s">
        <v>226</v>
      </c>
    </row>
    <row r="321" spans="1:6" x14ac:dyDescent="0.2">
      <c r="A321" s="36" t="s">
        <v>69</v>
      </c>
      <c r="B321" s="36" t="s">
        <v>188</v>
      </c>
      <c r="C321" s="36" t="s">
        <v>198</v>
      </c>
      <c r="D321" s="37">
        <v>20</v>
      </c>
      <c r="E321" s="36" t="s">
        <v>222</v>
      </c>
      <c r="F321" s="36" t="s">
        <v>226</v>
      </c>
    </row>
    <row r="322" spans="1:6" x14ac:dyDescent="0.2">
      <c r="A322" s="36" t="s">
        <v>71</v>
      </c>
      <c r="B322" s="36" t="s">
        <v>188</v>
      </c>
      <c r="C322" s="36" t="s">
        <v>199</v>
      </c>
      <c r="D322" s="37">
        <v>11</v>
      </c>
      <c r="E322" s="36" t="s">
        <v>222</v>
      </c>
      <c r="F322" s="36" t="s">
        <v>226</v>
      </c>
    </row>
    <row r="323" spans="1:6" x14ac:dyDescent="0.2">
      <c r="A323" s="36" t="s">
        <v>72</v>
      </c>
      <c r="B323" s="36" t="s">
        <v>188</v>
      </c>
      <c r="C323" s="36" t="s">
        <v>199</v>
      </c>
      <c r="D323" s="37">
        <v>69</v>
      </c>
      <c r="F323" s="36" t="s">
        <v>226</v>
      </c>
    </row>
    <row r="324" spans="1:6" x14ac:dyDescent="0.2">
      <c r="A324" s="36" t="s">
        <v>163</v>
      </c>
      <c r="B324" s="36" t="s">
        <v>188</v>
      </c>
      <c r="C324" s="36" t="s">
        <v>200</v>
      </c>
      <c r="D324" s="37">
        <v>53</v>
      </c>
      <c r="F324" s="36" t="s">
        <v>226</v>
      </c>
    </row>
    <row r="325" spans="1:6" x14ac:dyDescent="0.2">
      <c r="A325" s="36" t="s">
        <v>76</v>
      </c>
      <c r="B325" s="36" t="s">
        <v>188</v>
      </c>
      <c r="C325" s="36" t="s">
        <v>200</v>
      </c>
      <c r="D325" s="37">
        <v>45</v>
      </c>
      <c r="F325" s="36" t="s">
        <v>226</v>
      </c>
    </row>
    <row r="326" spans="1:6" x14ac:dyDescent="0.2">
      <c r="A326" s="36" t="s">
        <v>77</v>
      </c>
      <c r="B326" s="36" t="s">
        <v>188</v>
      </c>
      <c r="C326" s="36" t="s">
        <v>200</v>
      </c>
      <c r="D326" s="37">
        <v>27</v>
      </c>
      <c r="E326" s="36" t="s">
        <v>222</v>
      </c>
      <c r="F326" s="36" t="s">
        <v>226</v>
      </c>
    </row>
    <row r="327" spans="1:6" x14ac:dyDescent="0.2">
      <c r="A327" s="36" t="s">
        <v>164</v>
      </c>
      <c r="B327" s="36" t="s">
        <v>188</v>
      </c>
      <c r="C327" s="36" t="s">
        <v>200</v>
      </c>
      <c r="D327" s="37">
        <v>35</v>
      </c>
      <c r="E327" s="36" t="s">
        <v>222</v>
      </c>
      <c r="F327" s="36" t="s">
        <v>226</v>
      </c>
    </row>
    <row r="328" spans="1:6" x14ac:dyDescent="0.2">
      <c r="A328" s="36" t="s">
        <v>78</v>
      </c>
      <c r="B328" s="36" t="s">
        <v>188</v>
      </c>
      <c r="C328" s="36" t="s">
        <v>201</v>
      </c>
      <c r="D328" s="37">
        <v>6</v>
      </c>
      <c r="E328" s="36" t="s">
        <v>222</v>
      </c>
      <c r="F328" s="36" t="s">
        <v>226</v>
      </c>
    </row>
    <row r="329" spans="1:6" x14ac:dyDescent="0.2">
      <c r="A329" s="36" t="s">
        <v>79</v>
      </c>
      <c r="B329" s="36" t="s">
        <v>188</v>
      </c>
      <c r="C329" s="36" t="s">
        <v>201</v>
      </c>
      <c r="D329" s="37">
        <v>74</v>
      </c>
      <c r="F329" s="36" t="s">
        <v>226</v>
      </c>
    </row>
    <row r="330" spans="1:6" x14ac:dyDescent="0.2">
      <c r="A330" s="36" t="s">
        <v>80</v>
      </c>
      <c r="B330" s="36" t="s">
        <v>190</v>
      </c>
      <c r="C330" s="36" t="s">
        <v>194</v>
      </c>
      <c r="D330" s="37">
        <v>22</v>
      </c>
      <c r="E330" s="36" t="s">
        <v>222</v>
      </c>
      <c r="F330" s="36" t="s">
        <v>226</v>
      </c>
    </row>
    <row r="331" spans="1:6" x14ac:dyDescent="0.2">
      <c r="A331" s="36" t="s">
        <v>82</v>
      </c>
      <c r="B331" s="36" t="s">
        <v>190</v>
      </c>
      <c r="C331" s="36" t="s">
        <v>194</v>
      </c>
      <c r="D331" s="37">
        <v>58</v>
      </c>
      <c r="F331" s="36" t="s">
        <v>226</v>
      </c>
    </row>
    <row r="332" spans="1:6" x14ac:dyDescent="0.2">
      <c r="A332" s="36" t="s">
        <v>84</v>
      </c>
      <c r="B332" s="36" t="s">
        <v>190</v>
      </c>
      <c r="C332" s="36" t="s">
        <v>195</v>
      </c>
      <c r="D332" s="37">
        <v>34</v>
      </c>
      <c r="E332" s="36" t="s">
        <v>222</v>
      </c>
      <c r="F332" s="36" t="s">
        <v>226</v>
      </c>
    </row>
    <row r="333" spans="1:6" x14ac:dyDescent="0.2">
      <c r="A333" s="36" t="s">
        <v>85</v>
      </c>
      <c r="B333" s="36" t="s">
        <v>190</v>
      </c>
      <c r="C333" s="36" t="s">
        <v>195</v>
      </c>
      <c r="D333" s="37">
        <v>61</v>
      </c>
      <c r="F333" s="36" t="s">
        <v>226</v>
      </c>
    </row>
    <row r="334" spans="1:6" x14ac:dyDescent="0.2">
      <c r="A334" s="36" t="s">
        <v>86</v>
      </c>
      <c r="B334" s="36" t="s">
        <v>190</v>
      </c>
      <c r="C334" s="36" t="s">
        <v>195</v>
      </c>
      <c r="D334" s="37">
        <v>46</v>
      </c>
      <c r="F334" s="36" t="s">
        <v>226</v>
      </c>
    </row>
    <row r="335" spans="1:6" x14ac:dyDescent="0.2">
      <c r="A335" s="36" t="s">
        <v>88</v>
      </c>
      <c r="B335" s="36" t="s">
        <v>190</v>
      </c>
      <c r="C335" s="36" t="s">
        <v>197</v>
      </c>
      <c r="D335" s="37">
        <v>34</v>
      </c>
      <c r="E335" s="36" t="s">
        <v>222</v>
      </c>
      <c r="F335" s="36" t="s">
        <v>226</v>
      </c>
    </row>
    <row r="336" spans="1:6" x14ac:dyDescent="0.2">
      <c r="A336" s="36" t="s">
        <v>89</v>
      </c>
      <c r="B336" s="36" t="s">
        <v>190</v>
      </c>
      <c r="C336" s="36" t="s">
        <v>197</v>
      </c>
      <c r="D336" s="37">
        <v>46</v>
      </c>
      <c r="F336" s="36" t="s">
        <v>226</v>
      </c>
    </row>
    <row r="337" spans="1:6" x14ac:dyDescent="0.2">
      <c r="A337" s="36" t="s">
        <v>167</v>
      </c>
      <c r="B337" s="36" t="s">
        <v>190</v>
      </c>
      <c r="C337" s="36" t="s">
        <v>198</v>
      </c>
      <c r="D337" s="37">
        <v>27</v>
      </c>
      <c r="E337" s="36" t="s">
        <v>222</v>
      </c>
      <c r="F337" s="36" t="s">
        <v>226</v>
      </c>
    </row>
    <row r="338" spans="1:6" x14ac:dyDescent="0.2">
      <c r="A338" s="36" t="s">
        <v>90</v>
      </c>
      <c r="B338" s="36" t="s">
        <v>190</v>
      </c>
      <c r="C338" s="36" t="s">
        <v>198</v>
      </c>
      <c r="D338" s="37">
        <v>75</v>
      </c>
      <c r="F338" s="36" t="s">
        <v>226</v>
      </c>
    </row>
    <row r="339" spans="1:6" x14ac:dyDescent="0.2">
      <c r="A339" s="36" t="s">
        <v>93</v>
      </c>
      <c r="B339" s="36" t="s">
        <v>190</v>
      </c>
      <c r="C339" s="36" t="s">
        <v>198</v>
      </c>
      <c r="D339" s="37">
        <v>53</v>
      </c>
      <c r="F339" s="36" t="s">
        <v>226</v>
      </c>
    </row>
    <row r="340" spans="1:6" x14ac:dyDescent="0.2">
      <c r="A340" s="36" t="s">
        <v>173</v>
      </c>
      <c r="B340" s="36" t="s">
        <v>190</v>
      </c>
      <c r="C340" s="36" t="s">
        <v>199</v>
      </c>
      <c r="D340" s="37">
        <v>5</v>
      </c>
      <c r="E340" s="36" t="s">
        <v>222</v>
      </c>
      <c r="F340" s="36" t="s">
        <v>226</v>
      </c>
    </row>
    <row r="341" spans="1:6" x14ac:dyDescent="0.2">
      <c r="A341" s="36" t="s">
        <v>97</v>
      </c>
      <c r="B341" s="36" t="s">
        <v>190</v>
      </c>
      <c r="C341" s="36" t="s">
        <v>200</v>
      </c>
      <c r="D341" s="37">
        <v>15</v>
      </c>
      <c r="E341" s="36" t="s">
        <v>222</v>
      </c>
      <c r="F341" s="36" t="s">
        <v>226</v>
      </c>
    </row>
    <row r="342" spans="1:6" x14ac:dyDescent="0.2">
      <c r="A342" s="36" t="s">
        <v>98</v>
      </c>
      <c r="B342" s="36" t="s">
        <v>190</v>
      </c>
      <c r="C342" s="36" t="s">
        <v>200</v>
      </c>
      <c r="D342" s="37">
        <v>65</v>
      </c>
      <c r="F342" s="36" t="s">
        <v>226</v>
      </c>
    </row>
    <row r="343" spans="1:6" x14ac:dyDescent="0.2">
      <c r="A343" s="36" t="s">
        <v>99</v>
      </c>
      <c r="B343" s="36" t="s">
        <v>190</v>
      </c>
      <c r="C343" s="36" t="s">
        <v>200</v>
      </c>
      <c r="D343" s="37">
        <v>65</v>
      </c>
      <c r="F343" s="36" t="s">
        <v>226</v>
      </c>
    </row>
    <row r="344" spans="1:6" x14ac:dyDescent="0.2">
      <c r="A344" s="36" t="s">
        <v>100</v>
      </c>
      <c r="B344" s="36" t="s">
        <v>190</v>
      </c>
      <c r="C344" s="36" t="s">
        <v>200</v>
      </c>
      <c r="D344" s="37">
        <v>15</v>
      </c>
      <c r="E344" s="36" t="s">
        <v>222</v>
      </c>
      <c r="F344" s="36" t="s">
        <v>226</v>
      </c>
    </row>
    <row r="345" spans="1:6" x14ac:dyDescent="0.2">
      <c r="A345" s="36" t="s">
        <v>102</v>
      </c>
      <c r="B345" s="36" t="s">
        <v>190</v>
      </c>
      <c r="C345" s="36" t="s">
        <v>201</v>
      </c>
      <c r="D345" s="37">
        <v>19</v>
      </c>
      <c r="E345" s="36" t="s">
        <v>222</v>
      </c>
      <c r="F345" s="36" t="s">
        <v>226</v>
      </c>
    </row>
    <row r="346" spans="1:6" x14ac:dyDescent="0.2">
      <c r="A346" s="36" t="s">
        <v>174</v>
      </c>
      <c r="B346" s="36" t="s">
        <v>193</v>
      </c>
      <c r="C346" s="36" t="s">
        <v>194</v>
      </c>
      <c r="D346" s="37">
        <v>7</v>
      </c>
      <c r="E346" s="36" t="s">
        <v>222</v>
      </c>
      <c r="F346" s="36" t="s">
        <v>226</v>
      </c>
    </row>
    <row r="347" spans="1:6" x14ac:dyDescent="0.2">
      <c r="A347" s="36" t="s">
        <v>175</v>
      </c>
      <c r="B347" s="36" t="s">
        <v>193</v>
      </c>
      <c r="C347" s="36" t="s">
        <v>195</v>
      </c>
      <c r="D347" s="37">
        <v>65</v>
      </c>
      <c r="F347" s="36" t="s">
        <v>226</v>
      </c>
    </row>
    <row r="348" spans="1:6" x14ac:dyDescent="0.2">
      <c r="A348" s="36" t="s">
        <v>16</v>
      </c>
      <c r="B348" s="36" t="s">
        <v>193</v>
      </c>
      <c r="C348" s="36" t="s">
        <v>195</v>
      </c>
      <c r="D348" s="37">
        <v>15</v>
      </c>
      <c r="E348" s="36" t="s">
        <v>222</v>
      </c>
      <c r="F348" s="36" t="s">
        <v>226</v>
      </c>
    </row>
    <row r="349" spans="1:6" x14ac:dyDescent="0.2">
      <c r="A349" s="36" t="s">
        <v>18</v>
      </c>
      <c r="B349" s="36" t="s">
        <v>193</v>
      </c>
      <c r="C349" s="36" t="s">
        <v>196</v>
      </c>
      <c r="D349" s="37">
        <v>73</v>
      </c>
      <c r="F349" s="36" t="s">
        <v>226</v>
      </c>
    </row>
    <row r="350" spans="1:6" x14ac:dyDescent="0.2">
      <c r="A350" s="36" t="s">
        <v>19</v>
      </c>
      <c r="B350" s="36" t="s">
        <v>193</v>
      </c>
      <c r="C350" s="36" t="s">
        <v>197</v>
      </c>
      <c r="D350" s="37">
        <v>69</v>
      </c>
      <c r="F350" s="36" t="s">
        <v>226</v>
      </c>
    </row>
    <row r="351" spans="1:6" x14ac:dyDescent="0.2">
      <c r="A351" s="36" t="s">
        <v>176</v>
      </c>
      <c r="B351" s="36" t="s">
        <v>193</v>
      </c>
      <c r="C351" s="36" t="s">
        <v>197</v>
      </c>
      <c r="D351" s="37">
        <v>11</v>
      </c>
      <c r="E351" s="36" t="s">
        <v>222</v>
      </c>
      <c r="F351" s="36" t="s">
        <v>226</v>
      </c>
    </row>
    <row r="352" spans="1:6" x14ac:dyDescent="0.2">
      <c r="A352" s="36" t="s">
        <v>23</v>
      </c>
      <c r="B352" s="36" t="s">
        <v>193</v>
      </c>
      <c r="C352" s="36" t="s">
        <v>198</v>
      </c>
      <c r="D352" s="37">
        <v>18</v>
      </c>
      <c r="E352" s="36" t="s">
        <v>222</v>
      </c>
      <c r="F352" s="36" t="s">
        <v>226</v>
      </c>
    </row>
    <row r="353" spans="1:6" x14ac:dyDescent="0.2">
      <c r="A353" s="36" t="s">
        <v>24</v>
      </c>
      <c r="B353" s="36" t="s">
        <v>193</v>
      </c>
      <c r="C353" s="36" t="s">
        <v>198</v>
      </c>
      <c r="D353" s="37">
        <v>62</v>
      </c>
      <c r="F353" s="36" t="s">
        <v>226</v>
      </c>
    </row>
    <row r="354" spans="1:6" x14ac:dyDescent="0.2">
      <c r="A354" s="36" t="s">
        <v>26</v>
      </c>
      <c r="B354" s="36" t="s">
        <v>193</v>
      </c>
      <c r="C354" s="36" t="s">
        <v>199</v>
      </c>
      <c r="D354" s="37">
        <v>30</v>
      </c>
      <c r="E354" s="36" t="s">
        <v>222</v>
      </c>
      <c r="F354" s="36" t="s">
        <v>226</v>
      </c>
    </row>
    <row r="355" spans="1:6" x14ac:dyDescent="0.2">
      <c r="A355" s="36" t="s">
        <v>27</v>
      </c>
      <c r="B355" s="36" t="s">
        <v>193</v>
      </c>
      <c r="C355" s="36" t="s">
        <v>199</v>
      </c>
      <c r="D355" s="37">
        <v>50</v>
      </c>
      <c r="F355" s="36" t="s">
        <v>226</v>
      </c>
    </row>
    <row r="356" spans="1:6" x14ac:dyDescent="0.2">
      <c r="A356" s="36" t="s">
        <v>177</v>
      </c>
      <c r="B356" s="36" t="s">
        <v>193</v>
      </c>
      <c r="C356" s="36" t="s">
        <v>200</v>
      </c>
      <c r="D356" s="37">
        <v>50</v>
      </c>
      <c r="F356" s="36" t="s">
        <v>226</v>
      </c>
    </row>
    <row r="357" spans="1:6" x14ac:dyDescent="0.2">
      <c r="A357" s="36" t="s">
        <v>29</v>
      </c>
      <c r="B357" s="36" t="s">
        <v>193</v>
      </c>
      <c r="C357" s="36" t="s">
        <v>200</v>
      </c>
      <c r="D357" s="37">
        <v>61</v>
      </c>
      <c r="F357" s="36" t="s">
        <v>226</v>
      </c>
    </row>
    <row r="358" spans="1:6" x14ac:dyDescent="0.2">
      <c r="A358" s="36" t="s">
        <v>30</v>
      </c>
      <c r="B358" s="36" t="s">
        <v>193</v>
      </c>
      <c r="C358" s="36" t="s">
        <v>200</v>
      </c>
      <c r="D358" s="37">
        <v>30</v>
      </c>
      <c r="E358" s="36" t="s">
        <v>222</v>
      </c>
      <c r="F358" s="36" t="s">
        <v>226</v>
      </c>
    </row>
    <row r="359" spans="1:6" x14ac:dyDescent="0.2">
      <c r="A359" s="36" t="s">
        <v>31</v>
      </c>
      <c r="B359" s="36" t="s">
        <v>193</v>
      </c>
      <c r="C359" s="36" t="s">
        <v>200</v>
      </c>
      <c r="D359" s="37">
        <v>19</v>
      </c>
      <c r="E359" s="36" t="s">
        <v>222</v>
      </c>
      <c r="F359" s="36" t="s">
        <v>226</v>
      </c>
    </row>
    <row r="360" spans="1:6" x14ac:dyDescent="0.2">
      <c r="A360" s="36" t="s">
        <v>33</v>
      </c>
      <c r="B360" s="36" t="s">
        <v>193</v>
      </c>
      <c r="C360" s="36" t="s">
        <v>201</v>
      </c>
      <c r="D360" s="37">
        <v>61</v>
      </c>
      <c r="F360" s="36" t="s">
        <v>226</v>
      </c>
    </row>
    <row r="361" spans="1:6" x14ac:dyDescent="0.2">
      <c r="A361" s="36" t="s">
        <v>178</v>
      </c>
      <c r="B361" s="36" t="s">
        <v>193</v>
      </c>
      <c r="C361" s="36" t="s">
        <v>201</v>
      </c>
      <c r="D361" s="37">
        <v>19</v>
      </c>
      <c r="E361" s="36" t="s">
        <v>222</v>
      </c>
      <c r="F361" s="36" t="s">
        <v>226</v>
      </c>
    </row>
    <row r="362" spans="1:6" x14ac:dyDescent="0.2">
      <c r="A362" s="36" t="s">
        <v>34</v>
      </c>
      <c r="B362" s="36" t="s">
        <v>191</v>
      </c>
      <c r="C362" s="36" t="s">
        <v>194</v>
      </c>
      <c r="D362" s="37">
        <v>65</v>
      </c>
      <c r="F362" s="36" t="s">
        <v>226</v>
      </c>
    </row>
    <row r="363" spans="1:6" x14ac:dyDescent="0.2">
      <c r="A363" s="36" t="s">
        <v>35</v>
      </c>
      <c r="B363" s="36" t="s">
        <v>191</v>
      </c>
      <c r="C363" s="36" t="s">
        <v>194</v>
      </c>
      <c r="D363" s="37">
        <v>15</v>
      </c>
      <c r="E363" s="36" t="s">
        <v>222</v>
      </c>
      <c r="F363" s="36" t="s">
        <v>226</v>
      </c>
    </row>
    <row r="364" spans="1:6" x14ac:dyDescent="0.2">
      <c r="A364" s="36" t="s">
        <v>38</v>
      </c>
      <c r="B364" s="36" t="s">
        <v>191</v>
      </c>
      <c r="C364" s="36" t="s">
        <v>195</v>
      </c>
      <c r="D364" s="37">
        <v>1</v>
      </c>
      <c r="E364" s="36" t="s">
        <v>222</v>
      </c>
      <c r="F364" s="36" t="s">
        <v>226</v>
      </c>
    </row>
    <row r="365" spans="1:6" x14ac:dyDescent="0.2">
      <c r="A365" s="36" t="s">
        <v>170</v>
      </c>
      <c r="B365" s="36" t="s">
        <v>191</v>
      </c>
      <c r="C365" s="36" t="s">
        <v>197</v>
      </c>
      <c r="D365" s="37">
        <v>22</v>
      </c>
      <c r="E365" s="36" t="s">
        <v>222</v>
      </c>
      <c r="F365" s="36" t="s">
        <v>226</v>
      </c>
    </row>
    <row r="366" spans="1:6" x14ac:dyDescent="0.2">
      <c r="A366" s="36" t="s">
        <v>43</v>
      </c>
      <c r="B366" s="36" t="s">
        <v>191</v>
      </c>
      <c r="C366" s="36" t="s">
        <v>197</v>
      </c>
      <c r="D366" s="37">
        <v>58</v>
      </c>
      <c r="F366" s="36" t="s">
        <v>226</v>
      </c>
    </row>
    <row r="367" spans="1:6" x14ac:dyDescent="0.2">
      <c r="A367" s="36" t="s">
        <v>46</v>
      </c>
      <c r="B367" s="36" t="s">
        <v>191</v>
      </c>
      <c r="C367" s="36" t="s">
        <v>198</v>
      </c>
      <c r="D367" s="37">
        <v>66</v>
      </c>
      <c r="F367" s="36" t="s">
        <v>226</v>
      </c>
    </row>
    <row r="368" spans="1:6" x14ac:dyDescent="0.2">
      <c r="A368" s="36" t="s">
        <v>172</v>
      </c>
      <c r="B368" s="36" t="s">
        <v>191</v>
      </c>
      <c r="C368" s="36" t="s">
        <v>198</v>
      </c>
      <c r="D368" s="37">
        <v>14</v>
      </c>
      <c r="E368" s="36" t="s">
        <v>222</v>
      </c>
      <c r="F368" s="36" t="s">
        <v>226</v>
      </c>
    </row>
    <row r="369" spans="1:6" x14ac:dyDescent="0.2">
      <c r="A369" s="36" t="s">
        <v>179</v>
      </c>
      <c r="B369" s="36" t="s">
        <v>191</v>
      </c>
      <c r="C369" s="36" t="s">
        <v>199</v>
      </c>
      <c r="D369" s="37">
        <v>75</v>
      </c>
      <c r="E369" s="36" t="s">
        <v>222</v>
      </c>
      <c r="F369" s="36" t="s">
        <v>226</v>
      </c>
    </row>
    <row r="370" spans="1:6" x14ac:dyDescent="0.2">
      <c r="A370" s="36" t="s">
        <v>50</v>
      </c>
      <c r="B370" s="36" t="s">
        <v>191</v>
      </c>
      <c r="C370" s="36" t="s">
        <v>199</v>
      </c>
      <c r="D370" s="37">
        <v>5</v>
      </c>
      <c r="F370" s="36" t="s">
        <v>226</v>
      </c>
    </row>
    <row r="371" spans="1:6" x14ac:dyDescent="0.2">
      <c r="A371" s="36" t="s">
        <v>180</v>
      </c>
      <c r="B371" s="36" t="s">
        <v>191</v>
      </c>
      <c r="C371" s="36" t="s">
        <v>200</v>
      </c>
      <c r="D371" s="37">
        <v>27</v>
      </c>
      <c r="E371" s="36" t="s">
        <v>222</v>
      </c>
      <c r="F371" s="36" t="s">
        <v>226</v>
      </c>
    </row>
    <row r="372" spans="1:6" x14ac:dyDescent="0.2">
      <c r="A372" s="36" t="s">
        <v>51</v>
      </c>
      <c r="B372" s="36" t="s">
        <v>191</v>
      </c>
      <c r="C372" s="36" t="s">
        <v>200</v>
      </c>
      <c r="D372" s="37">
        <v>27</v>
      </c>
      <c r="E372" s="36" t="s">
        <v>222</v>
      </c>
      <c r="F372" s="36" t="s">
        <v>226</v>
      </c>
    </row>
    <row r="373" spans="1:6" x14ac:dyDescent="0.2">
      <c r="A373" s="36" t="s">
        <v>52</v>
      </c>
      <c r="B373" s="36" t="s">
        <v>191</v>
      </c>
      <c r="C373" s="36" t="s">
        <v>200</v>
      </c>
      <c r="D373" s="37">
        <v>53</v>
      </c>
      <c r="F373" s="36" t="s">
        <v>226</v>
      </c>
    </row>
    <row r="374" spans="1:6" x14ac:dyDescent="0.2">
      <c r="A374" s="36" t="s">
        <v>54</v>
      </c>
      <c r="B374" s="36" t="s">
        <v>191</v>
      </c>
      <c r="C374" s="36" t="s">
        <v>200</v>
      </c>
      <c r="D374" s="37">
        <v>53</v>
      </c>
      <c r="F374" s="36" t="s">
        <v>226</v>
      </c>
    </row>
    <row r="375" spans="1:6" x14ac:dyDescent="0.2">
      <c r="A375" s="36" t="s">
        <v>55</v>
      </c>
      <c r="B375" s="36" t="s">
        <v>191</v>
      </c>
      <c r="C375" s="36" t="s">
        <v>201</v>
      </c>
      <c r="D375" s="37">
        <v>22</v>
      </c>
      <c r="E375" s="36" t="s">
        <v>222</v>
      </c>
      <c r="F375" s="36" t="s">
        <v>226</v>
      </c>
    </row>
    <row r="376" spans="1:6" x14ac:dyDescent="0.2">
      <c r="A376" s="36" t="s">
        <v>56</v>
      </c>
      <c r="B376" s="36" t="s">
        <v>191</v>
      </c>
      <c r="C376" s="36" t="s">
        <v>201</v>
      </c>
      <c r="D376" s="37">
        <v>58</v>
      </c>
      <c r="F376" s="36" t="s">
        <v>226</v>
      </c>
    </row>
    <row r="377" spans="1:6" x14ac:dyDescent="0.2">
      <c r="A377" s="36" t="s">
        <v>129</v>
      </c>
      <c r="B377" s="36" t="s">
        <v>189</v>
      </c>
      <c r="C377" s="36" t="s">
        <v>195</v>
      </c>
      <c r="D377" s="37">
        <v>74</v>
      </c>
      <c r="F377" s="36" t="s">
        <v>226</v>
      </c>
    </row>
    <row r="378" spans="1:6" x14ac:dyDescent="0.2">
      <c r="A378" s="36" t="s">
        <v>181</v>
      </c>
      <c r="B378" s="36" t="s">
        <v>189</v>
      </c>
      <c r="C378" s="36" t="s">
        <v>195</v>
      </c>
      <c r="D378" s="37">
        <v>14</v>
      </c>
      <c r="E378" s="36" t="s">
        <v>222</v>
      </c>
      <c r="F378" s="36" t="s">
        <v>226</v>
      </c>
    </row>
    <row r="379" spans="1:6" x14ac:dyDescent="0.2">
      <c r="A379" s="36" t="s">
        <v>131</v>
      </c>
      <c r="B379" s="36" t="s">
        <v>189</v>
      </c>
      <c r="C379" s="36" t="s">
        <v>195</v>
      </c>
      <c r="D379" s="37">
        <v>72</v>
      </c>
      <c r="F379" s="36" t="s">
        <v>226</v>
      </c>
    </row>
    <row r="380" spans="1:6" x14ac:dyDescent="0.2">
      <c r="A380" s="36" t="s">
        <v>132</v>
      </c>
      <c r="B380" s="36" t="s">
        <v>189</v>
      </c>
      <c r="C380" s="36" t="s">
        <v>196</v>
      </c>
      <c r="D380" s="37">
        <v>10</v>
      </c>
      <c r="E380" s="36" t="s">
        <v>222</v>
      </c>
      <c r="F380" s="36" t="s">
        <v>226</v>
      </c>
    </row>
    <row r="381" spans="1:6" x14ac:dyDescent="0.2">
      <c r="A381" s="36" t="s">
        <v>133</v>
      </c>
      <c r="B381" s="36" t="s">
        <v>189</v>
      </c>
      <c r="C381" s="36" t="s">
        <v>196</v>
      </c>
      <c r="D381" s="37">
        <v>70</v>
      </c>
      <c r="F381" s="36" t="s">
        <v>226</v>
      </c>
    </row>
    <row r="382" spans="1:6" x14ac:dyDescent="0.2">
      <c r="A382" s="36" t="s">
        <v>182</v>
      </c>
      <c r="B382" s="36" t="s">
        <v>189</v>
      </c>
      <c r="C382" s="36" t="s">
        <v>197</v>
      </c>
      <c r="D382" s="37">
        <v>27</v>
      </c>
      <c r="E382" s="36" t="s">
        <v>222</v>
      </c>
      <c r="F382" s="36" t="s">
        <v>226</v>
      </c>
    </row>
    <row r="383" spans="1:6" x14ac:dyDescent="0.2">
      <c r="A383" s="36" t="s">
        <v>135</v>
      </c>
      <c r="B383" s="36" t="s">
        <v>189</v>
      </c>
      <c r="C383" s="36" t="s">
        <v>197</v>
      </c>
      <c r="D383" s="37">
        <v>53</v>
      </c>
      <c r="F383" s="36" t="s">
        <v>226</v>
      </c>
    </row>
    <row r="384" spans="1:6" x14ac:dyDescent="0.2">
      <c r="A384" s="36" t="s">
        <v>136</v>
      </c>
      <c r="B384" s="36" t="s">
        <v>189</v>
      </c>
      <c r="C384" s="36" t="s">
        <v>198</v>
      </c>
      <c r="D384" s="37">
        <v>68</v>
      </c>
      <c r="E384" s="36" t="s">
        <v>222</v>
      </c>
      <c r="F384" s="36" t="s">
        <v>226</v>
      </c>
    </row>
    <row r="385" spans="1:6" x14ac:dyDescent="0.2">
      <c r="A385" s="36" t="s">
        <v>137</v>
      </c>
      <c r="B385" s="36" t="s">
        <v>189</v>
      </c>
      <c r="C385" s="36" t="s">
        <v>198</v>
      </c>
      <c r="D385" s="37">
        <v>12</v>
      </c>
      <c r="F385" s="36" t="s">
        <v>226</v>
      </c>
    </row>
    <row r="386" spans="1:6" x14ac:dyDescent="0.2">
      <c r="A386" s="36" t="s">
        <v>151</v>
      </c>
      <c r="B386" s="36" t="s">
        <v>189</v>
      </c>
      <c r="C386" s="36" t="s">
        <v>199</v>
      </c>
      <c r="D386" s="37">
        <v>56</v>
      </c>
      <c r="E386" s="36" t="s">
        <v>222</v>
      </c>
      <c r="F386" s="36" t="s">
        <v>226</v>
      </c>
    </row>
    <row r="387" spans="1:6" x14ac:dyDescent="0.2">
      <c r="A387" s="36" t="s">
        <v>141</v>
      </c>
      <c r="B387" s="36" t="s">
        <v>189</v>
      </c>
      <c r="C387" s="36" t="s">
        <v>199</v>
      </c>
      <c r="D387" s="37">
        <v>24</v>
      </c>
      <c r="F387" s="36" t="s">
        <v>226</v>
      </c>
    </row>
    <row r="388" spans="1:6" x14ac:dyDescent="0.2">
      <c r="A388" s="36" t="s">
        <v>183</v>
      </c>
      <c r="B388" s="36" t="s">
        <v>189</v>
      </c>
      <c r="C388" s="36" t="s">
        <v>200</v>
      </c>
      <c r="D388" s="37">
        <v>65</v>
      </c>
      <c r="F388" s="36" t="s">
        <v>226</v>
      </c>
    </row>
    <row r="389" spans="1:6" x14ac:dyDescent="0.2">
      <c r="A389" s="36" t="s">
        <v>184</v>
      </c>
      <c r="B389" s="36" t="s">
        <v>189</v>
      </c>
      <c r="C389" s="36" t="s">
        <v>200</v>
      </c>
      <c r="D389" s="37">
        <v>32</v>
      </c>
      <c r="E389" s="36" t="s">
        <v>222</v>
      </c>
      <c r="F389" s="36" t="s">
        <v>226</v>
      </c>
    </row>
    <row r="390" spans="1:6" x14ac:dyDescent="0.2">
      <c r="A390" s="36" t="s">
        <v>145</v>
      </c>
      <c r="B390" s="36" t="s">
        <v>189</v>
      </c>
      <c r="C390" s="36" t="s">
        <v>200</v>
      </c>
      <c r="D390" s="37">
        <v>15</v>
      </c>
      <c r="E390" s="36" t="s">
        <v>222</v>
      </c>
      <c r="F390" s="36" t="s">
        <v>226</v>
      </c>
    </row>
    <row r="391" spans="1:6" x14ac:dyDescent="0.2">
      <c r="A391" s="36" t="s">
        <v>148</v>
      </c>
      <c r="B391" s="36" t="s">
        <v>189</v>
      </c>
      <c r="C391" s="36" t="s">
        <v>201</v>
      </c>
      <c r="D391" s="37">
        <v>30</v>
      </c>
      <c r="E391" s="36" t="s">
        <v>222</v>
      </c>
      <c r="F391" s="36" t="s">
        <v>226</v>
      </c>
    </row>
    <row r="392" spans="1:6" x14ac:dyDescent="0.2">
      <c r="A392" s="36" t="s">
        <v>152</v>
      </c>
      <c r="B392" s="36" t="s">
        <v>189</v>
      </c>
      <c r="C392" s="36" t="s">
        <v>201</v>
      </c>
      <c r="D392" s="37">
        <v>18</v>
      </c>
      <c r="F392" s="36" t="s">
        <v>226</v>
      </c>
    </row>
  </sheetData>
  <autoFilter ref="N3:T158" xr:uid="{D45AC477-147D-473F-961C-4972CA887A4B}">
    <filterColumn colId="5">
      <filters>
        <filter val="1"/>
        <filter val="2"/>
        <filter val="3"/>
        <filter val="4"/>
      </filters>
    </filterColumn>
  </autoFilter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D59-8F9E-46A4-B4D2-60B24022DC15}">
  <sheetPr>
    <tabColor theme="4"/>
  </sheetPr>
  <dimension ref="A1:S94"/>
  <sheetViews>
    <sheetView topLeftCell="A3" workbookViewId="0">
      <selection activeCell="G10" sqref="G10"/>
    </sheetView>
  </sheetViews>
  <sheetFormatPr baseColWidth="10" defaultColWidth="8.83203125" defaultRowHeight="15" x14ac:dyDescent="0.2"/>
  <cols>
    <col min="6" max="6" width="14.1640625" customWidth="1"/>
    <col min="7" max="7" width="21.5" customWidth="1"/>
    <col min="8" max="8" width="3.33203125" customWidth="1"/>
    <col min="9" max="9" width="14" customWidth="1"/>
    <col min="13" max="13" width="3.83203125" customWidth="1"/>
    <col min="14" max="14" width="24.5" customWidth="1"/>
    <col min="18" max="18" width="15" customWidth="1"/>
  </cols>
  <sheetData>
    <row r="1" spans="1:19" ht="16" thickBot="1" x14ac:dyDescent="0.25"/>
    <row r="2" spans="1:19" x14ac:dyDescent="0.2">
      <c r="A2" s="43"/>
      <c r="B2" s="101" t="s">
        <v>231</v>
      </c>
      <c r="C2" s="102"/>
      <c r="D2" s="102"/>
      <c r="E2" s="102"/>
      <c r="F2" s="102"/>
      <c r="G2" s="103"/>
      <c r="H2" s="92"/>
      <c r="I2" s="101" t="s">
        <v>232</v>
      </c>
      <c r="J2" s="102"/>
      <c r="K2" s="102"/>
      <c r="L2" s="103"/>
      <c r="M2" s="92"/>
      <c r="N2" s="101" t="s">
        <v>233</v>
      </c>
      <c r="O2" s="102"/>
      <c r="P2" s="102"/>
      <c r="Q2" s="102"/>
      <c r="R2" s="103"/>
    </row>
    <row r="3" spans="1:19" ht="32" x14ac:dyDescent="0.2">
      <c r="A3" s="86" t="s">
        <v>0</v>
      </c>
      <c r="B3" s="86" t="s">
        <v>224</v>
      </c>
      <c r="C3" s="84" t="s">
        <v>223</v>
      </c>
      <c r="D3" s="84" t="s">
        <v>225</v>
      </c>
      <c r="E3" s="84" t="s">
        <v>226</v>
      </c>
      <c r="F3" s="84" t="s">
        <v>228</v>
      </c>
      <c r="G3" s="88" t="s">
        <v>229</v>
      </c>
      <c r="H3" s="85"/>
      <c r="I3" s="86" t="s">
        <v>224</v>
      </c>
      <c r="J3" s="84" t="s">
        <v>223</v>
      </c>
      <c r="K3" s="84" t="s">
        <v>225</v>
      </c>
      <c r="L3" s="87" t="s">
        <v>226</v>
      </c>
      <c r="M3" s="84"/>
      <c r="N3" s="86" t="s">
        <v>224</v>
      </c>
      <c r="O3" s="84" t="s">
        <v>223</v>
      </c>
      <c r="P3" s="84" t="s">
        <v>225</v>
      </c>
      <c r="Q3" s="84" t="s">
        <v>226</v>
      </c>
      <c r="R3" s="87" t="s">
        <v>230</v>
      </c>
    </row>
    <row r="4" spans="1:19" x14ac:dyDescent="0.2">
      <c r="A4" s="81" t="s">
        <v>174</v>
      </c>
      <c r="B4" s="51" t="s">
        <v>227</v>
      </c>
      <c r="C4" t="s">
        <v>227</v>
      </c>
      <c r="D4" t="s">
        <v>227</v>
      </c>
      <c r="E4">
        <v>11.2</v>
      </c>
      <c r="F4">
        <v>1</v>
      </c>
      <c r="G4" s="72">
        <v>11.2</v>
      </c>
      <c r="H4" s="56"/>
      <c r="I4" s="51" t="s">
        <v>227</v>
      </c>
      <c r="J4" t="s">
        <v>227</v>
      </c>
      <c r="K4" t="s">
        <v>227</v>
      </c>
      <c r="L4" s="52">
        <v>7</v>
      </c>
      <c r="N4" s="93" t="str">
        <f t="shared" ref="N4:N35" si="0">IFERROR(B4/I4,"")</f>
        <v/>
      </c>
      <c r="O4" s="70" t="str">
        <f t="shared" ref="O4:O35" si="1">IFERROR(C4/J4,"")</f>
        <v/>
      </c>
      <c r="P4" s="70" t="str">
        <f t="shared" ref="P4:P35" si="2">IFERROR(D4/K4,"")</f>
        <v/>
      </c>
      <c r="Q4" s="70">
        <f t="shared" ref="Q4:Q35" si="3">IFERROR(E4/L4,"")</f>
        <v>1.5999999999999999</v>
      </c>
      <c r="R4" s="89">
        <f t="shared" ref="R4:R35" si="4">AVERAGE(N4:Q4)</f>
        <v>1.5999999999999999</v>
      </c>
      <c r="S4" s="70"/>
    </row>
    <row r="5" spans="1:19" x14ac:dyDescent="0.2">
      <c r="A5" s="81" t="s">
        <v>171</v>
      </c>
      <c r="B5" s="51" t="s">
        <v>227</v>
      </c>
      <c r="C5" t="s">
        <v>227</v>
      </c>
      <c r="D5">
        <v>11</v>
      </c>
      <c r="E5" t="s">
        <v>227</v>
      </c>
      <c r="F5">
        <v>1</v>
      </c>
      <c r="G5" s="72">
        <v>11</v>
      </c>
      <c r="H5" s="56"/>
      <c r="I5" s="51" t="s">
        <v>227</v>
      </c>
      <c r="J5" t="s">
        <v>227</v>
      </c>
      <c r="K5">
        <v>9</v>
      </c>
      <c r="L5" s="52" t="s">
        <v>227</v>
      </c>
      <c r="N5" s="93" t="str">
        <f t="shared" si="0"/>
        <v/>
      </c>
      <c r="O5" s="70" t="str">
        <f t="shared" si="1"/>
        <v/>
      </c>
      <c r="P5" s="70">
        <f t="shared" si="2"/>
        <v>1.2222222222222223</v>
      </c>
      <c r="Q5" s="70" t="str">
        <f t="shared" si="3"/>
        <v/>
      </c>
      <c r="R5" s="89">
        <f t="shared" si="4"/>
        <v>1.2222222222222223</v>
      </c>
    </row>
    <row r="6" spans="1:19" x14ac:dyDescent="0.2">
      <c r="A6" s="81" t="s">
        <v>80</v>
      </c>
      <c r="B6" s="51" t="s">
        <v>227</v>
      </c>
      <c r="C6">
        <v>18.399999999999999</v>
      </c>
      <c r="D6">
        <v>2.4000000000000004</v>
      </c>
      <c r="E6">
        <v>3.8000000000000003</v>
      </c>
      <c r="F6">
        <v>3</v>
      </c>
      <c r="G6" s="72">
        <v>8.1999999999999993</v>
      </c>
      <c r="H6" s="56"/>
      <c r="I6" s="51" t="s">
        <v>227</v>
      </c>
      <c r="J6">
        <v>26</v>
      </c>
      <c r="K6">
        <v>1</v>
      </c>
      <c r="L6" s="52">
        <v>22</v>
      </c>
      <c r="N6" s="93" t="str">
        <f t="shared" si="0"/>
        <v/>
      </c>
      <c r="O6" s="70">
        <f t="shared" si="1"/>
        <v>0.70769230769230762</v>
      </c>
      <c r="P6" s="70">
        <f t="shared" si="2"/>
        <v>2.4000000000000004</v>
      </c>
      <c r="Q6" s="70">
        <f t="shared" si="3"/>
        <v>0.17272727272727273</v>
      </c>
      <c r="R6" s="89">
        <f t="shared" si="4"/>
        <v>1.0934731934731936</v>
      </c>
    </row>
    <row r="7" spans="1:19" x14ac:dyDescent="0.2">
      <c r="A7" s="81" t="s">
        <v>150</v>
      </c>
      <c r="B7" s="51" t="s">
        <v>227</v>
      </c>
      <c r="C7" t="s">
        <v>227</v>
      </c>
      <c r="D7">
        <v>2</v>
      </c>
      <c r="E7" t="s">
        <v>227</v>
      </c>
      <c r="F7">
        <v>1</v>
      </c>
      <c r="G7" s="72">
        <v>2</v>
      </c>
      <c r="H7" s="56"/>
      <c r="I7" s="51" t="s">
        <v>227</v>
      </c>
      <c r="J7" t="s">
        <v>227</v>
      </c>
      <c r="K7">
        <v>2</v>
      </c>
      <c r="L7" s="52" t="s">
        <v>227</v>
      </c>
      <c r="N7" s="93" t="str">
        <f t="shared" si="0"/>
        <v/>
      </c>
      <c r="O7" s="70" t="str">
        <f t="shared" si="1"/>
        <v/>
      </c>
      <c r="P7" s="70">
        <f t="shared" si="2"/>
        <v>1</v>
      </c>
      <c r="Q7" s="70" t="str">
        <f t="shared" si="3"/>
        <v/>
      </c>
      <c r="R7" s="89">
        <f t="shared" si="4"/>
        <v>1</v>
      </c>
    </row>
    <row r="8" spans="1:19" x14ac:dyDescent="0.2">
      <c r="A8" s="81" t="s">
        <v>87</v>
      </c>
      <c r="B8" s="51" t="s">
        <v>227</v>
      </c>
      <c r="C8">
        <v>4</v>
      </c>
      <c r="D8">
        <v>1.4000000000000001</v>
      </c>
      <c r="E8" t="s">
        <v>227</v>
      </c>
      <c r="F8">
        <v>2</v>
      </c>
      <c r="G8" s="72">
        <v>2.7</v>
      </c>
      <c r="H8" s="56"/>
      <c r="I8" s="51" t="s">
        <v>227</v>
      </c>
      <c r="J8">
        <v>8</v>
      </c>
      <c r="K8">
        <v>1</v>
      </c>
      <c r="L8" s="52" t="s">
        <v>227</v>
      </c>
      <c r="N8" s="93" t="str">
        <f t="shared" si="0"/>
        <v/>
      </c>
      <c r="O8" s="70">
        <f t="shared" si="1"/>
        <v>0.5</v>
      </c>
      <c r="P8" s="70">
        <f t="shared" si="2"/>
        <v>1.4000000000000001</v>
      </c>
      <c r="Q8" s="70" t="str">
        <f t="shared" si="3"/>
        <v/>
      </c>
      <c r="R8" s="89">
        <f t="shared" si="4"/>
        <v>0.95000000000000007</v>
      </c>
    </row>
    <row r="9" spans="1:19" x14ac:dyDescent="0.2">
      <c r="A9" s="81" t="s">
        <v>182</v>
      </c>
      <c r="B9" s="51" t="s">
        <v>227</v>
      </c>
      <c r="C9" t="s">
        <v>227</v>
      </c>
      <c r="D9" t="s">
        <v>227</v>
      </c>
      <c r="E9">
        <v>22.8</v>
      </c>
      <c r="F9">
        <v>1</v>
      </c>
      <c r="G9" s="72">
        <v>22.8</v>
      </c>
      <c r="H9" s="56"/>
      <c r="I9" s="51" t="s">
        <v>227</v>
      </c>
      <c r="J9" t="s">
        <v>227</v>
      </c>
      <c r="K9" t="s">
        <v>227</v>
      </c>
      <c r="L9" s="52">
        <v>27</v>
      </c>
      <c r="N9" s="93" t="str">
        <f t="shared" si="0"/>
        <v/>
      </c>
      <c r="O9" s="70" t="str">
        <f t="shared" si="1"/>
        <v/>
      </c>
      <c r="P9" s="70" t="str">
        <f t="shared" si="2"/>
        <v/>
      </c>
      <c r="Q9" s="70">
        <f t="shared" si="3"/>
        <v>0.84444444444444444</v>
      </c>
      <c r="R9" s="89">
        <f t="shared" si="4"/>
        <v>0.84444444444444444</v>
      </c>
    </row>
    <row r="10" spans="1:19" x14ac:dyDescent="0.2">
      <c r="A10" s="81" t="s">
        <v>32</v>
      </c>
      <c r="B10" s="51">
        <v>11</v>
      </c>
      <c r="C10">
        <v>5.6</v>
      </c>
      <c r="D10">
        <v>8.8000000000000007</v>
      </c>
      <c r="E10" t="s">
        <v>227</v>
      </c>
      <c r="F10">
        <v>3</v>
      </c>
      <c r="G10" s="72">
        <v>8.4666666666666668</v>
      </c>
      <c r="H10" s="56"/>
      <c r="I10" s="51">
        <v>19</v>
      </c>
      <c r="J10">
        <v>6</v>
      </c>
      <c r="K10">
        <v>11</v>
      </c>
      <c r="L10" s="52" t="s">
        <v>227</v>
      </c>
      <c r="N10" s="93">
        <f t="shared" si="0"/>
        <v>0.57894736842105265</v>
      </c>
      <c r="O10" s="70">
        <f t="shared" si="1"/>
        <v>0.93333333333333324</v>
      </c>
      <c r="P10" s="70">
        <f t="shared" si="2"/>
        <v>0.8</v>
      </c>
      <c r="Q10" s="70" t="str">
        <f t="shared" si="3"/>
        <v/>
      </c>
      <c r="R10" s="89">
        <f t="shared" si="4"/>
        <v>0.77076023391812853</v>
      </c>
    </row>
    <row r="11" spans="1:19" x14ac:dyDescent="0.2">
      <c r="A11" s="81" t="s">
        <v>167</v>
      </c>
      <c r="B11" s="51" t="s">
        <v>227</v>
      </c>
      <c r="C11" t="s">
        <v>227</v>
      </c>
      <c r="D11">
        <v>21.2</v>
      </c>
      <c r="E11">
        <v>14.2</v>
      </c>
      <c r="F11">
        <v>2</v>
      </c>
      <c r="G11" s="72">
        <v>17.7</v>
      </c>
      <c r="H11" s="56"/>
      <c r="I11" s="51" t="s">
        <v>227</v>
      </c>
      <c r="J11" t="s">
        <v>227</v>
      </c>
      <c r="K11">
        <v>21</v>
      </c>
      <c r="L11" s="52">
        <v>27</v>
      </c>
      <c r="N11" s="93" t="str">
        <f t="shared" si="0"/>
        <v/>
      </c>
      <c r="O11" s="70" t="str">
        <f t="shared" si="1"/>
        <v/>
      </c>
      <c r="P11" s="70">
        <f t="shared" si="2"/>
        <v>1.0095238095238095</v>
      </c>
      <c r="Q11" s="70">
        <f t="shared" si="3"/>
        <v>0.52592592592592591</v>
      </c>
      <c r="R11" s="89">
        <f t="shared" si="4"/>
        <v>0.7677248677248677</v>
      </c>
    </row>
    <row r="12" spans="1:19" x14ac:dyDescent="0.2">
      <c r="A12" s="81" t="s">
        <v>152</v>
      </c>
      <c r="B12" s="51" t="s">
        <v>227</v>
      </c>
      <c r="C12" t="s">
        <v>227</v>
      </c>
      <c r="D12">
        <v>17</v>
      </c>
      <c r="E12" t="s">
        <v>227</v>
      </c>
      <c r="F12">
        <v>1</v>
      </c>
      <c r="G12" s="72">
        <v>17</v>
      </c>
      <c r="H12" s="56"/>
      <c r="I12" s="51" t="s">
        <v>227</v>
      </c>
      <c r="J12" t="s">
        <v>227</v>
      </c>
      <c r="K12">
        <v>24</v>
      </c>
      <c r="L12" s="52" t="s">
        <v>227</v>
      </c>
      <c r="N12" s="93" t="str">
        <f t="shared" si="0"/>
        <v/>
      </c>
      <c r="O12" s="70" t="str">
        <f t="shared" si="1"/>
        <v/>
      </c>
      <c r="P12" s="70">
        <f t="shared" si="2"/>
        <v>0.70833333333333337</v>
      </c>
      <c r="Q12" s="70" t="str">
        <f t="shared" si="3"/>
        <v/>
      </c>
      <c r="R12" s="89">
        <f t="shared" si="4"/>
        <v>0.70833333333333337</v>
      </c>
    </row>
    <row r="13" spans="1:19" x14ac:dyDescent="0.2">
      <c r="A13" s="81" t="s">
        <v>147</v>
      </c>
      <c r="B13" s="51">
        <v>4.8</v>
      </c>
      <c r="C13" t="s">
        <v>227</v>
      </c>
      <c r="D13" t="s">
        <v>227</v>
      </c>
      <c r="E13" t="s">
        <v>227</v>
      </c>
      <c r="F13">
        <v>1</v>
      </c>
      <c r="G13" s="72">
        <v>4.8</v>
      </c>
      <c r="H13" s="56"/>
      <c r="I13" s="51">
        <v>7</v>
      </c>
      <c r="J13" t="s">
        <v>227</v>
      </c>
      <c r="K13" t="s">
        <v>227</v>
      </c>
      <c r="L13" s="52" t="s">
        <v>227</v>
      </c>
      <c r="N13" s="93">
        <f t="shared" si="0"/>
        <v>0.68571428571428572</v>
      </c>
      <c r="O13" s="70" t="str">
        <f t="shared" si="1"/>
        <v/>
      </c>
      <c r="P13" s="70" t="str">
        <f t="shared" si="2"/>
        <v/>
      </c>
      <c r="Q13" s="70" t="str">
        <f t="shared" si="3"/>
        <v/>
      </c>
      <c r="R13" s="89">
        <f t="shared" si="4"/>
        <v>0.68571428571428572</v>
      </c>
    </row>
    <row r="14" spans="1:19" x14ac:dyDescent="0.2">
      <c r="A14" s="81" t="s">
        <v>112</v>
      </c>
      <c r="B14" s="51">
        <v>1.8</v>
      </c>
      <c r="C14">
        <v>5.2</v>
      </c>
      <c r="D14">
        <v>11</v>
      </c>
      <c r="E14">
        <v>20.6</v>
      </c>
      <c r="F14">
        <v>4</v>
      </c>
      <c r="G14" s="72">
        <v>9.65</v>
      </c>
      <c r="H14" s="56"/>
      <c r="I14" s="51">
        <v>11</v>
      </c>
      <c r="J14">
        <v>8</v>
      </c>
      <c r="K14">
        <v>15</v>
      </c>
      <c r="L14" s="52">
        <v>20</v>
      </c>
      <c r="N14" s="93">
        <f t="shared" si="0"/>
        <v>0.16363636363636364</v>
      </c>
      <c r="O14" s="70">
        <f t="shared" si="1"/>
        <v>0.65</v>
      </c>
      <c r="P14" s="70">
        <f t="shared" si="2"/>
        <v>0.73333333333333328</v>
      </c>
      <c r="Q14" s="70">
        <f t="shared" si="3"/>
        <v>1.03</v>
      </c>
      <c r="R14" s="89">
        <f t="shared" si="4"/>
        <v>0.64424242424242428</v>
      </c>
    </row>
    <row r="15" spans="1:19" x14ac:dyDescent="0.2">
      <c r="A15" s="81" t="s">
        <v>38</v>
      </c>
      <c r="B15" s="51">
        <v>1</v>
      </c>
      <c r="C15">
        <v>5.4</v>
      </c>
      <c r="D15" t="s">
        <v>227</v>
      </c>
      <c r="E15">
        <v>1</v>
      </c>
      <c r="F15">
        <v>3</v>
      </c>
      <c r="G15" s="72">
        <v>2.4666666666666668</v>
      </c>
      <c r="H15" s="56"/>
      <c r="I15" s="51">
        <v>4</v>
      </c>
      <c r="J15">
        <v>8</v>
      </c>
      <c r="K15" t="s">
        <v>227</v>
      </c>
      <c r="L15" s="52">
        <v>1</v>
      </c>
      <c r="N15" s="93">
        <f t="shared" si="0"/>
        <v>0.25</v>
      </c>
      <c r="O15" s="70">
        <f t="shared" si="1"/>
        <v>0.67500000000000004</v>
      </c>
      <c r="P15" s="70" t="str">
        <f t="shared" si="2"/>
        <v/>
      </c>
      <c r="Q15" s="70">
        <f t="shared" si="3"/>
        <v>1</v>
      </c>
      <c r="R15" s="89">
        <f t="shared" si="4"/>
        <v>0.64166666666666672</v>
      </c>
    </row>
    <row r="16" spans="1:19" x14ac:dyDescent="0.2">
      <c r="A16" s="81" t="s">
        <v>26</v>
      </c>
      <c r="B16" s="51">
        <v>24.6</v>
      </c>
      <c r="C16">
        <v>25.6</v>
      </c>
      <c r="D16">
        <v>12.6</v>
      </c>
      <c r="E16">
        <v>9.6</v>
      </c>
      <c r="F16">
        <v>4</v>
      </c>
      <c r="G16" s="72">
        <v>18.100000000000001</v>
      </c>
      <c r="H16" s="56"/>
      <c r="I16" s="51">
        <v>26</v>
      </c>
      <c r="J16">
        <v>35</v>
      </c>
      <c r="K16">
        <v>27</v>
      </c>
      <c r="L16" s="52">
        <v>30</v>
      </c>
      <c r="N16" s="93">
        <f t="shared" si="0"/>
        <v>0.94615384615384623</v>
      </c>
      <c r="O16" s="70">
        <f t="shared" si="1"/>
        <v>0.73142857142857143</v>
      </c>
      <c r="P16" s="70">
        <f t="shared" si="2"/>
        <v>0.46666666666666667</v>
      </c>
      <c r="Q16" s="70">
        <f t="shared" si="3"/>
        <v>0.32</v>
      </c>
      <c r="R16" s="89">
        <f t="shared" si="4"/>
        <v>0.61606227106227107</v>
      </c>
    </row>
    <row r="17" spans="1:18" x14ac:dyDescent="0.2">
      <c r="A17" s="81" t="s">
        <v>135</v>
      </c>
      <c r="B17" s="51" t="s">
        <v>227</v>
      </c>
      <c r="C17" t="s">
        <v>227</v>
      </c>
      <c r="D17">
        <v>9.1999999999999993</v>
      </c>
      <c r="E17" t="s">
        <v>227</v>
      </c>
      <c r="F17">
        <v>1</v>
      </c>
      <c r="G17" s="72">
        <v>9.1999999999999993</v>
      </c>
      <c r="H17" s="56"/>
      <c r="I17" s="51" t="s">
        <v>227</v>
      </c>
      <c r="J17" t="s">
        <v>227</v>
      </c>
      <c r="K17">
        <v>15</v>
      </c>
      <c r="L17" s="52" t="s">
        <v>227</v>
      </c>
      <c r="N17" s="93" t="str">
        <f t="shared" si="0"/>
        <v/>
      </c>
      <c r="O17" s="70" t="str">
        <f t="shared" si="1"/>
        <v/>
      </c>
      <c r="P17" s="70">
        <f t="shared" si="2"/>
        <v>0.61333333333333329</v>
      </c>
      <c r="Q17" s="70" t="str">
        <f t="shared" si="3"/>
        <v/>
      </c>
      <c r="R17" s="89">
        <f t="shared" si="4"/>
        <v>0.61333333333333329</v>
      </c>
    </row>
    <row r="18" spans="1:18" x14ac:dyDescent="0.2">
      <c r="A18" s="81" t="s">
        <v>74</v>
      </c>
      <c r="B18" s="51" t="s">
        <v>227</v>
      </c>
      <c r="C18">
        <v>9.6</v>
      </c>
      <c r="D18" t="s">
        <v>227</v>
      </c>
      <c r="E18" t="s">
        <v>227</v>
      </c>
      <c r="F18">
        <v>1</v>
      </c>
      <c r="G18" s="72">
        <v>9.6</v>
      </c>
      <c r="H18" s="56"/>
      <c r="I18" s="51" t="s">
        <v>227</v>
      </c>
      <c r="J18">
        <v>16</v>
      </c>
      <c r="K18" t="s">
        <v>227</v>
      </c>
      <c r="L18" s="52" t="s">
        <v>227</v>
      </c>
      <c r="N18" s="93" t="str">
        <f t="shared" si="0"/>
        <v/>
      </c>
      <c r="O18" s="70">
        <f t="shared" si="1"/>
        <v>0.6</v>
      </c>
      <c r="P18" s="70" t="str">
        <f t="shared" si="2"/>
        <v/>
      </c>
      <c r="Q18" s="70" t="str">
        <f t="shared" si="3"/>
        <v/>
      </c>
      <c r="R18" s="89">
        <f t="shared" si="4"/>
        <v>0.6</v>
      </c>
    </row>
    <row r="19" spans="1:18" x14ac:dyDescent="0.2">
      <c r="A19" s="81" t="s">
        <v>144</v>
      </c>
      <c r="B19" s="51">
        <v>5.4</v>
      </c>
      <c r="C19">
        <v>4.8</v>
      </c>
      <c r="D19">
        <v>8.4</v>
      </c>
      <c r="E19" t="s">
        <v>227</v>
      </c>
      <c r="F19">
        <v>3</v>
      </c>
      <c r="G19" s="72">
        <v>6.2</v>
      </c>
      <c r="H19" s="56"/>
      <c r="I19" s="51">
        <v>7</v>
      </c>
      <c r="J19">
        <v>11</v>
      </c>
      <c r="K19">
        <v>15</v>
      </c>
      <c r="L19" s="52" t="s">
        <v>227</v>
      </c>
      <c r="N19" s="93">
        <f t="shared" si="0"/>
        <v>0.77142857142857146</v>
      </c>
      <c r="O19" s="70">
        <f t="shared" si="1"/>
        <v>0.43636363636363634</v>
      </c>
      <c r="P19" s="70">
        <f t="shared" si="2"/>
        <v>0.56000000000000005</v>
      </c>
      <c r="Q19" s="70" t="str">
        <f t="shared" si="3"/>
        <v/>
      </c>
      <c r="R19" s="89">
        <f t="shared" si="4"/>
        <v>0.58926406926406927</v>
      </c>
    </row>
    <row r="20" spans="1:18" x14ac:dyDescent="0.2">
      <c r="A20" s="81" t="s">
        <v>119</v>
      </c>
      <c r="B20" s="51">
        <v>3.2</v>
      </c>
      <c r="C20">
        <v>42.2</v>
      </c>
      <c r="D20" t="s">
        <v>227</v>
      </c>
      <c r="E20">
        <v>22.2</v>
      </c>
      <c r="F20">
        <v>3</v>
      </c>
      <c r="G20" s="72">
        <v>22.533333333333335</v>
      </c>
      <c r="H20" s="56"/>
      <c r="I20" s="51">
        <v>15</v>
      </c>
      <c r="J20">
        <v>56</v>
      </c>
      <c r="K20" t="s">
        <v>227</v>
      </c>
      <c r="L20" s="52">
        <v>28</v>
      </c>
      <c r="N20" s="93">
        <f t="shared" si="0"/>
        <v>0.21333333333333335</v>
      </c>
      <c r="O20" s="70">
        <f t="shared" si="1"/>
        <v>0.75357142857142867</v>
      </c>
      <c r="P20" s="70" t="str">
        <f t="shared" si="2"/>
        <v/>
      </c>
      <c r="Q20" s="70">
        <f t="shared" si="3"/>
        <v>0.79285714285714282</v>
      </c>
      <c r="R20" s="89">
        <f t="shared" si="4"/>
        <v>0.58658730158730166</v>
      </c>
    </row>
    <row r="21" spans="1:18" x14ac:dyDescent="0.2">
      <c r="A21" s="81" t="s">
        <v>49</v>
      </c>
      <c r="B21" s="51">
        <v>11.4</v>
      </c>
      <c r="C21">
        <v>10.4</v>
      </c>
      <c r="D21">
        <v>20.6</v>
      </c>
      <c r="E21" t="s">
        <v>227</v>
      </c>
      <c r="F21">
        <v>3</v>
      </c>
      <c r="G21" s="72">
        <v>14.133333333333335</v>
      </c>
      <c r="H21" s="56"/>
      <c r="I21" s="51">
        <v>14</v>
      </c>
      <c r="J21">
        <v>16</v>
      </c>
      <c r="K21">
        <v>70</v>
      </c>
      <c r="L21" s="52" t="s">
        <v>227</v>
      </c>
      <c r="N21" s="93">
        <f t="shared" si="0"/>
        <v>0.81428571428571428</v>
      </c>
      <c r="O21" s="70">
        <f t="shared" si="1"/>
        <v>0.65</v>
      </c>
      <c r="P21" s="70">
        <f t="shared" si="2"/>
        <v>0.29428571428571432</v>
      </c>
      <c r="Q21" s="70" t="str">
        <f t="shared" si="3"/>
        <v/>
      </c>
      <c r="R21" s="89">
        <f t="shared" si="4"/>
        <v>0.58619047619047626</v>
      </c>
    </row>
    <row r="22" spans="1:18" x14ac:dyDescent="0.2">
      <c r="A22" s="81" t="s">
        <v>129</v>
      </c>
      <c r="B22" s="51">
        <v>11.6</v>
      </c>
      <c r="C22">
        <v>8</v>
      </c>
      <c r="D22" t="s">
        <v>227</v>
      </c>
      <c r="E22" t="s">
        <v>227</v>
      </c>
      <c r="F22">
        <v>2</v>
      </c>
      <c r="G22" s="72">
        <v>9.8000000000000007</v>
      </c>
      <c r="H22" s="56"/>
      <c r="I22" s="51">
        <v>20</v>
      </c>
      <c r="J22">
        <v>14</v>
      </c>
      <c r="K22" t="s">
        <v>227</v>
      </c>
      <c r="L22" s="52" t="s">
        <v>227</v>
      </c>
      <c r="N22" s="93">
        <f t="shared" si="0"/>
        <v>0.57999999999999996</v>
      </c>
      <c r="O22" s="70">
        <f t="shared" si="1"/>
        <v>0.5714285714285714</v>
      </c>
      <c r="P22" s="70" t="str">
        <f t="shared" si="2"/>
        <v/>
      </c>
      <c r="Q22" s="70" t="str">
        <f t="shared" si="3"/>
        <v/>
      </c>
      <c r="R22" s="89">
        <f t="shared" si="4"/>
        <v>0.57571428571428562</v>
      </c>
    </row>
    <row r="23" spans="1:18" x14ac:dyDescent="0.2">
      <c r="A23" s="81" t="s">
        <v>115</v>
      </c>
      <c r="B23" s="51" t="s">
        <v>227</v>
      </c>
      <c r="C23">
        <v>13.2</v>
      </c>
      <c r="D23" t="s">
        <v>227</v>
      </c>
      <c r="E23" t="s">
        <v>227</v>
      </c>
      <c r="F23">
        <v>1</v>
      </c>
      <c r="G23" s="72">
        <v>13.2</v>
      </c>
      <c r="H23" s="56"/>
      <c r="I23" s="51" t="s">
        <v>227</v>
      </c>
      <c r="J23">
        <v>23</v>
      </c>
      <c r="K23" t="s">
        <v>227</v>
      </c>
      <c r="L23" s="52" t="s">
        <v>227</v>
      </c>
      <c r="N23" s="93" t="str">
        <f t="shared" si="0"/>
        <v/>
      </c>
      <c r="O23" s="70">
        <f t="shared" si="1"/>
        <v>0.57391304347826089</v>
      </c>
      <c r="P23" s="70" t="str">
        <f t="shared" si="2"/>
        <v/>
      </c>
      <c r="Q23" s="70" t="str">
        <f t="shared" si="3"/>
        <v/>
      </c>
      <c r="R23" s="89">
        <f t="shared" si="4"/>
        <v>0.57391304347826089</v>
      </c>
    </row>
    <row r="24" spans="1:18" x14ac:dyDescent="0.2">
      <c r="A24" s="81" t="s">
        <v>35</v>
      </c>
      <c r="B24" s="51">
        <v>6.8000000000000007</v>
      </c>
      <c r="C24">
        <v>56</v>
      </c>
      <c r="D24">
        <v>1</v>
      </c>
      <c r="E24">
        <v>12.8</v>
      </c>
      <c r="F24">
        <v>4</v>
      </c>
      <c r="G24" s="72">
        <v>19.149999999999999</v>
      </c>
      <c r="H24" s="56"/>
      <c r="I24" s="51">
        <v>14</v>
      </c>
      <c r="J24">
        <v>67</v>
      </c>
      <c r="K24">
        <v>11</v>
      </c>
      <c r="L24" s="52">
        <v>15</v>
      </c>
      <c r="N24" s="93">
        <f t="shared" si="0"/>
        <v>0.48571428571428577</v>
      </c>
      <c r="O24" s="70">
        <f t="shared" si="1"/>
        <v>0.83582089552238803</v>
      </c>
      <c r="P24" s="70">
        <f t="shared" si="2"/>
        <v>9.0909090909090912E-2</v>
      </c>
      <c r="Q24" s="70">
        <f t="shared" si="3"/>
        <v>0.85333333333333339</v>
      </c>
      <c r="R24" s="89">
        <f t="shared" si="4"/>
        <v>0.56644440136977448</v>
      </c>
    </row>
    <row r="25" spans="1:18" x14ac:dyDescent="0.2">
      <c r="A25" s="81" t="s">
        <v>17</v>
      </c>
      <c r="B25" s="51">
        <v>16.600000000000001</v>
      </c>
      <c r="C25">
        <v>5.8000000000000007</v>
      </c>
      <c r="D25">
        <v>3</v>
      </c>
      <c r="E25" t="s">
        <v>227</v>
      </c>
      <c r="F25">
        <v>3</v>
      </c>
      <c r="G25" s="72">
        <v>8.4666666666666668</v>
      </c>
      <c r="H25" s="56"/>
      <c r="I25" s="51">
        <v>15</v>
      </c>
      <c r="J25">
        <v>19</v>
      </c>
      <c r="K25">
        <v>11</v>
      </c>
      <c r="L25" s="52" t="s">
        <v>227</v>
      </c>
      <c r="N25" s="93">
        <f t="shared" si="0"/>
        <v>1.1066666666666667</v>
      </c>
      <c r="O25" s="70">
        <f t="shared" si="1"/>
        <v>0.3052631578947369</v>
      </c>
      <c r="P25" s="70">
        <f t="shared" si="2"/>
        <v>0.27272727272727271</v>
      </c>
      <c r="Q25" s="70" t="str">
        <f t="shared" si="3"/>
        <v/>
      </c>
      <c r="R25" s="89">
        <f t="shared" si="4"/>
        <v>0.56155236576289214</v>
      </c>
    </row>
    <row r="26" spans="1:18" x14ac:dyDescent="0.2">
      <c r="A26" s="81" t="s">
        <v>136</v>
      </c>
      <c r="B26" s="51">
        <v>12.4</v>
      </c>
      <c r="C26">
        <v>6.4</v>
      </c>
      <c r="D26" t="s">
        <v>227</v>
      </c>
      <c r="E26">
        <v>46.2</v>
      </c>
      <c r="F26">
        <v>3</v>
      </c>
      <c r="G26" s="72">
        <v>21.666666666666668</v>
      </c>
      <c r="H26" s="56"/>
      <c r="I26" s="51">
        <v>20</v>
      </c>
      <c r="J26">
        <v>24</v>
      </c>
      <c r="K26" t="s">
        <v>227</v>
      </c>
      <c r="L26" s="52">
        <v>68</v>
      </c>
      <c r="N26" s="93">
        <f t="shared" si="0"/>
        <v>0.62</v>
      </c>
      <c r="O26" s="70">
        <f t="shared" si="1"/>
        <v>0.26666666666666666</v>
      </c>
      <c r="P26" s="70" t="str">
        <f t="shared" si="2"/>
        <v/>
      </c>
      <c r="Q26" s="70">
        <f t="shared" si="3"/>
        <v>0.67941176470588238</v>
      </c>
      <c r="R26" s="89">
        <f t="shared" si="4"/>
        <v>0.52202614379084966</v>
      </c>
    </row>
    <row r="27" spans="1:18" x14ac:dyDescent="0.2">
      <c r="A27" s="81" t="s">
        <v>105</v>
      </c>
      <c r="B27" s="51">
        <v>0</v>
      </c>
      <c r="C27">
        <v>24.6</v>
      </c>
      <c r="D27">
        <v>0</v>
      </c>
      <c r="E27">
        <v>17</v>
      </c>
      <c r="F27">
        <v>4</v>
      </c>
      <c r="G27" s="72">
        <v>10.4</v>
      </c>
      <c r="H27" s="56"/>
      <c r="I27" s="51">
        <v>6</v>
      </c>
      <c r="J27">
        <v>18</v>
      </c>
      <c r="K27">
        <v>13</v>
      </c>
      <c r="L27" s="52">
        <v>24</v>
      </c>
      <c r="N27" s="93">
        <f t="shared" si="0"/>
        <v>0</v>
      </c>
      <c r="O27" s="70">
        <f t="shared" si="1"/>
        <v>1.3666666666666667</v>
      </c>
      <c r="P27" s="70">
        <f t="shared" si="2"/>
        <v>0</v>
      </c>
      <c r="Q27" s="70">
        <f t="shared" si="3"/>
        <v>0.70833333333333337</v>
      </c>
      <c r="R27" s="89">
        <f t="shared" si="4"/>
        <v>0.51875000000000004</v>
      </c>
    </row>
    <row r="28" spans="1:18" x14ac:dyDescent="0.2">
      <c r="A28" s="81" t="s">
        <v>91</v>
      </c>
      <c r="B28" s="51">
        <v>17.399999999999999</v>
      </c>
      <c r="C28">
        <v>8</v>
      </c>
      <c r="D28" t="s">
        <v>227</v>
      </c>
      <c r="E28" t="s">
        <v>227</v>
      </c>
      <c r="F28">
        <v>2</v>
      </c>
      <c r="G28" s="72">
        <v>12.7</v>
      </c>
      <c r="H28" s="56"/>
      <c r="I28" s="51">
        <v>24</v>
      </c>
      <c r="J28">
        <v>27</v>
      </c>
      <c r="K28" t="s">
        <v>227</v>
      </c>
      <c r="L28" s="52" t="s">
        <v>227</v>
      </c>
      <c r="N28" s="93">
        <f t="shared" si="0"/>
        <v>0.72499999999999998</v>
      </c>
      <c r="O28" s="70">
        <f t="shared" si="1"/>
        <v>0.29629629629629628</v>
      </c>
      <c r="P28" s="70" t="str">
        <f t="shared" si="2"/>
        <v/>
      </c>
      <c r="Q28" s="70" t="str">
        <f t="shared" si="3"/>
        <v/>
      </c>
      <c r="R28" s="89">
        <f t="shared" si="4"/>
        <v>0.51064814814814818</v>
      </c>
    </row>
    <row r="29" spans="1:18" x14ac:dyDescent="0.2">
      <c r="A29" s="81" t="s">
        <v>21</v>
      </c>
      <c r="B29" s="51" t="s">
        <v>227</v>
      </c>
      <c r="C29">
        <v>6</v>
      </c>
      <c r="D29">
        <v>29.2</v>
      </c>
      <c r="E29" t="s">
        <v>227</v>
      </c>
      <c r="F29">
        <v>2</v>
      </c>
      <c r="G29" s="72">
        <v>17.600000000000001</v>
      </c>
      <c r="H29" s="56"/>
      <c r="I29" s="51" t="s">
        <v>227</v>
      </c>
      <c r="J29">
        <v>11</v>
      </c>
      <c r="K29">
        <v>63</v>
      </c>
      <c r="L29" s="52" t="s">
        <v>227</v>
      </c>
      <c r="N29" s="93" t="str">
        <f t="shared" si="0"/>
        <v/>
      </c>
      <c r="O29" s="70">
        <f t="shared" si="1"/>
        <v>0.54545454545454541</v>
      </c>
      <c r="P29" s="70">
        <f t="shared" si="2"/>
        <v>0.46349206349206346</v>
      </c>
      <c r="Q29" s="70" t="str">
        <f t="shared" si="3"/>
        <v/>
      </c>
      <c r="R29" s="89">
        <f t="shared" si="4"/>
        <v>0.50447330447330441</v>
      </c>
    </row>
    <row r="30" spans="1:18" x14ac:dyDescent="0.2">
      <c r="A30" s="81" t="s">
        <v>85</v>
      </c>
      <c r="B30" s="51">
        <v>2</v>
      </c>
      <c r="C30" t="s">
        <v>227</v>
      </c>
      <c r="D30" t="s">
        <v>227</v>
      </c>
      <c r="E30" t="s">
        <v>227</v>
      </c>
      <c r="F30">
        <v>1</v>
      </c>
      <c r="G30" s="72">
        <v>2</v>
      </c>
      <c r="H30" s="56"/>
      <c r="I30" s="51">
        <v>4</v>
      </c>
      <c r="J30" t="s">
        <v>227</v>
      </c>
      <c r="K30" t="s">
        <v>227</v>
      </c>
      <c r="L30" s="52" t="s">
        <v>227</v>
      </c>
      <c r="N30" s="93">
        <f t="shared" si="0"/>
        <v>0.5</v>
      </c>
      <c r="O30" s="70" t="str">
        <f t="shared" si="1"/>
        <v/>
      </c>
      <c r="P30" s="70" t="str">
        <f t="shared" si="2"/>
        <v/>
      </c>
      <c r="Q30" s="70" t="str">
        <f t="shared" si="3"/>
        <v/>
      </c>
      <c r="R30" s="89">
        <f t="shared" si="4"/>
        <v>0.5</v>
      </c>
    </row>
    <row r="31" spans="1:18" x14ac:dyDescent="0.2">
      <c r="A31" s="81" t="s">
        <v>151</v>
      </c>
      <c r="B31" s="51" t="s">
        <v>227</v>
      </c>
      <c r="C31" t="s">
        <v>227</v>
      </c>
      <c r="D31">
        <v>23.6</v>
      </c>
      <c r="E31">
        <v>8.1999999999999993</v>
      </c>
      <c r="F31">
        <v>2</v>
      </c>
      <c r="G31" s="72">
        <v>15.9</v>
      </c>
      <c r="H31" s="56"/>
      <c r="I31" s="51" t="s">
        <v>227</v>
      </c>
      <c r="J31" t="s">
        <v>227</v>
      </c>
      <c r="K31">
        <v>28</v>
      </c>
      <c r="L31" s="52">
        <v>56</v>
      </c>
      <c r="N31" s="93" t="str">
        <f t="shared" si="0"/>
        <v/>
      </c>
      <c r="O31" s="70" t="str">
        <f t="shared" si="1"/>
        <v/>
      </c>
      <c r="P31" s="70">
        <f t="shared" si="2"/>
        <v>0.84285714285714286</v>
      </c>
      <c r="Q31" s="70">
        <f t="shared" si="3"/>
        <v>0.14642857142857141</v>
      </c>
      <c r="R31" s="89">
        <f t="shared" si="4"/>
        <v>0.49464285714285716</v>
      </c>
    </row>
    <row r="32" spans="1:18" x14ac:dyDescent="0.2">
      <c r="A32" s="81" t="s">
        <v>138</v>
      </c>
      <c r="B32" s="51" t="s">
        <v>227</v>
      </c>
      <c r="C32" t="s">
        <v>227</v>
      </c>
      <c r="D32">
        <v>11.8</v>
      </c>
      <c r="E32" t="s">
        <v>227</v>
      </c>
      <c r="F32">
        <v>1</v>
      </c>
      <c r="G32" s="72">
        <v>11.8</v>
      </c>
      <c r="H32" s="56"/>
      <c r="I32" s="51" t="s">
        <v>227</v>
      </c>
      <c r="J32" t="s">
        <v>227</v>
      </c>
      <c r="K32">
        <v>24</v>
      </c>
      <c r="L32" s="52" t="s">
        <v>227</v>
      </c>
      <c r="N32" s="93" t="str">
        <f t="shared" si="0"/>
        <v/>
      </c>
      <c r="O32" s="70" t="str">
        <f t="shared" si="1"/>
        <v/>
      </c>
      <c r="P32" s="70">
        <f t="shared" si="2"/>
        <v>0.4916666666666667</v>
      </c>
      <c r="Q32" s="70" t="str">
        <f t="shared" si="3"/>
        <v/>
      </c>
      <c r="R32" s="89">
        <f t="shared" si="4"/>
        <v>0.4916666666666667</v>
      </c>
    </row>
    <row r="33" spans="1:18" x14ac:dyDescent="0.2">
      <c r="A33" s="81" t="s">
        <v>181</v>
      </c>
      <c r="B33" s="51" t="s">
        <v>227</v>
      </c>
      <c r="C33" t="s">
        <v>227</v>
      </c>
      <c r="D33" t="s">
        <v>227</v>
      </c>
      <c r="E33">
        <v>6.8</v>
      </c>
      <c r="F33">
        <v>1</v>
      </c>
      <c r="G33" s="72">
        <v>6.8</v>
      </c>
      <c r="H33" s="56"/>
      <c r="I33" s="51" t="s">
        <v>227</v>
      </c>
      <c r="J33" t="s">
        <v>227</v>
      </c>
      <c r="K33" t="s">
        <v>227</v>
      </c>
      <c r="L33" s="52">
        <v>14</v>
      </c>
      <c r="N33" s="93" t="str">
        <f t="shared" si="0"/>
        <v/>
      </c>
      <c r="O33" s="70" t="str">
        <f t="shared" si="1"/>
        <v/>
      </c>
      <c r="P33" s="70" t="str">
        <f t="shared" si="2"/>
        <v/>
      </c>
      <c r="Q33" s="70">
        <f t="shared" si="3"/>
        <v>0.48571428571428571</v>
      </c>
      <c r="R33" s="89">
        <f t="shared" si="4"/>
        <v>0.48571428571428571</v>
      </c>
    </row>
    <row r="34" spans="1:18" x14ac:dyDescent="0.2">
      <c r="A34" s="81" t="s">
        <v>110</v>
      </c>
      <c r="B34" s="51" t="s">
        <v>227</v>
      </c>
      <c r="C34" t="s">
        <v>227</v>
      </c>
      <c r="D34">
        <v>3.8000000000000003</v>
      </c>
      <c r="E34" t="s">
        <v>227</v>
      </c>
      <c r="F34">
        <v>1</v>
      </c>
      <c r="G34" s="72">
        <v>3.8000000000000003</v>
      </c>
      <c r="H34" s="56"/>
      <c r="I34" s="51" t="s">
        <v>227</v>
      </c>
      <c r="J34" t="s">
        <v>227</v>
      </c>
      <c r="K34">
        <v>8</v>
      </c>
      <c r="L34" s="52" t="s">
        <v>227</v>
      </c>
      <c r="N34" s="93" t="str">
        <f t="shared" si="0"/>
        <v/>
      </c>
      <c r="O34" s="70" t="str">
        <f t="shared" si="1"/>
        <v/>
      </c>
      <c r="P34" s="70">
        <f t="shared" si="2"/>
        <v>0.47500000000000003</v>
      </c>
      <c r="Q34" s="70" t="str">
        <f t="shared" si="3"/>
        <v/>
      </c>
      <c r="R34" s="89">
        <f t="shared" si="4"/>
        <v>0.47500000000000003</v>
      </c>
    </row>
    <row r="35" spans="1:18" x14ac:dyDescent="0.2">
      <c r="A35" s="81" t="s">
        <v>67</v>
      </c>
      <c r="B35" s="51" t="s">
        <v>227</v>
      </c>
      <c r="C35">
        <v>13</v>
      </c>
      <c r="D35" t="s">
        <v>227</v>
      </c>
      <c r="E35" t="s">
        <v>227</v>
      </c>
      <c r="F35">
        <v>1</v>
      </c>
      <c r="G35" s="72">
        <v>13</v>
      </c>
      <c r="H35" s="56"/>
      <c r="I35" s="51" t="s">
        <v>227</v>
      </c>
      <c r="J35">
        <v>28</v>
      </c>
      <c r="K35" t="s">
        <v>227</v>
      </c>
      <c r="L35" s="52" t="s">
        <v>227</v>
      </c>
      <c r="N35" s="93" t="str">
        <f t="shared" si="0"/>
        <v/>
      </c>
      <c r="O35" s="70">
        <f t="shared" si="1"/>
        <v>0.4642857142857143</v>
      </c>
      <c r="P35" s="70" t="str">
        <f t="shared" si="2"/>
        <v/>
      </c>
      <c r="Q35" s="70" t="str">
        <f t="shared" si="3"/>
        <v/>
      </c>
      <c r="R35" s="89">
        <f t="shared" si="4"/>
        <v>0.4642857142857143</v>
      </c>
    </row>
    <row r="36" spans="1:18" x14ac:dyDescent="0.2">
      <c r="A36" s="81" t="s">
        <v>58</v>
      </c>
      <c r="B36" s="51">
        <v>6.6000000000000005</v>
      </c>
      <c r="C36">
        <v>10.4</v>
      </c>
      <c r="D36" t="s">
        <v>227</v>
      </c>
      <c r="E36" t="s">
        <v>227</v>
      </c>
      <c r="F36">
        <v>2</v>
      </c>
      <c r="G36" s="72">
        <v>8.5</v>
      </c>
      <c r="H36" s="56"/>
      <c r="I36" s="51">
        <v>12</v>
      </c>
      <c r="J36">
        <v>28</v>
      </c>
      <c r="K36" t="s">
        <v>227</v>
      </c>
      <c r="L36" s="52" t="s">
        <v>227</v>
      </c>
      <c r="N36" s="93">
        <f t="shared" ref="N36:N67" si="5">IFERROR(B36/I36,"")</f>
        <v>0.55000000000000004</v>
      </c>
      <c r="O36" s="70">
        <f t="shared" ref="O36:O67" si="6">IFERROR(C36/J36,"")</f>
        <v>0.37142857142857144</v>
      </c>
      <c r="P36" s="70" t="str">
        <f t="shared" ref="P36:P67" si="7">IFERROR(D36/K36,"")</f>
        <v/>
      </c>
      <c r="Q36" s="70" t="str">
        <f t="shared" ref="Q36:Q67" si="8">IFERROR(E36/L36,"")</f>
        <v/>
      </c>
      <c r="R36" s="89">
        <f t="shared" ref="R36:R67" si="9">AVERAGE(N36:Q36)</f>
        <v>0.46071428571428574</v>
      </c>
    </row>
    <row r="37" spans="1:18" x14ac:dyDescent="0.2">
      <c r="A37" s="81" t="s">
        <v>154</v>
      </c>
      <c r="B37" s="51">
        <v>2</v>
      </c>
      <c r="C37" t="s">
        <v>227</v>
      </c>
      <c r="D37">
        <v>17.600000000000001</v>
      </c>
      <c r="E37">
        <v>0</v>
      </c>
      <c r="F37">
        <v>3</v>
      </c>
      <c r="G37" s="72">
        <v>6.5333333333333341</v>
      </c>
      <c r="H37" s="56"/>
      <c r="I37" s="51">
        <v>11</v>
      </c>
      <c r="J37" t="s">
        <v>227</v>
      </c>
      <c r="K37">
        <v>15</v>
      </c>
      <c r="L37" s="52">
        <v>3</v>
      </c>
      <c r="N37" s="93">
        <f t="shared" si="5"/>
        <v>0.18181818181818182</v>
      </c>
      <c r="O37" s="70" t="str">
        <f t="shared" si="6"/>
        <v/>
      </c>
      <c r="P37" s="70">
        <f t="shared" si="7"/>
        <v>1.1733333333333333</v>
      </c>
      <c r="Q37" s="70">
        <f t="shared" si="8"/>
        <v>0</v>
      </c>
      <c r="R37" s="89">
        <f t="shared" si="9"/>
        <v>0.45171717171717174</v>
      </c>
    </row>
    <row r="38" spans="1:18" x14ac:dyDescent="0.2">
      <c r="A38" s="81" t="s">
        <v>72</v>
      </c>
      <c r="B38" s="51">
        <v>10</v>
      </c>
      <c r="C38" t="s">
        <v>227</v>
      </c>
      <c r="D38">
        <v>5.6</v>
      </c>
      <c r="E38" t="s">
        <v>227</v>
      </c>
      <c r="F38">
        <v>2</v>
      </c>
      <c r="G38" s="72">
        <v>7.8</v>
      </c>
      <c r="H38" s="56"/>
      <c r="I38" s="51">
        <v>19</v>
      </c>
      <c r="J38" t="s">
        <v>227</v>
      </c>
      <c r="K38">
        <v>17</v>
      </c>
      <c r="L38" s="52" t="s">
        <v>227</v>
      </c>
      <c r="N38" s="93">
        <f t="shared" si="5"/>
        <v>0.52631578947368418</v>
      </c>
      <c r="O38" s="70" t="str">
        <f t="shared" si="6"/>
        <v/>
      </c>
      <c r="P38" s="70">
        <f t="shared" si="7"/>
        <v>0.32941176470588235</v>
      </c>
      <c r="Q38" s="70" t="str">
        <f t="shared" si="8"/>
        <v/>
      </c>
      <c r="R38" s="89">
        <f t="shared" si="9"/>
        <v>0.42786377708978329</v>
      </c>
    </row>
    <row r="39" spans="1:18" x14ac:dyDescent="0.2">
      <c r="A39" s="81" t="s">
        <v>156</v>
      </c>
      <c r="B39" s="51" t="s">
        <v>227</v>
      </c>
      <c r="C39" t="s">
        <v>227</v>
      </c>
      <c r="D39" t="s">
        <v>227</v>
      </c>
      <c r="E39">
        <v>12.200000000000001</v>
      </c>
      <c r="F39">
        <v>1</v>
      </c>
      <c r="G39" s="72">
        <v>12.200000000000001</v>
      </c>
      <c r="H39" s="56"/>
      <c r="I39" s="51" t="s">
        <v>227</v>
      </c>
      <c r="J39" t="s">
        <v>227</v>
      </c>
      <c r="K39" t="s">
        <v>227</v>
      </c>
      <c r="L39" s="52">
        <v>29</v>
      </c>
      <c r="N39" s="93" t="str">
        <f t="shared" si="5"/>
        <v/>
      </c>
      <c r="O39" s="70" t="str">
        <f t="shared" si="6"/>
        <v/>
      </c>
      <c r="P39" s="70" t="str">
        <f t="shared" si="7"/>
        <v/>
      </c>
      <c r="Q39" s="70">
        <f t="shared" si="8"/>
        <v>0.42068965517241386</v>
      </c>
      <c r="R39" s="89">
        <f t="shared" si="9"/>
        <v>0.42068965517241386</v>
      </c>
    </row>
    <row r="40" spans="1:18" x14ac:dyDescent="0.2">
      <c r="A40" s="81" t="s">
        <v>158</v>
      </c>
      <c r="B40" s="51" t="s">
        <v>227</v>
      </c>
      <c r="C40" t="s">
        <v>227</v>
      </c>
      <c r="D40">
        <v>10.8</v>
      </c>
      <c r="E40" t="s">
        <v>227</v>
      </c>
      <c r="F40">
        <v>1</v>
      </c>
      <c r="G40" s="72">
        <v>10.8</v>
      </c>
      <c r="H40" s="56"/>
      <c r="I40" s="51" t="s">
        <v>227</v>
      </c>
      <c r="J40" t="s">
        <v>227</v>
      </c>
      <c r="K40">
        <v>26</v>
      </c>
      <c r="L40" s="52" t="s">
        <v>227</v>
      </c>
      <c r="N40" s="93" t="str">
        <f t="shared" si="5"/>
        <v/>
      </c>
      <c r="O40" s="70" t="str">
        <f t="shared" si="6"/>
        <v/>
      </c>
      <c r="P40" s="70">
        <f t="shared" si="7"/>
        <v>0.41538461538461541</v>
      </c>
      <c r="Q40" s="70" t="str">
        <f t="shared" si="8"/>
        <v/>
      </c>
      <c r="R40" s="89">
        <f t="shared" si="9"/>
        <v>0.41538461538461541</v>
      </c>
    </row>
    <row r="41" spans="1:18" x14ac:dyDescent="0.2">
      <c r="A41" s="81" t="s">
        <v>148</v>
      </c>
      <c r="B41" s="51" t="s">
        <v>227</v>
      </c>
      <c r="C41">
        <v>30.6</v>
      </c>
      <c r="D41" t="s">
        <v>227</v>
      </c>
      <c r="E41">
        <v>6.6000000000000005</v>
      </c>
      <c r="F41">
        <v>2</v>
      </c>
      <c r="G41" s="72">
        <v>18.600000000000001</v>
      </c>
      <c r="H41" s="56"/>
      <c r="I41" s="51" t="s">
        <v>227</v>
      </c>
      <c r="J41">
        <v>55</v>
      </c>
      <c r="K41" t="s">
        <v>227</v>
      </c>
      <c r="L41" s="52">
        <v>30</v>
      </c>
      <c r="N41" s="93" t="str">
        <f t="shared" si="5"/>
        <v/>
      </c>
      <c r="O41" s="70">
        <f t="shared" si="6"/>
        <v>0.55636363636363639</v>
      </c>
      <c r="P41" s="70" t="str">
        <f t="shared" si="7"/>
        <v/>
      </c>
      <c r="Q41" s="70">
        <f t="shared" si="8"/>
        <v>0.22000000000000003</v>
      </c>
      <c r="R41" s="89">
        <f t="shared" si="9"/>
        <v>0.38818181818181818</v>
      </c>
    </row>
    <row r="42" spans="1:18" x14ac:dyDescent="0.2">
      <c r="A42" s="81" t="s">
        <v>84</v>
      </c>
      <c r="B42" s="51" t="s">
        <v>227</v>
      </c>
      <c r="C42" t="s">
        <v>227</v>
      </c>
      <c r="D42" t="s">
        <v>227</v>
      </c>
      <c r="E42">
        <v>12.8</v>
      </c>
      <c r="F42">
        <v>1</v>
      </c>
      <c r="G42" s="72">
        <v>12.8</v>
      </c>
      <c r="H42" s="56"/>
      <c r="I42" s="51" t="s">
        <v>227</v>
      </c>
      <c r="J42" t="s">
        <v>227</v>
      </c>
      <c r="K42" t="s">
        <v>227</v>
      </c>
      <c r="L42" s="52">
        <v>34</v>
      </c>
      <c r="N42" s="93" t="str">
        <f t="shared" si="5"/>
        <v/>
      </c>
      <c r="O42" s="70" t="str">
        <f t="shared" si="6"/>
        <v/>
      </c>
      <c r="P42" s="70" t="str">
        <f t="shared" si="7"/>
        <v/>
      </c>
      <c r="Q42" s="70">
        <f t="shared" si="8"/>
        <v>0.37647058823529411</v>
      </c>
      <c r="R42" s="89">
        <f t="shared" si="9"/>
        <v>0.37647058823529411</v>
      </c>
    </row>
    <row r="43" spans="1:18" x14ac:dyDescent="0.2">
      <c r="A43" s="81" t="s">
        <v>23</v>
      </c>
      <c r="B43" s="51">
        <v>11</v>
      </c>
      <c r="C43">
        <v>11.600000000000001</v>
      </c>
      <c r="D43" t="s">
        <v>227</v>
      </c>
      <c r="E43">
        <v>2</v>
      </c>
      <c r="F43">
        <v>3</v>
      </c>
      <c r="G43" s="72">
        <v>8.2000000000000011</v>
      </c>
      <c r="H43" s="56"/>
      <c r="I43" s="51">
        <v>19</v>
      </c>
      <c r="J43">
        <v>28</v>
      </c>
      <c r="K43" t="s">
        <v>227</v>
      </c>
      <c r="L43" s="52">
        <v>18</v>
      </c>
      <c r="N43" s="93">
        <f t="shared" si="5"/>
        <v>0.57894736842105265</v>
      </c>
      <c r="O43" s="70">
        <f t="shared" si="6"/>
        <v>0.41428571428571431</v>
      </c>
      <c r="P43" s="70" t="str">
        <f t="shared" si="7"/>
        <v/>
      </c>
      <c r="Q43" s="70">
        <f t="shared" si="8"/>
        <v>0.1111111111111111</v>
      </c>
      <c r="R43" s="89">
        <f t="shared" si="9"/>
        <v>0.36811473127262606</v>
      </c>
    </row>
    <row r="44" spans="1:18" x14ac:dyDescent="0.2">
      <c r="A44" s="81" t="s">
        <v>109</v>
      </c>
      <c r="B44" s="51" t="s">
        <v>227</v>
      </c>
      <c r="C44" t="s">
        <v>227</v>
      </c>
      <c r="D44">
        <v>1</v>
      </c>
      <c r="E44">
        <v>4.8000000000000007</v>
      </c>
      <c r="F44">
        <v>2</v>
      </c>
      <c r="G44" s="72">
        <v>2.9000000000000004</v>
      </c>
      <c r="H44" s="56"/>
      <c r="I44" s="51" t="s">
        <v>227</v>
      </c>
      <c r="J44" t="s">
        <v>227</v>
      </c>
      <c r="K44">
        <v>2</v>
      </c>
      <c r="L44" s="52">
        <v>21</v>
      </c>
      <c r="N44" s="93" t="str">
        <f t="shared" si="5"/>
        <v/>
      </c>
      <c r="O44" s="70" t="str">
        <f t="shared" si="6"/>
        <v/>
      </c>
      <c r="P44" s="70">
        <f t="shared" si="7"/>
        <v>0.5</v>
      </c>
      <c r="Q44" s="70">
        <f t="shared" si="8"/>
        <v>0.22857142857142859</v>
      </c>
      <c r="R44" s="89">
        <f t="shared" si="9"/>
        <v>0.36428571428571432</v>
      </c>
    </row>
    <row r="45" spans="1:18" x14ac:dyDescent="0.2">
      <c r="A45" s="81" t="s">
        <v>160</v>
      </c>
      <c r="B45" s="51" t="s">
        <v>227</v>
      </c>
      <c r="C45" t="s">
        <v>227</v>
      </c>
      <c r="D45">
        <v>4</v>
      </c>
      <c r="E45" t="s">
        <v>227</v>
      </c>
      <c r="F45">
        <v>1</v>
      </c>
      <c r="G45" s="72">
        <v>4</v>
      </c>
      <c r="H45" s="56"/>
      <c r="I45" s="51" t="s">
        <v>227</v>
      </c>
      <c r="J45" t="s">
        <v>227</v>
      </c>
      <c r="K45">
        <v>11</v>
      </c>
      <c r="L45" s="52" t="s">
        <v>227</v>
      </c>
      <c r="N45" s="93" t="str">
        <f t="shared" si="5"/>
        <v/>
      </c>
      <c r="O45" s="70" t="str">
        <f t="shared" si="6"/>
        <v/>
      </c>
      <c r="P45" s="70">
        <f t="shared" si="7"/>
        <v>0.36363636363636365</v>
      </c>
      <c r="Q45" s="70" t="str">
        <f t="shared" si="8"/>
        <v/>
      </c>
      <c r="R45" s="89">
        <f t="shared" si="9"/>
        <v>0.36363636363636365</v>
      </c>
    </row>
    <row r="46" spans="1:18" x14ac:dyDescent="0.2">
      <c r="A46" s="81" t="s">
        <v>165</v>
      </c>
      <c r="B46" s="51" t="s">
        <v>227</v>
      </c>
      <c r="C46" t="s">
        <v>227</v>
      </c>
      <c r="D46">
        <v>4</v>
      </c>
      <c r="E46" t="s">
        <v>227</v>
      </c>
      <c r="F46">
        <v>1</v>
      </c>
      <c r="G46" s="72">
        <v>4</v>
      </c>
      <c r="H46" s="56"/>
      <c r="I46" s="51" t="s">
        <v>227</v>
      </c>
      <c r="J46" t="s">
        <v>227</v>
      </c>
      <c r="K46">
        <v>11</v>
      </c>
      <c r="L46" s="52" t="s">
        <v>227</v>
      </c>
      <c r="N46" s="93" t="str">
        <f t="shared" si="5"/>
        <v/>
      </c>
      <c r="O46" s="70" t="str">
        <f t="shared" si="6"/>
        <v/>
      </c>
      <c r="P46" s="70">
        <f t="shared" si="7"/>
        <v>0.36363636363636365</v>
      </c>
      <c r="Q46" s="70" t="str">
        <f t="shared" si="8"/>
        <v/>
      </c>
      <c r="R46" s="89">
        <f t="shared" si="9"/>
        <v>0.36363636363636365</v>
      </c>
    </row>
    <row r="47" spans="1:18" x14ac:dyDescent="0.2">
      <c r="A47" s="81" t="s">
        <v>102</v>
      </c>
      <c r="B47" s="51" t="s">
        <v>227</v>
      </c>
      <c r="C47">
        <v>4.8</v>
      </c>
      <c r="D47">
        <v>0</v>
      </c>
      <c r="E47">
        <v>7.2</v>
      </c>
      <c r="F47">
        <v>3</v>
      </c>
      <c r="G47" s="72">
        <v>4</v>
      </c>
      <c r="H47" s="56"/>
      <c r="I47" s="51" t="s">
        <v>227</v>
      </c>
      <c r="J47">
        <v>7</v>
      </c>
      <c r="K47">
        <v>1</v>
      </c>
      <c r="L47" s="52">
        <v>19</v>
      </c>
      <c r="N47" s="93" t="str">
        <f t="shared" si="5"/>
        <v/>
      </c>
      <c r="O47" s="70">
        <f t="shared" si="6"/>
        <v>0.68571428571428572</v>
      </c>
      <c r="P47" s="70">
        <f t="shared" si="7"/>
        <v>0</v>
      </c>
      <c r="Q47" s="70">
        <f t="shared" si="8"/>
        <v>0.37894736842105264</v>
      </c>
      <c r="R47" s="89">
        <f t="shared" si="9"/>
        <v>0.35488721804511281</v>
      </c>
    </row>
    <row r="48" spans="1:18" x14ac:dyDescent="0.2">
      <c r="A48" s="81" t="s">
        <v>55</v>
      </c>
      <c r="B48" s="51">
        <v>3.4</v>
      </c>
      <c r="C48">
        <v>12.8</v>
      </c>
      <c r="D48">
        <v>5.4</v>
      </c>
      <c r="E48">
        <v>10</v>
      </c>
      <c r="F48">
        <v>4</v>
      </c>
      <c r="G48" s="72">
        <v>7.9</v>
      </c>
      <c r="H48" s="56"/>
      <c r="I48" s="51">
        <v>22</v>
      </c>
      <c r="J48">
        <v>27</v>
      </c>
      <c r="K48">
        <v>17</v>
      </c>
      <c r="L48" s="52">
        <v>22</v>
      </c>
      <c r="N48" s="93">
        <f t="shared" si="5"/>
        <v>0.15454545454545454</v>
      </c>
      <c r="O48" s="70">
        <f t="shared" si="6"/>
        <v>0.47407407407407409</v>
      </c>
      <c r="P48" s="70">
        <f t="shared" si="7"/>
        <v>0.31764705882352945</v>
      </c>
      <c r="Q48" s="70">
        <f t="shared" si="8"/>
        <v>0.45454545454545453</v>
      </c>
      <c r="R48" s="89">
        <f t="shared" si="9"/>
        <v>0.35020301049712815</v>
      </c>
    </row>
    <row r="49" spans="1:18" x14ac:dyDescent="0.2">
      <c r="A49" s="81" t="s">
        <v>166</v>
      </c>
      <c r="B49" s="51">
        <v>5.6</v>
      </c>
      <c r="C49" t="s">
        <v>227</v>
      </c>
      <c r="D49" t="s">
        <v>227</v>
      </c>
      <c r="E49" t="s">
        <v>227</v>
      </c>
      <c r="F49">
        <v>1</v>
      </c>
      <c r="G49" s="72">
        <v>5.6</v>
      </c>
      <c r="H49" s="56"/>
      <c r="I49" s="51">
        <v>16</v>
      </c>
      <c r="J49" t="s">
        <v>227</v>
      </c>
      <c r="K49" t="s">
        <v>227</v>
      </c>
      <c r="L49" s="52" t="s">
        <v>227</v>
      </c>
      <c r="N49" s="93">
        <f t="shared" si="5"/>
        <v>0.35</v>
      </c>
      <c r="O49" s="70" t="str">
        <f t="shared" si="6"/>
        <v/>
      </c>
      <c r="P49" s="70" t="str">
        <f t="shared" si="7"/>
        <v/>
      </c>
      <c r="Q49" s="70" t="str">
        <f t="shared" si="8"/>
        <v/>
      </c>
      <c r="R49" s="89">
        <f t="shared" si="9"/>
        <v>0.35</v>
      </c>
    </row>
    <row r="50" spans="1:18" x14ac:dyDescent="0.2">
      <c r="A50" s="81" t="s">
        <v>134</v>
      </c>
      <c r="B50" s="51">
        <v>8.1999999999999993</v>
      </c>
      <c r="C50">
        <v>3.8000000000000003</v>
      </c>
      <c r="D50" t="s">
        <v>227</v>
      </c>
      <c r="E50" t="s">
        <v>227</v>
      </c>
      <c r="F50">
        <v>2</v>
      </c>
      <c r="G50" s="72">
        <v>6</v>
      </c>
      <c r="H50" s="56"/>
      <c r="I50" s="51">
        <v>16</v>
      </c>
      <c r="J50">
        <v>24</v>
      </c>
      <c r="K50" t="s">
        <v>227</v>
      </c>
      <c r="L50" s="52" t="s">
        <v>227</v>
      </c>
      <c r="N50" s="93">
        <f t="shared" si="5"/>
        <v>0.51249999999999996</v>
      </c>
      <c r="O50" s="70">
        <f t="shared" si="6"/>
        <v>0.15833333333333335</v>
      </c>
      <c r="P50" s="70" t="str">
        <f t="shared" si="7"/>
        <v/>
      </c>
      <c r="Q50" s="70" t="str">
        <f t="shared" si="8"/>
        <v/>
      </c>
      <c r="R50" s="89">
        <f t="shared" si="9"/>
        <v>0.33541666666666664</v>
      </c>
    </row>
    <row r="51" spans="1:18" x14ac:dyDescent="0.2">
      <c r="A51" s="81" t="s">
        <v>78</v>
      </c>
      <c r="B51" s="51">
        <v>5.8000000000000007</v>
      </c>
      <c r="C51">
        <v>5.6</v>
      </c>
      <c r="D51" t="s">
        <v>227</v>
      </c>
      <c r="E51">
        <v>2</v>
      </c>
      <c r="F51">
        <v>3</v>
      </c>
      <c r="G51" s="72">
        <v>4.4666666666666668</v>
      </c>
      <c r="H51" s="56"/>
      <c r="I51" s="51">
        <v>19</v>
      </c>
      <c r="J51">
        <v>16</v>
      </c>
      <c r="K51" t="s">
        <v>227</v>
      </c>
      <c r="L51" s="52">
        <v>6</v>
      </c>
      <c r="N51" s="93">
        <f t="shared" si="5"/>
        <v>0.3052631578947369</v>
      </c>
      <c r="O51" s="70">
        <f t="shared" si="6"/>
        <v>0.35</v>
      </c>
      <c r="P51" s="70" t="str">
        <f t="shared" si="7"/>
        <v/>
      </c>
      <c r="Q51" s="70">
        <f t="shared" si="8"/>
        <v>0.33333333333333331</v>
      </c>
      <c r="R51" s="89">
        <f t="shared" si="9"/>
        <v>0.32953216374269007</v>
      </c>
    </row>
    <row r="52" spans="1:18" x14ac:dyDescent="0.2">
      <c r="A52" s="81" t="s">
        <v>88</v>
      </c>
      <c r="B52" s="51" t="s">
        <v>227</v>
      </c>
      <c r="C52">
        <v>12.2</v>
      </c>
      <c r="D52">
        <v>1</v>
      </c>
      <c r="E52">
        <v>8.6</v>
      </c>
      <c r="F52">
        <v>3</v>
      </c>
      <c r="G52" s="72">
        <v>7.2666666666666657</v>
      </c>
      <c r="H52" s="56"/>
      <c r="I52" s="51" t="s">
        <v>227</v>
      </c>
      <c r="J52">
        <v>20</v>
      </c>
      <c r="K52">
        <v>8</v>
      </c>
      <c r="L52" s="52">
        <v>34</v>
      </c>
      <c r="N52" s="93" t="str">
        <f t="shared" si="5"/>
        <v/>
      </c>
      <c r="O52" s="70">
        <f t="shared" si="6"/>
        <v>0.61</v>
      </c>
      <c r="P52" s="70">
        <f t="shared" si="7"/>
        <v>0.125</v>
      </c>
      <c r="Q52" s="70">
        <f t="shared" si="8"/>
        <v>0.25294117647058822</v>
      </c>
      <c r="R52" s="89">
        <f t="shared" si="9"/>
        <v>0.32931372549019605</v>
      </c>
    </row>
    <row r="53" spans="1:18" x14ac:dyDescent="0.2">
      <c r="A53" s="81" t="s">
        <v>95</v>
      </c>
      <c r="B53" s="51">
        <v>8.6</v>
      </c>
      <c r="C53">
        <v>3</v>
      </c>
      <c r="D53" t="s">
        <v>227</v>
      </c>
      <c r="E53" t="s">
        <v>227</v>
      </c>
      <c r="F53">
        <v>2</v>
      </c>
      <c r="G53" s="72">
        <v>5.8</v>
      </c>
      <c r="H53" s="56"/>
      <c r="I53" s="51">
        <v>19</v>
      </c>
      <c r="J53">
        <v>15</v>
      </c>
      <c r="K53" t="s">
        <v>227</v>
      </c>
      <c r="L53" s="52" t="s">
        <v>227</v>
      </c>
      <c r="N53" s="93">
        <f t="shared" si="5"/>
        <v>0.45263157894736838</v>
      </c>
      <c r="O53" s="70">
        <f t="shared" si="6"/>
        <v>0.2</v>
      </c>
      <c r="P53" s="70" t="str">
        <f t="shared" si="7"/>
        <v/>
      </c>
      <c r="Q53" s="70" t="str">
        <f t="shared" si="8"/>
        <v/>
      </c>
      <c r="R53" s="89">
        <f t="shared" si="9"/>
        <v>0.32631578947368423</v>
      </c>
    </row>
    <row r="54" spans="1:18" x14ac:dyDescent="0.2">
      <c r="A54" s="81" t="s">
        <v>180</v>
      </c>
      <c r="B54" s="51">
        <v>8</v>
      </c>
      <c r="C54" t="s">
        <v>227</v>
      </c>
      <c r="D54" t="s">
        <v>227</v>
      </c>
      <c r="E54">
        <v>7.8000000000000007</v>
      </c>
      <c r="F54">
        <v>2</v>
      </c>
      <c r="G54" s="72">
        <v>7.9</v>
      </c>
      <c r="H54" s="56"/>
      <c r="I54" s="51">
        <v>22</v>
      </c>
      <c r="J54" t="s">
        <v>227</v>
      </c>
      <c r="K54" t="s">
        <v>227</v>
      </c>
      <c r="L54" s="52">
        <v>27</v>
      </c>
      <c r="N54" s="93">
        <f t="shared" si="5"/>
        <v>0.36363636363636365</v>
      </c>
      <c r="O54" s="70" t="str">
        <f t="shared" si="6"/>
        <v/>
      </c>
      <c r="P54" s="70" t="str">
        <f t="shared" si="7"/>
        <v/>
      </c>
      <c r="Q54" s="70">
        <f t="shared" si="8"/>
        <v>0.28888888888888892</v>
      </c>
      <c r="R54" s="89">
        <f t="shared" si="9"/>
        <v>0.32626262626262625</v>
      </c>
    </row>
    <row r="55" spans="1:18" x14ac:dyDescent="0.2">
      <c r="A55" s="81" t="s">
        <v>145</v>
      </c>
      <c r="B55" s="51">
        <v>5</v>
      </c>
      <c r="C55">
        <v>10.4</v>
      </c>
      <c r="D55">
        <v>17.8</v>
      </c>
      <c r="E55">
        <v>1</v>
      </c>
      <c r="F55">
        <v>4</v>
      </c>
      <c r="G55" s="72">
        <v>8.5500000000000007</v>
      </c>
      <c r="H55" s="56"/>
      <c r="I55" s="51">
        <v>20</v>
      </c>
      <c r="J55">
        <v>19</v>
      </c>
      <c r="K55">
        <v>43</v>
      </c>
      <c r="L55" s="52">
        <v>15</v>
      </c>
      <c r="N55" s="93">
        <f t="shared" si="5"/>
        <v>0.25</v>
      </c>
      <c r="O55" s="70">
        <f t="shared" si="6"/>
        <v>0.54736842105263162</v>
      </c>
      <c r="P55" s="70">
        <f t="shared" si="7"/>
        <v>0.41395348837209306</v>
      </c>
      <c r="Q55" s="70">
        <f t="shared" si="8"/>
        <v>6.6666666666666666E-2</v>
      </c>
      <c r="R55" s="89">
        <f t="shared" si="9"/>
        <v>0.31949714402284785</v>
      </c>
    </row>
    <row r="56" spans="1:18" x14ac:dyDescent="0.2">
      <c r="A56" s="81" t="s">
        <v>75</v>
      </c>
      <c r="B56" s="51">
        <v>10</v>
      </c>
      <c r="C56">
        <v>6.6000000000000005</v>
      </c>
      <c r="D56">
        <v>7.8000000000000007</v>
      </c>
      <c r="E56" t="s">
        <v>227</v>
      </c>
      <c r="F56">
        <v>3</v>
      </c>
      <c r="G56" s="72">
        <v>8.1333333333333346</v>
      </c>
      <c r="H56" s="56"/>
      <c r="I56" s="51">
        <v>26</v>
      </c>
      <c r="J56">
        <v>28</v>
      </c>
      <c r="K56">
        <v>24</v>
      </c>
      <c r="L56" s="52" t="s">
        <v>227</v>
      </c>
      <c r="N56" s="93">
        <f t="shared" si="5"/>
        <v>0.38461538461538464</v>
      </c>
      <c r="O56" s="70">
        <f t="shared" si="6"/>
        <v>0.23571428571428574</v>
      </c>
      <c r="P56" s="70">
        <f t="shared" si="7"/>
        <v>0.32500000000000001</v>
      </c>
      <c r="Q56" s="70" t="str">
        <f t="shared" si="8"/>
        <v/>
      </c>
      <c r="R56" s="89">
        <f t="shared" si="9"/>
        <v>0.3151098901098901</v>
      </c>
    </row>
    <row r="57" spans="1:18" x14ac:dyDescent="0.2">
      <c r="A57" s="81" t="s">
        <v>124</v>
      </c>
      <c r="B57" s="51">
        <v>0</v>
      </c>
      <c r="C57">
        <v>9</v>
      </c>
      <c r="D57">
        <v>19.2</v>
      </c>
      <c r="E57">
        <v>3</v>
      </c>
      <c r="F57">
        <v>4</v>
      </c>
      <c r="G57" s="72">
        <v>7.8</v>
      </c>
      <c r="H57" s="56"/>
      <c r="I57" s="51">
        <v>11</v>
      </c>
      <c r="J57">
        <v>19</v>
      </c>
      <c r="K57">
        <v>29</v>
      </c>
      <c r="L57" s="52">
        <v>28</v>
      </c>
      <c r="N57" s="93">
        <f t="shared" si="5"/>
        <v>0</v>
      </c>
      <c r="O57" s="70">
        <f t="shared" si="6"/>
        <v>0.47368421052631576</v>
      </c>
      <c r="P57" s="70">
        <f t="shared" si="7"/>
        <v>0.66206896551724137</v>
      </c>
      <c r="Q57" s="70">
        <f t="shared" si="8"/>
        <v>0.10714285714285714</v>
      </c>
      <c r="R57" s="89">
        <f t="shared" si="9"/>
        <v>0.31072400829660357</v>
      </c>
    </row>
    <row r="58" spans="1:18" x14ac:dyDescent="0.2">
      <c r="A58" s="81" t="s">
        <v>132</v>
      </c>
      <c r="B58" s="51">
        <v>4.2</v>
      </c>
      <c r="C58">
        <v>12</v>
      </c>
      <c r="D58" t="s">
        <v>227</v>
      </c>
      <c r="E58">
        <v>2</v>
      </c>
      <c r="F58">
        <v>3</v>
      </c>
      <c r="G58" s="72">
        <v>6.0666666666666664</v>
      </c>
      <c r="H58" s="56"/>
      <c r="I58" s="51">
        <v>12</v>
      </c>
      <c r="J58">
        <v>32</v>
      </c>
      <c r="K58" t="s">
        <v>227</v>
      </c>
      <c r="L58" s="52">
        <v>10</v>
      </c>
      <c r="N58" s="93">
        <f t="shared" si="5"/>
        <v>0.35000000000000003</v>
      </c>
      <c r="O58" s="70">
        <f t="shared" si="6"/>
        <v>0.375</v>
      </c>
      <c r="P58" s="70" t="str">
        <f t="shared" si="7"/>
        <v/>
      </c>
      <c r="Q58" s="70">
        <f t="shared" si="8"/>
        <v>0.2</v>
      </c>
      <c r="R58" s="89">
        <f t="shared" si="9"/>
        <v>0.30833333333333335</v>
      </c>
    </row>
    <row r="59" spans="1:18" x14ac:dyDescent="0.2">
      <c r="A59" s="81" t="s">
        <v>31</v>
      </c>
      <c r="B59" s="51">
        <v>7</v>
      </c>
      <c r="C59">
        <v>15.2</v>
      </c>
      <c r="D59">
        <v>1.6</v>
      </c>
      <c r="E59">
        <v>5</v>
      </c>
      <c r="F59">
        <v>4</v>
      </c>
      <c r="G59" s="72">
        <v>7.2</v>
      </c>
      <c r="H59" s="56"/>
      <c r="I59" s="51">
        <v>29</v>
      </c>
      <c r="J59">
        <v>24</v>
      </c>
      <c r="K59">
        <v>17</v>
      </c>
      <c r="L59" s="52">
        <v>19</v>
      </c>
      <c r="N59" s="93">
        <f t="shared" si="5"/>
        <v>0.2413793103448276</v>
      </c>
      <c r="O59" s="70">
        <f t="shared" si="6"/>
        <v>0.6333333333333333</v>
      </c>
      <c r="P59" s="70">
        <f t="shared" si="7"/>
        <v>9.4117647058823528E-2</v>
      </c>
      <c r="Q59" s="70">
        <f t="shared" si="8"/>
        <v>0.26315789473684209</v>
      </c>
      <c r="R59" s="89">
        <f t="shared" si="9"/>
        <v>0.30799704636845665</v>
      </c>
    </row>
    <row r="60" spans="1:18" x14ac:dyDescent="0.2">
      <c r="A60" s="81" t="s">
        <v>122</v>
      </c>
      <c r="B60" s="51" t="s">
        <v>227</v>
      </c>
      <c r="C60" t="s">
        <v>227</v>
      </c>
      <c r="D60">
        <v>16</v>
      </c>
      <c r="E60">
        <v>4.8000000000000007</v>
      </c>
      <c r="F60">
        <v>2</v>
      </c>
      <c r="G60" s="72">
        <v>10.4</v>
      </c>
      <c r="H60" s="56"/>
      <c r="I60" s="51" t="s">
        <v>227</v>
      </c>
      <c r="J60" t="s">
        <v>227</v>
      </c>
      <c r="K60">
        <v>33</v>
      </c>
      <c r="L60" s="52">
        <v>38</v>
      </c>
      <c r="N60" s="93" t="str">
        <f t="shared" si="5"/>
        <v/>
      </c>
      <c r="O60" s="70" t="str">
        <f t="shared" si="6"/>
        <v/>
      </c>
      <c r="P60" s="70">
        <f t="shared" si="7"/>
        <v>0.48484848484848486</v>
      </c>
      <c r="Q60" s="70">
        <f t="shared" si="8"/>
        <v>0.12631578947368424</v>
      </c>
      <c r="R60" s="89">
        <f t="shared" si="9"/>
        <v>0.30558213716108457</v>
      </c>
    </row>
    <row r="61" spans="1:18" x14ac:dyDescent="0.2">
      <c r="A61" s="81" t="s">
        <v>51</v>
      </c>
      <c r="B61" s="51">
        <v>3.4</v>
      </c>
      <c r="C61">
        <v>3</v>
      </c>
      <c r="D61">
        <v>9</v>
      </c>
      <c r="E61">
        <v>7</v>
      </c>
      <c r="F61">
        <v>4</v>
      </c>
      <c r="G61" s="72">
        <v>5.6</v>
      </c>
      <c r="H61" s="56"/>
      <c r="I61" s="51">
        <v>14</v>
      </c>
      <c r="J61">
        <v>16</v>
      </c>
      <c r="K61">
        <v>17</v>
      </c>
      <c r="L61" s="52">
        <v>27</v>
      </c>
      <c r="N61" s="93">
        <f t="shared" si="5"/>
        <v>0.24285714285714285</v>
      </c>
      <c r="O61" s="70">
        <f t="shared" si="6"/>
        <v>0.1875</v>
      </c>
      <c r="P61" s="70">
        <f t="shared" si="7"/>
        <v>0.52941176470588236</v>
      </c>
      <c r="Q61" s="70">
        <f t="shared" si="8"/>
        <v>0.25925925925925924</v>
      </c>
      <c r="R61" s="89">
        <f t="shared" si="9"/>
        <v>0.30475704170557111</v>
      </c>
    </row>
    <row r="62" spans="1:18" x14ac:dyDescent="0.2">
      <c r="A62" s="81" t="s">
        <v>16</v>
      </c>
      <c r="B62" s="51" t="s">
        <v>227</v>
      </c>
      <c r="C62" t="s">
        <v>227</v>
      </c>
      <c r="D62" t="s">
        <v>227</v>
      </c>
      <c r="E62">
        <v>4.2</v>
      </c>
      <c r="F62">
        <v>1</v>
      </c>
      <c r="G62" s="72">
        <v>4.2</v>
      </c>
      <c r="H62" s="56"/>
      <c r="I62" s="51" t="s">
        <v>227</v>
      </c>
      <c r="J62" t="s">
        <v>227</v>
      </c>
      <c r="K62" t="s">
        <v>227</v>
      </c>
      <c r="L62" s="52">
        <v>15</v>
      </c>
      <c r="N62" s="93" t="str">
        <f t="shared" si="5"/>
        <v/>
      </c>
      <c r="O62" s="70" t="str">
        <f t="shared" si="6"/>
        <v/>
      </c>
      <c r="P62" s="70" t="str">
        <f t="shared" si="7"/>
        <v/>
      </c>
      <c r="Q62" s="70">
        <f t="shared" si="8"/>
        <v>0.28000000000000003</v>
      </c>
      <c r="R62" s="89">
        <f t="shared" si="9"/>
        <v>0.28000000000000003</v>
      </c>
    </row>
    <row r="63" spans="1:18" x14ac:dyDescent="0.2">
      <c r="A63" s="81" t="s">
        <v>69</v>
      </c>
      <c r="B63" s="51">
        <v>8</v>
      </c>
      <c r="C63" t="s">
        <v>227</v>
      </c>
      <c r="D63">
        <v>8</v>
      </c>
      <c r="E63">
        <v>1</v>
      </c>
      <c r="F63">
        <v>3</v>
      </c>
      <c r="G63" s="72">
        <v>5.666666666666667</v>
      </c>
      <c r="H63" s="56"/>
      <c r="I63" s="51">
        <v>26</v>
      </c>
      <c r="J63" t="s">
        <v>227</v>
      </c>
      <c r="K63">
        <v>17</v>
      </c>
      <c r="L63" s="52">
        <v>20</v>
      </c>
      <c r="N63" s="93">
        <f t="shared" si="5"/>
        <v>0.30769230769230771</v>
      </c>
      <c r="O63" s="70" t="str">
        <f t="shared" si="6"/>
        <v/>
      </c>
      <c r="P63" s="70">
        <f t="shared" si="7"/>
        <v>0.47058823529411764</v>
      </c>
      <c r="Q63" s="70">
        <f t="shared" si="8"/>
        <v>0.05</v>
      </c>
      <c r="R63" s="89">
        <f t="shared" si="9"/>
        <v>0.27609351432880846</v>
      </c>
    </row>
    <row r="64" spans="1:18" x14ac:dyDescent="0.2">
      <c r="A64" s="81" t="s">
        <v>186</v>
      </c>
      <c r="B64" s="51">
        <v>6</v>
      </c>
      <c r="C64" t="s">
        <v>227</v>
      </c>
      <c r="D64" t="s">
        <v>227</v>
      </c>
      <c r="E64" t="s">
        <v>227</v>
      </c>
      <c r="F64">
        <v>1</v>
      </c>
      <c r="G64" s="72">
        <v>6</v>
      </c>
      <c r="H64" s="56"/>
      <c r="I64" s="51">
        <v>22</v>
      </c>
      <c r="J64" t="s">
        <v>227</v>
      </c>
      <c r="K64" t="s">
        <v>227</v>
      </c>
      <c r="L64" s="52" t="s">
        <v>227</v>
      </c>
      <c r="N64" s="93">
        <f t="shared" si="5"/>
        <v>0.27272727272727271</v>
      </c>
      <c r="O64" s="70" t="str">
        <f t="shared" si="6"/>
        <v/>
      </c>
      <c r="P64" s="70" t="str">
        <f t="shared" si="7"/>
        <v/>
      </c>
      <c r="Q64" s="70" t="str">
        <f t="shared" si="8"/>
        <v/>
      </c>
      <c r="R64" s="89">
        <f t="shared" si="9"/>
        <v>0.27272727272727271</v>
      </c>
    </row>
    <row r="65" spans="1:18" x14ac:dyDescent="0.2">
      <c r="A65" s="81" t="s">
        <v>107</v>
      </c>
      <c r="B65" s="51">
        <v>3.8000000000000003</v>
      </c>
      <c r="C65" t="s">
        <v>227</v>
      </c>
      <c r="D65" t="s">
        <v>227</v>
      </c>
      <c r="E65" t="s">
        <v>227</v>
      </c>
      <c r="F65">
        <v>1</v>
      </c>
      <c r="G65" s="72">
        <v>3.8000000000000003</v>
      </c>
      <c r="H65" s="56"/>
      <c r="I65" s="51">
        <v>14</v>
      </c>
      <c r="J65" t="s">
        <v>227</v>
      </c>
      <c r="K65" t="s">
        <v>227</v>
      </c>
      <c r="L65" s="52" t="s">
        <v>227</v>
      </c>
      <c r="N65" s="93">
        <f t="shared" si="5"/>
        <v>0.27142857142857146</v>
      </c>
      <c r="O65" s="70" t="str">
        <f t="shared" si="6"/>
        <v/>
      </c>
      <c r="P65" s="70" t="str">
        <f t="shared" si="7"/>
        <v/>
      </c>
      <c r="Q65" s="70" t="str">
        <f t="shared" si="8"/>
        <v/>
      </c>
      <c r="R65" s="89">
        <f t="shared" si="9"/>
        <v>0.27142857142857146</v>
      </c>
    </row>
    <row r="66" spans="1:18" x14ac:dyDescent="0.2">
      <c r="A66" s="81" t="s">
        <v>45</v>
      </c>
      <c r="B66" s="51">
        <v>8.6</v>
      </c>
      <c r="C66">
        <v>4.8000000000000007</v>
      </c>
      <c r="D66">
        <v>6</v>
      </c>
      <c r="E66" t="s">
        <v>227</v>
      </c>
      <c r="F66">
        <v>3</v>
      </c>
      <c r="G66" s="72">
        <v>6.4666666666666659</v>
      </c>
      <c r="H66" s="56"/>
      <c r="I66" s="51">
        <v>22</v>
      </c>
      <c r="J66">
        <v>36</v>
      </c>
      <c r="K66">
        <v>23</v>
      </c>
      <c r="L66" s="52" t="s">
        <v>227</v>
      </c>
      <c r="N66" s="93">
        <f t="shared" si="5"/>
        <v>0.39090909090909087</v>
      </c>
      <c r="O66" s="70">
        <f t="shared" si="6"/>
        <v>0.13333333333333336</v>
      </c>
      <c r="P66" s="70">
        <f t="shared" si="7"/>
        <v>0.2608695652173913</v>
      </c>
      <c r="Q66" s="70" t="str">
        <f t="shared" si="8"/>
        <v/>
      </c>
      <c r="R66" s="89">
        <f t="shared" si="9"/>
        <v>0.26170399648660519</v>
      </c>
    </row>
    <row r="67" spans="1:18" x14ac:dyDescent="0.2">
      <c r="A67" s="81" t="s">
        <v>100</v>
      </c>
      <c r="B67" s="51">
        <v>7.4</v>
      </c>
      <c r="C67">
        <v>3</v>
      </c>
      <c r="D67">
        <v>8.6</v>
      </c>
      <c r="E67">
        <v>2.8000000000000003</v>
      </c>
      <c r="F67">
        <v>4</v>
      </c>
      <c r="G67" s="72">
        <v>5.45</v>
      </c>
      <c r="H67" s="56"/>
      <c r="I67" s="51">
        <v>19</v>
      </c>
      <c r="J67">
        <v>26</v>
      </c>
      <c r="K67">
        <v>26</v>
      </c>
      <c r="L67" s="52">
        <v>15</v>
      </c>
      <c r="N67" s="93">
        <f t="shared" si="5"/>
        <v>0.38947368421052636</v>
      </c>
      <c r="O67" s="70">
        <f t="shared" si="6"/>
        <v>0.11538461538461539</v>
      </c>
      <c r="P67" s="70">
        <f t="shared" si="7"/>
        <v>0.33076923076923076</v>
      </c>
      <c r="Q67" s="70">
        <f t="shared" si="8"/>
        <v>0.18666666666666668</v>
      </c>
      <c r="R67" s="89">
        <f t="shared" si="9"/>
        <v>0.25557354925775982</v>
      </c>
    </row>
    <row r="68" spans="1:18" x14ac:dyDescent="0.2">
      <c r="A68" s="81" t="s">
        <v>30</v>
      </c>
      <c r="B68" s="51">
        <v>3</v>
      </c>
      <c r="C68">
        <v>17</v>
      </c>
      <c r="D68">
        <v>25.4</v>
      </c>
      <c r="E68">
        <v>2</v>
      </c>
      <c r="F68">
        <v>4</v>
      </c>
      <c r="G68" s="72">
        <v>11.85</v>
      </c>
      <c r="H68" s="56"/>
      <c r="I68" s="51">
        <v>29</v>
      </c>
      <c r="J68">
        <v>36</v>
      </c>
      <c r="K68">
        <v>68</v>
      </c>
      <c r="L68" s="52">
        <v>30</v>
      </c>
      <c r="N68" s="93">
        <f t="shared" ref="N68:N94" si="10">IFERROR(B68/I68,"")</f>
        <v>0.10344827586206896</v>
      </c>
      <c r="O68" s="70">
        <f t="shared" ref="O68:O94" si="11">IFERROR(C68/J68,"")</f>
        <v>0.47222222222222221</v>
      </c>
      <c r="P68" s="70">
        <f t="shared" ref="P68:P94" si="12">IFERROR(D68/K68,"")</f>
        <v>0.37352941176470589</v>
      </c>
      <c r="Q68" s="70">
        <f t="shared" ref="Q68:Q94" si="13">IFERROR(E68/L68,"")</f>
        <v>6.6666666666666666E-2</v>
      </c>
      <c r="R68" s="89">
        <f t="shared" ref="R68:R94" si="14">AVERAGE(N68:Q68)</f>
        <v>0.25396664412891595</v>
      </c>
    </row>
    <row r="69" spans="1:18" x14ac:dyDescent="0.2">
      <c r="A69" s="81" t="s">
        <v>123</v>
      </c>
      <c r="B69" s="51">
        <v>1.8</v>
      </c>
      <c r="C69">
        <v>3.4000000000000004</v>
      </c>
      <c r="D69">
        <v>12.2</v>
      </c>
      <c r="E69">
        <v>0</v>
      </c>
      <c r="F69">
        <v>4</v>
      </c>
      <c r="G69" s="72">
        <v>4.3499999999999996</v>
      </c>
      <c r="H69" s="56"/>
      <c r="I69" s="51">
        <v>11</v>
      </c>
      <c r="J69">
        <v>25</v>
      </c>
      <c r="K69">
        <v>20</v>
      </c>
      <c r="L69" s="52">
        <v>18</v>
      </c>
      <c r="N69" s="93">
        <f t="shared" si="10"/>
        <v>0.16363636363636364</v>
      </c>
      <c r="O69" s="70">
        <f t="shared" si="11"/>
        <v>0.13600000000000001</v>
      </c>
      <c r="P69" s="70">
        <f t="shared" si="12"/>
        <v>0.61</v>
      </c>
      <c r="Q69" s="70">
        <f t="shared" si="13"/>
        <v>0</v>
      </c>
      <c r="R69" s="89">
        <f t="shared" si="14"/>
        <v>0.22740909090909089</v>
      </c>
    </row>
    <row r="70" spans="1:18" x14ac:dyDescent="0.2">
      <c r="A70" s="81" t="s">
        <v>178</v>
      </c>
      <c r="B70" s="51" t="s">
        <v>227</v>
      </c>
      <c r="C70" t="s">
        <v>227</v>
      </c>
      <c r="D70" t="s">
        <v>227</v>
      </c>
      <c r="E70">
        <v>4.2</v>
      </c>
      <c r="F70">
        <v>1</v>
      </c>
      <c r="G70" s="72">
        <v>4.2</v>
      </c>
      <c r="H70" s="56"/>
      <c r="I70" s="51" t="s">
        <v>227</v>
      </c>
      <c r="J70" t="s">
        <v>227</v>
      </c>
      <c r="K70" t="s">
        <v>227</v>
      </c>
      <c r="L70" s="52">
        <v>19</v>
      </c>
      <c r="N70" s="93" t="str">
        <f t="shared" si="10"/>
        <v/>
      </c>
      <c r="O70" s="70" t="str">
        <f t="shared" si="11"/>
        <v/>
      </c>
      <c r="P70" s="70" t="str">
        <f t="shared" si="12"/>
        <v/>
      </c>
      <c r="Q70" s="70">
        <f t="shared" si="13"/>
        <v>0.22105263157894739</v>
      </c>
      <c r="R70" s="89">
        <f t="shared" si="14"/>
        <v>0.22105263157894739</v>
      </c>
    </row>
    <row r="71" spans="1:18" x14ac:dyDescent="0.2">
      <c r="A71" s="81" t="s">
        <v>170</v>
      </c>
      <c r="B71" s="51" t="s">
        <v>227</v>
      </c>
      <c r="C71" t="s">
        <v>227</v>
      </c>
      <c r="D71">
        <v>8</v>
      </c>
      <c r="E71">
        <v>2</v>
      </c>
      <c r="F71">
        <v>2</v>
      </c>
      <c r="G71" s="72">
        <v>5</v>
      </c>
      <c r="H71" s="56"/>
      <c r="I71" s="51" t="s">
        <v>227</v>
      </c>
      <c r="J71" t="s">
        <v>227</v>
      </c>
      <c r="K71">
        <v>23</v>
      </c>
      <c r="L71" s="52">
        <v>22</v>
      </c>
      <c r="N71" s="93" t="str">
        <f t="shared" si="10"/>
        <v/>
      </c>
      <c r="O71" s="70" t="str">
        <f t="shared" si="11"/>
        <v/>
      </c>
      <c r="P71" s="70">
        <f t="shared" si="12"/>
        <v>0.34782608695652173</v>
      </c>
      <c r="Q71" s="70">
        <f t="shared" si="13"/>
        <v>9.0909090909090912E-2</v>
      </c>
      <c r="R71" s="89">
        <f t="shared" si="14"/>
        <v>0.21936758893280633</v>
      </c>
    </row>
    <row r="72" spans="1:18" x14ac:dyDescent="0.2">
      <c r="A72" s="81" t="s">
        <v>141</v>
      </c>
      <c r="B72" s="51">
        <v>5</v>
      </c>
      <c r="C72">
        <v>8</v>
      </c>
      <c r="D72" t="s">
        <v>227</v>
      </c>
      <c r="E72" t="s">
        <v>227</v>
      </c>
      <c r="F72">
        <v>2</v>
      </c>
      <c r="G72" s="72">
        <v>6.5</v>
      </c>
      <c r="H72" s="56"/>
      <c r="I72" s="51">
        <v>26</v>
      </c>
      <c r="J72">
        <v>35</v>
      </c>
      <c r="K72" t="s">
        <v>227</v>
      </c>
      <c r="L72" s="52" t="s">
        <v>227</v>
      </c>
      <c r="N72" s="93">
        <f t="shared" si="10"/>
        <v>0.19230769230769232</v>
      </c>
      <c r="O72" s="70">
        <f t="shared" si="11"/>
        <v>0.22857142857142856</v>
      </c>
      <c r="P72" s="70" t="str">
        <f t="shared" si="12"/>
        <v/>
      </c>
      <c r="Q72" s="70" t="str">
        <f t="shared" si="13"/>
        <v/>
      </c>
      <c r="R72" s="89">
        <f t="shared" si="14"/>
        <v>0.21043956043956044</v>
      </c>
    </row>
    <row r="73" spans="1:18" x14ac:dyDescent="0.2">
      <c r="A73" s="81" t="s">
        <v>65</v>
      </c>
      <c r="B73" s="51">
        <v>9.1999999999999993</v>
      </c>
      <c r="C73">
        <v>-3</v>
      </c>
      <c r="D73" t="s">
        <v>227</v>
      </c>
      <c r="E73" t="s">
        <v>227</v>
      </c>
      <c r="F73">
        <v>2</v>
      </c>
      <c r="G73" s="72">
        <v>3.0999999999999996</v>
      </c>
      <c r="H73" s="56"/>
      <c r="I73" s="51">
        <v>17</v>
      </c>
      <c r="J73">
        <v>23</v>
      </c>
      <c r="K73" t="s">
        <v>227</v>
      </c>
      <c r="L73" s="52" t="s">
        <v>227</v>
      </c>
      <c r="N73" s="93">
        <f t="shared" si="10"/>
        <v>0.54117647058823526</v>
      </c>
      <c r="O73" s="70">
        <f t="shared" si="11"/>
        <v>-0.13043478260869565</v>
      </c>
      <c r="P73" s="70" t="str">
        <f t="shared" si="12"/>
        <v/>
      </c>
      <c r="Q73" s="70" t="str">
        <f t="shared" si="13"/>
        <v/>
      </c>
      <c r="R73" s="89">
        <f t="shared" si="14"/>
        <v>0.20537084398976979</v>
      </c>
    </row>
    <row r="74" spans="1:18" x14ac:dyDescent="0.2">
      <c r="A74" s="81" t="s">
        <v>168</v>
      </c>
      <c r="B74" s="51" t="s">
        <v>227</v>
      </c>
      <c r="C74" t="s">
        <v>227</v>
      </c>
      <c r="D74">
        <v>2.2000000000000002</v>
      </c>
      <c r="E74" t="s">
        <v>227</v>
      </c>
      <c r="F74">
        <v>1</v>
      </c>
      <c r="G74" s="72">
        <v>2.2000000000000002</v>
      </c>
      <c r="H74" s="56"/>
      <c r="I74" s="51" t="s">
        <v>227</v>
      </c>
      <c r="J74" t="s">
        <v>227</v>
      </c>
      <c r="K74">
        <v>11</v>
      </c>
      <c r="L74" s="52" t="s">
        <v>227</v>
      </c>
      <c r="N74" s="93" t="str">
        <f t="shared" si="10"/>
        <v/>
      </c>
      <c r="O74" s="70" t="str">
        <f t="shared" si="11"/>
        <v/>
      </c>
      <c r="P74" s="70">
        <f t="shared" si="12"/>
        <v>0.2</v>
      </c>
      <c r="Q74" s="70" t="str">
        <f t="shared" si="13"/>
        <v/>
      </c>
      <c r="R74" s="89">
        <f t="shared" si="14"/>
        <v>0.2</v>
      </c>
    </row>
    <row r="75" spans="1:18" x14ac:dyDescent="0.2">
      <c r="A75" s="81" t="s">
        <v>64</v>
      </c>
      <c r="B75" s="51" t="s">
        <v>227</v>
      </c>
      <c r="C75">
        <v>4.5999999999999996</v>
      </c>
      <c r="D75" t="s">
        <v>227</v>
      </c>
      <c r="E75" t="s">
        <v>227</v>
      </c>
      <c r="F75">
        <v>1</v>
      </c>
      <c r="G75" s="72">
        <v>4.5999999999999996</v>
      </c>
      <c r="H75" s="56"/>
      <c r="I75" s="51" t="s">
        <v>227</v>
      </c>
      <c r="J75">
        <v>23</v>
      </c>
      <c r="K75" t="s">
        <v>227</v>
      </c>
      <c r="L75" s="52" t="s">
        <v>227</v>
      </c>
      <c r="N75" s="93" t="str">
        <f t="shared" si="10"/>
        <v/>
      </c>
      <c r="O75" s="70">
        <f t="shared" si="11"/>
        <v>0.19999999999999998</v>
      </c>
      <c r="P75" s="70" t="str">
        <f t="shared" si="12"/>
        <v/>
      </c>
      <c r="Q75" s="70" t="str">
        <f t="shared" si="13"/>
        <v/>
      </c>
      <c r="R75" s="89">
        <f t="shared" si="14"/>
        <v>0.19999999999999998</v>
      </c>
    </row>
    <row r="76" spans="1:18" x14ac:dyDescent="0.2">
      <c r="A76" s="81" t="s">
        <v>172</v>
      </c>
      <c r="B76" s="51" t="s">
        <v>227</v>
      </c>
      <c r="C76" t="s">
        <v>227</v>
      </c>
      <c r="D76" t="s">
        <v>227</v>
      </c>
      <c r="E76">
        <v>2.6</v>
      </c>
      <c r="F76">
        <v>1</v>
      </c>
      <c r="G76" s="72">
        <v>2.6</v>
      </c>
      <c r="H76" s="56"/>
      <c r="I76" s="51" t="s">
        <v>227</v>
      </c>
      <c r="J76" t="s">
        <v>227</v>
      </c>
      <c r="K76" t="s">
        <v>227</v>
      </c>
      <c r="L76" s="52">
        <v>14</v>
      </c>
      <c r="N76" s="93" t="str">
        <f t="shared" si="10"/>
        <v/>
      </c>
      <c r="O76" s="70" t="str">
        <f t="shared" si="11"/>
        <v/>
      </c>
      <c r="P76" s="70" t="str">
        <f t="shared" si="12"/>
        <v/>
      </c>
      <c r="Q76" s="70">
        <f t="shared" si="13"/>
        <v>0.18571428571428572</v>
      </c>
      <c r="R76" s="89">
        <f t="shared" si="14"/>
        <v>0.18571428571428572</v>
      </c>
    </row>
    <row r="77" spans="1:18" x14ac:dyDescent="0.2">
      <c r="A77" s="81" t="s">
        <v>103</v>
      </c>
      <c r="B77" s="51" t="s">
        <v>227</v>
      </c>
      <c r="C77">
        <v>5.4</v>
      </c>
      <c r="D77" t="s">
        <v>227</v>
      </c>
      <c r="E77" t="s">
        <v>227</v>
      </c>
      <c r="F77">
        <v>1</v>
      </c>
      <c r="G77" s="72">
        <v>5.4</v>
      </c>
      <c r="H77" s="56"/>
      <c r="I77" s="51" t="s">
        <v>227</v>
      </c>
      <c r="J77">
        <v>33</v>
      </c>
      <c r="K77" t="s">
        <v>227</v>
      </c>
      <c r="L77" s="52" t="s">
        <v>227</v>
      </c>
      <c r="N77" s="93" t="str">
        <f t="shared" si="10"/>
        <v/>
      </c>
      <c r="O77" s="70">
        <f t="shared" si="11"/>
        <v>0.16363636363636364</v>
      </c>
      <c r="P77" s="70" t="str">
        <f t="shared" si="12"/>
        <v/>
      </c>
      <c r="Q77" s="70" t="str">
        <f t="shared" si="13"/>
        <v/>
      </c>
      <c r="R77" s="89">
        <f t="shared" si="14"/>
        <v>0.16363636363636364</v>
      </c>
    </row>
    <row r="78" spans="1:18" x14ac:dyDescent="0.2">
      <c r="A78" s="81" t="s">
        <v>42</v>
      </c>
      <c r="B78" s="51">
        <v>1</v>
      </c>
      <c r="C78">
        <v>4.5999999999999996</v>
      </c>
      <c r="D78" t="s">
        <v>227</v>
      </c>
      <c r="E78" t="s">
        <v>227</v>
      </c>
      <c r="F78">
        <v>2</v>
      </c>
      <c r="G78" s="72">
        <v>2.8</v>
      </c>
      <c r="H78" s="56"/>
      <c r="I78" s="51">
        <v>11</v>
      </c>
      <c r="J78">
        <v>21</v>
      </c>
      <c r="K78" t="s">
        <v>227</v>
      </c>
      <c r="L78" s="52" t="s">
        <v>227</v>
      </c>
      <c r="N78" s="93">
        <f t="shared" si="10"/>
        <v>9.0909090909090912E-2</v>
      </c>
      <c r="O78" s="70">
        <f t="shared" si="11"/>
        <v>0.21904761904761902</v>
      </c>
      <c r="P78" s="70" t="str">
        <f t="shared" si="12"/>
        <v/>
      </c>
      <c r="Q78" s="70" t="str">
        <f t="shared" si="13"/>
        <v/>
      </c>
      <c r="R78" s="89">
        <f t="shared" si="14"/>
        <v>0.15497835497835497</v>
      </c>
    </row>
    <row r="79" spans="1:18" x14ac:dyDescent="0.2">
      <c r="A79" s="81" t="s">
        <v>63</v>
      </c>
      <c r="B79" s="51" t="s">
        <v>227</v>
      </c>
      <c r="C79" t="s">
        <v>227</v>
      </c>
      <c r="D79">
        <v>4</v>
      </c>
      <c r="E79" t="s">
        <v>227</v>
      </c>
      <c r="F79">
        <v>1</v>
      </c>
      <c r="G79" s="72">
        <v>4</v>
      </c>
      <c r="H79" s="56"/>
      <c r="I79" s="51" t="s">
        <v>227</v>
      </c>
      <c r="J79" t="s">
        <v>227</v>
      </c>
      <c r="K79">
        <v>26</v>
      </c>
      <c r="L79" s="52" t="s">
        <v>227</v>
      </c>
      <c r="N79" s="93" t="str">
        <f t="shared" si="10"/>
        <v/>
      </c>
      <c r="O79" s="70" t="str">
        <f t="shared" si="11"/>
        <v/>
      </c>
      <c r="P79" s="70">
        <f t="shared" si="12"/>
        <v>0.15384615384615385</v>
      </c>
      <c r="Q79" s="70" t="str">
        <f t="shared" si="13"/>
        <v/>
      </c>
      <c r="R79" s="89">
        <f t="shared" si="14"/>
        <v>0.15384615384615385</v>
      </c>
    </row>
    <row r="80" spans="1:18" x14ac:dyDescent="0.2">
      <c r="A80" s="81" t="s">
        <v>71</v>
      </c>
      <c r="B80" s="51" t="s">
        <v>227</v>
      </c>
      <c r="C80">
        <v>1.2</v>
      </c>
      <c r="D80" t="s">
        <v>227</v>
      </c>
      <c r="E80">
        <v>2.4</v>
      </c>
      <c r="F80">
        <v>2</v>
      </c>
      <c r="G80" s="72">
        <v>1.7999999999999998</v>
      </c>
      <c r="H80" s="56"/>
      <c r="I80" s="51" t="s">
        <v>227</v>
      </c>
      <c r="J80">
        <v>14</v>
      </c>
      <c r="K80" t="s">
        <v>227</v>
      </c>
      <c r="L80" s="52">
        <v>11</v>
      </c>
      <c r="N80" s="93" t="str">
        <f t="shared" si="10"/>
        <v/>
      </c>
      <c r="O80" s="70">
        <f t="shared" si="11"/>
        <v>8.5714285714285715E-2</v>
      </c>
      <c r="P80" s="70" t="str">
        <f t="shared" si="12"/>
        <v/>
      </c>
      <c r="Q80" s="70">
        <f t="shared" si="13"/>
        <v>0.21818181818181817</v>
      </c>
      <c r="R80" s="89">
        <f t="shared" si="14"/>
        <v>0.15194805194805194</v>
      </c>
    </row>
    <row r="81" spans="1:18" x14ac:dyDescent="0.2">
      <c r="A81" s="81" t="s">
        <v>53</v>
      </c>
      <c r="B81" s="51" t="s">
        <v>227</v>
      </c>
      <c r="C81">
        <v>1</v>
      </c>
      <c r="D81">
        <v>4</v>
      </c>
      <c r="E81" t="s">
        <v>227</v>
      </c>
      <c r="F81">
        <v>2</v>
      </c>
      <c r="G81" s="72">
        <v>2.5</v>
      </c>
      <c r="H81" s="56"/>
      <c r="I81" s="51" t="s">
        <v>227</v>
      </c>
      <c r="J81">
        <v>16</v>
      </c>
      <c r="K81">
        <v>17</v>
      </c>
      <c r="L81" s="52" t="s">
        <v>227</v>
      </c>
      <c r="N81" s="93" t="str">
        <f t="shared" si="10"/>
        <v/>
      </c>
      <c r="O81" s="70">
        <f t="shared" si="11"/>
        <v>6.25E-2</v>
      </c>
      <c r="P81" s="70">
        <f t="shared" si="12"/>
        <v>0.23529411764705882</v>
      </c>
      <c r="Q81" s="70" t="str">
        <f t="shared" si="13"/>
        <v/>
      </c>
      <c r="R81" s="89">
        <f t="shared" si="14"/>
        <v>0.14889705882352941</v>
      </c>
    </row>
    <row r="82" spans="1:18" x14ac:dyDescent="0.2">
      <c r="A82" s="81" t="s">
        <v>179</v>
      </c>
      <c r="B82" s="51" t="s">
        <v>227</v>
      </c>
      <c r="C82" t="s">
        <v>227</v>
      </c>
      <c r="D82" t="s">
        <v>227</v>
      </c>
      <c r="E82">
        <v>10.8</v>
      </c>
      <c r="F82">
        <v>1</v>
      </c>
      <c r="G82" s="72">
        <v>10.8</v>
      </c>
      <c r="H82" s="56"/>
      <c r="I82" s="51" t="s">
        <v>227</v>
      </c>
      <c r="J82" t="s">
        <v>227</v>
      </c>
      <c r="K82" t="s">
        <v>227</v>
      </c>
      <c r="L82" s="52">
        <v>75</v>
      </c>
      <c r="N82" s="93" t="str">
        <f t="shared" si="10"/>
        <v/>
      </c>
      <c r="O82" s="70" t="str">
        <f t="shared" si="11"/>
        <v/>
      </c>
      <c r="P82" s="70" t="str">
        <f t="shared" si="12"/>
        <v/>
      </c>
      <c r="Q82" s="70">
        <f t="shared" si="13"/>
        <v>0.14400000000000002</v>
      </c>
      <c r="R82" s="89">
        <f t="shared" si="14"/>
        <v>0.14400000000000002</v>
      </c>
    </row>
    <row r="83" spans="1:18" x14ac:dyDescent="0.2">
      <c r="A83" s="81" t="s">
        <v>77</v>
      </c>
      <c r="B83" s="51">
        <v>6.4</v>
      </c>
      <c r="C83" t="s">
        <v>227</v>
      </c>
      <c r="D83">
        <v>2.6</v>
      </c>
      <c r="E83">
        <v>4</v>
      </c>
      <c r="F83">
        <v>3</v>
      </c>
      <c r="G83" s="72">
        <v>4.333333333333333</v>
      </c>
      <c r="H83" s="56"/>
      <c r="I83" s="51">
        <v>40</v>
      </c>
      <c r="J83" t="s">
        <v>227</v>
      </c>
      <c r="K83">
        <v>24</v>
      </c>
      <c r="L83" s="52">
        <v>27</v>
      </c>
      <c r="N83" s="93">
        <f t="shared" si="10"/>
        <v>0.16</v>
      </c>
      <c r="O83" s="70" t="str">
        <f t="shared" si="11"/>
        <v/>
      </c>
      <c r="P83" s="70">
        <f t="shared" si="12"/>
        <v>0.10833333333333334</v>
      </c>
      <c r="Q83" s="70">
        <f t="shared" si="13"/>
        <v>0.14814814814814814</v>
      </c>
      <c r="R83" s="89">
        <f t="shared" si="14"/>
        <v>0.13882716049382715</v>
      </c>
    </row>
    <row r="84" spans="1:18" x14ac:dyDescent="0.2">
      <c r="A84" s="81" t="s">
        <v>159</v>
      </c>
      <c r="B84" s="51">
        <v>1.8</v>
      </c>
      <c r="C84" t="s">
        <v>227</v>
      </c>
      <c r="D84" t="s">
        <v>227</v>
      </c>
      <c r="E84" t="s">
        <v>227</v>
      </c>
      <c r="F84">
        <v>1</v>
      </c>
      <c r="G84" s="72">
        <v>1.8</v>
      </c>
      <c r="H84" s="56"/>
      <c r="I84" s="51">
        <v>13</v>
      </c>
      <c r="J84" t="s">
        <v>227</v>
      </c>
      <c r="K84" t="s">
        <v>227</v>
      </c>
      <c r="L84" s="52" t="s">
        <v>227</v>
      </c>
      <c r="N84" s="93">
        <f t="shared" si="10"/>
        <v>0.13846153846153847</v>
      </c>
      <c r="O84" s="70" t="str">
        <f t="shared" si="11"/>
        <v/>
      </c>
      <c r="P84" s="70" t="str">
        <f t="shared" si="12"/>
        <v/>
      </c>
      <c r="Q84" s="70" t="str">
        <f t="shared" si="13"/>
        <v/>
      </c>
      <c r="R84" s="89">
        <f t="shared" si="14"/>
        <v>0.13846153846153847</v>
      </c>
    </row>
    <row r="85" spans="1:18" x14ac:dyDescent="0.2">
      <c r="A85" s="81" t="s">
        <v>184</v>
      </c>
      <c r="B85" s="51" t="s">
        <v>227</v>
      </c>
      <c r="C85" t="s">
        <v>227</v>
      </c>
      <c r="D85" t="s">
        <v>227</v>
      </c>
      <c r="E85">
        <v>4</v>
      </c>
      <c r="F85">
        <v>1</v>
      </c>
      <c r="G85" s="72">
        <v>4</v>
      </c>
      <c r="H85" s="56"/>
      <c r="I85" s="51" t="s">
        <v>227</v>
      </c>
      <c r="J85" t="s">
        <v>227</v>
      </c>
      <c r="K85" t="s">
        <v>227</v>
      </c>
      <c r="L85" s="52">
        <v>32</v>
      </c>
      <c r="N85" s="93" t="str">
        <f t="shared" si="10"/>
        <v/>
      </c>
      <c r="O85" s="70" t="str">
        <f t="shared" si="11"/>
        <v/>
      </c>
      <c r="P85" s="70" t="str">
        <f t="shared" si="12"/>
        <v/>
      </c>
      <c r="Q85" s="70">
        <f t="shared" si="13"/>
        <v>0.125</v>
      </c>
      <c r="R85" s="89">
        <f t="shared" si="14"/>
        <v>0.125</v>
      </c>
    </row>
    <row r="86" spans="1:18" x14ac:dyDescent="0.2">
      <c r="A86" s="81" t="s">
        <v>97</v>
      </c>
      <c r="B86" s="51">
        <v>1</v>
      </c>
      <c r="C86">
        <v>3.6</v>
      </c>
      <c r="D86">
        <v>4.2</v>
      </c>
      <c r="E86">
        <v>1</v>
      </c>
      <c r="F86">
        <v>4</v>
      </c>
      <c r="G86" s="72">
        <v>2.4500000000000002</v>
      </c>
      <c r="H86" s="56"/>
      <c r="I86" s="51">
        <v>19</v>
      </c>
      <c r="J86">
        <v>31</v>
      </c>
      <c r="K86">
        <v>16</v>
      </c>
      <c r="L86" s="52">
        <v>15</v>
      </c>
      <c r="N86" s="93">
        <f t="shared" si="10"/>
        <v>5.2631578947368418E-2</v>
      </c>
      <c r="O86" s="70">
        <f t="shared" si="11"/>
        <v>0.11612903225806452</v>
      </c>
      <c r="P86" s="70">
        <f t="shared" si="12"/>
        <v>0.26250000000000001</v>
      </c>
      <c r="Q86" s="70">
        <f t="shared" si="13"/>
        <v>6.6666666666666666E-2</v>
      </c>
      <c r="R86" s="89">
        <f t="shared" si="14"/>
        <v>0.1244818194680249</v>
      </c>
    </row>
    <row r="87" spans="1:18" x14ac:dyDescent="0.2">
      <c r="A87" s="81" t="s">
        <v>173</v>
      </c>
      <c r="B87" s="51" t="s">
        <v>227</v>
      </c>
      <c r="C87" t="s">
        <v>227</v>
      </c>
      <c r="D87" t="s">
        <v>227</v>
      </c>
      <c r="E87">
        <v>0.60000000000000009</v>
      </c>
      <c r="F87">
        <v>1</v>
      </c>
      <c r="G87" s="72">
        <v>0.60000000000000009</v>
      </c>
      <c r="H87" s="56"/>
      <c r="I87" s="51" t="s">
        <v>227</v>
      </c>
      <c r="J87" t="s">
        <v>227</v>
      </c>
      <c r="K87" t="s">
        <v>227</v>
      </c>
      <c r="L87" s="52">
        <v>5</v>
      </c>
      <c r="N87" s="93" t="str">
        <f t="shared" si="10"/>
        <v/>
      </c>
      <c r="O87" s="70" t="str">
        <f t="shared" si="11"/>
        <v/>
      </c>
      <c r="P87" s="70" t="str">
        <f t="shared" si="12"/>
        <v/>
      </c>
      <c r="Q87" s="70">
        <f t="shared" si="13"/>
        <v>0.12000000000000002</v>
      </c>
      <c r="R87" s="89">
        <f t="shared" si="14"/>
        <v>0.12000000000000002</v>
      </c>
    </row>
    <row r="88" spans="1:18" x14ac:dyDescent="0.2">
      <c r="A88" s="81" t="s">
        <v>164</v>
      </c>
      <c r="B88" s="51" t="s">
        <v>227</v>
      </c>
      <c r="C88" t="s">
        <v>227</v>
      </c>
      <c r="D88" t="s">
        <v>227</v>
      </c>
      <c r="E88">
        <v>4</v>
      </c>
      <c r="F88">
        <v>1</v>
      </c>
      <c r="G88" s="72">
        <v>4</v>
      </c>
      <c r="H88" s="56"/>
      <c r="I88" s="51" t="s">
        <v>227</v>
      </c>
      <c r="J88" t="s">
        <v>227</v>
      </c>
      <c r="K88" t="s">
        <v>227</v>
      </c>
      <c r="L88" s="52">
        <v>35</v>
      </c>
      <c r="N88" s="93" t="str">
        <f t="shared" si="10"/>
        <v/>
      </c>
      <c r="O88" s="70" t="str">
        <f t="shared" si="11"/>
        <v/>
      </c>
      <c r="P88" s="70" t="str">
        <f t="shared" si="12"/>
        <v/>
      </c>
      <c r="Q88" s="70">
        <f t="shared" si="13"/>
        <v>0.11428571428571428</v>
      </c>
      <c r="R88" s="89">
        <f t="shared" si="14"/>
        <v>0.11428571428571428</v>
      </c>
    </row>
    <row r="89" spans="1:18" x14ac:dyDescent="0.2">
      <c r="A89" s="81" t="s">
        <v>187</v>
      </c>
      <c r="B89" s="51">
        <v>2.4000000000000004</v>
      </c>
      <c r="C89" t="s">
        <v>227</v>
      </c>
      <c r="D89" t="s">
        <v>227</v>
      </c>
      <c r="E89" t="s">
        <v>227</v>
      </c>
      <c r="F89">
        <v>1</v>
      </c>
      <c r="G89" s="72">
        <v>2.4000000000000004</v>
      </c>
      <c r="H89" s="56"/>
      <c r="I89" s="51">
        <v>24</v>
      </c>
      <c r="J89" t="s">
        <v>227</v>
      </c>
      <c r="K89" t="s">
        <v>227</v>
      </c>
      <c r="L89" s="52" t="s">
        <v>227</v>
      </c>
      <c r="N89" s="93">
        <f t="shared" si="10"/>
        <v>0.10000000000000002</v>
      </c>
      <c r="O89" s="70" t="str">
        <f t="shared" si="11"/>
        <v/>
      </c>
      <c r="P89" s="70" t="str">
        <f t="shared" si="12"/>
        <v/>
      </c>
      <c r="Q89" s="70" t="str">
        <f t="shared" si="13"/>
        <v/>
      </c>
      <c r="R89" s="89">
        <f t="shared" si="14"/>
        <v>0.10000000000000002</v>
      </c>
    </row>
    <row r="90" spans="1:18" x14ac:dyDescent="0.2">
      <c r="A90" s="81" t="s">
        <v>66</v>
      </c>
      <c r="B90" s="51" t="s">
        <v>227</v>
      </c>
      <c r="C90" t="s">
        <v>227</v>
      </c>
      <c r="D90" t="s">
        <v>227</v>
      </c>
      <c r="E90">
        <v>2</v>
      </c>
      <c r="F90">
        <v>1</v>
      </c>
      <c r="G90" s="72">
        <v>2</v>
      </c>
      <c r="H90" s="56"/>
      <c r="I90" s="51" t="s">
        <v>227</v>
      </c>
      <c r="J90" t="s">
        <v>227</v>
      </c>
      <c r="K90" t="s">
        <v>227</v>
      </c>
      <c r="L90" s="52">
        <v>26</v>
      </c>
      <c r="N90" s="93" t="str">
        <f t="shared" si="10"/>
        <v/>
      </c>
      <c r="O90" s="70" t="str">
        <f t="shared" si="11"/>
        <v/>
      </c>
      <c r="P90" s="70" t="str">
        <f t="shared" si="12"/>
        <v/>
      </c>
      <c r="Q90" s="70">
        <f t="shared" si="13"/>
        <v>7.6923076923076927E-2</v>
      </c>
      <c r="R90" s="89">
        <f t="shared" si="14"/>
        <v>7.6923076923076927E-2</v>
      </c>
    </row>
    <row r="91" spans="1:18" x14ac:dyDescent="0.2">
      <c r="A91" s="81" t="s">
        <v>62</v>
      </c>
      <c r="B91" s="51" t="s">
        <v>227</v>
      </c>
      <c r="C91" t="s">
        <v>227</v>
      </c>
      <c r="D91" t="s">
        <v>227</v>
      </c>
      <c r="E91">
        <v>1</v>
      </c>
      <c r="F91">
        <v>1</v>
      </c>
      <c r="G91" s="72">
        <v>1</v>
      </c>
      <c r="H91" s="56"/>
      <c r="I91" s="51" t="s">
        <v>227</v>
      </c>
      <c r="J91" t="s">
        <v>227</v>
      </c>
      <c r="K91" t="s">
        <v>227</v>
      </c>
      <c r="L91" s="52">
        <v>18</v>
      </c>
      <c r="N91" s="93" t="str">
        <f t="shared" si="10"/>
        <v/>
      </c>
      <c r="O91" s="70" t="str">
        <f t="shared" si="11"/>
        <v/>
      </c>
      <c r="P91" s="70" t="str">
        <f t="shared" si="12"/>
        <v/>
      </c>
      <c r="Q91" s="70">
        <f t="shared" si="13"/>
        <v>5.5555555555555552E-2</v>
      </c>
      <c r="R91" s="89">
        <f t="shared" si="14"/>
        <v>5.5555555555555552E-2</v>
      </c>
    </row>
    <row r="92" spans="1:18" x14ac:dyDescent="0.2">
      <c r="A92" s="81" t="s">
        <v>176</v>
      </c>
      <c r="B92" s="51" t="s">
        <v>227</v>
      </c>
      <c r="C92" t="s">
        <v>227</v>
      </c>
      <c r="D92" t="s">
        <v>227</v>
      </c>
      <c r="E92">
        <v>0.4</v>
      </c>
      <c r="F92">
        <v>1</v>
      </c>
      <c r="G92" s="72">
        <v>0.4</v>
      </c>
      <c r="H92" s="56"/>
      <c r="I92" s="51" t="s">
        <v>227</v>
      </c>
      <c r="J92" t="s">
        <v>227</v>
      </c>
      <c r="K92" t="s">
        <v>227</v>
      </c>
      <c r="L92" s="52">
        <v>11</v>
      </c>
      <c r="N92" s="93" t="str">
        <f t="shared" si="10"/>
        <v/>
      </c>
      <c r="O92" s="70" t="str">
        <f t="shared" si="11"/>
        <v/>
      </c>
      <c r="P92" s="70" t="str">
        <f t="shared" si="12"/>
        <v/>
      </c>
      <c r="Q92" s="70">
        <f t="shared" si="13"/>
        <v>3.6363636363636369E-2</v>
      </c>
      <c r="R92" s="89">
        <f t="shared" si="14"/>
        <v>3.6363636363636369E-2</v>
      </c>
    </row>
    <row r="93" spans="1:18" x14ac:dyDescent="0.2">
      <c r="A93" s="81" t="s">
        <v>149</v>
      </c>
      <c r="B93" s="51" t="s">
        <v>227</v>
      </c>
      <c r="C93" t="s">
        <v>227</v>
      </c>
      <c r="D93">
        <v>0</v>
      </c>
      <c r="E93" t="s">
        <v>227</v>
      </c>
      <c r="F93">
        <v>1</v>
      </c>
      <c r="G93" s="72">
        <v>0</v>
      </c>
      <c r="H93" s="56"/>
      <c r="I93" s="51" t="s">
        <v>227</v>
      </c>
      <c r="J93" t="s">
        <v>227</v>
      </c>
      <c r="K93">
        <v>8</v>
      </c>
      <c r="L93" s="52" t="s">
        <v>227</v>
      </c>
      <c r="N93" s="93" t="str">
        <f t="shared" si="10"/>
        <v/>
      </c>
      <c r="O93" s="70" t="str">
        <f t="shared" si="11"/>
        <v/>
      </c>
      <c r="P93" s="70">
        <f t="shared" si="12"/>
        <v>0</v>
      </c>
      <c r="Q93" s="70" t="str">
        <f t="shared" si="13"/>
        <v/>
      </c>
      <c r="R93" s="89">
        <f t="shared" si="14"/>
        <v>0</v>
      </c>
    </row>
    <row r="94" spans="1:18" ht="16" thickBot="1" x14ac:dyDescent="0.25">
      <c r="A94" s="82" t="s">
        <v>120</v>
      </c>
      <c r="B94" s="47" t="s">
        <v>227</v>
      </c>
      <c r="C94" s="48">
        <v>-1.2000000000000002</v>
      </c>
      <c r="D94" s="48" t="s">
        <v>227</v>
      </c>
      <c r="E94" s="48" t="s">
        <v>227</v>
      </c>
      <c r="F94" s="48">
        <v>1</v>
      </c>
      <c r="G94" s="73">
        <v>-1.2000000000000002</v>
      </c>
      <c r="H94" s="56"/>
      <c r="I94" s="47" t="s">
        <v>227</v>
      </c>
      <c r="J94" s="48">
        <v>21</v>
      </c>
      <c r="K94" s="48" t="s">
        <v>227</v>
      </c>
      <c r="L94" s="49" t="s">
        <v>227</v>
      </c>
      <c r="N94" s="94" t="str">
        <f t="shared" si="10"/>
        <v/>
      </c>
      <c r="O94" s="90">
        <f t="shared" si="11"/>
        <v>-5.7142857142857148E-2</v>
      </c>
      <c r="P94" s="90" t="str">
        <f t="shared" si="12"/>
        <v/>
      </c>
      <c r="Q94" s="90" t="str">
        <f t="shared" si="13"/>
        <v/>
      </c>
      <c r="R94" s="91">
        <f t="shared" si="14"/>
        <v>-5.7142857142857148E-2</v>
      </c>
    </row>
  </sheetData>
  <autoFilter ref="A3:R3" xr:uid="{CE5CDD59-8F9E-46A4-B4D2-60B24022DC15}">
    <sortState xmlns:xlrd2="http://schemas.microsoft.com/office/spreadsheetml/2017/richdata2" ref="A4:R94">
      <sortCondition descending="1" ref="R3"/>
    </sortState>
  </autoFilter>
  <mergeCells count="3">
    <mergeCell ref="B2:G2"/>
    <mergeCell ref="I2:L2"/>
    <mergeCell ref="N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 Data ----&gt;</vt:lpstr>
      <vt:lpstr>Round 1 Data</vt:lpstr>
      <vt:lpstr>Round 2 Data</vt:lpstr>
      <vt:lpstr>Round 3 Data</vt:lpstr>
      <vt:lpstr>Round 4 Data</vt:lpstr>
      <vt:lpstr>Summary Data</vt:lpstr>
      <vt:lpstr>Points -----&gt;</vt:lpstr>
      <vt:lpstr>Player List</vt:lpstr>
      <vt:lpstr>Round 1 Points</vt:lpstr>
      <vt:lpstr>Round 2 Points</vt:lpstr>
      <vt:lpstr>Round 3 Points</vt:lpstr>
      <vt:lpstr>Round 4 Points</vt:lpstr>
      <vt:lpstr>Summary Points</vt:lpstr>
      <vt:lpstr>Supersub Workings</vt:lpstr>
      <vt:lpstr>Supersub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2023-03-18T03:21:35Z</dcterms:created>
  <dcterms:modified xsi:type="dcterms:W3CDTF">2025-06-06T21:13:48Z</dcterms:modified>
</cp:coreProperties>
</file>