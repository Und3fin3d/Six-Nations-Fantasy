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818" firstSheet="0" activeTab="8" autoFilterDateGrouping="1"/>
  </bookViews>
  <sheets>
    <sheet xmlns:r="http://schemas.openxmlformats.org/officeDocument/2006/relationships" name="Raw Data ----&gt;" sheetId="1" state="visible" r:id="rId1"/>
    <sheet xmlns:r="http://schemas.openxmlformats.org/officeDocument/2006/relationships" name="Round 1 Data" sheetId="2" state="visible" r:id="rId2"/>
    <sheet xmlns:r="http://schemas.openxmlformats.org/officeDocument/2006/relationships" name="Round 2 Data" sheetId="3" state="visible" r:id="rId3"/>
    <sheet xmlns:r="http://schemas.openxmlformats.org/officeDocument/2006/relationships" name="Round 3 Data" sheetId="4" state="visible" r:id="rId4"/>
    <sheet xmlns:r="http://schemas.openxmlformats.org/officeDocument/2006/relationships" name="Round 4 Data" sheetId="5" state="visible" r:id="rId5"/>
    <sheet xmlns:r="http://schemas.openxmlformats.org/officeDocument/2006/relationships" name="Summary Data" sheetId="6" state="visible" r:id="rId6"/>
    <sheet xmlns:r="http://schemas.openxmlformats.org/officeDocument/2006/relationships" name="Points -----&gt;" sheetId="7" state="visible" r:id="rId7"/>
    <sheet xmlns:r="http://schemas.openxmlformats.org/officeDocument/2006/relationships" name="Player List" sheetId="8" state="hidden" r:id="rId8"/>
    <sheet xmlns:r="http://schemas.openxmlformats.org/officeDocument/2006/relationships" name="Round 1 Points" sheetId="9" state="visible" r:id="rId9"/>
    <sheet xmlns:r="http://schemas.openxmlformats.org/officeDocument/2006/relationships" name="Round 2 Points" sheetId="10" state="visible" r:id="rId10"/>
    <sheet xmlns:r="http://schemas.openxmlformats.org/officeDocument/2006/relationships" name="Round 3 Points" sheetId="11" state="visible" r:id="rId11"/>
    <sheet xmlns:r="http://schemas.openxmlformats.org/officeDocument/2006/relationships" name="Round 4 Points" sheetId="12" state="visible" r:id="rId12"/>
    <sheet xmlns:r="http://schemas.openxmlformats.org/officeDocument/2006/relationships" name="Summary Points" sheetId="13" state="visible" r:id="rId13"/>
    <sheet xmlns:r="http://schemas.openxmlformats.org/officeDocument/2006/relationships" name="Supersub Workings" sheetId="14" state="hidden" r:id="rId14"/>
    <sheet xmlns:r="http://schemas.openxmlformats.org/officeDocument/2006/relationships" name="Supersub Analysis" sheetId="15" state="visible" r:id="rId15"/>
  </sheets>
  <definedNames>
    <definedName name="_xlnm._FilterDatabase" localSheetId="7" hidden="1">'Player List'!$A$1:$B$1</definedName>
    <definedName name="_xlnm._FilterDatabase" localSheetId="8" hidden="1">'Round 1 Points'!$A$9:$Z$144</definedName>
    <definedName name="_xlnm._FilterDatabase" localSheetId="9" hidden="1">'Round 2 Points'!$A$9:$Z$146</definedName>
    <definedName name="_xlnm._FilterDatabase" localSheetId="10" hidden="1">'Round 3 Points'!$A$9:$W$145</definedName>
    <definedName name="_xlnm._FilterDatabase" localSheetId="11" hidden="1">'Round 4 Points'!$A$9:$W$147</definedName>
    <definedName name="_xlnm._FilterDatabase" localSheetId="13" hidden="1">'Supersub Workings'!$N$3:$T$158</definedName>
    <definedName name="_xlnm._FilterDatabase" localSheetId="14" hidden="1">'Supersub Analysis'!$A$3:$R$3</definedName>
  </definedNames>
  <calcPr calcId="191029" fullCalcOnLoad="1" calcOnSave="0" concurrentCalc="0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Arial"/>
      <family val="2"/>
      <color rgb="FF000000"/>
      <sz val="7"/>
    </font>
    <font>
      <name val="Arial"/>
      <family val="2"/>
      <color rgb="FF000000"/>
      <sz val="7"/>
    </font>
    <font>
      <name val="Calibri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4E4E4"/>
        <bgColor indexed="64"/>
      </patternFill>
    </fill>
  </fills>
  <borders count="43">
    <border>
      <left/>
      <right/>
      <top/>
      <bottom/>
      <diagonal/>
    </border>
    <border>
      <left style="thick">
        <color rgb="FFF2DA3D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E4E4E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F2DA3D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medium">
        <color rgb="FFE4E4E4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thick">
        <color rgb="FFFF6C00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FF6C00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thick">
        <color rgb="FF18E729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18E729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thick">
        <color rgb="FF1FA000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1FA000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thick">
        <color rgb="FF62AE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62AEFF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thick">
        <color rgb="FF0F55C9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0F55C9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thick">
        <color rgb="FF2D99FD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thick">
        <color rgb="FF2D99FD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78CCF8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thick">
        <color rgb="FF78CCF8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rgb="FFF2DA3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E4E4E4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medium">
        <color indexed="64"/>
      </left>
      <right style="medium">
        <color rgb="FFE4E4E4"/>
      </right>
      <top style="medium">
        <color rgb="FFE4E4E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/>
      <top style="medium">
        <color rgb="FFE4E4E4"/>
      </top>
      <bottom style="medium">
        <color rgb="FFE4E4E4"/>
      </bottom>
      <diagonal/>
    </border>
    <border>
      <left style="medium">
        <color indexed="64"/>
      </left>
      <right/>
      <top style="medium">
        <color rgb="FFFFFFFF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1" fillId="0" borderId="0"/>
    <xf numFmtId="0" fontId="1" fillId="0" borderId="0"/>
  </cellStyleXfs>
  <cellXfs count="107">
    <xf numFmtId="0" fontId="0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left" vertical="center"/>
    </xf>
    <xf numFmtId="0" fontId="4" fillId="2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3" borderId="7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4" fillId="2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4" fillId="2" borderId="12" applyAlignment="1" pivotButton="0" quotePrefix="0" xfId="0">
      <alignment horizontal="left" vertical="center"/>
    </xf>
    <xf numFmtId="0" fontId="4" fillId="3" borderId="13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4" fillId="2" borderId="15" applyAlignment="1" pivotButton="0" quotePrefix="0" xfId="0">
      <alignment horizontal="left" vertical="center"/>
    </xf>
    <xf numFmtId="0" fontId="4" fillId="3" borderId="16" applyAlignment="1" pivotButton="0" quotePrefix="0" xfId="0">
      <alignment horizontal="left" vertical="center"/>
    </xf>
    <xf numFmtId="0" fontId="4" fillId="2" borderId="17" applyAlignment="1" pivotButton="0" quotePrefix="0" xfId="0">
      <alignment horizontal="left" vertical="center"/>
    </xf>
    <xf numFmtId="0" fontId="4" fillId="3" borderId="18" applyAlignment="1" pivotButton="0" quotePrefix="0" xfId="0">
      <alignment horizontal="left" vertical="center"/>
    </xf>
    <xf numFmtId="0" fontId="4" fillId="2" borderId="18" applyAlignment="1" pivotButton="0" quotePrefix="0" xfId="0">
      <alignment horizontal="left" vertical="center"/>
    </xf>
    <xf numFmtId="0" fontId="4" fillId="3" borderId="6" applyAlignment="1" pivotButton="0" quotePrefix="0" xfId="0">
      <alignment horizontal="left" vertical="center"/>
    </xf>
    <xf numFmtId="0" fontId="4" fillId="3" borderId="15" applyAlignment="1" pivotButton="0" quotePrefix="0" xfId="0">
      <alignment horizontal="left" vertical="center"/>
    </xf>
    <xf numFmtId="0" fontId="4" fillId="2" borderId="11" applyAlignment="1" pivotButton="0" quotePrefix="0" xfId="0">
      <alignment horizontal="left" vertical="center"/>
    </xf>
    <xf numFmtId="0" fontId="4" fillId="3" borderId="10" applyAlignment="1" pivotButton="0" quotePrefix="0" xfId="0">
      <alignment horizontal="left" vertical="center"/>
    </xf>
    <xf numFmtId="0" fontId="4" fillId="3" borderId="12" applyAlignment="1" pivotButton="0" quotePrefix="0" xfId="0">
      <alignment horizontal="left" vertical="center"/>
    </xf>
    <xf numFmtId="0" fontId="4" fillId="3" borderId="14" applyAlignment="1" pivotButton="0" quotePrefix="0" xfId="0">
      <alignment horizontal="left" vertical="center"/>
    </xf>
    <xf numFmtId="0" fontId="4" fillId="2" borderId="7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/>
    </xf>
    <xf numFmtId="0" fontId="4" fillId="3" borderId="3" applyAlignment="1" pivotButton="0" quotePrefix="0" xfId="0">
      <alignment horizontal="left" vertical="center"/>
    </xf>
    <xf numFmtId="0" fontId="4" fillId="3" borderId="8" applyAlignment="1" pivotButton="0" quotePrefix="0" xfId="0">
      <alignment horizontal="left" vertical="center"/>
    </xf>
    <xf numFmtId="0" fontId="4" fillId="2" borderId="16" applyAlignment="1" pivotButton="0" quotePrefix="0" xfId="0">
      <alignment horizontal="left" vertical="center"/>
    </xf>
    <xf numFmtId="0" fontId="4" fillId="2" borderId="5" applyAlignment="1" pivotButton="0" quotePrefix="0" xfId="0">
      <alignment horizontal="left" vertical="center"/>
    </xf>
    <xf numFmtId="0" fontId="4" fillId="3" borderId="19" applyAlignment="1" pivotButton="0" quotePrefix="0" xfId="0">
      <alignment horizontal="left" vertical="center"/>
    </xf>
    <xf numFmtId="0" fontId="6" fillId="0" borderId="0" applyAlignment="1" pivotButton="0" quotePrefix="0" xfId="1">
      <alignment horizontal="center" vertical="top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6" fillId="0" borderId="22" applyAlignment="1" pivotButton="0" quotePrefix="0" xfId="1">
      <alignment horizontal="center" vertical="top" wrapText="1"/>
    </xf>
    <xf numFmtId="0" fontId="6" fillId="0" borderId="23" applyAlignment="1" pivotButton="0" quotePrefix="0" xfId="1">
      <alignment horizontal="center" vertical="top" wrapText="1"/>
    </xf>
    <xf numFmtId="0" fontId="0" fillId="0" borderId="24" pivotButton="0" quotePrefix="0" xfId="0"/>
    <xf numFmtId="0" fontId="0" fillId="0" borderId="25" pivotButton="0" quotePrefix="0" xfId="0"/>
    <xf numFmtId="0" fontId="6" fillId="0" borderId="25" applyAlignment="1" pivotButton="0" quotePrefix="0" xfId="1">
      <alignment horizontal="center" vertical="top" wrapText="1"/>
    </xf>
    <xf numFmtId="0" fontId="6" fillId="0" borderId="26" applyAlignment="1" pivotButton="0" quotePrefix="0" xfId="1">
      <alignment horizontal="center" vertical="top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26" pivotButton="0" quotePrefix="0" xfId="0"/>
    <xf numFmtId="0" fontId="0" fillId="0" borderId="30" pivotButton="0" quotePrefix="0" xfId="0"/>
    <xf numFmtId="0" fontId="0" fillId="0" borderId="31" pivotButton="0" quotePrefix="0" xfId="0"/>
    <xf numFmtId="0" fontId="4" fillId="3" borderId="32" applyAlignment="1" pivotButton="0" quotePrefix="0" xfId="0">
      <alignment horizontal="left" vertical="center"/>
    </xf>
    <xf numFmtId="0" fontId="4" fillId="3" borderId="33" applyAlignment="1" pivotButton="0" quotePrefix="0" xfId="0">
      <alignment horizontal="center" vertical="center" wrapText="1"/>
    </xf>
    <xf numFmtId="0" fontId="5" fillId="3" borderId="33" applyAlignment="1" pivotButton="0" quotePrefix="0" xfId="0">
      <alignment horizontal="center" vertical="center" wrapText="1"/>
    </xf>
    <xf numFmtId="164" fontId="0" fillId="0" borderId="0" pivotButton="0" quotePrefix="0" xfId="0"/>
    <xf numFmtId="1" fontId="0" fillId="0" borderId="0" pivotButton="0" quotePrefix="0" xfId="0"/>
    <xf numFmtId="0" fontId="0" fillId="0" borderId="21" applyAlignment="1" pivotButton="0" quotePrefix="0" xfId="0">
      <alignment horizontal="center" wrapText="1"/>
    </xf>
    <xf numFmtId="0" fontId="0" fillId="0" borderId="23" pivotButton="0" quotePrefix="0" xfId="0"/>
    <xf numFmtId="0" fontId="6" fillId="0" borderId="20" applyAlignment="1" pivotButton="0" quotePrefix="0" xfId="1">
      <alignment horizontal="center" vertical="top" wrapText="1"/>
    </xf>
    <xf numFmtId="0" fontId="4" fillId="3" borderId="34" applyAlignment="1" pivotButton="0" quotePrefix="0" xfId="0">
      <alignment horizontal="left" vertical="center"/>
    </xf>
    <xf numFmtId="1" fontId="0" fillId="0" borderId="31" pivotButton="0" quotePrefix="0" xfId="0"/>
    <xf numFmtId="0" fontId="4" fillId="2" borderId="35" applyAlignment="1" pivotButton="0" quotePrefix="0" xfId="0">
      <alignment horizontal="left" vertical="center"/>
    </xf>
    <xf numFmtId="0" fontId="4" fillId="3" borderId="35" applyAlignment="1" pivotButton="0" quotePrefix="0" xfId="0">
      <alignment horizontal="left" vertical="center"/>
    </xf>
    <xf numFmtId="0" fontId="4" fillId="2" borderId="34" applyAlignment="1" pivotButton="0" quotePrefix="0" xfId="0">
      <alignment horizontal="left" vertical="center"/>
    </xf>
    <xf numFmtId="0" fontId="4" fillId="3" borderId="36" applyAlignment="1" pivotButton="0" quotePrefix="0" xfId="0">
      <alignment horizontal="left" vertical="center"/>
    </xf>
    <xf numFmtId="1" fontId="0" fillId="0" borderId="28" pivotButton="0" quotePrefix="0" xfId="0"/>
    <xf numFmtId="1" fontId="0" fillId="0" borderId="29" pivotButton="0" quotePrefix="0" xfId="0"/>
    <xf numFmtId="0" fontId="4" fillId="3" borderId="37" applyAlignment="1" pivotButton="0" quotePrefix="0" xfId="0">
      <alignment horizontal="left" vertical="center"/>
    </xf>
    <xf numFmtId="2" fontId="0" fillId="0" borderId="0" pivotButton="0" quotePrefix="0" xfId="0"/>
    <xf numFmtId="0" fontId="6" fillId="0" borderId="21" applyAlignment="1" pivotButton="0" quotePrefix="0" xfId="1">
      <alignment horizontal="center" vertical="top" wrapText="1"/>
    </xf>
    <xf numFmtId="164" fontId="0" fillId="0" borderId="31" pivotButton="0" quotePrefix="0" xfId="0"/>
    <xf numFmtId="164" fontId="0" fillId="0" borderId="29" pivotButton="0" quotePrefix="0" xfId="0"/>
    <xf numFmtId="0" fontId="5" fillId="0" borderId="28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left" vertical="center"/>
    </xf>
    <xf numFmtId="0" fontId="4" fillId="0" borderId="38" applyAlignment="1" pivotButton="0" quotePrefix="0" xfId="0">
      <alignment horizontal="left" vertical="center"/>
    </xf>
    <xf numFmtId="0" fontId="4" fillId="0" borderId="39" applyAlignment="1" pivotButton="0" quotePrefix="0" xfId="0">
      <alignment horizontal="left" vertical="center"/>
    </xf>
    <xf numFmtId="0" fontId="4" fillId="0" borderId="40" applyAlignment="1" pivotButton="0" quotePrefix="0" xfId="0">
      <alignment horizontal="left" vertical="center"/>
    </xf>
    <xf numFmtId="0" fontId="4" fillId="0" borderId="28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left" vertical="center"/>
    </xf>
    <xf numFmtId="0" fontId="4" fillId="0" borderId="30" applyAlignment="1" pivotButton="0" quotePrefix="0" xfId="0">
      <alignment horizontal="left" vertical="center"/>
    </xf>
    <xf numFmtId="0" fontId="4" fillId="0" borderId="27" applyAlignment="1" pivotButton="0" quotePrefix="0" xfId="0">
      <alignment horizontal="left" vertical="center"/>
    </xf>
    <xf numFmtId="0" fontId="4" fillId="0" borderId="21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30" pivotButton="0" quotePrefix="0" xfId="0"/>
    <xf numFmtId="0" fontId="2" fillId="0" borderId="31" pivotButton="0" quotePrefix="0" xfId="0"/>
    <xf numFmtId="0" fontId="2" fillId="0" borderId="31" applyAlignment="1" pivotButton="0" quotePrefix="0" xfId="0">
      <alignment wrapText="1"/>
    </xf>
    <xf numFmtId="2" fontId="0" fillId="0" borderId="31" pivotButton="0" quotePrefix="0" xfId="0"/>
    <xf numFmtId="2" fontId="0" fillId="0" borderId="28" pivotButton="0" quotePrefix="0" xfId="0"/>
    <xf numFmtId="2" fontId="0" fillId="0" borderId="29" pivotButton="0" quotePrefix="0" xfId="0"/>
    <xf numFmtId="0" fontId="2" fillId="0" borderId="0" applyAlignment="1" pivotButton="0" quotePrefix="0" xfId="0">
      <alignment horizontal="center"/>
    </xf>
    <xf numFmtId="2" fontId="0" fillId="0" borderId="30" pivotButton="0" quotePrefix="0" xfId="0"/>
    <xf numFmtId="2" fontId="0" fillId="0" borderId="27" pivotButton="0" quotePrefix="0" xfId="0"/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2" fillId="0" borderId="26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2" fillId="0" borderId="42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5"/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2:V144"/>
  <sheetViews>
    <sheetView topLeftCell="A15" workbookViewId="0">
      <selection activeCell="G27" sqref="G27"/>
    </sheetView>
  </sheetViews>
  <sheetFormatPr baseColWidth="10" defaultColWidth="8.83203125" defaultRowHeight="15"/>
  <cols>
    <col width="11.1640625" customWidth="1" min="5" max="5"/>
  </cols>
  <sheetData>
    <row r="2">
      <c r="B2" t="inlineStr">
        <is>
          <t>Scotland</t>
        </is>
      </c>
      <c r="C2" t="inlineStr">
        <is>
          <t>Win</t>
        </is>
      </c>
      <c r="E2" t="inlineStr">
        <is>
          <t>Wales</t>
        </is>
      </c>
      <c r="F2" t="n">
        <v>10</v>
      </c>
      <c r="G2" t="n">
        <v>34</v>
      </c>
      <c r="H2" t="inlineStr">
        <is>
          <t>Ireland</t>
        </is>
      </c>
    </row>
    <row r="3">
      <c r="B3" t="inlineStr">
        <is>
          <t>Wales</t>
        </is>
      </c>
      <c r="C3" t="inlineStr">
        <is>
          <t>Loss</t>
        </is>
      </c>
      <c r="E3" t="inlineStr">
        <is>
          <t>England</t>
        </is>
      </c>
      <c r="F3" t="n">
        <v>23</v>
      </c>
      <c r="G3" t="n">
        <v>29</v>
      </c>
      <c r="H3" t="inlineStr">
        <is>
          <t>Scotland</t>
        </is>
      </c>
    </row>
    <row r="4">
      <c r="B4" t="inlineStr">
        <is>
          <t>Ireland</t>
        </is>
      </c>
      <c r="C4" t="inlineStr">
        <is>
          <t>Win</t>
        </is>
      </c>
      <c r="E4" t="inlineStr">
        <is>
          <t>Italy</t>
        </is>
      </c>
      <c r="F4" t="n">
        <v>24</v>
      </c>
      <c r="G4" t="n">
        <v>29</v>
      </c>
      <c r="H4" t="inlineStr">
        <is>
          <t>France</t>
        </is>
      </c>
    </row>
    <row r="5">
      <c r="B5" t="inlineStr">
        <is>
          <t>England</t>
        </is>
      </c>
      <c r="C5" t="inlineStr">
        <is>
          <t>Loss</t>
        </is>
      </c>
    </row>
    <row r="6">
      <c r="B6" t="inlineStr">
        <is>
          <t>France</t>
        </is>
      </c>
      <c r="C6" t="inlineStr">
        <is>
          <t>Win</t>
        </is>
      </c>
    </row>
    <row r="7">
      <c r="B7" t="inlineStr">
        <is>
          <t>Italy</t>
        </is>
      </c>
      <c r="C7" t="inlineStr">
        <is>
          <t>Loss</t>
        </is>
      </c>
    </row>
    <row r="8" ht="16" customHeight="1" thickBot="1"/>
    <row r="9" ht="31" customHeight="1" thickBot="1">
      <c r="A9" s="39" t="inlineStr">
        <is>
          <t>Name</t>
        </is>
      </c>
      <c r="B9" s="40" t="inlineStr">
        <is>
          <t>Nation</t>
        </is>
      </c>
      <c r="C9" s="40" t="inlineStr">
        <is>
          <t>Position</t>
        </is>
      </c>
      <c r="D9" s="40" t="inlineStr">
        <is>
          <t>Win/Loss</t>
        </is>
      </c>
      <c r="E9" s="40" t="inlineStr">
        <is>
          <t>Time Played</t>
        </is>
      </c>
      <c r="F9" s="41" t="inlineStr">
        <is>
          <t>Tackles</t>
        </is>
      </c>
      <c r="G9" s="41" t="inlineStr">
        <is>
          <t>Dominant Tackles</t>
        </is>
      </c>
      <c r="H9" s="41" t="inlineStr">
        <is>
          <t>Line Breaks</t>
        </is>
      </c>
      <c r="I9" s="41" t="inlineStr">
        <is>
          <t>Metres Carried</t>
        </is>
      </c>
      <c r="J9" s="41" t="inlineStr">
        <is>
          <t>50-22</t>
        </is>
      </c>
      <c r="K9" s="41" t="inlineStr">
        <is>
          <t>Lineout Steal</t>
        </is>
      </c>
      <c r="L9" s="41" t="inlineStr">
        <is>
          <t>Breakdown Steal</t>
        </is>
      </c>
      <c r="M9" s="41" t="inlineStr">
        <is>
          <t>Try</t>
        </is>
      </c>
      <c r="N9" s="41" t="inlineStr">
        <is>
          <t>Assists</t>
        </is>
      </c>
      <c r="O9" s="41" t="inlineStr">
        <is>
          <t>Conversion</t>
        </is>
      </c>
      <c r="P9" s="41" t="inlineStr">
        <is>
          <t>Penalty</t>
        </is>
      </c>
      <c r="Q9" s="41" t="inlineStr">
        <is>
          <t>Drop Goal</t>
        </is>
      </c>
      <c r="R9" s="41" t="inlineStr">
        <is>
          <t>Yellow Card</t>
        </is>
      </c>
      <c r="S9" s="41" t="inlineStr">
        <is>
          <t>Red Card</t>
        </is>
      </c>
      <c r="T9" s="41" t="inlineStr">
        <is>
          <t>Game Total</t>
        </is>
      </c>
      <c r="U9" s="42" t="inlineStr">
        <is>
          <t>MoM</t>
        </is>
      </c>
      <c r="V9" s="35" t="n"/>
    </row>
    <row r="10" ht="16" customHeight="1" thickBot="1">
      <c r="A10" s="53" t="inlineStr">
        <is>
          <t>J. Adams</t>
        </is>
      </c>
      <c r="B10" s="54">
        <f t="array" ref="B10:C10">_xlfn.XLOOKUP(A10,'Player List'!$A$2:$A$177,'Player List'!$B$2:$C$177)</f>
        <v/>
      </c>
      <c r="C10" s="54" t="inlineStr">
        <is>
          <t>Back Three</t>
        </is>
      </c>
      <c r="D10" s="54">
        <f>_xlfn.XLOOKUP(B10,$B$2:$B$7,$C$2:$C$7)</f>
        <v/>
      </c>
      <c r="E10" s="54" t="n">
        <v>80</v>
      </c>
      <c r="F10" s="54" t="n">
        <v>3</v>
      </c>
      <c r="G10" s="54" t="n">
        <v>3</v>
      </c>
      <c r="H10" s="54" t="n"/>
      <c r="I10" s="54" t="n">
        <v>36</v>
      </c>
      <c r="J10" s="54" t="n"/>
      <c r="K10" s="54" t="n"/>
      <c r="L10" s="54" t="n"/>
      <c r="M10" s="54" t="n"/>
      <c r="N10" s="54" t="n"/>
      <c r="O10" s="54" t="n"/>
      <c r="P10" s="54" t="n"/>
      <c r="Q10" s="54" t="n"/>
      <c r="R10" s="54" t="n"/>
      <c r="S10" s="54" t="n"/>
      <c r="T10" s="55" t="n">
        <v>31.2</v>
      </c>
      <c r="U10" s="54" t="n"/>
    </row>
    <row r="11" ht="16" customHeight="1" thickBot="1">
      <c r="A11" s="4" t="inlineStr">
        <is>
          <t>A. Cuthbert</t>
        </is>
      </c>
      <c r="B11" s="5">
        <f t="array" ref="B11:C11">_xlfn.XLOOKUP(A11,'Player List'!$A$2:$A$177,'Player List'!$B$2:$C$177)</f>
        <v/>
      </c>
      <c r="C11" s="5" t="inlineStr">
        <is>
          <t>Back Three</t>
        </is>
      </c>
      <c r="D11" s="5">
        <f>_xlfn.XLOOKUP(B11,$B$2:$B$7,$C$2:$C$7)</f>
        <v/>
      </c>
      <c r="E11" s="5" t="n">
        <v>12</v>
      </c>
      <c r="F11" s="5" t="n">
        <v>1</v>
      </c>
      <c r="G11" s="5" t="n"/>
      <c r="H11" s="5" t="n"/>
      <c r="I11" s="5" t="n">
        <v>28</v>
      </c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6" t="n">
        <v>6.6</v>
      </c>
      <c r="U11" s="5" t="n"/>
    </row>
    <row r="12" ht="16" customHeight="1" thickBot="1">
      <c r="A12" s="1" t="inlineStr">
        <is>
          <t>R. Dyer</t>
        </is>
      </c>
      <c r="B12" s="34">
        <f t="array" ref="B12:C12">_xlfn.XLOOKUP(A12,'Player List'!$A$2:$A$177,'Player List'!$B$2:$C$177)</f>
        <v/>
      </c>
      <c r="C12" s="34" t="inlineStr">
        <is>
          <t>Back Three</t>
        </is>
      </c>
      <c r="D12" s="34">
        <f>_xlfn.XLOOKUP(B12,$B$2:$B$7,$C$2:$C$7)</f>
        <v/>
      </c>
      <c r="E12" s="2" t="n">
        <v>68</v>
      </c>
      <c r="F12" s="2" t="n">
        <v>4</v>
      </c>
      <c r="G12" s="2" t="n"/>
      <c r="H12" s="2" t="n">
        <v>2</v>
      </c>
      <c r="I12" s="2" t="n">
        <v>107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3" t="n">
        <v>39.4</v>
      </c>
      <c r="U12" s="2" t="n"/>
    </row>
    <row r="13" ht="16" customHeight="1" thickBot="1">
      <c r="A13" s="4" t="inlineStr">
        <is>
          <t>L. Williams</t>
        </is>
      </c>
      <c r="B13" s="34">
        <f t="array" ref="B13:C13">_xlfn.XLOOKUP(A13,'Player List'!$A$2:$A$177,'Player List'!$B$2:$C$177)</f>
        <v/>
      </c>
      <c r="C13" s="34" t="inlineStr">
        <is>
          <t>Back Three</t>
        </is>
      </c>
      <c r="D13" s="34">
        <f>_xlfn.XLOOKUP(B13,$B$2:$B$7,$C$2:$C$7)</f>
        <v/>
      </c>
      <c r="E13" s="5" t="n">
        <v>70</v>
      </c>
      <c r="F13" s="5" t="n">
        <v>2</v>
      </c>
      <c r="G13" s="5" t="n"/>
      <c r="H13" s="5" t="n">
        <v>2</v>
      </c>
      <c r="I13" s="5" t="n">
        <v>108</v>
      </c>
      <c r="J13" s="5" t="n"/>
      <c r="K13" s="5" t="n"/>
      <c r="L13" s="5" t="n">
        <v>1</v>
      </c>
      <c r="M13" s="5" t="n">
        <v>1</v>
      </c>
      <c r="N13" s="5" t="n"/>
      <c r="O13" s="5" t="n"/>
      <c r="P13" s="5" t="n"/>
      <c r="Q13" s="5" t="n"/>
      <c r="R13" s="5" t="n">
        <v>1</v>
      </c>
      <c r="S13" s="5" t="n"/>
      <c r="T13" s="6" t="n">
        <v>54.6</v>
      </c>
      <c r="U13" s="5" t="n"/>
    </row>
    <row r="14" ht="16" customHeight="1" thickBot="1">
      <c r="A14" s="7" t="inlineStr">
        <is>
          <t>J. Hawkins</t>
        </is>
      </c>
      <c r="B14" s="34">
        <f t="array" ref="B14:C14">_xlfn.XLOOKUP(A14,'Player List'!$A$2:$A$177,'Player List'!$B$2:$C$177)</f>
        <v/>
      </c>
      <c r="C14" s="34" t="inlineStr">
        <is>
          <t>Centre</t>
        </is>
      </c>
      <c r="D14" s="34">
        <f>_xlfn.XLOOKUP(B14,$B$2:$B$7,$C$2:$C$7)</f>
        <v/>
      </c>
      <c r="E14" s="2" t="n">
        <v>80</v>
      </c>
      <c r="F14" s="2" t="n">
        <v>6</v>
      </c>
      <c r="G14" s="2" t="n">
        <v>1</v>
      </c>
      <c r="H14" s="2" t="n">
        <v>1</v>
      </c>
      <c r="I14" s="2" t="n">
        <v>75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3" t="n">
        <v>35</v>
      </c>
      <c r="U14" s="2" t="n"/>
    </row>
    <row r="15" ht="16" customHeight="1" thickBot="1">
      <c r="A15" s="8" t="inlineStr">
        <is>
          <t>G. North</t>
        </is>
      </c>
      <c r="B15" s="34">
        <f t="array" ref="B15:C15">_xlfn.XLOOKUP(A15,'Player List'!$A$2:$A$177,'Player List'!$B$2:$C$177)</f>
        <v/>
      </c>
      <c r="C15" s="34" t="inlineStr">
        <is>
          <t>Centre</t>
        </is>
      </c>
      <c r="D15" s="34">
        <f>_xlfn.XLOOKUP(B15,$B$2:$B$7,$C$2:$C$7)</f>
        <v/>
      </c>
      <c r="E15" s="5" t="n">
        <v>80</v>
      </c>
      <c r="F15" s="5" t="n">
        <v>4</v>
      </c>
      <c r="G15" s="5" t="n"/>
      <c r="H15" s="5" t="n"/>
      <c r="I15" s="5" t="n">
        <v>58</v>
      </c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6" t="n">
        <v>15.6</v>
      </c>
      <c r="U15" s="5" t="n"/>
    </row>
    <row r="16" ht="16" customHeight="1" thickBot="1">
      <c r="A16" s="9" t="inlineStr">
        <is>
          <t>D. Biggar</t>
        </is>
      </c>
      <c r="B16" s="34">
        <f t="array" ref="B16:C16">_xlfn.XLOOKUP(A16,'Player List'!$A$2:$A$177,'Player List'!$B$2:$C$177)</f>
        <v/>
      </c>
      <c r="C16" s="34" t="inlineStr">
        <is>
          <t>Fly Half</t>
        </is>
      </c>
      <c r="D16" s="34">
        <f>_xlfn.XLOOKUP(B16,$B$2:$B$7,$C$2:$C$7)</f>
        <v/>
      </c>
      <c r="E16" s="2" t="n">
        <v>67</v>
      </c>
      <c r="F16" s="2" t="n">
        <v>9</v>
      </c>
      <c r="G16" s="2" t="n"/>
      <c r="H16" s="2" t="n">
        <v>1</v>
      </c>
      <c r="I16" s="2" t="n">
        <v>35</v>
      </c>
      <c r="J16" s="2" t="n"/>
      <c r="K16" s="2" t="n"/>
      <c r="L16" s="2" t="n"/>
      <c r="M16" s="2" t="n"/>
      <c r="N16" s="2" t="n">
        <v>1</v>
      </c>
      <c r="O16" s="2" t="n">
        <v>1</v>
      </c>
      <c r="P16" s="2" t="n">
        <v>1</v>
      </c>
      <c r="Q16" s="2" t="n"/>
      <c r="R16" s="2" t="n"/>
      <c r="S16" s="2" t="n"/>
      <c r="T16" s="3" t="n">
        <v>37</v>
      </c>
      <c r="U16" s="2" t="n"/>
    </row>
    <row r="17" ht="16" customHeight="1" thickBot="1">
      <c r="A17" s="10" t="inlineStr">
        <is>
          <t>O. Williams</t>
        </is>
      </c>
      <c r="B17" s="34">
        <f t="array" ref="B17:C17">_xlfn.XLOOKUP(A17,'Player List'!$A$2:$A$177,'Player List'!$B$2:$C$177)</f>
        <v/>
      </c>
      <c r="C17" s="34" t="inlineStr">
        <is>
          <t>Fly Half</t>
        </is>
      </c>
      <c r="D17" s="34">
        <f>_xlfn.XLOOKUP(B17,$B$2:$B$7,$C$2:$C$7)</f>
        <v/>
      </c>
      <c r="E17" s="5" t="n">
        <v>13</v>
      </c>
      <c r="F17" s="5" t="n">
        <v>1</v>
      </c>
      <c r="G17" s="5" t="n"/>
      <c r="H17" s="5" t="n"/>
      <c r="I17" s="5" t="n">
        <v>4</v>
      </c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6" t="n">
        <v>1.8</v>
      </c>
      <c r="U17" s="5" t="n"/>
    </row>
    <row r="18" ht="16" customHeight="1" thickBot="1">
      <c r="A18" s="11" t="inlineStr">
        <is>
          <t>R. Webb</t>
        </is>
      </c>
      <c r="B18" s="34">
        <f t="array" ref="B18:C18">_xlfn.XLOOKUP(A18,'Player List'!$A$2:$A$177,'Player List'!$B$2:$C$177)</f>
        <v/>
      </c>
      <c r="C18" s="34" t="inlineStr">
        <is>
          <t>Scrum Half</t>
        </is>
      </c>
      <c r="D18" s="34">
        <f>_xlfn.XLOOKUP(B18,$B$2:$B$7,$C$2:$C$7)</f>
        <v/>
      </c>
      <c r="E18" s="2" t="n">
        <v>17</v>
      </c>
      <c r="F18" s="2" t="n">
        <v>2</v>
      </c>
      <c r="G18" s="2" t="n">
        <v>1</v>
      </c>
      <c r="H18" s="2" t="n"/>
      <c r="I18" s="2" t="n">
        <v>1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3" t="n">
        <v>9.199999999999999</v>
      </c>
      <c r="U18" s="2" t="n"/>
    </row>
    <row r="19" ht="16" customHeight="1" thickBot="1">
      <c r="A19" s="12" t="inlineStr">
        <is>
          <t>T. Williams</t>
        </is>
      </c>
      <c r="B19" s="34">
        <f t="array" ref="B19:C19">_xlfn.XLOOKUP(A19,'Player List'!$A$2:$A$177,'Player List'!$B$2:$C$177)</f>
        <v/>
      </c>
      <c r="C19" s="34" t="inlineStr">
        <is>
          <t>Scrum Half</t>
        </is>
      </c>
      <c r="D19" s="34">
        <f>_xlfn.XLOOKUP(B19,$B$2:$B$7,$C$2:$C$7)</f>
        <v/>
      </c>
      <c r="E19" s="5" t="n">
        <v>63</v>
      </c>
      <c r="F19" s="5" t="n">
        <v>6</v>
      </c>
      <c r="G19" s="5" t="n"/>
      <c r="H19" s="5" t="n"/>
      <c r="I19" s="5" t="n">
        <v>19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6" t="n">
        <v>9.800000000000001</v>
      </c>
      <c r="U19" s="5" t="n"/>
    </row>
    <row r="20" ht="16" customHeight="1" thickBot="1">
      <c r="A20" s="13" t="inlineStr">
        <is>
          <t>T. Faletau</t>
        </is>
      </c>
      <c r="B20" s="34">
        <f t="array" ref="B20:C20">_xlfn.XLOOKUP(A20,'Player List'!$A$2:$A$177,'Player List'!$B$2:$C$177)</f>
        <v/>
      </c>
      <c r="C20" s="34" t="inlineStr">
        <is>
          <t>Back Row</t>
        </is>
      </c>
      <c r="D20" s="34">
        <f>_xlfn.XLOOKUP(B20,$B$2:$B$7,$C$2:$C$7)</f>
        <v/>
      </c>
      <c r="E20" s="2" t="n">
        <v>80</v>
      </c>
      <c r="F20" s="2" t="n">
        <v>20</v>
      </c>
      <c r="G20" s="2" t="n">
        <v>1</v>
      </c>
      <c r="H20" s="2" t="n"/>
      <c r="I20" s="2" t="n">
        <v>49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3" t="n">
        <v>36.8</v>
      </c>
      <c r="U20" s="2" t="n"/>
    </row>
    <row r="21" ht="16" customHeight="1" thickBot="1">
      <c r="A21" s="14" t="inlineStr">
        <is>
          <t>J. Morgan</t>
        </is>
      </c>
      <c r="B21" s="34">
        <f t="array" ref="B21:C21">_xlfn.XLOOKUP(A21,'Player List'!$A$2:$A$177,'Player List'!$B$2:$C$177)</f>
        <v/>
      </c>
      <c r="C21" s="34" t="inlineStr">
        <is>
          <t>Back Row</t>
        </is>
      </c>
      <c r="D21" s="34">
        <f>_xlfn.XLOOKUP(B21,$B$2:$B$7,$C$2:$C$7)</f>
        <v/>
      </c>
      <c r="E21" s="5" t="n">
        <v>80</v>
      </c>
      <c r="F21" s="5" t="n">
        <v>14</v>
      </c>
      <c r="G21" s="5" t="n">
        <v>3</v>
      </c>
      <c r="H21" s="5" t="n"/>
      <c r="I21" s="5" t="n">
        <v>43</v>
      </c>
      <c r="J21" s="5" t="n"/>
      <c r="K21" s="5" t="n"/>
      <c r="L21" s="5" t="n">
        <v>1</v>
      </c>
      <c r="M21" s="5" t="n"/>
      <c r="N21" s="5" t="n"/>
      <c r="O21" s="5" t="n"/>
      <c r="P21" s="5" t="n"/>
      <c r="Q21" s="5" t="n"/>
      <c r="R21" s="5" t="n"/>
      <c r="S21" s="5" t="n"/>
      <c r="T21" s="6" t="n">
        <v>50.6</v>
      </c>
      <c r="U21" s="5" t="n"/>
    </row>
    <row r="22" ht="16" customHeight="1" thickBot="1">
      <c r="A22" s="13" t="inlineStr">
        <is>
          <t>T. Reffell</t>
        </is>
      </c>
      <c r="B22" s="34">
        <f t="array" ref="B22:C22">_xlfn.XLOOKUP(A22,'Player List'!$A$2:$A$177,'Player List'!$B$2:$C$177)</f>
        <v/>
      </c>
      <c r="C22" s="34" t="inlineStr">
        <is>
          <t>Back Row</t>
        </is>
      </c>
      <c r="D22" s="34">
        <f>_xlfn.XLOOKUP(B22,$B$2:$B$7,$C$2:$C$7)</f>
        <v/>
      </c>
      <c r="E22" s="2" t="n">
        <v>26</v>
      </c>
      <c r="F22" s="2" t="n">
        <v>8</v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3" t="n">
        <v>8</v>
      </c>
      <c r="U22" s="2" t="n"/>
    </row>
    <row r="23" ht="16" customHeight="1" thickBot="1">
      <c r="A23" s="14" t="inlineStr">
        <is>
          <t>J. Tipuric</t>
        </is>
      </c>
      <c r="B23" s="34">
        <f t="array" ref="B23:C23">_xlfn.XLOOKUP(A23,'Player List'!$A$2:$A$177,'Player List'!$B$2:$C$177)</f>
        <v/>
      </c>
      <c r="C23" s="34" t="inlineStr">
        <is>
          <t>Back Row</t>
        </is>
      </c>
      <c r="D23" s="34">
        <f>_xlfn.XLOOKUP(B23,$B$2:$B$7,$C$2:$C$7)</f>
        <v/>
      </c>
      <c r="E23" s="5" t="n">
        <v>54</v>
      </c>
      <c r="F23" s="5" t="n">
        <v>11</v>
      </c>
      <c r="G23" s="5" t="n">
        <v>3</v>
      </c>
      <c r="H23" s="5" t="n"/>
      <c r="I23" s="5" t="n">
        <v>18</v>
      </c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6" t="n">
        <v>35.6</v>
      </c>
      <c r="U23" s="5" t="n"/>
    </row>
    <row r="24" ht="16" customHeight="1" thickBot="1">
      <c r="A24" s="15" t="inlineStr">
        <is>
          <t>A. Beard</t>
        </is>
      </c>
      <c r="B24" s="34">
        <f t="array" ref="B24:C24">_xlfn.XLOOKUP(A24,'Player List'!$A$2:$A$177,'Player List'!$B$2:$C$177)</f>
        <v/>
      </c>
      <c r="C24" s="34" t="inlineStr">
        <is>
          <t>Second Row</t>
        </is>
      </c>
      <c r="D24" s="34">
        <f>_xlfn.XLOOKUP(B24,$B$2:$B$7,$C$2:$C$7)</f>
        <v/>
      </c>
      <c r="E24" s="2" t="n">
        <v>80</v>
      </c>
      <c r="F24" s="2" t="n">
        <v>13</v>
      </c>
      <c r="G24" s="2" t="n">
        <v>2</v>
      </c>
      <c r="H24" s="2" t="n"/>
      <c r="I24" s="2" t="n">
        <v>7</v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3" t="n">
        <v>28.4</v>
      </c>
      <c r="U24" s="2" t="n"/>
    </row>
    <row r="25" ht="16" customHeight="1" thickBot="1">
      <c r="A25" s="16" t="inlineStr">
        <is>
          <t>D. Jenkins</t>
        </is>
      </c>
      <c r="B25" s="34">
        <f t="array" ref="B25:C25">_xlfn.XLOOKUP(A25,'Player List'!$A$2:$A$177,'Player List'!$B$2:$C$177)</f>
        <v/>
      </c>
      <c r="C25" s="34" t="inlineStr">
        <is>
          <t>Second Row</t>
        </is>
      </c>
      <c r="D25" s="34">
        <f>_xlfn.XLOOKUP(B25,$B$2:$B$7,$C$2:$C$7)</f>
        <v/>
      </c>
      <c r="E25" s="5" t="n">
        <v>19</v>
      </c>
      <c r="F25" s="5" t="n">
        <v>3</v>
      </c>
      <c r="G25" s="5" t="n"/>
      <c r="H25" s="5" t="n"/>
      <c r="I25" s="5" t="n">
        <v>35</v>
      </c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6" t="n">
        <v>10</v>
      </c>
      <c r="U25" s="5" t="n"/>
    </row>
    <row r="26" ht="16" customHeight="1" thickBot="1">
      <c r="A26" s="15" t="inlineStr">
        <is>
          <t>A. Jones</t>
        </is>
      </c>
      <c r="B26" s="34">
        <f t="array" ref="B26:C26">_xlfn.XLOOKUP(A26,'Player List'!$A$2:$A$177,'Player List'!$B$2:$C$177)</f>
        <v/>
      </c>
      <c r="C26" s="34" t="inlineStr">
        <is>
          <t>Second Row</t>
        </is>
      </c>
      <c r="D26" s="34">
        <f>_xlfn.XLOOKUP(B26,$B$2:$B$7,$C$2:$C$7)</f>
        <v/>
      </c>
      <c r="E26" s="2" t="n">
        <v>61</v>
      </c>
      <c r="F26" s="2" t="n">
        <v>10</v>
      </c>
      <c r="G26" s="2" t="n">
        <v>1</v>
      </c>
      <c r="H26" s="2" t="n"/>
      <c r="I26" s="2" t="n">
        <v>29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3" t="n">
        <v>22.8</v>
      </c>
      <c r="U26" s="2" t="n"/>
    </row>
    <row r="27" ht="16" customHeight="1" thickBot="1">
      <c r="A27" s="17" t="inlineStr">
        <is>
          <t>R. Carre</t>
        </is>
      </c>
      <c r="B27" s="34">
        <f t="array" ref="B27:C27">_xlfn.XLOOKUP(A27,'Player List'!$A$2:$A$177,'Player List'!$B$2:$C$177)</f>
        <v/>
      </c>
      <c r="C27" s="34" t="inlineStr">
        <is>
          <t>Prop</t>
        </is>
      </c>
      <c r="D27" s="34">
        <f>_xlfn.XLOOKUP(B27,$B$2:$B$7,$C$2:$C$7)</f>
        <v/>
      </c>
      <c r="E27" s="5" t="n">
        <v>26</v>
      </c>
      <c r="F27" s="5" t="n">
        <v>3</v>
      </c>
      <c r="G27" s="5" t="n"/>
      <c r="H27" s="5" t="n"/>
      <c r="I27" s="5" t="n"/>
      <c r="J27" s="5" t="n"/>
      <c r="K27" s="5" t="n"/>
      <c r="L27" s="5" t="n">
        <v>1</v>
      </c>
      <c r="M27" s="5" t="n"/>
      <c r="N27" s="5" t="n"/>
      <c r="O27" s="5" t="n"/>
      <c r="P27" s="5" t="n"/>
      <c r="Q27" s="5" t="n"/>
      <c r="R27" s="5" t="n"/>
      <c r="S27" s="5" t="n"/>
      <c r="T27" s="6" t="n">
        <v>10</v>
      </c>
      <c r="U27" s="5" t="n"/>
    </row>
    <row r="28" ht="16" customHeight="1" thickBot="1">
      <c r="A28" s="18" t="inlineStr">
        <is>
          <t>T. Francis</t>
        </is>
      </c>
      <c r="B28" s="34">
        <f t="array" ref="B28:C28">_xlfn.XLOOKUP(A28,'Player List'!$A$2:$A$177,'Player List'!$B$2:$C$177)</f>
        <v/>
      </c>
      <c r="C28" s="34" t="inlineStr">
        <is>
          <t>Prop</t>
        </is>
      </c>
      <c r="D28" s="34">
        <f>_xlfn.XLOOKUP(B28,$B$2:$B$7,$C$2:$C$7)</f>
        <v/>
      </c>
      <c r="E28" s="2" t="n">
        <v>40</v>
      </c>
      <c r="F28" s="2" t="n">
        <v>9</v>
      </c>
      <c r="G28" s="2" t="n">
        <v>3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3" t="n">
        <v>30</v>
      </c>
      <c r="U28" s="2" t="n"/>
    </row>
    <row r="29" ht="16" customHeight="1" thickBot="1">
      <c r="A29" s="17" t="inlineStr">
        <is>
          <t>D. Lewis</t>
        </is>
      </c>
      <c r="B29" s="34">
        <f t="array" ref="B29:C29">_xlfn.XLOOKUP(A29,'Player List'!$A$2:$A$177,'Player List'!$B$2:$C$177)</f>
        <v/>
      </c>
      <c r="C29" s="34" t="inlineStr">
        <is>
          <t>Prop</t>
        </is>
      </c>
      <c r="D29" s="34">
        <f>_xlfn.XLOOKUP(B29,$B$2:$B$7,$C$2:$C$7)</f>
        <v/>
      </c>
      <c r="E29" s="5" t="n">
        <v>40</v>
      </c>
      <c r="F29" s="5" t="n">
        <v>5</v>
      </c>
      <c r="G29" s="5" t="n"/>
      <c r="H29" s="5" t="n"/>
      <c r="I29" s="5" t="n">
        <v>7</v>
      </c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6" t="n">
        <v>6.4</v>
      </c>
      <c r="U29" s="5" t="n"/>
    </row>
    <row r="30" ht="16" customHeight="1" thickBot="1">
      <c r="A30" s="18" t="inlineStr">
        <is>
          <t>G. Thomas</t>
        </is>
      </c>
      <c r="B30" s="34">
        <f t="array" ref="B30:C30">_xlfn.XLOOKUP(A30,'Player List'!$A$2:$A$177,'Player List'!$B$2:$C$177)</f>
        <v/>
      </c>
      <c r="C30" s="34" t="inlineStr">
        <is>
          <t>Prop</t>
        </is>
      </c>
      <c r="D30" s="34">
        <f>_xlfn.XLOOKUP(B30,$B$2:$B$7,$C$2:$C$7)</f>
        <v/>
      </c>
      <c r="E30" s="2" t="n">
        <v>54</v>
      </c>
      <c r="F30" s="2" t="n">
        <v>11</v>
      </c>
      <c r="G30" s="2" t="n">
        <v>2</v>
      </c>
      <c r="H30" s="2" t="n"/>
      <c r="I30" s="2" t="n">
        <v>21</v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3" t="n">
        <v>29.2</v>
      </c>
      <c r="U30" s="2" t="n"/>
    </row>
    <row r="31" ht="16" customHeight="1" thickBot="1">
      <c r="A31" s="19" t="inlineStr">
        <is>
          <t>S. Baldwin</t>
        </is>
      </c>
      <c r="B31" s="34">
        <f t="array" ref="B31:C31">_xlfn.XLOOKUP(A31,'Player List'!$A$2:$A$177,'Player List'!$B$2:$C$177)</f>
        <v/>
      </c>
      <c r="C31" s="34" t="inlineStr">
        <is>
          <t>Hooker</t>
        </is>
      </c>
      <c r="D31" s="34">
        <f>_xlfn.XLOOKUP(B31,$B$2:$B$7,$C$2:$C$7)</f>
        <v/>
      </c>
      <c r="E31" s="5" t="n">
        <v>19</v>
      </c>
      <c r="F31" s="5" t="n">
        <v>2</v>
      </c>
      <c r="G31" s="5" t="n"/>
      <c r="H31" s="5" t="n"/>
      <c r="I31" s="5" t="n">
        <v>19</v>
      </c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6" t="n">
        <v>5.8</v>
      </c>
      <c r="U31" s="5" t="n"/>
    </row>
    <row r="32" ht="16" customHeight="1" thickBot="1">
      <c r="A32" s="20" t="inlineStr">
        <is>
          <t>K. Owens</t>
        </is>
      </c>
      <c r="B32" s="34">
        <f t="array" ref="B32:C32">_xlfn.XLOOKUP(A32,'Player List'!$A$2:$A$177,'Player List'!$B$2:$C$177)</f>
        <v/>
      </c>
      <c r="C32" s="34" t="inlineStr">
        <is>
          <t>Hooker</t>
        </is>
      </c>
      <c r="D32" s="34">
        <f>_xlfn.XLOOKUP(B32,$B$2:$B$7,$C$2:$C$7)</f>
        <v/>
      </c>
      <c r="E32" s="2" t="n">
        <v>61</v>
      </c>
      <c r="F32" s="2" t="n">
        <v>12</v>
      </c>
      <c r="G32" s="2" t="n">
        <v>3</v>
      </c>
      <c r="H32" s="2" t="n"/>
      <c r="I32" s="2" t="n">
        <v>38</v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3" t="n">
        <v>40.6</v>
      </c>
      <c r="U32" s="2" t="n"/>
    </row>
    <row r="33" ht="16" customHeight="1" thickBot="1">
      <c r="A33" s="1" t="inlineStr">
        <is>
          <t>M. Hansen</t>
        </is>
      </c>
      <c r="B33" s="34">
        <f t="array" ref="B33:C33">_xlfn.XLOOKUP(A33,'Player List'!$A$2:$A$177,'Player List'!$B$2:$C$177)</f>
        <v/>
      </c>
      <c r="C33" s="34" t="inlineStr">
        <is>
          <t>Back Three</t>
        </is>
      </c>
      <c r="D33" s="34">
        <f>_xlfn.XLOOKUP(B33,$B$2:$B$7,$C$2:$C$7)</f>
        <v/>
      </c>
      <c r="E33" s="2" t="n">
        <v>80</v>
      </c>
      <c r="F33" s="2" t="n">
        <v>5</v>
      </c>
      <c r="G33" s="2" t="n">
        <v>2</v>
      </c>
      <c r="H33" s="2" t="n">
        <v>1</v>
      </c>
      <c r="I33" s="2" t="n">
        <v>34</v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3" t="n">
        <v>40.8</v>
      </c>
      <c r="U33" s="2" t="n"/>
    </row>
    <row r="34" ht="16" customHeight="1" thickBot="1">
      <c r="A34" s="4" t="inlineStr">
        <is>
          <t>H. Keenan</t>
        </is>
      </c>
      <c r="B34" s="34">
        <f t="array" ref="B34:C34">_xlfn.XLOOKUP(A34,'Player List'!$A$2:$A$177,'Player List'!$B$2:$C$177)</f>
        <v/>
      </c>
      <c r="C34" s="34" t="inlineStr">
        <is>
          <t>Back Three</t>
        </is>
      </c>
      <c r="D34" s="34">
        <f>_xlfn.XLOOKUP(B34,$B$2:$B$7,$C$2:$C$7)</f>
        <v/>
      </c>
      <c r="E34" s="5" t="n">
        <v>80</v>
      </c>
      <c r="F34" s="5" t="n"/>
      <c r="G34" s="5" t="n"/>
      <c r="H34" s="5" t="n"/>
      <c r="I34" s="5" t="n">
        <v>86</v>
      </c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6" t="n">
        <v>40.2</v>
      </c>
      <c r="U34" s="5" t="n">
        <v>1</v>
      </c>
    </row>
    <row r="35" ht="16" customHeight="1" thickBot="1">
      <c r="A35" s="8" t="inlineStr">
        <is>
          <t>B. Aki</t>
        </is>
      </c>
      <c r="B35" s="34">
        <f t="array" ref="B35:C35">_xlfn.XLOOKUP(A35,'Player List'!$A$2:$A$177,'Player List'!$B$2:$C$177)</f>
        <v/>
      </c>
      <c r="C35" s="34" t="inlineStr">
        <is>
          <t>Centre</t>
        </is>
      </c>
      <c r="D35" s="34">
        <f>_xlfn.XLOOKUP(B35,$B$2:$B$7,$C$2:$C$7)</f>
        <v/>
      </c>
      <c r="E35" s="2" t="n">
        <v>80</v>
      </c>
      <c r="F35" s="2" t="n">
        <v>4</v>
      </c>
      <c r="G35" s="2" t="n"/>
      <c r="H35" s="2" t="n">
        <v>1</v>
      </c>
      <c r="I35" s="2" t="n">
        <v>112</v>
      </c>
      <c r="J35" s="2" t="n"/>
      <c r="K35" s="2" t="n"/>
      <c r="L35" s="2" t="n">
        <v>1</v>
      </c>
      <c r="M35" s="2" t="n">
        <v>1</v>
      </c>
      <c r="N35" s="2" t="n"/>
      <c r="O35" s="2" t="n"/>
      <c r="P35" s="2" t="n"/>
      <c r="Q35" s="2" t="n"/>
      <c r="R35" s="2" t="n"/>
      <c r="S35" s="2" t="n"/>
      <c r="T35" s="3" t="n">
        <v>63.4</v>
      </c>
      <c r="U35" s="2" t="n"/>
    </row>
    <row r="36" ht="16" customHeight="1" thickBot="1">
      <c r="A36" s="7" t="inlineStr">
        <is>
          <t>S. McCloskey</t>
        </is>
      </c>
      <c r="B36" s="34">
        <f t="array" ref="B36:C36">_xlfn.XLOOKUP(A35,'Player List'!$A$2:$A$177,'Player List'!$B$2:$C$177)</f>
        <v/>
      </c>
      <c r="C36" s="34" t="inlineStr">
        <is>
          <t>Centre</t>
        </is>
      </c>
      <c r="D36" s="34">
        <f>_xlfn.XLOOKUP(B36,$B$2:$B$7,$C$2:$C$7)</f>
        <v/>
      </c>
      <c r="E36" s="5" t="n">
        <v>20</v>
      </c>
      <c r="F36" s="5" t="n">
        <v>2</v>
      </c>
      <c r="G36" s="5" t="n"/>
      <c r="H36" s="5" t="n"/>
      <c r="I36" s="5" t="n">
        <v>13</v>
      </c>
      <c r="J36" s="5" t="n"/>
      <c r="K36" s="5" t="n"/>
      <c r="L36" s="5" t="n">
        <v>1</v>
      </c>
      <c r="M36" s="5" t="n"/>
      <c r="N36" s="5" t="n"/>
      <c r="O36" s="5" t="n"/>
      <c r="P36" s="5" t="n"/>
      <c r="Q36" s="5" t="n"/>
      <c r="R36" s="5" t="n"/>
      <c r="S36" s="5" t="n"/>
      <c r="T36" s="6" t="n">
        <v>13.6</v>
      </c>
      <c r="U36" s="5" t="n"/>
    </row>
    <row r="37" ht="16" customHeight="1" thickBot="1">
      <c r="A37" s="8" t="inlineStr">
        <is>
          <t>G. Ringrose</t>
        </is>
      </c>
      <c r="B37" s="34">
        <f t="array" ref="B37:C37">_xlfn.XLOOKUP(A36,'Player List'!$A$2:$A$177,'Player List'!$B$2:$C$177)</f>
        <v/>
      </c>
      <c r="C37" s="34" t="inlineStr">
        <is>
          <t>Centre</t>
        </is>
      </c>
      <c r="D37" s="34">
        <f>_xlfn.XLOOKUP(B37,$B$2:$B$7,$C$2:$C$7)</f>
        <v/>
      </c>
      <c r="E37" s="2" t="n">
        <v>60</v>
      </c>
      <c r="F37" s="2" t="n">
        <v>7</v>
      </c>
      <c r="G37" s="2" t="n"/>
      <c r="H37" s="2" t="n"/>
      <c r="I37" s="2" t="n">
        <v>66</v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3" t="n">
        <v>26.2</v>
      </c>
      <c r="U37" s="2" t="n"/>
    </row>
    <row r="38" ht="16" customHeight="1" thickBot="1">
      <c r="A38" s="9" t="inlineStr">
        <is>
          <t>R. Byrne</t>
        </is>
      </c>
      <c r="B38" s="34">
        <f t="array" ref="B38:C38">_xlfn.XLOOKUP(A37,'Player List'!$A$2:$A$177,'Player List'!$B$2:$C$177)</f>
        <v/>
      </c>
      <c r="C38" s="34" t="inlineStr">
        <is>
          <t>Centre</t>
        </is>
      </c>
      <c r="D38" s="34">
        <f>_xlfn.XLOOKUP(B38,$B$2:$B$7,$C$2:$C$7)</f>
        <v/>
      </c>
      <c r="E38" s="5" t="n">
        <v>80</v>
      </c>
      <c r="F38" s="5" t="n">
        <v>10</v>
      </c>
      <c r="G38" s="5" t="n"/>
      <c r="H38" s="5" t="n"/>
      <c r="I38" s="5" t="n">
        <v>49</v>
      </c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6" t="n">
        <v>27.8</v>
      </c>
      <c r="U38" s="5" t="n"/>
    </row>
    <row r="39" ht="16" customHeight="1" thickBot="1">
      <c r="A39" s="10" t="inlineStr">
        <is>
          <t>J. Sexton</t>
        </is>
      </c>
      <c r="B39" s="34">
        <f t="array" ref="B39:C39">_xlfn.XLOOKUP(A38,'Player List'!$A$2:$A$177,'Player List'!$B$2:$C$177)</f>
        <v/>
      </c>
      <c r="C39" s="34" t="inlineStr">
        <is>
          <t>Fly Half</t>
        </is>
      </c>
      <c r="D39" s="34">
        <f>_xlfn.XLOOKUP(B39,$B$2:$B$7,$C$2:$C$7)</f>
        <v/>
      </c>
      <c r="E39" s="2" t="n">
        <v>12</v>
      </c>
      <c r="F39" s="2" t="n"/>
      <c r="G39" s="2" t="n"/>
      <c r="H39" s="2" t="n"/>
      <c r="I39" s="2" t="n">
        <v>11</v>
      </c>
      <c r="J39" s="2" t="n"/>
      <c r="K39" s="2" t="n"/>
      <c r="L39" s="2" t="n"/>
      <c r="M39" s="2" t="n"/>
      <c r="N39" s="2" t="n"/>
      <c r="O39" s="2" t="n">
        <v>1</v>
      </c>
      <c r="P39" s="2" t="n"/>
      <c r="Q39" s="2" t="n"/>
      <c r="R39" s="2" t="n"/>
      <c r="S39" s="2" t="n"/>
      <c r="T39" s="3" t="n">
        <v>5.4</v>
      </c>
      <c r="U39" s="2" t="n"/>
    </row>
    <row r="40" ht="16" customHeight="1" thickBot="1">
      <c r="A40" s="11" t="inlineStr">
        <is>
          <t>C. Casey</t>
        </is>
      </c>
      <c r="B40" s="34">
        <f t="array" ref="B40:C40">_xlfn.XLOOKUP(A39,'Player List'!$A$2:$A$177,'Player List'!$B$2:$C$177)</f>
        <v/>
      </c>
      <c r="C40" s="34" t="inlineStr">
        <is>
          <t>Fly Half</t>
        </is>
      </c>
      <c r="D40" s="34">
        <f>_xlfn.XLOOKUP(B40,$B$2:$B$7,$C$2:$C$7)</f>
        <v/>
      </c>
      <c r="E40" s="5" t="n">
        <v>68</v>
      </c>
      <c r="F40" s="5" t="n">
        <v>7</v>
      </c>
      <c r="G40" s="5" t="n"/>
      <c r="H40" s="5" t="n"/>
      <c r="I40" s="5" t="n">
        <v>30</v>
      </c>
      <c r="J40" s="5" t="n"/>
      <c r="K40" s="5" t="n"/>
      <c r="L40" s="5" t="n">
        <v>1</v>
      </c>
      <c r="M40" s="5" t="n"/>
      <c r="N40" s="5" t="n"/>
      <c r="O40" s="5" t="n">
        <v>3</v>
      </c>
      <c r="P40" s="5" t="n">
        <v>2</v>
      </c>
      <c r="Q40" s="5" t="n"/>
      <c r="R40" s="5" t="n"/>
      <c r="S40" s="5" t="n"/>
      <c r="T40" s="6" t="n">
        <v>42.8</v>
      </c>
      <c r="U40" s="5" t="n"/>
    </row>
    <row r="41" ht="16" customHeight="1" thickBot="1">
      <c r="A41" s="12" t="inlineStr">
        <is>
          <t>C. Murray</t>
        </is>
      </c>
      <c r="B41" s="34">
        <f t="array" ref="B41:C41">_xlfn.XLOOKUP(A40,'Player List'!$A$2:$A$177,'Player List'!$B$2:$C$177)</f>
        <v/>
      </c>
      <c r="C41" s="34" t="inlineStr">
        <is>
          <t>Scrum Half</t>
        </is>
      </c>
      <c r="D41" s="34">
        <f>_xlfn.XLOOKUP(B41,$B$2:$B$7,$C$2:$C$7)</f>
        <v/>
      </c>
      <c r="E41" s="2" t="n">
        <v>16</v>
      </c>
      <c r="F41" s="2" t="n">
        <v>1</v>
      </c>
      <c r="G41" s="2" t="n"/>
      <c r="H41" s="2" t="n"/>
      <c r="I41" s="2" t="n">
        <v>1</v>
      </c>
      <c r="J41" s="2" t="n"/>
      <c r="K41" s="2" t="n"/>
      <c r="L41" s="2" t="n"/>
      <c r="M41" s="2" t="n"/>
      <c r="N41" s="2" t="n">
        <v>1</v>
      </c>
      <c r="O41" s="2" t="n"/>
      <c r="P41" s="2" t="n"/>
      <c r="Q41" s="2" t="n"/>
      <c r="R41" s="2" t="n"/>
      <c r="S41" s="2" t="n"/>
      <c r="T41" s="3" t="n">
        <v>9.800000000000001</v>
      </c>
      <c r="U41" s="2" t="n"/>
    </row>
    <row r="42" ht="16" customHeight="1" thickBot="1">
      <c r="A42" s="13" t="inlineStr">
        <is>
          <t>J. Conan</t>
        </is>
      </c>
      <c r="B42" s="34">
        <f t="array" ref="B42:C42">_xlfn.XLOOKUP(A41,'Player List'!$A$2:$A$177,'Player List'!$B$2:$C$177)</f>
        <v/>
      </c>
      <c r="C42" s="34" t="inlineStr">
        <is>
          <t>Scrum Half</t>
        </is>
      </c>
      <c r="D42" s="34">
        <f>_xlfn.XLOOKUP(B42,$B$2:$B$7,$C$2:$C$7)</f>
        <v/>
      </c>
      <c r="E42" s="5" t="n">
        <v>64</v>
      </c>
      <c r="F42" s="5" t="n">
        <v>1</v>
      </c>
      <c r="G42" s="5" t="n">
        <v>1</v>
      </c>
      <c r="H42" s="5" t="n">
        <v>1</v>
      </c>
      <c r="I42" s="5" t="n">
        <v>12</v>
      </c>
      <c r="J42" s="5" t="n"/>
      <c r="K42" s="5" t="n"/>
      <c r="L42" s="5" t="n"/>
      <c r="M42" s="5" t="n"/>
      <c r="N42" s="5" t="n">
        <v>1</v>
      </c>
      <c r="O42" s="5" t="n"/>
      <c r="P42" s="5" t="n"/>
      <c r="Q42" s="5" t="n"/>
      <c r="R42" s="5" t="n"/>
      <c r="S42" s="5" t="n"/>
      <c r="T42" s="6" t="n">
        <v>30.8</v>
      </c>
      <c r="U42" s="5" t="n"/>
    </row>
    <row r="43" ht="16" customHeight="1" thickBot="1">
      <c r="A43" s="14" t="inlineStr">
        <is>
          <t>C. Doris</t>
        </is>
      </c>
      <c r="B43" s="34">
        <f t="array" ref="B43:C43">_xlfn.XLOOKUP(A42,'Player List'!$A$2:$A$177,'Player List'!$B$2:$C$177)</f>
        <v/>
      </c>
      <c r="C43" s="34" t="inlineStr">
        <is>
          <t>Back Row</t>
        </is>
      </c>
      <c r="D43" s="34">
        <f>_xlfn.XLOOKUP(B43,$B$2:$B$7,$C$2:$C$7)</f>
        <v/>
      </c>
      <c r="E43" s="2" t="n">
        <v>20</v>
      </c>
      <c r="F43" s="2" t="n">
        <v>4</v>
      </c>
      <c r="G43" s="2" t="n"/>
      <c r="H43" s="2" t="n"/>
      <c r="I43" s="2" t="n">
        <v>7</v>
      </c>
      <c r="J43" s="2" t="n"/>
      <c r="K43" s="2" t="n"/>
      <c r="L43" s="2" t="n">
        <v>1</v>
      </c>
      <c r="M43" s="2" t="n"/>
      <c r="N43" s="2" t="n"/>
      <c r="O43" s="2" t="n"/>
      <c r="P43" s="2" t="n"/>
      <c r="Q43" s="2" t="n"/>
      <c r="R43" s="2" t="n"/>
      <c r="S43" s="2" t="n"/>
      <c r="T43" s="3" t="n">
        <v>14.4</v>
      </c>
      <c r="U43" s="2" t="n"/>
    </row>
    <row r="44" ht="16" customHeight="1" thickBot="1">
      <c r="A44" s="13" t="inlineStr">
        <is>
          <t>P. O'Mahony</t>
        </is>
      </c>
      <c r="B44" s="34">
        <f t="array" ref="B44:C44">_xlfn.XLOOKUP(A43,'Player List'!$A$2:$A$177,'Player List'!$B$2:$C$177)</f>
        <v/>
      </c>
      <c r="C44" s="34" t="inlineStr">
        <is>
          <t>Back Row</t>
        </is>
      </c>
      <c r="D44" s="34">
        <f>_xlfn.XLOOKUP(B44,$B$2:$B$7,$C$2:$C$7)</f>
        <v/>
      </c>
      <c r="E44" s="5" t="n">
        <v>80</v>
      </c>
      <c r="F44" s="5" t="n">
        <v>17</v>
      </c>
      <c r="G44" s="5" t="n">
        <v>1</v>
      </c>
      <c r="H44" s="5" t="n"/>
      <c r="I44" s="5" t="n">
        <v>45</v>
      </c>
      <c r="J44" s="5" t="n"/>
      <c r="K44" s="5" t="n"/>
      <c r="L44" s="5" t="n">
        <v>1</v>
      </c>
      <c r="M44" s="5" t="n">
        <v>1</v>
      </c>
      <c r="N44" s="5" t="n"/>
      <c r="O44" s="5" t="n"/>
      <c r="P44" s="5" t="n"/>
      <c r="Q44" s="5" t="n"/>
      <c r="R44" s="5" t="n"/>
      <c r="S44" s="5" t="n"/>
      <c r="T44" s="6" t="n">
        <v>63</v>
      </c>
      <c r="U44" s="5" t="n"/>
    </row>
    <row r="45" ht="16" customHeight="1" thickBot="1">
      <c r="A45" s="14" t="inlineStr">
        <is>
          <t>J. van der Flier</t>
        </is>
      </c>
      <c r="B45" s="34">
        <f t="array" ref="B45:C45">_xlfn.XLOOKUP(A44,'Player List'!$A$2:$A$177,'Player List'!$B$2:$C$177)</f>
        <v/>
      </c>
      <c r="C45" s="34" t="inlineStr">
        <is>
          <t>Back Row</t>
        </is>
      </c>
      <c r="D45" s="34">
        <f>_xlfn.XLOOKUP(B45,$B$2:$B$7,$C$2:$C$7)</f>
        <v/>
      </c>
      <c r="E45" s="2" t="n">
        <v>60</v>
      </c>
      <c r="F45" s="2" t="n">
        <v>4</v>
      </c>
      <c r="G45" s="2" t="n">
        <v>1</v>
      </c>
      <c r="H45" s="2" t="n"/>
      <c r="I45" s="2" t="n">
        <v>25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3" t="n">
        <v>22</v>
      </c>
      <c r="U45" s="2" t="n"/>
    </row>
    <row r="46" ht="16" customHeight="1" thickBot="1">
      <c r="A46" s="15" t="inlineStr">
        <is>
          <t>T. Beirne</t>
        </is>
      </c>
      <c r="B46" s="34">
        <f t="array" ref="B46:C46">_xlfn.XLOOKUP(A45,'Player List'!$A$2:$A$177,'Player List'!$B$2:$C$177)</f>
        <v/>
      </c>
      <c r="C46" s="34" t="inlineStr">
        <is>
          <t>Back Row</t>
        </is>
      </c>
      <c r="D46" s="34">
        <f>_xlfn.XLOOKUP(B46,$B$2:$B$7,$C$2:$C$7)</f>
        <v/>
      </c>
      <c r="E46" s="5" t="n">
        <v>80</v>
      </c>
      <c r="F46" s="5" t="n">
        <v>12</v>
      </c>
      <c r="G46" s="5" t="n">
        <v>1</v>
      </c>
      <c r="H46" s="5" t="n">
        <v>1</v>
      </c>
      <c r="I46" s="5" t="n">
        <v>31</v>
      </c>
      <c r="J46" s="5" t="n"/>
      <c r="K46" s="5" t="n"/>
      <c r="L46" s="5" t="n"/>
      <c r="M46" s="5" t="n">
        <v>1</v>
      </c>
      <c r="N46" s="5" t="n"/>
      <c r="O46" s="5" t="n"/>
      <c r="P46" s="5" t="n"/>
      <c r="Q46" s="5" t="n"/>
      <c r="R46" s="5" t="n"/>
      <c r="S46" s="5" t="n"/>
      <c r="T46" s="6" t="n">
        <v>55.2</v>
      </c>
      <c r="U46" s="5" t="n"/>
    </row>
    <row r="47" ht="16" customHeight="1" thickBot="1">
      <c r="A47" s="16" t="inlineStr">
        <is>
          <t>I. Henderson</t>
        </is>
      </c>
      <c r="B47" s="34">
        <f t="array" ref="B47:C47">_xlfn.XLOOKUP(A46,'Player List'!$A$2:$A$177,'Player List'!$B$2:$C$177)</f>
        <v/>
      </c>
      <c r="C47" s="34" t="inlineStr">
        <is>
          <t>Second Row</t>
        </is>
      </c>
      <c r="D47" s="34">
        <f>_xlfn.XLOOKUP(B47,$B$2:$B$7,$C$2:$C$7)</f>
        <v/>
      </c>
      <c r="E47" s="2" t="n">
        <v>54</v>
      </c>
      <c r="F47" s="2" t="n">
        <v>8</v>
      </c>
      <c r="G47" s="2" t="n">
        <v>1</v>
      </c>
      <c r="H47" s="2" t="n"/>
      <c r="I47" s="2" t="n">
        <v>27</v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3" t="n">
        <v>25.8</v>
      </c>
      <c r="U47" s="2" t="n"/>
    </row>
    <row r="48" ht="16" customHeight="1" thickBot="1">
      <c r="A48" s="15" t="inlineStr">
        <is>
          <t>J. Ryan</t>
        </is>
      </c>
      <c r="B48" s="34">
        <f t="array" ref="B48:C48">_xlfn.XLOOKUP(A47,'Player List'!$A$2:$A$177,'Player List'!$B$2:$C$177)</f>
        <v/>
      </c>
      <c r="C48" s="34" t="inlineStr">
        <is>
          <t>Second Row</t>
        </is>
      </c>
      <c r="D48" s="34">
        <f>_xlfn.XLOOKUP(B48,$B$2:$B$7,$C$2:$C$7)</f>
        <v/>
      </c>
      <c r="E48" s="5" t="n">
        <v>26</v>
      </c>
      <c r="F48" s="5" t="n">
        <v>3</v>
      </c>
      <c r="G48" s="5" t="n"/>
      <c r="H48" s="5" t="n"/>
      <c r="I48" s="5" t="n">
        <v>10</v>
      </c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6" t="n">
        <v>7.6</v>
      </c>
      <c r="U48" s="5" t="n"/>
    </row>
    <row r="49" ht="16" customHeight="1" thickBot="1">
      <c r="A49" s="17" t="inlineStr">
        <is>
          <t>F. Bealham</t>
        </is>
      </c>
      <c r="B49" s="34">
        <f t="array" ref="B49:C49">_xlfn.XLOOKUP(A48,'Player List'!$A$2:$A$177,'Player List'!$B$2:$C$177)</f>
        <v/>
      </c>
      <c r="C49" s="34" t="inlineStr">
        <is>
          <t>Second Row</t>
        </is>
      </c>
      <c r="D49" s="34">
        <f>_xlfn.XLOOKUP(B49,$B$2:$B$7,$C$2:$C$7)</f>
        <v/>
      </c>
      <c r="E49" s="2" t="n">
        <v>80</v>
      </c>
      <c r="F49" s="2" t="n">
        <v>14</v>
      </c>
      <c r="G49" s="2" t="n"/>
      <c r="H49" s="2" t="n"/>
      <c r="I49" s="2" t="n">
        <v>19</v>
      </c>
      <c r="J49" s="2" t="n"/>
      <c r="K49" s="2" t="n">
        <v>1</v>
      </c>
      <c r="L49" s="2" t="n"/>
      <c r="M49" s="2" t="n">
        <v>1</v>
      </c>
      <c r="N49" s="2" t="n"/>
      <c r="O49" s="2" t="n"/>
      <c r="P49" s="2" t="n"/>
      <c r="Q49" s="2" t="n"/>
      <c r="R49" s="2" t="n"/>
      <c r="S49" s="2" t="n"/>
      <c r="T49" s="3" t="n">
        <v>47.8</v>
      </c>
      <c r="U49" s="2" t="n"/>
    </row>
    <row r="50" ht="16" customHeight="1" thickBot="1">
      <c r="A50" s="18" t="inlineStr">
        <is>
          <t>D. Kilcoyne</t>
        </is>
      </c>
      <c r="B50" s="34">
        <f t="array" ref="B50:C50">_xlfn.XLOOKUP(A49,'Player List'!$A$2:$A$177,'Player List'!$B$2:$C$177)</f>
        <v/>
      </c>
      <c r="C50" s="34" t="inlineStr">
        <is>
          <t>Prop</t>
        </is>
      </c>
      <c r="D50" s="34">
        <f>_xlfn.XLOOKUP(B50,$B$2:$B$7,$C$2:$C$7)</f>
        <v/>
      </c>
      <c r="E50" s="5" t="n">
        <v>60</v>
      </c>
      <c r="F50" s="5" t="n">
        <v>12</v>
      </c>
      <c r="G50" s="5" t="n">
        <v>1</v>
      </c>
      <c r="H50" s="5" t="n"/>
      <c r="I50" s="5" t="n">
        <v>15</v>
      </c>
      <c r="J50" s="5" t="n"/>
      <c r="K50" s="5" t="n"/>
      <c r="L50" s="5" t="n"/>
      <c r="M50" s="5" t="n"/>
      <c r="N50" s="5" t="n">
        <v>1</v>
      </c>
      <c r="O50" s="5" t="n"/>
      <c r="P50" s="5" t="n"/>
      <c r="Q50" s="5" t="n"/>
      <c r="R50" s="5" t="n"/>
      <c r="S50" s="5" t="n"/>
      <c r="T50" s="6" t="n">
        <v>35</v>
      </c>
      <c r="U50" s="5" t="n"/>
    </row>
    <row r="51" ht="16" customHeight="1" thickBot="1">
      <c r="A51" s="17" t="inlineStr">
        <is>
          <t>T. O'Toole</t>
        </is>
      </c>
      <c r="B51" s="34">
        <f t="array" ref="B51:C51">_xlfn.XLOOKUP(A50,'Player List'!$A$2:$A$177,'Player List'!$B$2:$C$177)</f>
        <v/>
      </c>
      <c r="C51" s="34" t="inlineStr">
        <is>
          <t>Prop</t>
        </is>
      </c>
      <c r="D51" s="34">
        <f>_xlfn.XLOOKUP(B51,$B$2:$B$7,$C$2:$C$7)</f>
        <v/>
      </c>
      <c r="E51" s="2" t="n">
        <v>7</v>
      </c>
      <c r="F51" s="2" t="n">
        <v>5</v>
      </c>
      <c r="G51" s="2" t="n"/>
      <c r="H51" s="2" t="n"/>
      <c r="I51" s="2" t="n">
        <v>2</v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3" t="n">
        <v>6.1</v>
      </c>
      <c r="U51" s="2" t="n"/>
    </row>
    <row r="52" ht="16" customHeight="1" thickBot="1">
      <c r="A52" s="18" t="inlineStr">
        <is>
          <t>A. Porter</t>
        </is>
      </c>
      <c r="B52" s="34">
        <f t="array" ref="B52:C52">_xlfn.XLOOKUP(A51,'Player List'!$A$2:$A$177,'Player List'!$B$2:$C$177)</f>
        <v/>
      </c>
      <c r="C52" s="34" t="inlineStr">
        <is>
          <t>Prop</t>
        </is>
      </c>
      <c r="D52" s="34">
        <f>_xlfn.XLOOKUP(B52,$B$2:$B$7,$C$2:$C$7)</f>
        <v/>
      </c>
      <c r="E52" s="5" t="n">
        <v>20</v>
      </c>
      <c r="F52" s="5" t="n">
        <v>5</v>
      </c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6" t="n">
        <v>7</v>
      </c>
      <c r="U52" s="5" t="n"/>
    </row>
    <row r="53" ht="16" customHeight="1" thickBot="1">
      <c r="A53" s="19" t="inlineStr">
        <is>
          <t>R. Herring</t>
        </is>
      </c>
      <c r="B53" s="34">
        <f t="array" ref="B53:C53">_xlfn.XLOOKUP(A52,'Player List'!$A$2:$A$177,'Player List'!$B$2:$C$177)</f>
        <v/>
      </c>
      <c r="C53" s="34" t="inlineStr">
        <is>
          <t>Prop</t>
        </is>
      </c>
      <c r="D53" s="34">
        <f>_xlfn.XLOOKUP(B53,$B$2:$B$7,$C$2:$C$7)</f>
        <v/>
      </c>
      <c r="E53" s="2" t="n">
        <v>73</v>
      </c>
      <c r="F53" s="2" t="n">
        <v>11</v>
      </c>
      <c r="G53" s="2" t="n"/>
      <c r="H53" s="2" t="n"/>
      <c r="I53" s="2" t="n">
        <v>25</v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3" t="n">
        <v>23.3</v>
      </c>
      <c r="U53" s="2" t="n"/>
    </row>
    <row r="54" ht="16" customHeight="1" thickBot="1">
      <c r="A54" s="20" t="inlineStr">
        <is>
          <t>D. Sheehan</t>
        </is>
      </c>
      <c r="B54" s="34">
        <f t="array" ref="B54:C54">_xlfn.XLOOKUP(A53,'Player List'!$A$2:$A$177,'Player List'!$B$2:$C$177)</f>
        <v/>
      </c>
      <c r="C54" s="34" t="inlineStr">
        <is>
          <t>Hooker</t>
        </is>
      </c>
      <c r="D54" s="34">
        <f>_xlfn.XLOOKUP(B54,$B$2:$B$7,$C$2:$C$7)</f>
        <v/>
      </c>
      <c r="E54" s="5" t="n">
        <v>7</v>
      </c>
      <c r="F54" s="5" t="n">
        <v>4</v>
      </c>
      <c r="G54" s="5" t="n"/>
      <c r="H54" s="5" t="n"/>
      <c r="I54" s="5" t="n">
        <v>4</v>
      </c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6" t="n">
        <v>5.5</v>
      </c>
      <c r="U54" s="5" t="n"/>
    </row>
    <row r="55" ht="16" customHeight="1" thickBot="1">
      <c r="A55" s="1" t="inlineStr">
        <is>
          <t>O. Hassell-Collins</t>
        </is>
      </c>
      <c r="B55" s="34">
        <f t="array" ref="B55:C55">_xlfn.XLOOKUP(A54,'Player List'!$A$2:$A$177,'Player List'!$B$2:$C$177)</f>
        <v/>
      </c>
      <c r="C55" s="34" t="inlineStr">
        <is>
          <t>Hooker</t>
        </is>
      </c>
      <c r="D55" s="34">
        <f>_xlfn.XLOOKUP(B55,$B$2:$B$7,$C$2:$C$7)</f>
        <v/>
      </c>
      <c r="E55" s="2" t="n">
        <v>73</v>
      </c>
      <c r="F55" s="2" t="n">
        <v>5</v>
      </c>
      <c r="G55" s="2" t="n">
        <v>2</v>
      </c>
      <c r="H55" s="2" t="n">
        <v>2</v>
      </c>
      <c r="I55" s="2" t="n">
        <v>54</v>
      </c>
      <c r="J55" s="2" t="n"/>
      <c r="K55" s="2" t="n">
        <v>1</v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3" t="n">
        <v>58.1</v>
      </c>
      <c r="U55" s="2" t="n"/>
    </row>
    <row r="56" ht="16" customHeight="1" thickBot="1">
      <c r="A56" s="4" t="inlineStr">
        <is>
          <t>M. Malins</t>
        </is>
      </c>
      <c r="B56" s="34">
        <f t="array" ref="B56:C56">_xlfn.XLOOKUP(A55,'Player List'!$A$2:$A$177,'Player List'!$B$2:$C$177)</f>
        <v/>
      </c>
      <c r="C56" s="34" t="inlineStr">
        <is>
          <t>Back Three</t>
        </is>
      </c>
      <c r="D56" s="34">
        <f>_xlfn.XLOOKUP(B56,$B$2:$B$7,$C$2:$C$7)</f>
        <v/>
      </c>
      <c r="E56" s="2" t="n">
        <v>64</v>
      </c>
      <c r="F56" s="2" t="n">
        <v>2</v>
      </c>
      <c r="G56" s="2" t="n"/>
      <c r="H56" s="2" t="n"/>
      <c r="I56" s="2" t="n">
        <v>91</v>
      </c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3" t="n">
        <v>20.2</v>
      </c>
      <c r="U56" s="2" t="n"/>
    </row>
    <row r="57" ht="16" customHeight="1" thickBot="1">
      <c r="A57" s="1" t="inlineStr">
        <is>
          <t>F. Steward</t>
        </is>
      </c>
      <c r="B57" s="34">
        <f t="array" ref="B57:C57">_xlfn.XLOOKUP(A56,'Player List'!$A$2:$A$177,'Player List'!$B$2:$C$177)</f>
        <v/>
      </c>
      <c r="C57" s="34" t="inlineStr">
        <is>
          <t>Back Three</t>
        </is>
      </c>
      <c r="D57" s="34">
        <f>_xlfn.XLOOKUP(B57,$B$2:$B$7,$C$2:$C$7)</f>
        <v/>
      </c>
      <c r="E57" s="5" t="n">
        <v>80</v>
      </c>
      <c r="F57" s="5" t="n">
        <v>5</v>
      </c>
      <c r="G57" s="5" t="n">
        <v>1</v>
      </c>
      <c r="H57" s="5" t="n"/>
      <c r="I57" s="5" t="n">
        <v>67</v>
      </c>
      <c r="J57" s="5" t="n"/>
      <c r="K57" s="5" t="n"/>
      <c r="L57" s="5" t="n"/>
      <c r="M57" s="5" t="n">
        <v>2</v>
      </c>
      <c r="N57" s="5" t="n"/>
      <c r="O57" s="5" t="n"/>
      <c r="P57" s="5" t="n"/>
      <c r="Q57" s="5" t="n"/>
      <c r="R57" s="5" t="n"/>
      <c r="S57" s="5" t="n"/>
      <c r="T57" s="6" t="n">
        <v>55.4</v>
      </c>
      <c r="U57" s="5" t="n"/>
    </row>
    <row r="58" ht="16" customHeight="1" thickBot="1">
      <c r="A58" s="4" t="inlineStr">
        <is>
          <t>A. Watson</t>
        </is>
      </c>
      <c r="B58" s="34">
        <f t="array" ref="B58:C58">_xlfn.XLOOKUP(A57,'Player List'!$A$2:$A$177,'Player List'!$B$2:$C$177)</f>
        <v/>
      </c>
      <c r="C58" s="34" t="inlineStr">
        <is>
          <t>Back Three</t>
        </is>
      </c>
      <c r="D58" s="34">
        <f>_xlfn.XLOOKUP(B58,$B$2:$B$7,$C$2:$C$7)</f>
        <v/>
      </c>
      <c r="E58" s="2" t="n">
        <v>80</v>
      </c>
      <c r="F58" s="2" t="n">
        <v>2</v>
      </c>
      <c r="G58" s="2" t="n"/>
      <c r="H58" s="2" t="n"/>
      <c r="I58" s="2" t="n">
        <v>101</v>
      </c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3" t="n">
        <v>22.2</v>
      </c>
      <c r="U58" s="2" t="n"/>
    </row>
    <row r="59" ht="16" customHeight="1" thickBot="1">
      <c r="A59" s="7" t="inlineStr">
        <is>
          <t>O. Farrell</t>
        </is>
      </c>
      <c r="B59" s="34">
        <f t="array" ref="B59:C59">_xlfn.XLOOKUP(A58,'Player List'!$A$2:$A$177,'Player List'!$B$2:$C$177)</f>
        <v/>
      </c>
      <c r="C59" s="34" t="inlineStr">
        <is>
          <t>Back Three</t>
        </is>
      </c>
      <c r="D59" s="34">
        <f>_xlfn.XLOOKUP(B59,$B$2:$B$7,$C$2:$C$7)</f>
        <v/>
      </c>
      <c r="E59" s="5" t="n">
        <v>16</v>
      </c>
      <c r="F59" s="5" t="n">
        <v>2</v>
      </c>
      <c r="G59" s="5" t="n"/>
      <c r="H59" s="5" t="n"/>
      <c r="I59" s="5" t="n">
        <v>18</v>
      </c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6" t="n">
        <v>5.6</v>
      </c>
      <c r="U59" s="5" t="n"/>
    </row>
    <row r="60" ht="16" customHeight="1" thickBot="1">
      <c r="A60" s="8" t="inlineStr">
        <is>
          <t>O. Lawrence</t>
        </is>
      </c>
      <c r="B60" s="34">
        <f t="array" ref="B60:C60">_xlfn.XLOOKUP(A59,'Player List'!$A$2:$A$177,'Player List'!$B$2:$C$177)</f>
        <v/>
      </c>
      <c r="C60" s="34" t="inlineStr">
        <is>
          <t>Centre</t>
        </is>
      </c>
      <c r="D60" s="34">
        <f>_xlfn.XLOOKUP(B60,$B$2:$B$7,$C$2:$C$7)</f>
        <v/>
      </c>
      <c r="E60" s="2" t="n">
        <v>80</v>
      </c>
      <c r="F60" s="2" t="n">
        <v>3</v>
      </c>
      <c r="G60" s="2" t="n"/>
      <c r="H60" s="2" t="n"/>
      <c r="I60" s="2" t="n">
        <v>56</v>
      </c>
      <c r="J60" s="2" t="n"/>
      <c r="K60" s="2" t="n"/>
      <c r="L60" s="2" t="n"/>
      <c r="M60" s="2" t="n"/>
      <c r="N60" s="2" t="n"/>
      <c r="O60" s="2" t="n">
        <v>1</v>
      </c>
      <c r="P60" s="2" t="n">
        <v>2</v>
      </c>
      <c r="Q60" s="2" t="n"/>
      <c r="R60" s="2" t="n"/>
      <c r="S60" s="2" t="n"/>
      <c r="T60" s="3" t="n">
        <v>26.2</v>
      </c>
      <c r="U60" s="2" t="n"/>
    </row>
    <row r="61" ht="16" customHeight="1" thickBot="1">
      <c r="A61" s="7" t="inlineStr">
        <is>
          <t>J. Marchant</t>
        </is>
      </c>
      <c r="B61" s="34">
        <f t="array" ref="B61:C61">_xlfn.XLOOKUP(A60,'Player List'!$A$2:$A$177,'Player List'!$B$2:$C$177)</f>
        <v/>
      </c>
      <c r="C61" s="34" t="inlineStr">
        <is>
          <t>Centre</t>
        </is>
      </c>
      <c r="D61" s="34">
        <f>_xlfn.XLOOKUP(B61,$B$2:$B$7,$C$2:$C$7)</f>
        <v/>
      </c>
      <c r="E61" s="5" t="n">
        <v>4</v>
      </c>
      <c r="F61" s="5" t="n"/>
      <c r="G61" s="5" t="n"/>
      <c r="H61" s="5" t="n"/>
      <c r="I61" s="5" t="n">
        <v>10</v>
      </c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6" t="n">
        <v>2</v>
      </c>
      <c r="U61" s="5" t="n"/>
    </row>
    <row r="62" ht="16" customHeight="1" thickBot="1">
      <c r="A62" s="10" t="inlineStr">
        <is>
          <t>M. Smith</t>
        </is>
      </c>
      <c r="B62" s="34">
        <f t="array" ref="B62:C62">_xlfn.XLOOKUP(A61,'Player List'!$A$2:$A$177,'Player List'!$B$2:$C$177)</f>
        <v/>
      </c>
      <c r="C62" s="34" t="inlineStr">
        <is>
          <t>Centre</t>
        </is>
      </c>
      <c r="D62" s="34">
        <f>_xlfn.XLOOKUP(B62,$B$2:$B$7,$C$2:$C$7)</f>
        <v/>
      </c>
      <c r="E62" s="2" t="n">
        <v>76</v>
      </c>
      <c r="F62" s="2" t="n">
        <v>6</v>
      </c>
      <c r="G62" s="2" t="n"/>
      <c r="H62" s="2" t="n"/>
      <c r="I62" s="2" t="n">
        <v>58</v>
      </c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3" t="n">
        <v>17.6</v>
      </c>
      <c r="U62" s="2" t="n"/>
    </row>
    <row r="63" ht="16" customHeight="1" thickBot="1">
      <c r="A63" s="11" t="inlineStr">
        <is>
          <t>J. van Poortvliet</t>
        </is>
      </c>
      <c r="B63" s="34">
        <f t="array" ref="B63:C63">_xlfn.XLOOKUP(A62,'Player List'!$A$2:$A$177,'Player List'!$B$2:$C$177)</f>
        <v/>
      </c>
      <c r="C63" s="34" t="inlineStr">
        <is>
          <t>Fly Half</t>
        </is>
      </c>
      <c r="D63" s="34">
        <f>_xlfn.XLOOKUP(B63,$B$2:$B$7,$C$2:$C$7)</f>
        <v/>
      </c>
      <c r="E63" s="5" t="n">
        <v>80</v>
      </c>
      <c r="F63" s="5" t="n">
        <v>6</v>
      </c>
      <c r="G63" s="5" t="n"/>
      <c r="H63" s="5" t="n"/>
      <c r="I63" s="5" t="n">
        <v>112</v>
      </c>
      <c r="J63" s="5" t="n"/>
      <c r="K63" s="5" t="n"/>
      <c r="L63" s="5" t="n"/>
      <c r="M63" s="5" t="n"/>
      <c r="N63" s="5" t="n">
        <v>1</v>
      </c>
      <c r="O63" s="5" t="n"/>
      <c r="P63" s="5" t="n"/>
      <c r="Q63" s="5" t="n"/>
      <c r="R63" s="5" t="n"/>
      <c r="S63" s="5" t="n"/>
      <c r="T63" s="6" t="n">
        <v>35.4</v>
      </c>
      <c r="U63" s="5" t="n"/>
    </row>
    <row r="64" ht="16" customHeight="1" thickBot="1">
      <c r="A64" s="12" t="inlineStr">
        <is>
          <t>B. Youngs</t>
        </is>
      </c>
      <c r="B64" s="34">
        <f t="array" ref="B64:C64">_xlfn.XLOOKUP(A63,'Player List'!$A$2:$A$177,'Player List'!$B$2:$C$177)</f>
        <v/>
      </c>
      <c r="C64" s="34" t="inlineStr">
        <is>
          <t>Scrum Half</t>
        </is>
      </c>
      <c r="D64" s="34">
        <f>_xlfn.XLOOKUP(B64,$B$2:$B$7,$C$2:$C$7)</f>
        <v/>
      </c>
      <c r="E64" s="2" t="n">
        <v>58</v>
      </c>
      <c r="F64" s="2" t="n">
        <v>3</v>
      </c>
      <c r="G64" s="2" t="n"/>
      <c r="H64" s="2" t="n">
        <v>1</v>
      </c>
      <c r="I64" s="2" t="n">
        <v>20</v>
      </c>
      <c r="J64" s="2" t="n"/>
      <c r="K64" s="2" t="n"/>
      <c r="L64" s="2" t="n"/>
      <c r="M64" s="2" t="n"/>
      <c r="N64" s="2" t="n">
        <v>1</v>
      </c>
      <c r="O64" s="2" t="n"/>
      <c r="P64" s="2" t="n"/>
      <c r="Q64" s="2" t="n"/>
      <c r="R64" s="2" t="n"/>
      <c r="S64" s="2" t="n"/>
      <c r="T64" s="3" t="n">
        <v>21</v>
      </c>
      <c r="U64" s="2" t="n"/>
    </row>
    <row r="65" ht="16" customHeight="1" thickBot="1">
      <c r="A65" s="13" t="inlineStr">
        <is>
          <t>B. Curry</t>
        </is>
      </c>
      <c r="B65" s="34">
        <f t="array" ref="B65:C65">_xlfn.XLOOKUP(A64,'Player List'!$A$2:$A$177,'Player List'!$B$2:$C$177)</f>
        <v/>
      </c>
      <c r="C65" s="34" t="inlineStr">
        <is>
          <t>Scrum Half</t>
        </is>
      </c>
      <c r="D65" s="34">
        <f>_xlfn.XLOOKUP(B65,$B$2:$B$7,$C$2:$C$7)</f>
        <v/>
      </c>
      <c r="E65" s="5" t="n">
        <v>22</v>
      </c>
      <c r="F65" s="5" t="n">
        <v>1</v>
      </c>
      <c r="G65" s="5" t="n"/>
      <c r="H65" s="5" t="n"/>
      <c r="I65" s="5" t="n">
        <v>25</v>
      </c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6" t="n">
        <v>6</v>
      </c>
      <c r="U65" s="5" t="n"/>
    </row>
    <row r="66" ht="16" customHeight="1" thickBot="1">
      <c r="A66" s="14" t="inlineStr">
        <is>
          <t>A. Dombrandt</t>
        </is>
      </c>
      <c r="B66" s="34">
        <f t="array" ref="B66:C66">_xlfn.XLOOKUP(A65,'Player List'!$A$2:$A$177,'Player List'!$B$2:$C$177)</f>
        <v/>
      </c>
      <c r="C66" s="34" t="inlineStr">
        <is>
          <t>Back Row</t>
        </is>
      </c>
      <c r="D66" s="34">
        <f>_xlfn.XLOOKUP(B66,$B$2:$B$7,$C$2:$C$7)</f>
        <v/>
      </c>
      <c r="E66" s="2" t="n">
        <v>61</v>
      </c>
      <c r="F66" s="2" t="n">
        <v>9</v>
      </c>
      <c r="G66" s="2" t="n">
        <v>4</v>
      </c>
      <c r="H66" s="2" t="n"/>
      <c r="I66" s="2" t="n">
        <v>37</v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3" t="n">
        <v>44.4</v>
      </c>
      <c r="U66" s="2" t="n"/>
    </row>
    <row r="67" ht="16" customHeight="1" thickBot="1">
      <c r="A67" s="13" t="inlineStr">
        <is>
          <t>B. Earl</t>
        </is>
      </c>
      <c r="B67" s="34">
        <f t="array" ref="B67:C67">_xlfn.XLOOKUP(A66,'Player List'!$A$2:$A$177,'Player List'!$B$2:$C$177)</f>
        <v/>
      </c>
      <c r="C67" s="34" t="inlineStr">
        <is>
          <t>Back Row</t>
        </is>
      </c>
      <c r="D67" s="34">
        <f>_xlfn.XLOOKUP(B67,$B$2:$B$7,$C$2:$C$7)</f>
        <v/>
      </c>
      <c r="E67" s="5" t="n">
        <v>56</v>
      </c>
      <c r="F67" s="5" t="n">
        <v>4</v>
      </c>
      <c r="G67" s="5" t="n"/>
      <c r="H67" s="5" t="n"/>
      <c r="I67" s="5" t="n">
        <v>64</v>
      </c>
      <c r="J67" s="5" t="n"/>
      <c r="K67" s="5" t="n"/>
      <c r="L67" s="5" t="n">
        <v>1</v>
      </c>
      <c r="M67" s="5" t="n"/>
      <c r="N67" s="5" t="n"/>
      <c r="O67" s="5" t="n"/>
      <c r="P67" s="5" t="n"/>
      <c r="Q67" s="5" t="n"/>
      <c r="R67" s="5" t="n"/>
      <c r="S67" s="5" t="n"/>
      <c r="T67" s="6" t="n">
        <v>23.8</v>
      </c>
      <c r="U67" s="5" t="n"/>
    </row>
    <row r="68" ht="16" customHeight="1" thickBot="1">
      <c r="A68" s="14" t="inlineStr">
        <is>
          <t>L. Ludlam</t>
        </is>
      </c>
      <c r="B68" s="34">
        <f t="array" ref="B68:C68">_xlfn.XLOOKUP(A67,'Player List'!$A$2:$A$177,'Player List'!$B$2:$C$177)</f>
        <v/>
      </c>
      <c r="C68" s="34" t="inlineStr">
        <is>
          <t>Back Row</t>
        </is>
      </c>
      <c r="D68" s="34">
        <f>_xlfn.XLOOKUP(B68,$B$2:$B$7,$C$2:$C$7)</f>
        <v/>
      </c>
      <c r="E68" s="2" t="n">
        <v>24</v>
      </c>
      <c r="F68" s="2" t="n">
        <v>2</v>
      </c>
      <c r="G68" s="2" t="n">
        <v>1</v>
      </c>
      <c r="H68" s="2" t="n"/>
      <c r="I68" s="2" t="n">
        <v>42</v>
      </c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3" t="n">
        <v>17.4</v>
      </c>
      <c r="U68" s="2" t="n"/>
    </row>
    <row r="69" ht="16" customHeight="1" thickBot="1">
      <c r="A69" s="15" t="inlineStr">
        <is>
          <t>O. Chessum</t>
        </is>
      </c>
      <c r="B69" s="34">
        <f t="array" ref="B69:C69">_xlfn.XLOOKUP(A68,'Player List'!$A$2:$A$177,'Player List'!$B$2:$C$177)</f>
        <v/>
      </c>
      <c r="C69" s="34" t="inlineStr">
        <is>
          <t>Back Row</t>
        </is>
      </c>
      <c r="D69" s="34">
        <f>_xlfn.XLOOKUP(B69,$B$2:$B$7,$C$2:$C$7)</f>
        <v/>
      </c>
      <c r="E69" s="5" t="n">
        <v>80</v>
      </c>
      <c r="F69" s="5" t="n">
        <v>6</v>
      </c>
      <c r="G69" s="5" t="n">
        <v>1</v>
      </c>
      <c r="H69" s="5" t="n">
        <v>1</v>
      </c>
      <c r="I69" s="5" t="n">
        <v>77</v>
      </c>
      <c r="J69" s="5" t="n"/>
      <c r="K69" s="5" t="n"/>
      <c r="L69" s="5" t="n"/>
      <c r="M69" s="5" t="n"/>
      <c r="N69" s="5" t="n">
        <v>1</v>
      </c>
      <c r="O69" s="5" t="n"/>
      <c r="P69" s="5" t="n"/>
      <c r="Q69" s="5" t="n"/>
      <c r="R69" s="5" t="n"/>
      <c r="S69" s="5" t="n"/>
      <c r="T69" s="6" t="n">
        <v>42.4</v>
      </c>
      <c r="U69" s="5" t="n"/>
    </row>
    <row r="70" ht="16" customHeight="1" thickBot="1">
      <c r="A70" s="16" t="inlineStr">
        <is>
          <t>N. Isiekwe</t>
        </is>
      </c>
      <c r="B70" s="34">
        <f t="array" ref="B70:C70">_xlfn.XLOOKUP(A69,'Player List'!$A$2:$A$177,'Player List'!$B$2:$C$177)</f>
        <v/>
      </c>
      <c r="C70" s="34" t="inlineStr">
        <is>
          <t>Second Row</t>
        </is>
      </c>
      <c r="D70" s="34">
        <f>_xlfn.XLOOKUP(B70,$B$2:$B$7,$C$2:$C$7)</f>
        <v/>
      </c>
      <c r="E70" s="2" t="n">
        <v>80</v>
      </c>
      <c r="F70" s="2" t="n">
        <v>6</v>
      </c>
      <c r="G70" s="2" t="n"/>
      <c r="H70" s="2" t="n"/>
      <c r="I70" s="2" t="n">
        <v>72</v>
      </c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3" t="n">
        <v>20.4</v>
      </c>
      <c r="U70" s="2" t="n"/>
    </row>
    <row r="71" ht="16" customHeight="1" thickBot="1">
      <c r="A71" s="15" t="inlineStr">
        <is>
          <t>M. Itoje</t>
        </is>
      </c>
      <c r="B71" s="34">
        <f t="array" ref="B71:C71">_xlfn.XLOOKUP(A70,'Player List'!$A$2:$A$177,'Player List'!$B$2:$C$177)</f>
        <v/>
      </c>
      <c r="C71" s="34" t="inlineStr">
        <is>
          <t>Second Row</t>
        </is>
      </c>
      <c r="D71" s="34">
        <f>_xlfn.XLOOKUP(B71,$B$2:$B$7,$C$2:$C$7)</f>
        <v/>
      </c>
      <c r="E71" s="5" t="n">
        <v>19</v>
      </c>
      <c r="F71" s="5" t="n">
        <v>1</v>
      </c>
      <c r="G71" s="5" t="n">
        <v>1</v>
      </c>
      <c r="H71" s="5" t="n"/>
      <c r="I71" s="5" t="n">
        <v>3</v>
      </c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6" t="n">
        <v>8.6</v>
      </c>
      <c r="U71" s="5" t="n"/>
    </row>
    <row r="72" ht="16" customHeight="1" thickBot="1">
      <c r="A72" s="17" t="inlineStr">
        <is>
          <t>D. Cole</t>
        </is>
      </c>
      <c r="B72" s="34">
        <f t="array" ref="B72:C72">_xlfn.XLOOKUP(A71,'Player List'!$A$2:$A$177,'Player List'!$B$2:$C$177)</f>
        <v/>
      </c>
      <c r="C72" s="34" t="inlineStr">
        <is>
          <t>Second Row</t>
        </is>
      </c>
      <c r="D72" s="34">
        <f>_xlfn.XLOOKUP(B72,$B$2:$B$7,$C$2:$C$7)</f>
        <v/>
      </c>
      <c r="E72" s="2" t="n">
        <v>80</v>
      </c>
      <c r="F72" s="2" t="n">
        <v>10</v>
      </c>
      <c r="G72" s="2" t="n">
        <v>2</v>
      </c>
      <c r="H72" s="2" t="n"/>
      <c r="I72" s="2" t="n">
        <v>11</v>
      </c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3" t="n">
        <v>26.2</v>
      </c>
      <c r="U72" s="2" t="n"/>
    </row>
    <row r="73" ht="16" customHeight="1" thickBot="1">
      <c r="A73" s="18" t="inlineStr">
        <is>
          <t>E. Genge</t>
        </is>
      </c>
      <c r="B73" s="34">
        <f t="array" ref="B73:C73">_xlfn.XLOOKUP(A72,'Player List'!$A$2:$A$177,'Player List'!$B$2:$C$177)</f>
        <v/>
      </c>
      <c r="C73" s="34" t="inlineStr">
        <is>
          <t>Prop</t>
        </is>
      </c>
      <c r="D73" s="34">
        <f>_xlfn.XLOOKUP(B73,$B$2:$B$7,$C$2:$C$7)</f>
        <v/>
      </c>
      <c r="E73" s="5" t="n">
        <v>19</v>
      </c>
      <c r="F73" s="5" t="n">
        <v>1</v>
      </c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6" t="n">
        <v>1</v>
      </c>
      <c r="U73" s="5" t="n"/>
    </row>
    <row r="74" ht="16" customHeight="1" thickBot="1">
      <c r="A74" s="17" t="inlineStr">
        <is>
          <t>K. Sinckler</t>
        </is>
      </c>
      <c r="B74" s="34">
        <f t="array" ref="B74:C74">_xlfn.XLOOKUP(A73,'Player List'!$A$2:$A$177,'Player List'!$B$2:$C$177)</f>
        <v/>
      </c>
      <c r="C74" s="34" t="inlineStr">
        <is>
          <t>Prop</t>
        </is>
      </c>
      <c r="D74" s="34">
        <f>_xlfn.XLOOKUP(B74,$B$2:$B$7,$C$2:$C$7)</f>
        <v/>
      </c>
      <c r="E74" s="2" t="n">
        <v>61</v>
      </c>
      <c r="F74" s="2" t="n">
        <v>3</v>
      </c>
      <c r="G74" s="2" t="n"/>
      <c r="H74" s="2" t="n"/>
      <c r="I74" s="2" t="n">
        <v>83</v>
      </c>
      <c r="J74" s="2" t="n"/>
      <c r="K74" s="2" t="n"/>
      <c r="L74" s="2" t="n"/>
      <c r="M74" s="2" t="n">
        <v>1</v>
      </c>
      <c r="N74" s="2" t="n"/>
      <c r="O74" s="2" t="n"/>
      <c r="P74" s="2" t="n"/>
      <c r="Q74" s="2" t="n"/>
      <c r="R74" s="2" t="n"/>
      <c r="S74" s="2" t="n"/>
      <c r="T74" s="3" t="n">
        <v>34.6</v>
      </c>
      <c r="U74" s="2" t="n"/>
    </row>
    <row r="75" ht="16" customHeight="1" thickBot="1">
      <c r="A75" s="18" t="inlineStr">
        <is>
          <t>M. Vunipola</t>
        </is>
      </c>
      <c r="B75" s="34">
        <f t="array" ref="B75:C75">_xlfn.XLOOKUP(A74,'Player List'!$A$2:$A$177,'Player List'!$B$2:$C$177)</f>
        <v/>
      </c>
      <c r="C75" s="34" t="inlineStr">
        <is>
          <t>Prop</t>
        </is>
      </c>
      <c r="D75" s="34">
        <f>_xlfn.XLOOKUP(B75,$B$2:$B$7,$C$2:$C$7)</f>
        <v/>
      </c>
      <c r="E75" s="5" t="n">
        <v>61</v>
      </c>
      <c r="F75" s="5" t="n">
        <v>5</v>
      </c>
      <c r="G75" s="5" t="n">
        <v>1</v>
      </c>
      <c r="H75" s="5" t="n"/>
      <c r="I75" s="5" t="n">
        <v>35</v>
      </c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6" t="n">
        <v>19</v>
      </c>
      <c r="U75" s="5" t="n"/>
    </row>
    <row r="76" ht="16" customHeight="1" thickBot="1">
      <c r="A76" s="19" t="inlineStr">
        <is>
          <t>J. George</t>
        </is>
      </c>
      <c r="B76" s="34">
        <f t="array" ref="B76:C76">_xlfn.XLOOKUP(A75,'Player List'!$A$2:$A$177,'Player List'!$B$2:$C$177)</f>
        <v/>
      </c>
      <c r="C76" s="34" t="inlineStr">
        <is>
          <t>Prop</t>
        </is>
      </c>
      <c r="D76" s="34">
        <f>_xlfn.XLOOKUP(B76,$B$2:$B$7,$C$2:$C$7)</f>
        <v/>
      </c>
      <c r="E76" s="2" t="n">
        <v>19</v>
      </c>
      <c r="F76" s="2" t="n">
        <v>2</v>
      </c>
      <c r="G76" s="2" t="n"/>
      <c r="H76" s="2" t="n"/>
      <c r="I76" s="2" t="n">
        <v>27</v>
      </c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3" t="n">
        <v>7.4</v>
      </c>
      <c r="U76" s="2" t="n"/>
    </row>
    <row r="77" ht="16" customHeight="1" thickBot="1">
      <c r="A77" s="1" t="inlineStr">
        <is>
          <t>S. Hogg</t>
        </is>
      </c>
      <c r="B77" s="34">
        <f t="array" ref="B77:C77">_xlfn.XLOOKUP(A76,'Player List'!$A$2:$A$177,'Player List'!$B$2:$C$177)</f>
        <v/>
      </c>
      <c r="C77" s="34" t="inlineStr">
        <is>
          <t>Hooker</t>
        </is>
      </c>
      <c r="D77" s="34">
        <f>_xlfn.XLOOKUP(B77,$B$2:$B$7,$C$2:$C$7)</f>
        <v/>
      </c>
      <c r="E77" s="5" t="n">
        <v>80</v>
      </c>
      <c r="F77" s="5" t="n">
        <v>10</v>
      </c>
      <c r="G77" s="5" t="n"/>
      <c r="H77" s="5" t="n"/>
      <c r="I77" s="5" t="n">
        <v>21</v>
      </c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6" t="n">
        <v>14.2</v>
      </c>
      <c r="U77" s="5" t="n"/>
    </row>
    <row r="78" ht="16" customHeight="1" thickBot="1">
      <c r="A78" s="4" t="inlineStr">
        <is>
          <t>B. Kinghorn</t>
        </is>
      </c>
      <c r="B78" s="34">
        <f t="array" ref="B78:C78">_xlfn.XLOOKUP(A77,'Player List'!$A$2:$A$177,'Player List'!$B$2:$C$177)</f>
        <v/>
      </c>
      <c r="C78" s="34" t="inlineStr">
        <is>
          <t>Back Three</t>
        </is>
      </c>
      <c r="D78" s="34">
        <f>_xlfn.XLOOKUP(B78,$B$2:$B$7,$C$2:$C$7)</f>
        <v/>
      </c>
      <c r="E78" s="2" t="n">
        <v>66</v>
      </c>
      <c r="F78" s="2" t="n">
        <v>3</v>
      </c>
      <c r="G78" s="2" t="n">
        <v>1</v>
      </c>
      <c r="H78" s="2" t="n"/>
      <c r="I78" s="2" t="n">
        <v>54</v>
      </c>
      <c r="J78" s="2" t="n"/>
      <c r="K78" s="2" t="n"/>
      <c r="L78" s="2" t="n">
        <v>1</v>
      </c>
      <c r="M78" s="2" t="n"/>
      <c r="N78" s="2" t="n"/>
      <c r="O78" s="2" t="n"/>
      <c r="P78" s="2" t="n"/>
      <c r="Q78" s="2" t="n"/>
      <c r="R78" s="2" t="n"/>
      <c r="S78" s="2" t="n"/>
      <c r="T78" s="3" t="n">
        <v>34.4</v>
      </c>
      <c r="U78" s="2" t="n"/>
    </row>
    <row r="79" ht="16" customHeight="1" thickBot="1">
      <c r="A79" s="1" t="inlineStr">
        <is>
          <t>K. Steyn</t>
        </is>
      </c>
      <c r="B79" s="34">
        <f t="array" ref="B79:C79">_xlfn.XLOOKUP(A78,'Player List'!$A$2:$A$177,'Player List'!$B$2:$C$177)</f>
        <v/>
      </c>
      <c r="C79" s="34" t="inlineStr">
        <is>
          <t>Back Three</t>
        </is>
      </c>
      <c r="D79" s="34">
        <f>_xlfn.XLOOKUP(B79,$B$2:$B$7,$C$2:$C$7)</f>
        <v/>
      </c>
      <c r="E79" s="5" t="n">
        <v>14</v>
      </c>
      <c r="F79" s="5" t="n"/>
      <c r="G79" s="5" t="n"/>
      <c r="H79" s="5" t="n"/>
      <c r="I79" s="5" t="n">
        <v>34</v>
      </c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6" t="n">
        <v>8.199999999999999</v>
      </c>
      <c r="U79" s="5" t="n"/>
    </row>
    <row r="80" ht="16" customHeight="1" thickBot="1">
      <c r="A80" s="4" t="inlineStr">
        <is>
          <t>D. van der Merwe</t>
        </is>
      </c>
      <c r="B80" s="34">
        <f t="array" ref="B80:C80">_xlfn.XLOOKUP(A79,'Player List'!$A$2:$A$177,'Player List'!$B$2:$C$177)</f>
        <v/>
      </c>
      <c r="C80" s="34" t="inlineStr">
        <is>
          <t>Back Three</t>
        </is>
      </c>
      <c r="D80" s="34">
        <f>_xlfn.XLOOKUP(B80,$B$2:$B$7,$C$2:$C$7)</f>
        <v/>
      </c>
      <c r="E80" s="2" t="n">
        <v>80</v>
      </c>
      <c r="F80" s="2" t="n">
        <v>6</v>
      </c>
      <c r="G80" s="2" t="n">
        <v>1</v>
      </c>
      <c r="H80" s="2" t="n">
        <v>2</v>
      </c>
      <c r="I80" s="2" t="n">
        <v>64</v>
      </c>
      <c r="J80" s="2" t="n"/>
      <c r="K80" s="2" t="n"/>
      <c r="L80" s="2" t="n"/>
      <c r="M80" s="2" t="n"/>
      <c r="N80" s="2" t="n">
        <v>1</v>
      </c>
      <c r="O80" s="2" t="n"/>
      <c r="P80" s="2" t="n"/>
      <c r="Q80" s="2" t="n"/>
      <c r="R80" s="2" t="n"/>
      <c r="S80" s="2" t="n"/>
      <c r="T80" s="3" t="n">
        <v>54.8</v>
      </c>
      <c r="U80" s="2" t="n"/>
    </row>
    <row r="81" ht="16" customHeight="1" thickBot="1">
      <c r="A81" s="7" t="inlineStr">
        <is>
          <t>C. Harris</t>
        </is>
      </c>
      <c r="B81" s="34">
        <f t="array" ref="B81:C81">_xlfn.XLOOKUP(A80,'Player List'!$A$2:$A$177,'Player List'!$B$2:$C$177)</f>
        <v/>
      </c>
      <c r="C81" s="34" t="inlineStr">
        <is>
          <t>Back Three</t>
        </is>
      </c>
      <c r="D81" s="34">
        <f>_xlfn.XLOOKUP(B81,$B$2:$B$7,$C$2:$C$7)</f>
        <v/>
      </c>
      <c r="E81" s="5" t="n">
        <v>80</v>
      </c>
      <c r="F81" s="5" t="n">
        <v>2</v>
      </c>
      <c r="G81" s="5" t="n"/>
      <c r="H81" s="5" t="n">
        <v>2</v>
      </c>
      <c r="I81" s="5" t="n">
        <v>104</v>
      </c>
      <c r="J81" s="5" t="n"/>
      <c r="K81" s="5" t="n"/>
      <c r="L81" s="5" t="n"/>
      <c r="M81" s="5" t="n">
        <v>2</v>
      </c>
      <c r="N81" s="5" t="n"/>
      <c r="O81" s="5" t="n"/>
      <c r="P81" s="5" t="n"/>
      <c r="Q81" s="5" t="n"/>
      <c r="R81" s="5" t="n"/>
      <c r="S81" s="5" t="n"/>
      <c r="T81" s="6" t="n">
        <v>89.8</v>
      </c>
      <c r="U81" s="5" t="n">
        <v>1</v>
      </c>
    </row>
    <row r="82" ht="16" customHeight="1" thickBot="1">
      <c r="A82" s="8" t="inlineStr">
        <is>
          <t>H. Jones</t>
        </is>
      </c>
      <c r="B82" s="34">
        <f t="array" ref="B82:C82">_xlfn.XLOOKUP(A81,'Player List'!$A$2:$A$177,'Player List'!$B$2:$C$177)</f>
        <v/>
      </c>
      <c r="C82" s="34" t="inlineStr">
        <is>
          <t>Centre</t>
        </is>
      </c>
      <c r="D82" s="34">
        <f>_xlfn.XLOOKUP(B82,$B$2:$B$7,$C$2:$C$7)</f>
        <v/>
      </c>
      <c r="E82" s="2" t="n">
        <v>4</v>
      </c>
      <c r="F82" s="2" t="n">
        <v>1</v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3" t="n">
        <v>1.4</v>
      </c>
      <c r="U82" s="2" t="n"/>
    </row>
    <row r="83" ht="16" customHeight="1" thickBot="1">
      <c r="A83" s="7" t="inlineStr">
        <is>
          <t>S. Tuipulotu</t>
        </is>
      </c>
      <c r="B83" s="34">
        <f t="array" ref="B83:C83">_xlfn.XLOOKUP(A82,'Player List'!$A$2:$A$177,'Player List'!$B$2:$C$177)</f>
        <v/>
      </c>
      <c r="C83" s="34" t="inlineStr">
        <is>
          <t>Centre</t>
        </is>
      </c>
      <c r="D83" s="34">
        <f>_xlfn.XLOOKUP(B83,$B$2:$B$7,$C$2:$C$7)</f>
        <v/>
      </c>
      <c r="E83" s="5" t="n">
        <v>76</v>
      </c>
      <c r="F83" s="5" t="n">
        <v>12</v>
      </c>
      <c r="G83" s="5" t="n"/>
      <c r="H83" s="5" t="n">
        <v>1</v>
      </c>
      <c r="I83" s="5" t="n">
        <v>47</v>
      </c>
      <c r="J83" s="5" t="n"/>
      <c r="K83" s="5" t="n"/>
      <c r="L83" s="5" t="n"/>
      <c r="M83" s="5" t="n">
        <v>1</v>
      </c>
      <c r="N83" s="5" t="n"/>
      <c r="O83" s="5" t="n"/>
      <c r="P83" s="5" t="n"/>
      <c r="Q83" s="5" t="n"/>
      <c r="R83" s="5" t="n"/>
      <c r="S83" s="5" t="n"/>
      <c r="T83" s="6" t="n">
        <v>51</v>
      </c>
      <c r="U83" s="5" t="n"/>
    </row>
    <row r="84" ht="16" customHeight="1" thickBot="1">
      <c r="A84" s="10" t="inlineStr">
        <is>
          <t>F. Russell</t>
        </is>
      </c>
      <c r="B84" s="34">
        <f t="array" ref="B84:C84">_xlfn.XLOOKUP(A83,'Player List'!$A$2:$A$177,'Player List'!$B$2:$C$177)</f>
        <v/>
      </c>
      <c r="C84" s="34" t="inlineStr">
        <is>
          <t>Centre</t>
        </is>
      </c>
      <c r="D84" s="34">
        <f>_xlfn.XLOOKUP(B84,$B$2:$B$7,$C$2:$C$7)</f>
        <v/>
      </c>
      <c r="E84" s="2" t="n">
        <v>80</v>
      </c>
      <c r="F84" s="2" t="n">
        <v>10</v>
      </c>
      <c r="G84" s="2" t="n">
        <v>1</v>
      </c>
      <c r="H84" s="2" t="n"/>
      <c r="I84" s="2" t="n">
        <v>63</v>
      </c>
      <c r="J84" s="2" t="n"/>
      <c r="K84" s="2" t="n"/>
      <c r="L84" s="2" t="n"/>
      <c r="M84" s="2" t="n"/>
      <c r="N84" s="2" t="n">
        <v>1</v>
      </c>
      <c r="O84" s="2" t="n"/>
      <c r="P84" s="2" t="n"/>
      <c r="Q84" s="2" t="n"/>
      <c r="R84" s="2" t="n"/>
      <c r="S84" s="2" t="n"/>
      <c r="T84" s="3" t="n">
        <v>44.6</v>
      </c>
      <c r="U84" s="2" t="n"/>
    </row>
    <row r="85" ht="16" customHeight="1" thickBot="1">
      <c r="A85" s="11" t="inlineStr">
        <is>
          <t>G. Horne</t>
        </is>
      </c>
      <c r="B85" s="34">
        <f t="array" ref="B85:C85">_xlfn.XLOOKUP(A84,'Player List'!$A$2:$A$177,'Player List'!$B$2:$C$177)</f>
        <v/>
      </c>
      <c r="C85" s="34" t="inlineStr">
        <is>
          <t>Fly Half</t>
        </is>
      </c>
      <c r="D85" s="34">
        <f>_xlfn.XLOOKUP(B85,$B$2:$B$7,$C$2:$C$7)</f>
        <v/>
      </c>
      <c r="E85" s="5" t="n">
        <v>80</v>
      </c>
      <c r="F85" s="5" t="n">
        <v>10</v>
      </c>
      <c r="G85" s="5" t="n">
        <v>1</v>
      </c>
      <c r="H85" s="5" t="n"/>
      <c r="I85" s="5" t="n">
        <v>85</v>
      </c>
      <c r="J85" s="5" t="n"/>
      <c r="K85" s="5" t="n"/>
      <c r="L85" s="5" t="n"/>
      <c r="M85" s="5" t="n"/>
      <c r="N85" s="5" t="n"/>
      <c r="O85" s="5" t="n">
        <v>3</v>
      </c>
      <c r="P85" s="5" t="n">
        <v>1</v>
      </c>
      <c r="Q85" s="5" t="n"/>
      <c r="R85" s="5" t="n"/>
      <c r="S85" s="5" t="n"/>
      <c r="T85" s="6" t="n">
        <v>53</v>
      </c>
      <c r="U85" s="5" t="n"/>
    </row>
    <row r="86" ht="16" customHeight="1" thickBot="1">
      <c r="A86" s="12" t="inlineStr">
        <is>
          <t>B. White</t>
        </is>
      </c>
      <c r="B86" s="34">
        <f t="array" ref="B86:C86">_xlfn.XLOOKUP(A85,'Player List'!$A$2:$A$177,'Player List'!$B$2:$C$177)</f>
        <v/>
      </c>
      <c r="C86" s="34" t="inlineStr">
        <is>
          <t>Scrum Half</t>
        </is>
      </c>
      <c r="D86" s="34">
        <f>_xlfn.XLOOKUP(B86,$B$2:$B$7,$C$2:$C$7)</f>
        <v/>
      </c>
      <c r="E86" s="2" t="n">
        <v>11</v>
      </c>
      <c r="F86" s="2" t="n">
        <v>1</v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3" t="n">
        <v>2.1</v>
      </c>
      <c r="U86" s="2" t="n"/>
    </row>
    <row r="87" ht="16" customHeight="1" thickBot="1">
      <c r="A87" s="13" t="inlineStr">
        <is>
          <t>L. Crosbie</t>
        </is>
      </c>
      <c r="B87" s="34">
        <f t="array" ref="B87:C87">_xlfn.XLOOKUP(A86,'Player List'!$A$2:$A$177,'Player List'!$B$2:$C$177)</f>
        <v/>
      </c>
      <c r="C87" s="34" t="inlineStr">
        <is>
          <t>Scrum Half</t>
        </is>
      </c>
      <c r="D87" s="34">
        <f>_xlfn.XLOOKUP(B87,$B$2:$B$7,$C$2:$C$7)</f>
        <v/>
      </c>
      <c r="E87" s="5" t="n">
        <v>69</v>
      </c>
      <c r="F87" s="5" t="n">
        <v>9</v>
      </c>
      <c r="G87" s="5" t="n">
        <v>1</v>
      </c>
      <c r="H87" s="5" t="n">
        <v>1</v>
      </c>
      <c r="I87" s="5" t="n">
        <v>21</v>
      </c>
      <c r="J87" s="5" t="n"/>
      <c r="K87" s="5" t="n"/>
      <c r="L87" s="5" t="n"/>
      <c r="M87" s="5" t="n">
        <v>1</v>
      </c>
      <c r="N87" s="5" t="n"/>
      <c r="O87" s="5" t="n"/>
      <c r="P87" s="5" t="n"/>
      <c r="Q87" s="5" t="n"/>
      <c r="R87" s="5" t="n"/>
      <c r="S87" s="5" t="n"/>
      <c r="T87" s="6" t="n">
        <v>49.1</v>
      </c>
      <c r="U87" s="5" t="n"/>
    </row>
    <row r="88" ht="16" customHeight="1" thickBot="1">
      <c r="A88" s="14" t="inlineStr">
        <is>
          <t>J. Dempsey</t>
        </is>
      </c>
      <c r="B88" s="34">
        <f t="array" ref="B88:C88">_xlfn.XLOOKUP(A87,'Player List'!$A$2:$A$177,'Player List'!$B$2:$C$177)</f>
        <v/>
      </c>
      <c r="C88" s="34" t="inlineStr">
        <is>
          <t>Back Row</t>
        </is>
      </c>
      <c r="D88" s="34">
        <f>_xlfn.XLOOKUP(B88,$B$2:$B$7,$C$2:$C$7)</f>
        <v/>
      </c>
      <c r="E88" s="2" t="n">
        <v>58</v>
      </c>
      <c r="F88" s="2" t="n">
        <v>17</v>
      </c>
      <c r="G88" s="2" t="n">
        <v>3</v>
      </c>
      <c r="H88" s="2" t="n"/>
      <c r="I88" s="2" t="n">
        <v>9</v>
      </c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3" t="n">
        <v>45.6</v>
      </c>
      <c r="U88" s="2" t="n"/>
    </row>
    <row r="89" ht="16" customHeight="1" thickBot="1">
      <c r="A89" s="13" t="inlineStr">
        <is>
          <t>M. Fagerson</t>
        </is>
      </c>
      <c r="B89" s="34">
        <f t="array" ref="B89:C89">_xlfn.XLOOKUP(A88,'Player List'!$A$2:$A$177,'Player List'!$B$2:$C$177)</f>
        <v/>
      </c>
      <c r="C89" s="34" t="inlineStr">
        <is>
          <t>Back Row</t>
        </is>
      </c>
      <c r="D89" s="34">
        <f>_xlfn.XLOOKUP(B89,$B$2:$B$7,$C$2:$C$7)</f>
        <v/>
      </c>
      <c r="E89" s="5" t="n">
        <v>22</v>
      </c>
      <c r="F89" s="5" t="n">
        <v>6</v>
      </c>
      <c r="G89" s="5" t="n"/>
      <c r="H89" s="5" t="n"/>
      <c r="I89" s="5" t="n">
        <v>13</v>
      </c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6" t="n">
        <v>10.8</v>
      </c>
      <c r="U89" s="5" t="n"/>
    </row>
    <row r="90" ht="16" customHeight="1" thickBot="1">
      <c r="A90" s="14" t="inlineStr">
        <is>
          <t>J. Ritchie</t>
        </is>
      </c>
      <c r="B90" s="34">
        <f t="array" ref="B90:C90">_xlfn.XLOOKUP(A89,'Player List'!$A$2:$A$177,'Player List'!$B$2:$C$177)</f>
        <v/>
      </c>
      <c r="C90" s="34" t="inlineStr">
        <is>
          <t>Back Row</t>
        </is>
      </c>
      <c r="D90" s="34">
        <f>_xlfn.XLOOKUP(B90,$B$2:$B$7,$C$2:$C$7)</f>
        <v/>
      </c>
      <c r="E90" s="2" t="n">
        <v>80</v>
      </c>
      <c r="F90" s="2" t="n">
        <v>24</v>
      </c>
      <c r="G90" s="2" t="n">
        <v>2</v>
      </c>
      <c r="H90" s="2" t="n"/>
      <c r="I90" s="2" t="n">
        <v>31</v>
      </c>
      <c r="J90" s="2" t="n"/>
      <c r="K90" s="2" t="n"/>
      <c r="L90" s="2" t="n"/>
      <c r="M90" s="2" t="n"/>
      <c r="N90" s="2" t="n">
        <v>1</v>
      </c>
      <c r="O90" s="2" t="n"/>
      <c r="P90" s="2" t="n"/>
      <c r="Q90" s="2" t="n"/>
      <c r="R90" s="2" t="n"/>
      <c r="S90" s="2" t="n"/>
      <c r="T90" s="3" t="n">
        <v>59.2</v>
      </c>
      <c r="U90" s="2" t="n"/>
    </row>
    <row r="91" ht="16" customHeight="1" thickBot="1">
      <c r="A91" s="15" t="inlineStr">
        <is>
          <t>G. Gilchrist</t>
        </is>
      </c>
      <c r="B91" s="34">
        <f t="array" ref="B91:C91">_xlfn.XLOOKUP(A90,'Player List'!$A$2:$A$177,'Player List'!$B$2:$C$177)</f>
        <v/>
      </c>
      <c r="C91" s="34" t="inlineStr">
        <is>
          <t>Back Row</t>
        </is>
      </c>
      <c r="D91" s="34">
        <f>_xlfn.XLOOKUP(B91,$B$2:$B$7,$C$2:$C$7)</f>
        <v/>
      </c>
      <c r="E91" s="5" t="n">
        <v>80</v>
      </c>
      <c r="F91" s="5" t="n">
        <v>11</v>
      </c>
      <c r="G91" s="5" t="n">
        <v>2</v>
      </c>
      <c r="H91" s="5" t="n"/>
      <c r="I91" s="5" t="n">
        <v>31</v>
      </c>
      <c r="J91" s="5" t="n"/>
      <c r="K91" s="5" t="n"/>
      <c r="L91" s="5" t="n">
        <v>1</v>
      </c>
      <c r="M91" s="5" t="n"/>
      <c r="N91" s="5" t="n"/>
      <c r="O91" s="5" t="n"/>
      <c r="P91" s="5" t="n"/>
      <c r="Q91" s="5" t="n"/>
      <c r="R91" s="5" t="n"/>
      <c r="S91" s="5" t="n"/>
      <c r="T91" s="6" t="n">
        <v>46.2</v>
      </c>
      <c r="U91" s="5" t="n"/>
    </row>
    <row r="92" ht="16" customHeight="1" thickBot="1">
      <c r="A92" s="16" t="inlineStr">
        <is>
          <t>J. Gray</t>
        </is>
      </c>
      <c r="B92" s="34">
        <f t="array" ref="B92:C92">_xlfn.XLOOKUP(A91,'Player List'!$A$2:$A$177,'Player List'!$B$2:$C$177)</f>
        <v/>
      </c>
      <c r="C92" s="34" t="inlineStr">
        <is>
          <t>Second Row</t>
        </is>
      </c>
      <c r="D92" s="34">
        <f>_xlfn.XLOOKUP(B92,$B$2:$B$7,$C$2:$C$7)</f>
        <v/>
      </c>
      <c r="E92" s="2" t="n">
        <v>66</v>
      </c>
      <c r="F92" s="2" t="n">
        <v>13</v>
      </c>
      <c r="G92" s="2" t="n">
        <v>1</v>
      </c>
      <c r="H92" s="2" t="n"/>
      <c r="I92" s="2" t="n">
        <v>4</v>
      </c>
      <c r="J92" s="2" t="n"/>
      <c r="K92" s="2" t="n">
        <v>1</v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3" t="n">
        <v>34.4</v>
      </c>
      <c r="U92" s="2" t="n"/>
    </row>
    <row r="93" ht="16" customHeight="1" thickBot="1">
      <c r="A93" s="15" t="inlineStr">
        <is>
          <t>R. Gray</t>
        </is>
      </c>
      <c r="B93" s="34">
        <f t="array" ref="B93:C93">_xlfn.XLOOKUP(A92,'Player List'!$A$2:$A$177,'Player List'!$B$2:$C$177)</f>
        <v/>
      </c>
      <c r="C93" s="34" t="inlineStr">
        <is>
          <t>Second Row</t>
        </is>
      </c>
      <c r="D93" s="34">
        <f>_xlfn.XLOOKUP(B93,$B$2:$B$7,$C$2:$C$7)</f>
        <v/>
      </c>
      <c r="E93" s="5" t="n">
        <v>14</v>
      </c>
      <c r="F93" s="5" t="n">
        <v>3</v>
      </c>
      <c r="G93" s="5" t="n">
        <v>1</v>
      </c>
      <c r="H93" s="5" t="n"/>
      <c r="I93" s="5" t="n">
        <v>7</v>
      </c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6" t="n">
        <v>12.8</v>
      </c>
      <c r="U93" s="5" t="n"/>
    </row>
    <row r="94" ht="16" customHeight="1" thickBot="1">
      <c r="A94" s="17" t="inlineStr">
        <is>
          <t>S. Berghan</t>
        </is>
      </c>
      <c r="B94" s="34">
        <f t="array" ref="B94:C94">_xlfn.XLOOKUP(A93,'Player List'!$A$2:$A$177,'Player List'!$B$2:$C$177)</f>
        <v/>
      </c>
      <c r="C94" s="34" t="inlineStr">
        <is>
          <t>Second Row</t>
        </is>
      </c>
      <c r="D94" s="34">
        <f>_xlfn.XLOOKUP(B94,$B$2:$B$7,$C$2:$C$7)</f>
        <v/>
      </c>
      <c r="E94" s="2" t="n">
        <v>80</v>
      </c>
      <c r="F94" s="2" t="n">
        <v>15</v>
      </c>
      <c r="G94" s="2" t="n">
        <v>2</v>
      </c>
      <c r="H94" s="2" t="n"/>
      <c r="I94" s="2" t="n">
        <v>6</v>
      </c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3" t="n">
        <v>38.2</v>
      </c>
      <c r="U94" s="2" t="n"/>
    </row>
    <row r="95" ht="16" customHeight="1" thickBot="1">
      <c r="A95" s="18" t="inlineStr">
        <is>
          <t>J. Bhatti</t>
        </is>
      </c>
      <c r="B95" s="34">
        <f t="array" ref="B95:C95">_xlfn.XLOOKUP(A94,'Player List'!$A$2:$A$177,'Player List'!$B$2:$C$177)</f>
        <v/>
      </c>
      <c r="C95" s="34" t="inlineStr">
        <is>
          <t>Prop</t>
        </is>
      </c>
      <c r="D95" s="34">
        <f>_xlfn.XLOOKUP(B95,$B$2:$B$7,$C$2:$C$7)</f>
        <v/>
      </c>
      <c r="E95" s="5" t="n">
        <v>22</v>
      </c>
      <c r="F95" s="5" t="n">
        <v>8</v>
      </c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6" t="n">
        <v>10.2</v>
      </c>
      <c r="U95" s="5" t="n"/>
    </row>
    <row r="96" ht="16" customHeight="1" thickBot="1">
      <c r="A96" s="17" t="inlineStr">
        <is>
          <t>W. Nel</t>
        </is>
      </c>
      <c r="B96" s="34">
        <f t="array" ref="B96:C96">_xlfn.XLOOKUP(A95,'Player List'!$A$2:$A$177,'Player List'!$B$2:$C$177)</f>
        <v/>
      </c>
      <c r="C96" s="34" t="inlineStr">
        <is>
          <t>Prop</t>
        </is>
      </c>
      <c r="D96" s="34">
        <f>_xlfn.XLOOKUP(B96,$B$2:$B$7,$C$2:$C$7)</f>
        <v/>
      </c>
      <c r="E96" s="2" t="n">
        <v>14</v>
      </c>
      <c r="F96" s="2" t="n">
        <v>3</v>
      </c>
      <c r="G96" s="2" t="n"/>
      <c r="H96" s="2" t="n"/>
      <c r="I96" s="2" t="n">
        <v>2</v>
      </c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3" t="n">
        <v>4.8</v>
      </c>
      <c r="U96" s="2" t="n"/>
    </row>
    <row r="97" ht="16" customHeight="1" thickBot="1">
      <c r="A97" s="18" t="inlineStr">
        <is>
          <t>P. Schoeman</t>
        </is>
      </c>
      <c r="B97" s="34">
        <f t="array" ref="B97:C97">_xlfn.XLOOKUP(A96,'Player List'!$A$2:$A$177,'Player List'!$B$2:$C$177)</f>
        <v/>
      </c>
      <c r="C97" s="34" t="inlineStr">
        <is>
          <t>Prop</t>
        </is>
      </c>
      <c r="D97" s="34">
        <f>_xlfn.XLOOKUP(B97,$B$2:$B$7,$C$2:$C$7)</f>
        <v/>
      </c>
      <c r="E97" s="5" t="n">
        <v>58</v>
      </c>
      <c r="F97" s="5" t="n">
        <v>11</v>
      </c>
      <c r="G97" s="5" t="n"/>
      <c r="H97" s="5" t="n"/>
      <c r="I97" s="5" t="n">
        <v>3</v>
      </c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6" t="n">
        <v>17.4</v>
      </c>
      <c r="U97" s="5" t="n"/>
    </row>
    <row r="98" ht="16" customHeight="1" thickBot="1">
      <c r="A98" s="19" t="inlineStr">
        <is>
          <t>F. Brown</t>
        </is>
      </c>
      <c r="B98" s="34">
        <f t="array" ref="B98:C98">_xlfn.XLOOKUP(A97,'Player List'!$A$2:$A$177,'Player List'!$B$2:$C$177)</f>
        <v/>
      </c>
      <c r="C98" s="34" t="inlineStr">
        <is>
          <t>Prop</t>
        </is>
      </c>
      <c r="D98" s="34">
        <f>_xlfn.XLOOKUP(B98,$B$2:$B$7,$C$2:$C$7)</f>
        <v/>
      </c>
      <c r="E98" s="2" t="n">
        <v>66</v>
      </c>
      <c r="F98" s="2" t="n">
        <v>15</v>
      </c>
      <c r="G98" s="2" t="n"/>
      <c r="H98" s="2" t="n"/>
      <c r="I98" s="2" t="n">
        <v>25</v>
      </c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3" t="n">
        <v>26.6</v>
      </c>
      <c r="U98" s="2" t="n"/>
    </row>
    <row r="99" ht="16" customHeight="1" thickBot="1">
      <c r="A99" s="20" t="inlineStr">
        <is>
          <t>G. Turner</t>
        </is>
      </c>
      <c r="B99" s="34">
        <f t="array" ref="B99:C99">_xlfn.XLOOKUP(A98,'Player List'!$A$2:$A$177,'Player List'!$B$2:$C$177)</f>
        <v/>
      </c>
      <c r="C99" s="34" t="inlineStr">
        <is>
          <t>Hooker</t>
        </is>
      </c>
      <c r="D99" s="34">
        <f>_xlfn.XLOOKUP(B99,$B$2:$B$7,$C$2:$C$7)</f>
        <v/>
      </c>
      <c r="E99" s="5" t="n">
        <v>22</v>
      </c>
      <c r="F99" s="5" t="n">
        <v>3</v>
      </c>
      <c r="G99" s="5" t="n"/>
      <c r="H99" s="5" t="n"/>
      <c r="I99" s="5" t="n">
        <v>2</v>
      </c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6" t="n">
        <v>5.6</v>
      </c>
      <c r="U99" s="5" t="n"/>
    </row>
    <row r="100" ht="16" customHeight="1" thickBot="1">
      <c r="A100" s="1" t="inlineStr">
        <is>
          <t>P. Bruno</t>
        </is>
      </c>
      <c r="B100" s="34">
        <f t="array" ref="B100:C100">_xlfn.XLOOKUP(A99,'Player List'!$A$2:$A$177,'Player List'!$B$2:$C$177)</f>
        <v/>
      </c>
      <c r="C100" s="34" t="inlineStr">
        <is>
          <t>Hooker</t>
        </is>
      </c>
      <c r="D100" s="34">
        <f>_xlfn.XLOOKUP(B100,$B$2:$B$7,$C$2:$C$7)</f>
        <v/>
      </c>
      <c r="E100" s="2" t="n">
        <v>58</v>
      </c>
      <c r="F100" s="2" t="n">
        <v>11</v>
      </c>
      <c r="G100" s="2" t="n">
        <v>2</v>
      </c>
      <c r="H100" s="2" t="n"/>
      <c r="I100" s="2" t="n">
        <v>21</v>
      </c>
      <c r="J100" s="2" t="n"/>
      <c r="K100" s="2" t="n">
        <v>1</v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3" t="n">
        <v>42</v>
      </c>
      <c r="U100" s="2" t="n"/>
    </row>
    <row r="101" ht="16" customHeight="1" thickBot="1">
      <c r="A101" s="4" t="inlineStr">
        <is>
          <t>A. Capuozzo</t>
        </is>
      </c>
      <c r="B101" s="34">
        <f t="array" ref="B101:C101">_xlfn.XLOOKUP(A100,'Player List'!$A$2:$A$177,'Player List'!$B$2:$C$177)</f>
        <v/>
      </c>
      <c r="C101" s="34" t="inlineStr">
        <is>
          <t>Back Three</t>
        </is>
      </c>
      <c r="D101" s="34">
        <f>_xlfn.XLOOKUP(B101,$B$2:$B$7,$C$2:$C$7)</f>
        <v/>
      </c>
      <c r="E101" s="2" t="n">
        <v>66</v>
      </c>
      <c r="F101" s="2" t="n">
        <v>6</v>
      </c>
      <c r="G101" s="2" t="n"/>
      <c r="H101" s="2" t="n"/>
      <c r="I101" s="2" t="n">
        <v>46</v>
      </c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3" t="n">
        <v>15.2</v>
      </c>
      <c r="U101" s="2" t="n"/>
    </row>
    <row r="102" ht="16" customHeight="1" thickBot="1">
      <c r="A102" s="1" t="inlineStr">
        <is>
          <t>A. Fusco</t>
        </is>
      </c>
      <c r="B102" s="34">
        <f t="array" ref="B102:C102">_xlfn.XLOOKUP(A101,'Player List'!$A$2:$A$177,'Player List'!$B$2:$C$177)</f>
        <v/>
      </c>
      <c r="C102" s="34" t="inlineStr">
        <is>
          <t>Back Three</t>
        </is>
      </c>
      <c r="D102" s="34">
        <f>_xlfn.XLOOKUP(B102,$B$2:$B$7,$C$2:$C$7)</f>
        <v/>
      </c>
      <c r="E102" s="5" t="n">
        <v>80</v>
      </c>
      <c r="F102" s="5" t="n"/>
      <c r="G102" s="5" t="n"/>
      <c r="H102" s="5" t="n"/>
      <c r="I102" s="5" t="n">
        <v>114</v>
      </c>
      <c r="J102" s="5" t="n"/>
      <c r="K102" s="5" t="n"/>
      <c r="L102" s="5" t="n"/>
      <c r="M102" s="5" t="n">
        <v>1</v>
      </c>
      <c r="N102" s="5" t="n"/>
      <c r="O102" s="5" t="n"/>
      <c r="P102" s="5" t="n"/>
      <c r="Q102" s="5" t="n"/>
      <c r="R102" s="5" t="n"/>
      <c r="S102" s="5" t="n"/>
      <c r="T102" s="6" t="n">
        <v>37.8</v>
      </c>
      <c r="U102" s="5" t="n"/>
    </row>
    <row r="103" ht="16" customHeight="1" thickBot="1">
      <c r="A103" s="4" t="inlineStr">
        <is>
          <t>T. Menoncello</t>
        </is>
      </c>
      <c r="B103" s="34">
        <f t="array" ref="B103:C103">_xlfn.XLOOKUP(A102,'Player List'!$A$2:$A$177,'Player List'!$B$2:$C$177)</f>
        <v/>
      </c>
      <c r="C103" s="34" t="inlineStr">
        <is>
          <t>Back Three</t>
        </is>
      </c>
      <c r="D103" s="34">
        <f>_xlfn.XLOOKUP(B103,$B$2:$B$7,$C$2:$C$7)</f>
        <v/>
      </c>
      <c r="E103" s="2" t="n">
        <v>6</v>
      </c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3" t="n">
        <v>0</v>
      </c>
      <c r="U103" s="2" t="n"/>
    </row>
    <row r="104" ht="16" customHeight="1" thickBot="1">
      <c r="A104" s="1" t="inlineStr">
        <is>
          <t>E. Padovani</t>
        </is>
      </c>
      <c r="B104" s="34">
        <f t="array" ref="B104:C104">_xlfn.XLOOKUP(A103,'Player List'!$A$2:$A$177,'Player List'!$B$2:$C$177)</f>
        <v/>
      </c>
      <c r="C104" s="34" t="inlineStr">
        <is>
          <t>Back Three</t>
        </is>
      </c>
      <c r="D104" s="34">
        <f>_xlfn.XLOOKUP(B104,$B$2:$B$7,$C$2:$C$7)</f>
        <v/>
      </c>
      <c r="E104" s="5" t="n">
        <v>80</v>
      </c>
      <c r="F104" s="5" t="n"/>
      <c r="G104" s="5" t="n"/>
      <c r="H104" s="5" t="n">
        <v>1</v>
      </c>
      <c r="I104" s="5" t="n">
        <v>38</v>
      </c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6" t="n">
        <v>14.6</v>
      </c>
      <c r="U104" s="5" t="n"/>
    </row>
    <row r="105" ht="16" customHeight="1" thickBot="1">
      <c r="A105" s="8" t="inlineStr">
        <is>
          <t>J. Brex</t>
        </is>
      </c>
      <c r="B105" s="34">
        <f t="array" ref="B105:C105">_xlfn.XLOOKUP(A104,'Player List'!$A$2:$A$177,'Player List'!$B$2:$C$177)</f>
        <v/>
      </c>
      <c r="C105" s="34" t="inlineStr">
        <is>
          <t>Back Three</t>
        </is>
      </c>
      <c r="D105" s="34">
        <f>_xlfn.XLOOKUP(B105,$B$2:$B$7,$C$2:$C$7)</f>
        <v/>
      </c>
      <c r="E105" s="2" t="n">
        <v>14</v>
      </c>
      <c r="F105" s="2" t="n">
        <v>1</v>
      </c>
      <c r="G105" s="2" t="n"/>
      <c r="H105" s="2" t="n"/>
      <c r="I105" s="2" t="n">
        <v>14</v>
      </c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3" t="n">
        <v>3.8</v>
      </c>
      <c r="U105" s="2" t="n"/>
    </row>
    <row r="106" ht="16" customHeight="1" thickBot="1">
      <c r="A106" s="7" t="inlineStr">
        <is>
          <t>L. Morisi</t>
        </is>
      </c>
      <c r="B106" s="34">
        <f t="array" ref="B106:C106">_xlfn.XLOOKUP(A105,'Player List'!$A$2:$A$177,'Player List'!$B$2:$C$177)</f>
        <v/>
      </c>
      <c r="C106" s="34" t="inlineStr">
        <is>
          <t>Centre</t>
        </is>
      </c>
      <c r="D106" s="34">
        <f>_xlfn.XLOOKUP(B106,$B$2:$B$7,$C$2:$C$7)</f>
        <v/>
      </c>
      <c r="E106" s="5" t="n">
        <v>80</v>
      </c>
      <c r="F106" s="5" t="n">
        <v>4</v>
      </c>
      <c r="G106" s="5" t="n"/>
      <c r="H106" s="5" t="n"/>
      <c r="I106" s="5" t="n">
        <v>90</v>
      </c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6" t="n">
        <v>22</v>
      </c>
      <c r="U106" s="5" t="n"/>
    </row>
    <row r="107" ht="16" customHeight="1" thickBot="1">
      <c r="A107" s="10" t="inlineStr">
        <is>
          <t>T. Allan</t>
        </is>
      </c>
      <c r="B107" s="34">
        <f t="array" ref="B107:C107">_xlfn.XLOOKUP(A106,'Player List'!$A$2:$A$177,'Player List'!$B$2:$C$177)</f>
        <v/>
      </c>
      <c r="C107" s="34" t="inlineStr">
        <is>
          <t>Centre</t>
        </is>
      </c>
      <c r="D107" s="34">
        <f>_xlfn.XLOOKUP(B107,$B$2:$B$7,$C$2:$C$7)</f>
        <v/>
      </c>
      <c r="E107" s="2" t="n">
        <v>80</v>
      </c>
      <c r="F107" s="2" t="n">
        <v>11</v>
      </c>
      <c r="G107" s="2" t="n">
        <v>1</v>
      </c>
      <c r="H107" s="2" t="n"/>
      <c r="I107" s="2" t="n">
        <v>73</v>
      </c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3" t="n">
        <v>32.6</v>
      </c>
      <c r="U107" s="2" t="n"/>
    </row>
    <row r="108" ht="16" customHeight="1" thickBot="1">
      <c r="A108" s="11" t="inlineStr">
        <is>
          <t>S. Varney</t>
        </is>
      </c>
      <c r="B108" s="34">
        <f t="array" ref="B108:C108">_xlfn.XLOOKUP(A107,'Player List'!$A$2:$A$177,'Player List'!$B$2:$C$177)</f>
        <v/>
      </c>
      <c r="C108" s="34" t="inlineStr">
        <is>
          <t>Fly Half</t>
        </is>
      </c>
      <c r="D108" s="34">
        <f>_xlfn.XLOOKUP(B108,$B$2:$B$7,$C$2:$C$7)</f>
        <v/>
      </c>
      <c r="E108" s="5" t="n">
        <v>80</v>
      </c>
      <c r="F108" s="5" t="n">
        <v>5</v>
      </c>
      <c r="G108" s="5" t="n"/>
      <c r="H108" s="5" t="n"/>
      <c r="I108" s="5" t="n">
        <v>93</v>
      </c>
      <c r="J108" s="5" t="n"/>
      <c r="K108" s="5" t="n"/>
      <c r="L108" s="5" t="n"/>
      <c r="M108" s="5" t="n"/>
      <c r="N108" s="5" t="n"/>
      <c r="O108" s="5" t="n"/>
      <c r="P108" s="5" t="n">
        <v>4</v>
      </c>
      <c r="Q108" s="5" t="n"/>
      <c r="R108" s="5" t="n"/>
      <c r="S108" s="5" t="n"/>
      <c r="T108" s="6" t="n">
        <v>43.6</v>
      </c>
      <c r="U108" s="5" t="n"/>
    </row>
    <row r="109" ht="16" customHeight="1" thickBot="1">
      <c r="A109" s="14" t="inlineStr">
        <is>
          <t>E. Iachizzi</t>
        </is>
      </c>
      <c r="B109" s="34">
        <f t="array" ref="B109:C109">_xlfn.XLOOKUP(A108,'Player List'!$A$2:$A$177,'Player List'!$B$2:$C$177)</f>
        <v/>
      </c>
      <c r="C109" s="34" t="inlineStr">
        <is>
          <t>Scrum Half</t>
        </is>
      </c>
      <c r="D109" s="34">
        <f>_xlfn.XLOOKUP(B109,$B$2:$B$7,$C$2:$C$7)</f>
        <v/>
      </c>
      <c r="E109" s="2" t="n">
        <v>74</v>
      </c>
      <c r="F109" s="2" t="n">
        <v>2</v>
      </c>
      <c r="G109" s="2" t="n"/>
      <c r="H109" s="2" t="n"/>
      <c r="I109" s="2" t="n">
        <v>2</v>
      </c>
      <c r="J109" s="2" t="n"/>
      <c r="K109" s="2" t="n"/>
      <c r="L109" s="2" t="n"/>
      <c r="M109" s="2" t="n"/>
      <c r="N109" s="2" t="n">
        <v>1</v>
      </c>
      <c r="O109" s="2" t="n"/>
      <c r="P109" s="2" t="n"/>
      <c r="Q109" s="2" t="n"/>
      <c r="R109" s="2" t="n"/>
      <c r="S109" s="2" t="n"/>
      <c r="T109" s="3" t="n">
        <v>9.4</v>
      </c>
      <c r="U109" s="2" t="n"/>
    </row>
    <row r="110" ht="16" customHeight="1" thickBot="1">
      <c r="A110" s="13" t="inlineStr">
        <is>
          <t>M. Lamaro</t>
        </is>
      </c>
      <c r="B110" s="34">
        <f t="array" ref="B110:C110">_xlfn.XLOOKUP(A109,'Player List'!$A$2:$A$177,'Player List'!$B$2:$C$177)</f>
        <v/>
      </c>
      <c r="C110" s="34" t="inlineStr">
        <is>
          <t>Back Row</t>
        </is>
      </c>
      <c r="D110" s="34">
        <f>_xlfn.XLOOKUP(B110,$B$2:$B$7,$C$2:$C$7)</f>
        <v/>
      </c>
      <c r="E110" s="5" t="n">
        <v>11</v>
      </c>
      <c r="F110" s="5" t="n"/>
      <c r="G110" s="5" t="n"/>
      <c r="H110" s="5" t="n"/>
      <c r="I110" s="5" t="n">
        <v>9</v>
      </c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6" t="n">
        <v>1.8</v>
      </c>
      <c r="U110" s="5" t="n"/>
    </row>
    <row r="111" ht="16" customHeight="1" thickBot="1">
      <c r="A111" s="14" t="inlineStr">
        <is>
          <t>S. Negri</t>
        </is>
      </c>
      <c r="B111" s="34">
        <f t="array" ref="B111:C111">_xlfn.XLOOKUP(A110,'Player List'!$A$2:$A$177,'Player List'!$B$2:$C$177)</f>
        <v/>
      </c>
      <c r="C111" s="34" t="inlineStr">
        <is>
          <t>Back Row</t>
        </is>
      </c>
      <c r="D111" s="34">
        <f>_xlfn.XLOOKUP(B111,$B$2:$B$7,$C$2:$C$7)</f>
        <v/>
      </c>
      <c r="E111" s="2" t="n">
        <v>80</v>
      </c>
      <c r="F111" s="2" t="n">
        <v>10</v>
      </c>
      <c r="G111" s="2" t="n"/>
      <c r="H111" s="2" t="n"/>
      <c r="I111" s="2" t="n">
        <v>45</v>
      </c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3" t="n">
        <v>19</v>
      </c>
      <c r="U111" s="2" t="n"/>
    </row>
    <row r="112" ht="16" customHeight="1" thickBot="1">
      <c r="A112" s="13" t="inlineStr">
        <is>
          <t>G. Pettinelli</t>
        </is>
      </c>
      <c r="B112" s="34">
        <f t="array" ref="B112:C112">_xlfn.XLOOKUP(A111,'Player List'!$A$2:$A$177,'Player List'!$B$2:$C$177)</f>
        <v/>
      </c>
      <c r="C112" s="34" t="inlineStr">
        <is>
          <t>Back Row</t>
        </is>
      </c>
      <c r="D112" s="34">
        <f>_xlfn.XLOOKUP(B112,$B$2:$B$7,$C$2:$C$7)</f>
        <v/>
      </c>
      <c r="E112" s="5" t="n">
        <v>65</v>
      </c>
      <c r="F112" s="5" t="n">
        <v>7</v>
      </c>
      <c r="G112" s="5" t="n">
        <v>1</v>
      </c>
      <c r="H112" s="5" t="n"/>
      <c r="I112" s="5" t="n">
        <v>65</v>
      </c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6" t="n">
        <v>27</v>
      </c>
      <c r="U112" s="5" t="n"/>
    </row>
    <row r="113" ht="16" customHeight="1" thickBot="1">
      <c r="A113" s="16" t="inlineStr">
        <is>
          <t>N. Cannone</t>
        </is>
      </c>
      <c r="B113" s="34">
        <f t="array" ref="B113:C113">_xlfn.XLOOKUP(A112,'Player List'!$A$2:$A$177,'Player List'!$B$2:$C$177)</f>
        <v/>
      </c>
      <c r="C113" s="34" t="inlineStr">
        <is>
          <t>Back Row</t>
        </is>
      </c>
      <c r="D113" s="34">
        <f>_xlfn.XLOOKUP(B113,$B$2:$B$7,$C$2:$C$7)</f>
        <v/>
      </c>
      <c r="E113" s="2" t="n">
        <v>11</v>
      </c>
      <c r="F113" s="2" t="n"/>
      <c r="G113" s="2" t="n"/>
      <c r="H113" s="2" t="n"/>
      <c r="I113" s="2" t="n">
        <v>10</v>
      </c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3" t="n">
        <v>2</v>
      </c>
      <c r="U113" s="2" t="n"/>
    </row>
    <row r="114" ht="16" customHeight="1" thickBot="1">
      <c r="A114" s="15" t="inlineStr">
        <is>
          <t>L. Cannone</t>
        </is>
      </c>
      <c r="B114" s="34">
        <f t="array" ref="B114:C114">_xlfn.XLOOKUP(A113,'Player List'!$A$2:$A$177,'Player List'!$B$2:$C$177)</f>
        <v/>
      </c>
      <c r="C114" s="34" t="inlineStr">
        <is>
          <t>Second Row</t>
        </is>
      </c>
      <c r="D114" s="34">
        <f>_xlfn.XLOOKUP(B114,$B$2:$B$7,$C$2:$C$7)</f>
        <v/>
      </c>
      <c r="E114" s="5" t="n">
        <v>69</v>
      </c>
      <c r="F114" s="5" t="n">
        <v>12</v>
      </c>
      <c r="G114" s="5" t="n">
        <v>2</v>
      </c>
      <c r="H114" s="5" t="n"/>
      <c r="I114" s="5" t="n">
        <v>21</v>
      </c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6" t="n">
        <v>30.2</v>
      </c>
      <c r="U114" s="5" t="n"/>
    </row>
    <row r="115" ht="16" customHeight="1" thickBot="1">
      <c r="A115" s="16" t="inlineStr">
        <is>
          <t>F. Ruzza</t>
        </is>
      </c>
      <c r="B115" s="34">
        <f t="array" ref="B115:C115">_xlfn.XLOOKUP(A114,'Player List'!$A$2:$A$177,'Player List'!$B$2:$C$177)</f>
        <v/>
      </c>
      <c r="C115" s="34" t="inlineStr">
        <is>
          <t>Second Row</t>
        </is>
      </c>
      <c r="D115" s="34">
        <f>_xlfn.XLOOKUP(B115,$B$2:$B$7,$C$2:$C$7)</f>
        <v/>
      </c>
      <c r="E115" s="2" t="n">
        <v>69</v>
      </c>
      <c r="F115" s="2" t="n">
        <v>12</v>
      </c>
      <c r="G115" s="2" t="n"/>
      <c r="H115" s="2" t="n"/>
      <c r="I115" s="2" t="n">
        <v>46</v>
      </c>
      <c r="J115" s="2" t="n"/>
      <c r="K115" s="2" t="n"/>
      <c r="L115" s="2" t="n">
        <v>1</v>
      </c>
      <c r="M115" s="2" t="n"/>
      <c r="N115" s="2" t="n"/>
      <c r="O115" s="2" t="n"/>
      <c r="P115" s="2" t="n"/>
      <c r="Q115" s="2" t="n"/>
      <c r="R115" s="2" t="n"/>
      <c r="S115" s="2" t="n"/>
      <c r="T115" s="3" t="n">
        <v>28.2</v>
      </c>
      <c r="U115" s="2" t="n"/>
    </row>
    <row r="116" ht="16" customHeight="1" thickBot="1">
      <c r="A116" s="15" t="inlineStr">
        <is>
          <t>M. Zuliani</t>
        </is>
      </c>
      <c r="B116" s="34">
        <f t="array" ref="B116:C116">_xlfn.XLOOKUP(A115,'Player List'!$A$2:$A$177,'Player List'!$B$2:$C$177)</f>
        <v/>
      </c>
      <c r="C116" s="34" t="inlineStr">
        <is>
          <t>Second Row</t>
        </is>
      </c>
      <c r="D116" s="34">
        <f>_xlfn.XLOOKUP(B116,$B$2:$B$7,$C$2:$C$7)</f>
        <v/>
      </c>
      <c r="E116" s="5" t="n">
        <v>80</v>
      </c>
      <c r="F116" s="5" t="n">
        <v>10</v>
      </c>
      <c r="G116" s="5" t="n">
        <v>2</v>
      </c>
      <c r="H116" s="5" t="n">
        <v>1</v>
      </c>
      <c r="I116" s="5" t="n">
        <v>35</v>
      </c>
      <c r="J116" s="5" t="n"/>
      <c r="K116" s="5" t="n">
        <v>1</v>
      </c>
      <c r="L116" s="5" t="n"/>
      <c r="M116" s="5" t="n"/>
      <c r="N116" s="5" t="n"/>
      <c r="O116" s="5" t="n"/>
      <c r="P116" s="5" t="n"/>
      <c r="Q116" s="5" t="n"/>
      <c r="R116" s="5" t="n"/>
      <c r="S116" s="5" t="n"/>
      <c r="T116" s="6" t="n">
        <v>45</v>
      </c>
      <c r="U116" s="5" t="n"/>
    </row>
    <row r="117" ht="16" customHeight="1" thickBot="1">
      <c r="A117" s="17" t="inlineStr">
        <is>
          <t>P. Ceccarelli</t>
        </is>
      </c>
      <c r="B117" s="34">
        <f t="array" ref="B117:C117">_xlfn.XLOOKUP(A116,'Player List'!$A$2:$A$177,'Player List'!$B$2:$C$177)</f>
        <v/>
      </c>
      <c r="C117" s="34" t="inlineStr">
        <is>
          <t>Second Row</t>
        </is>
      </c>
      <c r="D117" s="34">
        <f>_xlfn.XLOOKUP(B117,$B$2:$B$7,$C$2:$C$7)</f>
        <v/>
      </c>
      <c r="E117" s="2" t="n">
        <v>15</v>
      </c>
      <c r="F117" s="2" t="n"/>
      <c r="G117" s="2" t="n"/>
      <c r="H117" s="2" t="n"/>
      <c r="I117" s="2" t="n">
        <v>16</v>
      </c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3" t="n">
        <v>3.2</v>
      </c>
      <c r="U117" s="2" t="n"/>
    </row>
    <row r="118" ht="16" customHeight="1" thickBot="1">
      <c r="A118" s="18" t="inlineStr">
        <is>
          <t>S. Ferrari</t>
        </is>
      </c>
      <c r="B118" s="34">
        <f t="array" ref="B118:C118">_xlfn.XLOOKUP(A117,'Player List'!$A$2:$A$177,'Player List'!$B$2:$C$177)</f>
        <v/>
      </c>
      <c r="C118" s="34" t="inlineStr">
        <is>
          <t>Prop</t>
        </is>
      </c>
      <c r="D118" s="34">
        <f>_xlfn.XLOOKUP(B118,$B$2:$B$7,$C$2:$C$7)</f>
        <v/>
      </c>
      <c r="E118" s="5" t="n">
        <v>24</v>
      </c>
      <c r="F118" s="5" t="n"/>
      <c r="G118" s="5" t="n"/>
      <c r="H118" s="5" t="n"/>
      <c r="I118" s="5" t="n">
        <v>12</v>
      </c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6" t="n">
        <v>2.4</v>
      </c>
      <c r="U118" s="5" t="n"/>
    </row>
    <row r="119" ht="16" customHeight="1" thickBot="1">
      <c r="A119" s="17" t="inlineStr">
        <is>
          <t>D. Fischetti</t>
        </is>
      </c>
      <c r="B119" s="34">
        <f t="array" ref="B119:C119">_xlfn.XLOOKUP(A118,'Player List'!$A$2:$A$177,'Player List'!$B$2:$C$177)</f>
        <v/>
      </c>
      <c r="C119" s="34" t="inlineStr">
        <is>
          <t>Prop</t>
        </is>
      </c>
      <c r="D119" s="34">
        <f>_xlfn.XLOOKUP(B119,$B$2:$B$7,$C$2:$C$7)</f>
        <v/>
      </c>
      <c r="E119" s="2" t="n">
        <v>56</v>
      </c>
      <c r="F119" s="2" t="n">
        <v>10</v>
      </c>
      <c r="G119" s="2" t="n"/>
      <c r="H119" s="2" t="n"/>
      <c r="I119" s="2" t="n">
        <v>13</v>
      </c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3" t="n">
        <v>12.6</v>
      </c>
      <c r="U119" s="2" t="n"/>
    </row>
    <row r="120" ht="16" customHeight="1" thickBot="1">
      <c r="A120" s="18" t="inlineStr">
        <is>
          <t>F. Zani</t>
        </is>
      </c>
      <c r="B120" s="34">
        <f t="array" ref="B120:C120">_xlfn.XLOOKUP(A119,'Player List'!$A$2:$A$177,'Player List'!$B$2:$C$177)</f>
        <v/>
      </c>
      <c r="C120" s="34" t="inlineStr">
        <is>
          <t>Prop</t>
        </is>
      </c>
      <c r="D120" s="34">
        <f>_xlfn.XLOOKUP(B120,$B$2:$B$7,$C$2:$C$7)</f>
        <v/>
      </c>
      <c r="E120" s="5" t="n">
        <v>69</v>
      </c>
      <c r="F120" s="5" t="n">
        <v>7</v>
      </c>
      <c r="G120" s="5" t="n">
        <v>2</v>
      </c>
      <c r="H120" s="5" t="n">
        <v>1</v>
      </c>
      <c r="I120" s="5" t="n">
        <v>46</v>
      </c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6" t="n">
        <v>37.2</v>
      </c>
      <c r="U120" s="5" t="n"/>
    </row>
    <row r="121" ht="16" customHeight="1" thickBot="1">
      <c r="A121" s="19" t="inlineStr">
        <is>
          <t>L. Bigi</t>
        </is>
      </c>
      <c r="B121" s="34">
        <f t="array" ref="B121:C121">_xlfn.XLOOKUP(A120,'Player List'!$A$2:$A$177,'Player List'!$B$2:$C$177)</f>
        <v/>
      </c>
      <c r="C121" s="34" t="inlineStr">
        <is>
          <t>Prop</t>
        </is>
      </c>
      <c r="D121" s="34">
        <f>_xlfn.XLOOKUP(B121,$B$2:$B$7,$C$2:$C$7)</f>
        <v/>
      </c>
      <c r="E121" s="2" t="n">
        <v>11</v>
      </c>
      <c r="F121" s="2" t="n"/>
      <c r="G121" s="2" t="n"/>
      <c r="H121" s="2" t="n"/>
      <c r="I121" s="2" t="n">
        <v>9</v>
      </c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3" t="n">
        <v>1.8</v>
      </c>
      <c r="U121" s="2" t="n"/>
    </row>
    <row r="122" ht="16" customHeight="1" thickBot="1">
      <c r="A122" s="20" t="inlineStr">
        <is>
          <t>G. Nicotera</t>
        </is>
      </c>
      <c r="B122" s="34">
        <f t="array" ref="B122:C122">_xlfn.XLOOKUP(A121,'Player List'!$A$2:$A$177,'Player List'!$B$2:$C$177)</f>
        <v/>
      </c>
      <c r="C122" s="34" t="inlineStr">
        <is>
          <t>Hooker</t>
        </is>
      </c>
      <c r="D122" s="34">
        <f>_xlfn.XLOOKUP(B122,$B$2:$B$7,$C$2:$C$7)</f>
        <v/>
      </c>
      <c r="E122" s="5" t="n">
        <v>11</v>
      </c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6" t="n">
        <v>0</v>
      </c>
      <c r="U122" s="5" t="n"/>
    </row>
    <row r="123" ht="16" customHeight="1" thickBot="1">
      <c r="A123" s="1" t="inlineStr">
        <is>
          <t>D. Penaud</t>
        </is>
      </c>
      <c r="B123" s="34">
        <f t="array" ref="B123:C123">_xlfn.XLOOKUP(A122,'Player List'!$A$2:$A$177,'Player List'!$B$2:$C$177)</f>
        <v/>
      </c>
      <c r="C123" s="34" t="inlineStr">
        <is>
          <t>Hooker</t>
        </is>
      </c>
      <c r="D123" s="34">
        <f>_xlfn.XLOOKUP(B123,$B$2:$B$7,$C$2:$C$7)</f>
        <v/>
      </c>
      <c r="E123" s="2" t="n">
        <v>69</v>
      </c>
      <c r="F123" s="2" t="n">
        <v>12</v>
      </c>
      <c r="G123" s="2" t="n">
        <v>1</v>
      </c>
      <c r="H123" s="2" t="n"/>
      <c r="I123" s="2" t="n">
        <v>22</v>
      </c>
      <c r="J123" s="2" t="n"/>
      <c r="K123" s="2" t="n"/>
      <c r="L123" s="2" t="n">
        <v>1</v>
      </c>
      <c r="M123" s="2" t="n"/>
      <c r="N123" s="2" t="n"/>
      <c r="O123" s="2" t="n"/>
      <c r="P123" s="2" t="n"/>
      <c r="Q123" s="2" t="n"/>
      <c r="R123" s="2" t="n"/>
      <c r="S123" s="2" t="n"/>
      <c r="T123" s="3" t="n">
        <v>30.4</v>
      </c>
      <c r="U123" s="2" t="n"/>
    </row>
    <row r="124" ht="16" customHeight="1" thickBot="1">
      <c r="A124" s="4" t="inlineStr">
        <is>
          <t>T. Ramos</t>
        </is>
      </c>
      <c r="B124" s="34">
        <f t="array" ref="B124:C124">_xlfn.XLOOKUP(A123,'Player List'!$A$2:$A$177,'Player List'!$B$2:$C$177)</f>
        <v/>
      </c>
      <c r="C124" s="34" t="inlineStr">
        <is>
          <t>Back Three</t>
        </is>
      </c>
      <c r="D124" s="34">
        <f>_xlfn.XLOOKUP(B124,$B$2:$B$7,$C$2:$C$7)</f>
        <v/>
      </c>
      <c r="E124" s="2" t="n">
        <v>80</v>
      </c>
      <c r="F124" s="2" t="n">
        <v>2</v>
      </c>
      <c r="G124" s="2" t="n">
        <v>2</v>
      </c>
      <c r="H124" s="2" t="n">
        <v>2</v>
      </c>
      <c r="I124" s="2" t="n">
        <v>56</v>
      </c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3" t="n">
        <v>49.2</v>
      </c>
      <c r="U124" s="2" t="n"/>
    </row>
    <row r="125" ht="16" customHeight="1" thickBot="1">
      <c r="A125" s="7" t="inlineStr">
        <is>
          <t>E. Dumortier</t>
        </is>
      </c>
      <c r="B125" s="34">
        <f t="array" ref="B125:C125">_xlfn.XLOOKUP(A124,'Player List'!$A$2:$A$177,'Player List'!$B$2:$C$177)</f>
        <v/>
      </c>
      <c r="C125" s="34" t="inlineStr">
        <is>
          <t>Back Three</t>
        </is>
      </c>
      <c r="D125" s="34">
        <f>_xlfn.XLOOKUP(B125,$B$2:$B$7,$C$2:$C$7)</f>
        <v/>
      </c>
      <c r="E125" s="5" t="n">
        <v>80</v>
      </c>
      <c r="F125" s="5" t="n">
        <v>2</v>
      </c>
      <c r="G125" s="5" t="n"/>
      <c r="H125" s="5" t="n">
        <v>1</v>
      </c>
      <c r="I125" s="5" t="n">
        <v>52</v>
      </c>
      <c r="J125" s="5" t="n"/>
      <c r="K125" s="5" t="n"/>
      <c r="L125" s="5" t="n"/>
      <c r="M125" s="5" t="n">
        <v>1</v>
      </c>
      <c r="N125" s="5" t="n"/>
      <c r="O125" s="5" t="n">
        <v>3</v>
      </c>
      <c r="P125" s="5" t="n">
        <v>1</v>
      </c>
      <c r="Q125" s="5" t="n"/>
      <c r="R125" s="5" t="n"/>
      <c r="S125" s="5" t="n"/>
      <c r="T125" s="6" t="n">
        <v>53.4</v>
      </c>
      <c r="U125" s="5" t="n"/>
    </row>
    <row r="126" ht="16" customHeight="1" thickBot="1">
      <c r="A126" s="8" t="inlineStr">
        <is>
          <t>G. Fickou</t>
        </is>
      </c>
      <c r="B126" s="34">
        <f t="array" ref="B126:C126">_xlfn.XLOOKUP(A125,'Player List'!$A$2:$A$177,'Player List'!$B$2:$C$177)</f>
        <v/>
      </c>
      <c r="C126" s="34" t="inlineStr">
        <is>
          <t>Centre</t>
        </is>
      </c>
      <c r="D126" s="34">
        <f>_xlfn.XLOOKUP(B126,$B$2:$B$7,$C$2:$C$7)</f>
        <v/>
      </c>
      <c r="E126" s="2" t="n">
        <v>80</v>
      </c>
      <c r="F126" s="2" t="n">
        <v>1</v>
      </c>
      <c r="G126" s="2" t="n"/>
      <c r="H126" s="2" t="n">
        <v>1</v>
      </c>
      <c r="I126" s="2" t="n">
        <v>21</v>
      </c>
      <c r="J126" s="2" t="n"/>
      <c r="K126" s="2" t="n"/>
      <c r="L126" s="2" t="n"/>
      <c r="M126" s="2" t="n">
        <v>1</v>
      </c>
      <c r="N126" s="2" t="n"/>
      <c r="O126" s="2" t="n"/>
      <c r="P126" s="2" t="n"/>
      <c r="Q126" s="2" t="n"/>
      <c r="R126" s="2" t="n"/>
      <c r="S126" s="2" t="n"/>
      <c r="T126" s="3" t="n">
        <v>35.2</v>
      </c>
      <c r="U126" s="2" t="n"/>
    </row>
    <row r="127" ht="16" customHeight="1" thickBot="1">
      <c r="A127" s="7" t="inlineStr">
        <is>
          <t>Y. Moefana</t>
        </is>
      </c>
      <c r="B127" s="34">
        <f t="array" ref="B127:C127">_xlfn.XLOOKUP(A126,'Player List'!$A$2:$A$177,'Player List'!$B$2:$C$177)</f>
        <v/>
      </c>
      <c r="C127" s="34" t="inlineStr">
        <is>
          <t>Centre</t>
        </is>
      </c>
      <c r="D127" s="34">
        <f>_xlfn.XLOOKUP(B127,$B$2:$B$7,$C$2:$C$7)</f>
        <v/>
      </c>
      <c r="E127" s="5" t="n">
        <v>80</v>
      </c>
      <c r="F127" s="5" t="n">
        <v>16</v>
      </c>
      <c r="G127" s="5" t="n"/>
      <c r="H127" s="5" t="n"/>
      <c r="I127" s="5" t="n">
        <v>66</v>
      </c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6" t="n">
        <v>37.2</v>
      </c>
      <c r="U127" s="5" t="n"/>
    </row>
    <row r="128" ht="16" customHeight="1" thickBot="1">
      <c r="A128" s="10" t="inlineStr">
        <is>
          <t>M. Jalibert</t>
        </is>
      </c>
      <c r="B128" s="34">
        <f t="array" ref="B128:C128">_xlfn.XLOOKUP(A127,'Player List'!$A$2:$A$177,'Player List'!$B$2:$C$177)</f>
        <v/>
      </c>
      <c r="C128" s="34" t="inlineStr">
        <is>
          <t>Centre</t>
        </is>
      </c>
      <c r="D128" s="34">
        <f>_xlfn.XLOOKUP(B128,$B$2:$B$7,$C$2:$C$7)</f>
        <v/>
      </c>
      <c r="E128" s="2" t="n">
        <v>80</v>
      </c>
      <c r="F128" s="2" t="n">
        <v>3</v>
      </c>
      <c r="G128" s="2" t="n"/>
      <c r="H128" s="2" t="n"/>
      <c r="I128" s="2" t="n">
        <v>46</v>
      </c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3" t="n">
        <v>20.2</v>
      </c>
      <c r="U128" s="2" t="n"/>
    </row>
    <row r="129" ht="16" customHeight="1" thickBot="1">
      <c r="A129" s="9" t="inlineStr">
        <is>
          <t>R. Ntamack</t>
        </is>
      </c>
      <c r="B129" s="34">
        <f t="array" ref="B129:C129">_xlfn.XLOOKUP(A128,'Player List'!$A$2:$A$177,'Player List'!$B$2:$C$177)</f>
        <v/>
      </c>
      <c r="C129" s="34" t="inlineStr">
        <is>
          <t>Fly Half</t>
        </is>
      </c>
      <c r="D129" s="34">
        <f>_xlfn.XLOOKUP(B129,$B$2:$B$7,$C$2:$C$7)</f>
        <v/>
      </c>
      <c r="E129" s="5" t="n">
        <v>15</v>
      </c>
      <c r="F129" s="5" t="n"/>
      <c r="G129" s="5" t="n"/>
      <c r="H129" s="5" t="n"/>
      <c r="I129" s="5" t="n">
        <v>8</v>
      </c>
      <c r="J129" s="5" t="n"/>
      <c r="K129" s="5" t="n"/>
      <c r="L129" s="5" t="n"/>
      <c r="M129" s="5" t="n">
        <v>1</v>
      </c>
      <c r="N129" s="5" t="n"/>
      <c r="O129" s="5" t="n"/>
      <c r="P129" s="5" t="n"/>
      <c r="Q129" s="5" t="n"/>
      <c r="R129" s="5" t="n"/>
      <c r="S129" s="5" t="n"/>
      <c r="T129" s="6" t="n">
        <v>18.1</v>
      </c>
      <c r="U129" s="5" t="n"/>
    </row>
    <row r="130" ht="16" customHeight="1" thickBot="1">
      <c r="A130" s="12" t="inlineStr">
        <is>
          <t>A. Dupont</t>
        </is>
      </c>
      <c r="B130" s="34">
        <f t="array" ref="B130:C130">_xlfn.XLOOKUP(A129,'Player List'!$A$2:$A$177,'Player List'!$B$2:$C$177)</f>
        <v/>
      </c>
      <c r="C130" s="34" t="inlineStr">
        <is>
          <t>Fly Half</t>
        </is>
      </c>
      <c r="D130" s="34">
        <f>_xlfn.XLOOKUP(B130,$B$2:$B$7,$C$2:$C$7)</f>
        <v/>
      </c>
      <c r="E130" s="2" t="n">
        <v>65</v>
      </c>
      <c r="F130" s="2" t="n">
        <v>6</v>
      </c>
      <c r="G130" s="2" t="n"/>
      <c r="H130" s="2" t="n"/>
      <c r="I130" s="2" t="n">
        <v>38</v>
      </c>
      <c r="J130" s="2" t="n"/>
      <c r="K130" s="2" t="n"/>
      <c r="L130" s="2" t="n"/>
      <c r="M130" s="2" t="n"/>
      <c r="N130" s="2" t="n">
        <v>1</v>
      </c>
      <c r="O130" s="2" t="n"/>
      <c r="P130" s="2" t="n"/>
      <c r="Q130" s="2" t="n"/>
      <c r="R130" s="2" t="n"/>
      <c r="S130" s="2" t="n"/>
      <c r="T130" s="3" t="n">
        <v>27.1</v>
      </c>
      <c r="U130" s="2" t="n"/>
    </row>
    <row r="131" ht="16" customHeight="1" thickBot="1">
      <c r="A131" s="13" t="inlineStr">
        <is>
          <t>G. Alldritt</t>
        </is>
      </c>
      <c r="B131" s="34">
        <f t="array" ref="B131:C131">_xlfn.XLOOKUP(A130,'Player List'!$A$2:$A$177,'Player List'!$B$2:$C$177)</f>
        <v/>
      </c>
      <c r="C131" s="34" t="inlineStr">
        <is>
          <t>Scrum Half</t>
        </is>
      </c>
      <c r="D131" s="34">
        <f>_xlfn.XLOOKUP(B131,$B$2:$B$7,$C$2:$C$7)</f>
        <v/>
      </c>
      <c r="E131" s="5" t="n">
        <v>80</v>
      </c>
      <c r="F131" s="5" t="n">
        <v>11</v>
      </c>
      <c r="G131" s="5" t="n"/>
      <c r="H131" s="5" t="n"/>
      <c r="I131" s="5" t="n">
        <v>52</v>
      </c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6" t="n">
        <v>44.4</v>
      </c>
      <c r="U131" s="5" t="n">
        <v>1</v>
      </c>
    </row>
    <row r="132" ht="16" customHeight="1" thickBot="1">
      <c r="A132" s="14" t="inlineStr">
        <is>
          <t>A. Jelonch</t>
        </is>
      </c>
      <c r="B132" s="34">
        <f t="array" ref="B132:C132">_xlfn.XLOOKUP(A131,'Player List'!$A$2:$A$177,'Player List'!$B$2:$C$177)</f>
        <v/>
      </c>
      <c r="C132" s="34" t="inlineStr">
        <is>
          <t>Back Row</t>
        </is>
      </c>
      <c r="D132" s="34">
        <f>_xlfn.XLOOKUP(B132,$B$2:$B$7,$C$2:$C$7)</f>
        <v/>
      </c>
      <c r="E132" s="2" t="n">
        <v>61</v>
      </c>
      <c r="F132" s="2" t="n">
        <v>13</v>
      </c>
      <c r="G132" s="2" t="n">
        <v>1</v>
      </c>
      <c r="H132" s="2" t="n"/>
      <c r="I132" s="2" t="n">
        <v>72</v>
      </c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3" t="n">
        <v>40.5</v>
      </c>
      <c r="U132" s="2" t="n"/>
    </row>
    <row r="133" ht="16" customHeight="1" thickBot="1">
      <c r="A133" s="13" t="inlineStr">
        <is>
          <t>S. Macalou</t>
        </is>
      </c>
      <c r="B133" s="34">
        <f t="array" ref="B133:C133">_xlfn.XLOOKUP(A132,'Player List'!$A$2:$A$177,'Player List'!$B$2:$C$177)</f>
        <v/>
      </c>
      <c r="C133" s="34" t="inlineStr">
        <is>
          <t>Back Row</t>
        </is>
      </c>
      <c r="D133" s="34">
        <f>_xlfn.XLOOKUP(B133,$B$2:$B$7,$C$2:$C$7)</f>
        <v/>
      </c>
      <c r="E133" s="5" t="n">
        <v>80</v>
      </c>
      <c r="F133" s="5" t="n">
        <v>19</v>
      </c>
      <c r="G133" s="5" t="n">
        <v>1</v>
      </c>
      <c r="H133" s="5" t="n"/>
      <c r="I133" s="5" t="n">
        <v>12</v>
      </c>
      <c r="J133" s="5" t="n"/>
      <c r="K133" s="5" t="n"/>
      <c r="L133" s="5" t="n">
        <v>1</v>
      </c>
      <c r="M133" s="5" t="n"/>
      <c r="N133" s="5" t="n"/>
      <c r="O133" s="5" t="n"/>
      <c r="P133" s="5" t="n"/>
      <c r="Q133" s="5" t="n"/>
      <c r="R133" s="5" t="n"/>
      <c r="S133" s="5" t="n"/>
      <c r="T133" s="6" t="n">
        <v>43.4</v>
      </c>
      <c r="U133" s="5" t="n"/>
    </row>
    <row r="134" ht="16" customHeight="1" thickBot="1">
      <c r="A134" s="14" t="inlineStr">
        <is>
          <t>C. Ollivon</t>
        </is>
      </c>
      <c r="B134" s="34">
        <f t="array" ref="B134:C134">_xlfn.XLOOKUP(A133,'Player List'!$A$2:$A$177,'Player List'!$B$2:$C$177)</f>
        <v/>
      </c>
      <c r="C134" s="34" t="inlineStr">
        <is>
          <t>Back Row</t>
        </is>
      </c>
      <c r="D134" s="34">
        <f>_xlfn.XLOOKUP(B134,$B$2:$B$7,$C$2:$C$7)</f>
        <v/>
      </c>
      <c r="E134" s="2" t="n">
        <v>19</v>
      </c>
      <c r="F134" s="2" t="n">
        <v>4</v>
      </c>
      <c r="G134" s="2" t="n"/>
      <c r="H134" s="2" t="n"/>
      <c r="I134" s="2" t="n"/>
      <c r="J134" s="2" t="n"/>
      <c r="K134" s="2" t="n"/>
      <c r="L134" s="2" t="n">
        <v>1</v>
      </c>
      <c r="M134" s="2" t="n"/>
      <c r="N134" s="2" t="n"/>
      <c r="O134" s="2" t="n"/>
      <c r="P134" s="2" t="n"/>
      <c r="Q134" s="2" t="n"/>
      <c r="R134" s="2" t="n"/>
      <c r="S134" s="2" t="n"/>
      <c r="T134" s="3" t="n">
        <v>12.9</v>
      </c>
      <c r="U134" s="2" t="n"/>
    </row>
    <row r="135" ht="16" customHeight="1" thickBot="1">
      <c r="A135" s="15" t="inlineStr">
        <is>
          <t>T. Flament</t>
        </is>
      </c>
      <c r="B135" s="34">
        <f t="array" ref="B135:C135">_xlfn.XLOOKUP(A134,'Player List'!$A$2:$A$177,'Player List'!$B$2:$C$177)</f>
        <v/>
      </c>
      <c r="C135" s="34" t="inlineStr">
        <is>
          <t>Back Row</t>
        </is>
      </c>
      <c r="D135" s="34">
        <f>_xlfn.XLOOKUP(B135,$B$2:$B$7,$C$2:$C$7)</f>
        <v/>
      </c>
      <c r="E135" s="5" t="n">
        <v>70</v>
      </c>
      <c r="F135" s="5" t="n">
        <v>8</v>
      </c>
      <c r="G135" s="5" t="n"/>
      <c r="H135" s="5" t="n"/>
      <c r="I135" s="5" t="n">
        <v>54</v>
      </c>
      <c r="J135" s="5" t="n"/>
      <c r="K135" s="5" t="n">
        <v>1</v>
      </c>
      <c r="L135" s="5" t="n"/>
      <c r="M135" s="5" t="n"/>
      <c r="N135" s="5" t="n"/>
      <c r="O135" s="5" t="n"/>
      <c r="P135" s="5" t="n"/>
      <c r="Q135" s="5" t="n"/>
      <c r="R135" s="5" t="n">
        <v>1</v>
      </c>
      <c r="S135" s="5" t="n"/>
      <c r="T135" s="6" t="n">
        <v>27.8</v>
      </c>
      <c r="U135" s="5" t="n"/>
    </row>
    <row r="136" ht="16" customHeight="1" thickBot="1">
      <c r="A136" s="16" t="inlineStr">
        <is>
          <t>R. Taofifenua</t>
        </is>
      </c>
      <c r="B136" s="34">
        <f t="array" ref="B136:C136">_xlfn.XLOOKUP(A135,'Player List'!$A$2:$A$177,'Player List'!$B$2:$C$177)</f>
        <v/>
      </c>
      <c r="C136" s="34" t="inlineStr">
        <is>
          <t>Second Row</t>
        </is>
      </c>
      <c r="D136" s="34">
        <f>_xlfn.XLOOKUP(B136,$B$2:$B$7,$C$2:$C$7)</f>
        <v/>
      </c>
      <c r="E136" s="2" t="n">
        <v>80</v>
      </c>
      <c r="F136" s="2" t="n">
        <v>17</v>
      </c>
      <c r="G136" s="2" t="n"/>
      <c r="H136" s="2" t="n">
        <v>1</v>
      </c>
      <c r="I136" s="2" t="n">
        <v>35</v>
      </c>
      <c r="J136" s="2" t="n"/>
      <c r="K136" s="2" t="n">
        <v>1</v>
      </c>
      <c r="L136" s="2" t="n"/>
      <c r="M136" s="2" t="n">
        <v>1</v>
      </c>
      <c r="N136" s="2" t="n"/>
      <c r="O136" s="2" t="n"/>
      <c r="P136" s="2" t="n"/>
      <c r="Q136" s="2" t="n"/>
      <c r="R136" s="2" t="n"/>
      <c r="S136" s="2" t="n"/>
      <c r="T136" s="3" t="n">
        <v>61</v>
      </c>
      <c r="U136" s="2" t="n"/>
    </row>
    <row r="137" ht="16" customHeight="1" thickBot="1">
      <c r="A137" s="15" t="inlineStr">
        <is>
          <t>P. Willemse</t>
        </is>
      </c>
      <c r="B137" s="34">
        <f t="array" ref="B137:C137">_xlfn.XLOOKUP(A136,'Player List'!$A$2:$A$177,'Player List'!$B$2:$C$177)</f>
        <v/>
      </c>
      <c r="C137" s="34" t="inlineStr">
        <is>
          <t>Second Row</t>
        </is>
      </c>
      <c r="D137" s="34">
        <f>_xlfn.XLOOKUP(B137,$B$2:$B$7,$C$2:$C$7)</f>
        <v/>
      </c>
      <c r="E137" s="5" t="n">
        <v>26</v>
      </c>
      <c r="F137" s="5" t="n">
        <v>3</v>
      </c>
      <c r="G137" s="5" t="n">
        <v>1</v>
      </c>
      <c r="H137" s="5" t="n"/>
      <c r="I137" s="5" t="n">
        <v>3</v>
      </c>
      <c r="J137" s="5" t="n"/>
      <c r="K137" s="5" t="n"/>
      <c r="L137" s="5" t="n">
        <v>1</v>
      </c>
      <c r="M137" s="5" t="n"/>
      <c r="N137" s="5" t="n">
        <v>1</v>
      </c>
      <c r="O137" s="5" t="n"/>
      <c r="P137" s="5" t="n"/>
      <c r="Q137" s="5" t="n"/>
      <c r="R137" s="5" t="n"/>
      <c r="S137" s="5" t="n"/>
      <c r="T137" s="6" t="n">
        <v>27.2</v>
      </c>
      <c r="U137" s="5" t="n"/>
    </row>
    <row r="138" ht="16" customHeight="1" thickBot="1">
      <c r="A138" s="17" t="inlineStr">
        <is>
          <t>U. Atonio</t>
        </is>
      </c>
      <c r="B138" s="34">
        <f t="array" ref="B138:C138">_xlfn.XLOOKUP(A137,'Player List'!$A$2:$A$177,'Player List'!$B$2:$C$177)</f>
        <v/>
      </c>
      <c r="C138" s="34" t="inlineStr">
        <is>
          <t>Second Row</t>
        </is>
      </c>
      <c r="D138" s="34">
        <f>_xlfn.XLOOKUP(B138,$B$2:$B$7,$C$2:$C$7)</f>
        <v/>
      </c>
      <c r="E138" s="2" t="n">
        <v>54</v>
      </c>
      <c r="F138" s="2" t="n">
        <v>11</v>
      </c>
      <c r="G138" s="2" t="n">
        <v>1</v>
      </c>
      <c r="H138" s="2" t="n"/>
      <c r="I138" s="2" t="n">
        <v>12</v>
      </c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3" t="n">
        <v>25.8</v>
      </c>
      <c r="U138" s="2" t="n"/>
    </row>
    <row r="139" ht="16" customHeight="1" thickBot="1">
      <c r="A139" s="18" t="inlineStr">
        <is>
          <t>C. Baille</t>
        </is>
      </c>
      <c r="B139" s="34">
        <f t="array" ref="B139:C139">_xlfn.XLOOKUP(A138,'Player List'!$A$2:$A$177,'Player List'!$B$2:$C$177)</f>
        <v/>
      </c>
      <c r="C139" s="34" t="inlineStr">
        <is>
          <t>Prop</t>
        </is>
      </c>
      <c r="D139" s="34">
        <f>_xlfn.XLOOKUP(B139,$B$2:$B$7,$C$2:$C$7)</f>
        <v/>
      </c>
      <c r="E139" s="5" t="n">
        <v>51</v>
      </c>
      <c r="F139" s="5" t="n">
        <v>9</v>
      </c>
      <c r="G139" s="5" t="n"/>
      <c r="H139" s="5" t="n"/>
      <c r="I139" s="5" t="n">
        <v>17</v>
      </c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6" t="n">
        <v>17.5</v>
      </c>
      <c r="U139" s="5" t="n"/>
    </row>
    <row r="140" ht="16" customHeight="1" thickBot="1">
      <c r="A140" s="17" t="inlineStr">
        <is>
          <t>S. Falatea</t>
        </is>
      </c>
      <c r="B140" s="34">
        <f t="array" ref="B140:C140">_xlfn.XLOOKUP(A139,'Player List'!$A$2:$A$177,'Player List'!$B$2:$C$177)</f>
        <v/>
      </c>
      <c r="C140" s="34" t="inlineStr">
        <is>
          <t>Prop</t>
        </is>
      </c>
      <c r="D140" s="34">
        <f>_xlfn.XLOOKUP(B140,$B$2:$B$7,$C$2:$C$7)</f>
        <v/>
      </c>
      <c r="E140" s="2" t="n">
        <v>51</v>
      </c>
      <c r="F140" s="2" t="n">
        <v>8</v>
      </c>
      <c r="G140" s="2" t="n"/>
      <c r="H140" s="2" t="n"/>
      <c r="I140" s="2" t="n">
        <v>37</v>
      </c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3" t="n">
        <v>20.5</v>
      </c>
      <c r="U140" s="2" t="n"/>
    </row>
    <row r="141" ht="16" customHeight="1" thickBot="1">
      <c r="A141" s="18" t="inlineStr">
        <is>
          <t>R. Wardi</t>
        </is>
      </c>
      <c r="B141" s="34">
        <f t="array" ref="B141:C141">_xlfn.XLOOKUP(A140,'Player List'!$A$2:$A$177,'Player List'!$B$2:$C$177)</f>
        <v/>
      </c>
      <c r="C141" s="34" t="inlineStr">
        <is>
          <t>Prop</t>
        </is>
      </c>
      <c r="D141" s="34">
        <f>_xlfn.XLOOKUP(B141,$B$2:$B$7,$C$2:$C$7)</f>
        <v/>
      </c>
      <c r="E141" s="5" t="n">
        <v>29</v>
      </c>
      <c r="F141" s="5" t="n">
        <v>3</v>
      </c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6" t="n">
        <v>5.9</v>
      </c>
      <c r="U141" s="5" t="n"/>
    </row>
    <row r="142" ht="16" customHeight="1" thickBot="1">
      <c r="A142" s="19" t="inlineStr">
        <is>
          <t>G. Barlot</t>
        </is>
      </c>
      <c r="B142" s="34">
        <f t="array" ref="B142:C142">_xlfn.XLOOKUP(A141,'Player List'!$A$2:$A$177,'Player List'!$B$2:$C$177)</f>
        <v/>
      </c>
      <c r="C142" s="34" t="inlineStr">
        <is>
          <t>Prop</t>
        </is>
      </c>
      <c r="D142" s="34">
        <f>_xlfn.XLOOKUP(B142,$B$2:$B$7,$C$2:$C$7)</f>
        <v/>
      </c>
      <c r="E142" s="2" t="n">
        <v>29</v>
      </c>
      <c r="F142" s="2" t="n">
        <v>7</v>
      </c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3" t="n">
        <v>9.9</v>
      </c>
      <c r="U142" s="2" t="n"/>
    </row>
    <row r="143" ht="16" customHeight="1" thickBot="1">
      <c r="A143" s="20" t="inlineStr">
        <is>
          <t>J. Marchand</t>
        </is>
      </c>
      <c r="B143" s="34">
        <f t="array" ref="B143:C143">_xlfn.XLOOKUP(A142,'Player List'!$A$2:$A$177,'Player List'!$B$2:$C$177)</f>
        <v/>
      </c>
      <c r="C143" s="34" t="inlineStr">
        <is>
          <t>Hooker</t>
        </is>
      </c>
      <c r="D143" s="34">
        <f>_xlfn.XLOOKUP(B143,$B$2:$B$7,$C$2:$C$7)</f>
        <v/>
      </c>
      <c r="E143" s="5" t="n">
        <v>19</v>
      </c>
      <c r="F143" s="5" t="n">
        <v>4</v>
      </c>
      <c r="G143" s="5" t="n">
        <v>1</v>
      </c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6" t="n">
        <v>12.9</v>
      </c>
      <c r="U143" s="5" t="n"/>
    </row>
    <row r="144" ht="16" customHeight="1" thickBot="1">
      <c r="B144" s="34">
        <f t="array" ref="B144:C144">_xlfn.XLOOKUP(A143,'Player List'!$A$2:$A$177,'Player List'!$B$2:$C$177)</f>
        <v/>
      </c>
      <c r="C144" s="34" t="inlineStr">
        <is>
          <t>Hooker</t>
        </is>
      </c>
      <c r="D144" s="34">
        <f>_xlfn.XLOOKUP(B144,$B$2:$B$7,$C$2:$C$7)</f>
        <v/>
      </c>
      <c r="E144" s="2" t="n">
        <v>61</v>
      </c>
      <c r="F144" s="2" t="n">
        <v>13</v>
      </c>
      <c r="G144" s="2" t="n"/>
      <c r="H144" s="2" t="n"/>
      <c r="I144" s="2" t="n">
        <v>32</v>
      </c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3" t="n">
        <v>25.5</v>
      </c>
      <c r="U144" s="2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2:V146"/>
  <sheetViews>
    <sheetView workbookViewId="0">
      <selection activeCell="M28" sqref="M28"/>
    </sheetView>
  </sheetViews>
  <sheetFormatPr baseColWidth="10" defaultColWidth="8.83203125" defaultRowHeight="15"/>
  <cols>
    <col width="29.1640625" customWidth="1" min="1" max="1"/>
    <col width="16.5" customWidth="1" min="2" max="3"/>
    <col width="10.83203125" customWidth="1" min="4" max="4"/>
    <col width="11" customWidth="1" min="19" max="19"/>
  </cols>
  <sheetData>
    <row r="2">
      <c r="B2" t="inlineStr">
        <is>
          <t>Scotland</t>
        </is>
      </c>
      <c r="C2" t="inlineStr">
        <is>
          <t>Win</t>
        </is>
      </c>
      <c r="E2" t="inlineStr">
        <is>
          <t>Ireland</t>
        </is>
      </c>
      <c r="F2" t="n">
        <v>32</v>
      </c>
      <c r="G2" t="n">
        <v>19</v>
      </c>
      <c r="H2" t="inlineStr">
        <is>
          <t>France</t>
        </is>
      </c>
    </row>
    <row r="3">
      <c r="B3" t="inlineStr">
        <is>
          <t>Wales</t>
        </is>
      </c>
      <c r="C3" t="inlineStr">
        <is>
          <t>Loss</t>
        </is>
      </c>
      <c r="E3" t="inlineStr">
        <is>
          <t>Scotland</t>
        </is>
      </c>
      <c r="F3" t="n">
        <v>35</v>
      </c>
      <c r="G3" t="n">
        <v>7</v>
      </c>
      <c r="H3" t="inlineStr">
        <is>
          <t>Wales</t>
        </is>
      </c>
    </row>
    <row r="4">
      <c r="B4" t="inlineStr">
        <is>
          <t>Ireland</t>
        </is>
      </c>
      <c r="C4" t="inlineStr">
        <is>
          <t>Win</t>
        </is>
      </c>
      <c r="E4" t="inlineStr">
        <is>
          <t>England</t>
        </is>
      </c>
      <c r="F4" t="n">
        <v>31</v>
      </c>
      <c r="G4" t="n">
        <v>14</v>
      </c>
      <c r="H4" t="inlineStr">
        <is>
          <t>Italy</t>
        </is>
      </c>
    </row>
    <row r="5">
      <c r="B5" t="inlineStr">
        <is>
          <t>England</t>
        </is>
      </c>
      <c r="C5" t="inlineStr">
        <is>
          <t>Win</t>
        </is>
      </c>
    </row>
    <row r="6">
      <c r="B6" t="inlineStr">
        <is>
          <t>France</t>
        </is>
      </c>
      <c r="C6" t="inlineStr">
        <is>
          <t>Loss</t>
        </is>
      </c>
    </row>
    <row r="7">
      <c r="B7" t="inlineStr">
        <is>
          <t>Italy</t>
        </is>
      </c>
      <c r="C7" t="inlineStr">
        <is>
          <t>Loss</t>
        </is>
      </c>
    </row>
    <row r="8" ht="16" customHeight="1" thickBot="1"/>
    <row r="9" ht="31" customHeight="1" thickBot="1">
      <c r="A9" t="inlineStr">
        <is>
          <t>Name</t>
        </is>
      </c>
      <c r="B9" s="40" t="inlineStr">
        <is>
          <t>Nation</t>
        </is>
      </c>
      <c r="C9" s="40" t="inlineStr">
        <is>
          <t>Position</t>
        </is>
      </c>
      <c r="D9" t="inlineStr">
        <is>
          <t>Win/Loss</t>
        </is>
      </c>
      <c r="E9" t="inlineStr">
        <is>
          <t>Time Played</t>
        </is>
      </c>
      <c r="F9" s="35" t="inlineStr">
        <is>
          <t>Tackles</t>
        </is>
      </c>
      <c r="G9" s="35" t="inlineStr">
        <is>
          <t>Dominant Tackles</t>
        </is>
      </c>
      <c r="H9" s="35" t="inlineStr">
        <is>
          <t>Line Breaks</t>
        </is>
      </c>
      <c r="I9" s="35" t="inlineStr">
        <is>
          <t>Metres Carried</t>
        </is>
      </c>
      <c r="J9" s="35" t="inlineStr">
        <is>
          <t>50-22</t>
        </is>
      </c>
      <c r="K9" s="35" t="inlineStr">
        <is>
          <t>Lineout Steal</t>
        </is>
      </c>
      <c r="L9" s="35" t="inlineStr">
        <is>
          <t>Breakdown Steal</t>
        </is>
      </c>
      <c r="M9" s="35" t="inlineStr">
        <is>
          <t>Try</t>
        </is>
      </c>
      <c r="N9" s="35" t="inlineStr">
        <is>
          <t>Assists</t>
        </is>
      </c>
      <c r="O9" s="35" t="inlineStr">
        <is>
          <t>Conversion</t>
        </is>
      </c>
      <c r="P9" s="35" t="inlineStr">
        <is>
          <t>Penalty</t>
        </is>
      </c>
      <c r="Q9" s="35" t="inlineStr">
        <is>
          <t>Drop Goal</t>
        </is>
      </c>
      <c r="R9" s="35" t="inlineStr">
        <is>
          <t>Yellow Card</t>
        </is>
      </c>
      <c r="S9" s="35" t="inlineStr">
        <is>
          <t>Red Card</t>
        </is>
      </c>
      <c r="T9" s="35" t="inlineStr">
        <is>
          <t>Game Total</t>
        </is>
      </c>
      <c r="U9" s="35" t="inlineStr">
        <is>
          <t>MoM</t>
        </is>
      </c>
      <c r="V9" s="35" t="inlineStr">
        <is>
          <t>Total Points</t>
        </is>
      </c>
    </row>
    <row r="10" ht="16" customHeight="1" thickBot="1">
      <c r="A10" s="1" t="inlineStr">
        <is>
          <t>M. Hansen</t>
        </is>
      </c>
      <c r="B10" s="34">
        <f t="array" ref="B10:C10">_xlfn.XLOOKUP(A10,'Player List'!$A$2:$A$177,'Player List'!$B$2:$C$177)</f>
        <v/>
      </c>
      <c r="C10" s="34" t="inlineStr">
        <is>
          <t>Back Three</t>
        </is>
      </c>
      <c r="D10" s="34">
        <f>_xlfn.XLOOKUP(B10,$B$2:$B$7,$C$2:$C$7)</f>
        <v/>
      </c>
      <c r="E10" s="2" t="n">
        <v>80</v>
      </c>
      <c r="F10" s="2" t="n">
        <v>5</v>
      </c>
      <c r="G10" s="2" t="n"/>
      <c r="H10" s="2" t="n"/>
      <c r="I10" s="2" t="n">
        <v>63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3" t="n">
        <v>25.6</v>
      </c>
      <c r="U10" s="2" t="n"/>
    </row>
    <row r="11" ht="16" customHeight="1" thickBot="1">
      <c r="A11" s="4" t="inlineStr">
        <is>
          <t>H. Keenan</t>
        </is>
      </c>
      <c r="B11" s="34">
        <f t="array" ref="B11:C11">_xlfn.XLOOKUP(A11,'Player List'!$A$2:$A$177,'Player List'!$B$2:$C$177)</f>
        <v/>
      </c>
      <c r="C11" s="34" t="inlineStr">
        <is>
          <t>Back Three</t>
        </is>
      </c>
      <c r="D11" s="34">
        <f>_xlfn.XLOOKUP(B11,$B$2:$B$7,$C$2:$C$7)</f>
        <v/>
      </c>
      <c r="E11" s="5" t="n">
        <v>80</v>
      </c>
      <c r="F11" s="5" t="n">
        <v>3</v>
      </c>
      <c r="G11" s="5" t="n">
        <v>1</v>
      </c>
      <c r="H11" s="5" t="n">
        <v>2</v>
      </c>
      <c r="I11" s="5" t="n">
        <v>205</v>
      </c>
      <c r="J11" s="5" t="n">
        <v>1</v>
      </c>
      <c r="K11" s="5" t="n"/>
      <c r="L11" s="5" t="n"/>
      <c r="M11" s="5" t="n">
        <v>1</v>
      </c>
      <c r="N11" s="5" t="n"/>
      <c r="O11" s="5" t="n"/>
      <c r="P11" s="5" t="n"/>
      <c r="Q11" s="5" t="n"/>
      <c r="R11" s="5" t="n"/>
      <c r="S11" s="5" t="n"/>
      <c r="T11" s="6" t="n">
        <v>98</v>
      </c>
      <c r="U11" s="5" t="n"/>
    </row>
    <row r="12" ht="16" customHeight="1" thickBot="1">
      <c r="A12" s="1" t="inlineStr">
        <is>
          <t>J. Lowe</t>
        </is>
      </c>
      <c r="B12" s="34">
        <f t="array" ref="B12:C12">_xlfn.XLOOKUP(A12,'Player List'!$A$2:$A$177,'Player List'!$B$2:$C$177)</f>
        <v/>
      </c>
      <c r="C12" s="34" t="inlineStr">
        <is>
          <t>Back Three</t>
        </is>
      </c>
      <c r="D12" s="34">
        <f>_xlfn.XLOOKUP(B12,$B$2:$B$7,$C$2:$C$7)</f>
        <v/>
      </c>
      <c r="E12" s="2" t="n">
        <v>80</v>
      </c>
      <c r="F12" s="2" t="n">
        <v>4</v>
      </c>
      <c r="G12" s="2" t="n"/>
      <c r="H12" s="2" t="n">
        <v>1</v>
      </c>
      <c r="I12" s="2" t="n">
        <v>94</v>
      </c>
      <c r="J12" s="2" t="n"/>
      <c r="K12" s="2" t="n"/>
      <c r="L12" s="2" t="n"/>
      <c r="M12" s="2" t="n">
        <v>1</v>
      </c>
      <c r="N12" s="2" t="n"/>
      <c r="O12" s="2" t="n"/>
      <c r="P12" s="2" t="n"/>
      <c r="Q12" s="2" t="n"/>
      <c r="R12" s="2" t="n"/>
      <c r="S12" s="2" t="n"/>
      <c r="T12" s="3" t="n">
        <v>52.8</v>
      </c>
      <c r="U12" s="2" t="n"/>
    </row>
    <row r="13" ht="16" customHeight="1" thickBot="1">
      <c r="A13" s="8" t="inlineStr">
        <is>
          <t>B. Aki</t>
        </is>
      </c>
      <c r="B13" s="34">
        <f t="array" ref="B13:C13">_xlfn.XLOOKUP(A13,'Player List'!$A$2:$A$177,'Player List'!$B$2:$C$177)</f>
        <v/>
      </c>
      <c r="C13" s="34" t="inlineStr">
        <is>
          <t>Centre</t>
        </is>
      </c>
      <c r="D13" s="34">
        <f>_xlfn.XLOOKUP(B13,$B$2:$B$7,$C$2:$C$7)</f>
        <v/>
      </c>
      <c r="E13" s="5" t="n">
        <v>14</v>
      </c>
      <c r="F13" s="5" t="n">
        <v>3</v>
      </c>
      <c r="G13" s="5" t="n"/>
      <c r="H13" s="5" t="n"/>
      <c r="I13" s="5" t="n">
        <v>25</v>
      </c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6" t="n">
        <v>9.4</v>
      </c>
      <c r="U13" s="5" t="n"/>
    </row>
    <row r="14" ht="16" customHeight="1" thickBot="1">
      <c r="A14" s="7" t="inlineStr">
        <is>
          <t>S. McCloskey</t>
        </is>
      </c>
      <c r="B14" s="34">
        <f t="array" ref="B14:C14">_xlfn.XLOOKUP(A14,'Player List'!$A$2:$A$177,'Player List'!$B$2:$C$177)</f>
        <v/>
      </c>
      <c r="C14" s="34" t="inlineStr">
        <is>
          <t>Centre</t>
        </is>
      </c>
      <c r="D14" s="34">
        <f>_xlfn.XLOOKUP(B14,$B$2:$B$7,$C$2:$C$7)</f>
        <v/>
      </c>
      <c r="E14" s="2" t="n">
        <v>66</v>
      </c>
      <c r="F14" s="2" t="n">
        <v>3</v>
      </c>
      <c r="G14" s="2" t="n"/>
      <c r="H14" s="2" t="n"/>
      <c r="I14" s="2" t="n">
        <v>69</v>
      </c>
      <c r="J14" s="2" t="n"/>
      <c r="K14" s="2" t="n"/>
      <c r="L14" s="2" t="n">
        <v>1</v>
      </c>
      <c r="M14" s="2" t="n"/>
      <c r="N14" s="2" t="n"/>
      <c r="O14" s="2" t="n"/>
      <c r="P14" s="2" t="n"/>
      <c r="Q14" s="2" t="n"/>
      <c r="R14" s="2" t="n"/>
      <c r="S14" s="2" t="n"/>
      <c r="T14" s="3" t="n">
        <v>30.4</v>
      </c>
      <c r="U14" s="2" t="n"/>
    </row>
    <row r="15" ht="16" customHeight="1" thickBot="1">
      <c r="A15" s="8" t="inlineStr">
        <is>
          <t>G. Ringrose</t>
        </is>
      </c>
      <c r="B15" s="34">
        <f t="array" ref="B15:C15">_xlfn.XLOOKUP(A15,'Player List'!$A$2:$A$177,'Player List'!$B$2:$C$177)</f>
        <v/>
      </c>
      <c r="C15" s="34" t="inlineStr">
        <is>
          <t>Centre</t>
        </is>
      </c>
      <c r="D15" s="34">
        <f>_xlfn.XLOOKUP(B15,$B$2:$B$7,$C$2:$C$7)</f>
        <v/>
      </c>
      <c r="E15" s="5" t="n">
        <v>80</v>
      </c>
      <c r="F15" s="5" t="n">
        <v>9</v>
      </c>
      <c r="G15" s="5" t="n">
        <v>1</v>
      </c>
      <c r="H15" s="5" t="n">
        <v>1</v>
      </c>
      <c r="I15" s="5" t="n">
        <v>64</v>
      </c>
      <c r="J15" s="5" t="n"/>
      <c r="K15" s="5" t="n"/>
      <c r="L15" s="5" t="n"/>
      <c r="M15" s="5" t="n">
        <v>1</v>
      </c>
      <c r="N15" s="5" t="n">
        <v>1</v>
      </c>
      <c r="O15" s="5" t="n"/>
      <c r="P15" s="5" t="n"/>
      <c r="Q15" s="5" t="n"/>
      <c r="R15" s="5" t="n"/>
      <c r="S15" s="5" t="n"/>
      <c r="T15" s="6" t="n">
        <v>65.8</v>
      </c>
      <c r="U15" s="5" t="n"/>
    </row>
    <row r="16" ht="16" customHeight="1" thickBot="1">
      <c r="A16" s="9" t="inlineStr">
        <is>
          <t>R. Byrne</t>
        </is>
      </c>
      <c r="B16" s="34">
        <f t="array" ref="B16:C16">_xlfn.XLOOKUP(A16,'Player List'!$A$2:$A$177,'Player List'!$B$2:$C$177)</f>
        <v/>
      </c>
      <c r="C16" s="34" t="inlineStr">
        <is>
          <t>Fly Half</t>
        </is>
      </c>
      <c r="D16" s="34">
        <f>_xlfn.XLOOKUP(B16,$B$2:$B$7,$C$2:$C$7)</f>
        <v/>
      </c>
      <c r="E16" s="2" t="n">
        <v>32</v>
      </c>
      <c r="F16" s="2" t="n">
        <v>3</v>
      </c>
      <c r="G16" s="2" t="n"/>
      <c r="H16" s="2" t="n"/>
      <c r="I16" s="2" t="n">
        <v>10</v>
      </c>
      <c r="J16" s="2" t="n"/>
      <c r="K16" s="2" t="n"/>
      <c r="L16" s="2" t="n"/>
      <c r="M16" s="2" t="n"/>
      <c r="N16" s="2" t="n"/>
      <c r="O16" s="2" t="n">
        <v>1</v>
      </c>
      <c r="P16" s="2" t="n">
        <v>1</v>
      </c>
      <c r="Q16" s="2" t="n"/>
      <c r="R16" s="2" t="n"/>
      <c r="S16" s="2" t="n"/>
      <c r="T16" s="3" t="n">
        <v>15.2</v>
      </c>
      <c r="U16" s="2" t="n"/>
    </row>
    <row r="17" ht="16" customHeight="1" thickBot="1">
      <c r="A17" s="10" t="inlineStr">
        <is>
          <t>J. Sexton</t>
        </is>
      </c>
      <c r="B17" s="34">
        <f t="array" ref="B17:C17">_xlfn.XLOOKUP(A17,'Player List'!$A$2:$A$177,'Player List'!$B$2:$C$177)</f>
        <v/>
      </c>
      <c r="C17" s="34" t="inlineStr">
        <is>
          <t>Fly Half</t>
        </is>
      </c>
      <c r="D17" s="34">
        <f>_xlfn.XLOOKUP(B17,$B$2:$B$7,$C$2:$C$7)</f>
        <v/>
      </c>
      <c r="E17" s="5" t="n">
        <v>48</v>
      </c>
      <c r="F17" s="5" t="n">
        <v>3</v>
      </c>
      <c r="G17" s="5" t="n"/>
      <c r="H17" s="5" t="n">
        <v>2</v>
      </c>
      <c r="I17" s="5" t="n">
        <v>80</v>
      </c>
      <c r="J17" s="5" t="n"/>
      <c r="K17" s="5" t="n"/>
      <c r="L17" s="5" t="n"/>
      <c r="M17" s="5" t="n"/>
      <c r="N17" s="5" t="n"/>
      <c r="O17" s="5" t="n">
        <v>2</v>
      </c>
      <c r="P17" s="5" t="n">
        <v>1</v>
      </c>
      <c r="Q17" s="5" t="n"/>
      <c r="R17" s="5" t="n"/>
      <c r="S17" s="5" t="n"/>
      <c r="T17" s="6" t="n">
        <v>46.8</v>
      </c>
      <c r="U17" s="5" t="n"/>
    </row>
    <row r="18" ht="16" customHeight="1" thickBot="1">
      <c r="A18" s="11" t="inlineStr">
        <is>
          <t>C. Casey</t>
        </is>
      </c>
      <c r="B18" s="34">
        <f t="array" ref="B18:C18">_xlfn.XLOOKUP(A18,'Player List'!$A$2:$A$177,'Player List'!$B$2:$C$177)</f>
        <v/>
      </c>
      <c r="C18" s="34" t="inlineStr">
        <is>
          <t>Scrum Half</t>
        </is>
      </c>
      <c r="D18" s="34">
        <f>_xlfn.XLOOKUP(B18,$B$2:$B$7,$C$2:$C$7)</f>
        <v/>
      </c>
      <c r="E18" s="2" t="n">
        <v>24</v>
      </c>
      <c r="F18" s="2" t="n">
        <v>1</v>
      </c>
      <c r="G18" s="2" t="n"/>
      <c r="H18" s="2" t="n"/>
      <c r="I18" s="2" t="n">
        <v>14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3" t="n">
        <v>6.2</v>
      </c>
      <c r="U18" s="2" t="n"/>
    </row>
    <row r="19" ht="16" customHeight="1" thickBot="1">
      <c r="A19" s="12" t="inlineStr">
        <is>
          <t>C. Murray</t>
        </is>
      </c>
      <c r="B19" s="34">
        <f t="array" ref="B19:C19">_xlfn.XLOOKUP(A19,'Player List'!$A$2:$A$177,'Player List'!$B$2:$C$177)</f>
        <v/>
      </c>
      <c r="C19" s="34" t="inlineStr">
        <is>
          <t>Scrum Half</t>
        </is>
      </c>
      <c r="D19" s="34">
        <f>_xlfn.XLOOKUP(B19,$B$2:$B$7,$C$2:$C$7)</f>
        <v/>
      </c>
      <c r="E19" s="5" t="n">
        <v>56</v>
      </c>
      <c r="F19" s="5" t="n">
        <v>3</v>
      </c>
      <c r="G19" s="5" t="n"/>
      <c r="H19" s="5" t="n"/>
      <c r="I19" s="5" t="n">
        <v>11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6" t="n">
        <v>10.8</v>
      </c>
      <c r="U19" s="5" t="n"/>
    </row>
    <row r="20" ht="16" customHeight="1" thickBot="1">
      <c r="A20" s="13" t="inlineStr">
        <is>
          <t>J. Conan</t>
        </is>
      </c>
      <c r="B20" s="34">
        <f t="array" ref="B20:C20">_xlfn.XLOOKUP(A20,'Player List'!$A$2:$A$177,'Player List'!$B$2:$C$177)</f>
        <v/>
      </c>
      <c r="C20" s="34" t="inlineStr">
        <is>
          <t>Back Row</t>
        </is>
      </c>
      <c r="D20" s="34">
        <f>_xlfn.XLOOKUP(B20,$B$2:$B$7,$C$2:$C$7)</f>
        <v/>
      </c>
      <c r="E20" s="2" t="n">
        <v>24</v>
      </c>
      <c r="F20" s="2" t="n">
        <v>2</v>
      </c>
      <c r="G20" s="2" t="n"/>
      <c r="H20" s="2" t="n"/>
      <c r="I20" s="2" t="n">
        <v>22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3" t="n">
        <v>8.800000000000001</v>
      </c>
      <c r="U20" s="2" t="n"/>
    </row>
    <row r="21" ht="16" customHeight="1" thickBot="1">
      <c r="A21" s="14" t="inlineStr">
        <is>
          <t>C. Doris</t>
        </is>
      </c>
      <c r="B21" s="34">
        <f t="array" ref="B21:C21">_xlfn.XLOOKUP(A21,'Player List'!$A$2:$A$177,'Player List'!$B$2:$C$177)</f>
        <v/>
      </c>
      <c r="C21" s="34" t="inlineStr">
        <is>
          <t>Back Row</t>
        </is>
      </c>
      <c r="D21" s="34">
        <f>_xlfn.XLOOKUP(B21,$B$2:$B$7,$C$2:$C$7)</f>
        <v/>
      </c>
      <c r="E21" s="5" t="n">
        <v>80</v>
      </c>
      <c r="F21" s="5" t="n">
        <v>6</v>
      </c>
      <c r="G21" s="5" t="n"/>
      <c r="H21" s="5" t="n"/>
      <c r="I21" s="5" t="n">
        <v>117</v>
      </c>
      <c r="J21" s="5" t="n"/>
      <c r="K21" s="5" t="n"/>
      <c r="L21" s="5" t="n">
        <v>1</v>
      </c>
      <c r="M21" s="5" t="n"/>
      <c r="N21" s="5" t="n">
        <v>1</v>
      </c>
      <c r="O21" s="5" t="n"/>
      <c r="P21" s="5" t="n"/>
      <c r="Q21" s="5" t="n"/>
      <c r="R21" s="5" t="n"/>
      <c r="S21" s="5" t="n"/>
      <c r="T21" s="6" t="n">
        <v>66.40000000000001</v>
      </c>
      <c r="U21" s="5" t="n">
        <v>1</v>
      </c>
    </row>
    <row r="22" ht="16" customHeight="1" thickBot="1">
      <c r="A22" s="13" t="inlineStr">
        <is>
          <t>P. O'Mahony</t>
        </is>
      </c>
      <c r="B22" s="34">
        <f t="array" ref="B22:C22">_xlfn.XLOOKUP(A22,'Player List'!$A$2:$A$177,'Player List'!$B$2:$C$177)</f>
        <v/>
      </c>
      <c r="C22" s="34" t="inlineStr">
        <is>
          <t>Back Row</t>
        </is>
      </c>
      <c r="D22" s="34">
        <f>_xlfn.XLOOKUP(B22,$B$2:$B$7,$C$2:$C$7)</f>
        <v/>
      </c>
      <c r="E22" s="2" t="n">
        <v>56</v>
      </c>
      <c r="F22" s="2" t="n">
        <v>7</v>
      </c>
      <c r="G22" s="2" t="n"/>
      <c r="H22" s="2" t="n"/>
      <c r="I22" s="2" t="n">
        <v>15</v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3" t="n">
        <v>15.6</v>
      </c>
      <c r="U22" s="2" t="n"/>
    </row>
    <row r="23" ht="16" customHeight="1" thickBot="1">
      <c r="A23" s="14" t="inlineStr">
        <is>
          <t>J. van der Flier</t>
        </is>
      </c>
      <c r="B23" s="34">
        <f t="array" ref="B23:C23">_xlfn.XLOOKUP(A23,'Player List'!$A$2:$A$177,'Player List'!$B$2:$C$177)</f>
        <v/>
      </c>
      <c r="C23" s="34" t="inlineStr">
        <is>
          <t>Back Row</t>
        </is>
      </c>
      <c r="D23" s="34">
        <f>_xlfn.XLOOKUP(B23,$B$2:$B$7,$C$2:$C$7)</f>
        <v/>
      </c>
      <c r="E23" s="5" t="n">
        <v>80</v>
      </c>
      <c r="F23" s="5" t="n">
        <v>12</v>
      </c>
      <c r="G23" s="5" t="n">
        <v>1</v>
      </c>
      <c r="H23" s="5" t="n"/>
      <c r="I23" s="5" t="n">
        <v>51</v>
      </c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6" t="n">
        <v>37.2</v>
      </c>
      <c r="U23" s="5" t="n"/>
    </row>
    <row r="24" ht="16" customHeight="1" thickBot="1">
      <c r="A24" s="15" t="inlineStr">
        <is>
          <t>T. Beirne</t>
        </is>
      </c>
      <c r="B24" s="34">
        <f t="array" ref="B24:C24">_xlfn.XLOOKUP(A24,'Player List'!$A$2:$A$177,'Player List'!$B$2:$C$177)</f>
        <v/>
      </c>
      <c r="C24" s="34" t="inlineStr">
        <is>
          <t>Second Row</t>
        </is>
      </c>
      <c r="D24" s="34">
        <f>_xlfn.XLOOKUP(B24,$B$2:$B$7,$C$2:$C$7)</f>
        <v/>
      </c>
      <c r="E24" s="2" t="n">
        <v>45</v>
      </c>
      <c r="F24" s="2" t="n">
        <v>10</v>
      </c>
      <c r="G24" s="2" t="n">
        <v>2</v>
      </c>
      <c r="H24" s="2" t="n">
        <v>1</v>
      </c>
      <c r="I24" s="2" t="n">
        <v>33</v>
      </c>
      <c r="J24" s="2" t="n"/>
      <c r="K24" s="2" t="n"/>
      <c r="L24" s="2" t="n">
        <v>1</v>
      </c>
      <c r="M24" s="2" t="n"/>
      <c r="N24" s="2" t="n"/>
      <c r="O24" s="2" t="n"/>
      <c r="P24" s="2" t="n"/>
      <c r="Q24" s="2" t="n"/>
      <c r="R24" s="2" t="n"/>
      <c r="S24" s="2" t="n"/>
      <c r="T24" s="3" t="n">
        <v>49.1</v>
      </c>
      <c r="U24" s="2" t="n"/>
    </row>
    <row r="25" ht="16" customHeight="1" thickBot="1">
      <c r="A25" s="16" t="inlineStr">
        <is>
          <t>I. Henderson</t>
        </is>
      </c>
      <c r="B25" s="34">
        <f t="array" ref="B25:C25">_xlfn.XLOOKUP(A25,'Player List'!$A$2:$A$177,'Player List'!$B$2:$C$177)</f>
        <v/>
      </c>
      <c r="C25" s="34" t="inlineStr">
        <is>
          <t>Second Row</t>
        </is>
      </c>
      <c r="D25" s="34">
        <f>_xlfn.XLOOKUP(B25,$B$2:$B$7,$C$2:$C$7)</f>
        <v/>
      </c>
      <c r="E25" s="5" t="n">
        <v>35</v>
      </c>
      <c r="F25" s="5" t="n">
        <v>4</v>
      </c>
      <c r="G25" s="5" t="n"/>
      <c r="H25" s="5" t="n"/>
      <c r="I25" s="5" t="n">
        <v>20</v>
      </c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6" t="n">
        <v>11.5</v>
      </c>
      <c r="U25" s="5" t="n"/>
    </row>
    <row r="26" ht="16" customHeight="1" thickBot="1">
      <c r="A26" s="15" t="inlineStr">
        <is>
          <t>J. Ryan</t>
        </is>
      </c>
      <c r="B26" s="34">
        <f t="array" ref="B26:C26">_xlfn.XLOOKUP(A26,'Player List'!$A$2:$A$177,'Player List'!$B$2:$C$177)</f>
        <v/>
      </c>
      <c r="C26" s="34" t="inlineStr">
        <is>
          <t>Second Row</t>
        </is>
      </c>
      <c r="D26" s="34">
        <f>_xlfn.XLOOKUP(B26,$B$2:$B$7,$C$2:$C$7)</f>
        <v/>
      </c>
      <c r="E26" s="2" t="n">
        <v>80</v>
      </c>
      <c r="F26" s="2" t="n">
        <v>15</v>
      </c>
      <c r="G26" s="2" t="n">
        <v>1</v>
      </c>
      <c r="H26" s="2" t="n"/>
      <c r="I26" s="2" t="n">
        <v>52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3" t="n">
        <v>40.4</v>
      </c>
      <c r="U26" s="2" t="n"/>
    </row>
    <row r="27" ht="16" customHeight="1" thickBot="1">
      <c r="A27" s="17" t="inlineStr">
        <is>
          <t>F. Bealham</t>
        </is>
      </c>
      <c r="B27" s="34">
        <f t="array" ref="B27:C27">_xlfn.XLOOKUP(A27,'Player List'!$A$2:$A$177,'Player List'!$B$2:$C$177)</f>
        <v/>
      </c>
      <c r="C27" s="34" t="inlineStr">
        <is>
          <t>Prop</t>
        </is>
      </c>
      <c r="D27" s="34">
        <f>_xlfn.XLOOKUP(B27,$B$2:$B$7,$C$2:$C$7)</f>
        <v/>
      </c>
      <c r="E27" s="5" t="n">
        <v>61</v>
      </c>
      <c r="F27" s="5" t="n">
        <v>12</v>
      </c>
      <c r="G27" s="5" t="n">
        <v>1</v>
      </c>
      <c r="H27" s="5" t="n"/>
      <c r="I27" s="5" t="n">
        <v>11</v>
      </c>
      <c r="J27" s="5" t="n"/>
      <c r="K27" s="5" t="n"/>
      <c r="L27" s="5" t="n"/>
      <c r="M27" s="5" t="n"/>
      <c r="N27" s="5" t="n">
        <v>1</v>
      </c>
      <c r="O27" s="5" t="n"/>
      <c r="P27" s="5" t="n"/>
      <c r="Q27" s="5" t="n"/>
      <c r="R27" s="5" t="n"/>
      <c r="S27" s="5" t="n"/>
      <c r="T27" s="6" t="n">
        <v>34.3</v>
      </c>
      <c r="U27" s="5" t="n"/>
    </row>
    <row r="28" ht="16" customHeight="1" thickBot="1">
      <c r="A28" s="18" t="inlineStr">
        <is>
          <t>D. Kilcoyne</t>
        </is>
      </c>
      <c r="B28" s="34">
        <f t="array" ref="B28:C28">_xlfn.XLOOKUP(A28,'Player List'!$A$2:$A$177,'Player List'!$B$2:$C$177)</f>
        <v/>
      </c>
      <c r="C28" s="34" t="inlineStr">
        <is>
          <t>Prop</t>
        </is>
      </c>
      <c r="D28" s="34">
        <f>_xlfn.XLOOKUP(B28,$B$2:$B$7,$C$2:$C$7)</f>
        <v/>
      </c>
      <c r="E28" s="2" t="n">
        <v>11</v>
      </c>
      <c r="F28" s="2" t="n">
        <v>3</v>
      </c>
      <c r="G28" s="2" t="n"/>
      <c r="H28" s="2" t="n"/>
      <c r="I28" s="2" t="n">
        <v>9</v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3" t="n">
        <v>5.9</v>
      </c>
      <c r="U28" s="2" t="n"/>
    </row>
    <row r="29" ht="16" customHeight="1" thickBot="1">
      <c r="A29" s="17" t="inlineStr">
        <is>
          <t>T. O'Toole</t>
        </is>
      </c>
      <c r="B29" s="34">
        <f t="array" ref="B29:C29">_xlfn.XLOOKUP(A29,'Player List'!$A$2:$A$177,'Player List'!$B$2:$C$177)</f>
        <v/>
      </c>
      <c r="C29" s="34" t="inlineStr">
        <is>
          <t>Prop</t>
        </is>
      </c>
      <c r="D29" s="34">
        <f>_xlfn.XLOOKUP(B29,$B$2:$B$7,$C$2:$C$7)</f>
        <v/>
      </c>
      <c r="E29" s="5" t="n">
        <v>19</v>
      </c>
      <c r="F29" s="5" t="n"/>
      <c r="G29" s="5" t="n"/>
      <c r="H29" s="5" t="n"/>
      <c r="I29" s="5" t="n">
        <v>52</v>
      </c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6" t="n">
        <v>12.3</v>
      </c>
      <c r="U29" s="5" t="n"/>
    </row>
    <row r="30" ht="16" customHeight="1" thickBot="1">
      <c r="A30" s="18" t="inlineStr">
        <is>
          <t>A. Porter</t>
        </is>
      </c>
      <c r="B30" s="34">
        <f t="array" ref="B30:C30">_xlfn.XLOOKUP(A30,'Player List'!$A$2:$A$177,'Player List'!$B$2:$C$177)</f>
        <v/>
      </c>
      <c r="C30" s="34" t="inlineStr">
        <is>
          <t>Prop</t>
        </is>
      </c>
      <c r="D30" s="34">
        <f>_xlfn.XLOOKUP(B30,$B$2:$B$7,$C$2:$C$7)</f>
        <v/>
      </c>
      <c r="E30" s="2" t="n">
        <v>69</v>
      </c>
      <c r="F30" s="2" t="n">
        <v>6</v>
      </c>
      <c r="G30" s="2" t="n"/>
      <c r="H30" s="2" t="n"/>
      <c r="I30" s="2" t="n">
        <v>17</v>
      </c>
      <c r="J30" s="2" t="n"/>
      <c r="K30" s="2" t="n"/>
      <c r="L30" s="2" t="n"/>
      <c r="M30" s="2" t="n">
        <v>1</v>
      </c>
      <c r="N30" s="2" t="n"/>
      <c r="O30" s="2" t="n"/>
      <c r="P30" s="2" t="n"/>
      <c r="Q30" s="2" t="n"/>
      <c r="R30" s="2" t="n"/>
      <c r="S30" s="2" t="n"/>
      <c r="T30" s="3" t="n">
        <v>31.3</v>
      </c>
      <c r="U30" s="2" t="n"/>
    </row>
    <row r="31" ht="16" customHeight="1" thickBot="1">
      <c r="A31" s="19" t="inlineStr">
        <is>
          <t>R. Herring</t>
        </is>
      </c>
      <c r="B31" s="34">
        <f t="array" ref="B31:C31">_xlfn.XLOOKUP(A31,'Player List'!$A$2:$A$177,'Player List'!$B$2:$C$177)</f>
        <v/>
      </c>
      <c r="C31" s="34" t="inlineStr">
        <is>
          <t>Hooker</t>
        </is>
      </c>
      <c r="D31" s="34">
        <f>_xlfn.XLOOKUP(B31,$B$2:$B$7,$C$2:$C$7)</f>
        <v/>
      </c>
      <c r="E31" s="5" t="n">
        <v>25</v>
      </c>
      <c r="F31" s="5" t="n">
        <v>6</v>
      </c>
      <c r="G31" s="5" t="n"/>
      <c r="H31" s="5" t="n"/>
      <c r="I31" s="5" t="n">
        <v>7</v>
      </c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6" t="n">
        <v>9.9</v>
      </c>
      <c r="U31" s="5" t="n"/>
    </row>
    <row r="32" ht="16" customHeight="1" thickBot="1">
      <c r="A32" s="20" t="inlineStr">
        <is>
          <t>R. Kelleher</t>
        </is>
      </c>
      <c r="B32" s="34">
        <f t="array" ref="B32:C32">_xlfn.XLOOKUP(A32,'Player List'!$A$2:$A$177,'Player List'!$B$2:$C$177)</f>
        <v/>
      </c>
      <c r="C32" s="34" t="inlineStr">
        <is>
          <t>Hooker</t>
        </is>
      </c>
      <c r="D32" s="34">
        <f>_xlfn.XLOOKUP(B32,$B$2:$B$7,$C$2:$C$7)</f>
        <v/>
      </c>
      <c r="E32" s="2" t="n">
        <v>55</v>
      </c>
      <c r="F32" s="2" t="n">
        <v>9</v>
      </c>
      <c r="G32" s="2" t="n">
        <v>2</v>
      </c>
      <c r="H32" s="2" t="n"/>
      <c r="I32" s="2" t="n">
        <v>38</v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3" t="n">
        <v>36.1</v>
      </c>
      <c r="U32" s="2" t="n"/>
    </row>
    <row r="33" ht="16" customHeight="1" thickBot="1">
      <c r="A33" s="1" t="inlineStr">
        <is>
          <t>D. Penaud</t>
        </is>
      </c>
      <c r="B33" s="34">
        <f t="array" ref="B33:C33">_xlfn.XLOOKUP(A33,'Player List'!$A$2:$A$177,'Player List'!$B$2:$C$177)</f>
        <v/>
      </c>
      <c r="C33" s="34" t="inlineStr">
        <is>
          <t>Back Three</t>
        </is>
      </c>
      <c r="D33" s="34">
        <f>_xlfn.XLOOKUP(B33,$B$2:$B$7,$C$2:$C$7)</f>
        <v/>
      </c>
      <c r="E33" s="2" t="n">
        <v>80</v>
      </c>
      <c r="F33" s="2" t="n">
        <v>4</v>
      </c>
      <c r="G33" s="2" t="n"/>
      <c r="H33" s="2" t="n">
        <v>1</v>
      </c>
      <c r="I33" s="2" t="n">
        <v>134</v>
      </c>
      <c r="J33" s="2" t="n"/>
      <c r="K33" s="2" t="n"/>
      <c r="L33" s="2" t="n"/>
      <c r="M33" s="2" t="n">
        <v>1</v>
      </c>
      <c r="N33" s="2" t="n"/>
      <c r="O33" s="2" t="n"/>
      <c r="P33" s="2" t="n"/>
      <c r="Q33" s="2" t="n"/>
      <c r="R33" s="2" t="n"/>
      <c r="S33" s="2" t="n"/>
      <c r="T33" s="3" t="n">
        <v>52.8</v>
      </c>
      <c r="U33" s="2" t="n"/>
    </row>
    <row r="34" ht="16" customHeight="1" thickBot="1">
      <c r="A34" s="4" t="inlineStr">
        <is>
          <t>T. Ramos</t>
        </is>
      </c>
      <c r="B34" s="34">
        <f t="array" ref="B34:C34">_xlfn.XLOOKUP(A34,'Player List'!$A$2:$A$177,'Player List'!$B$2:$C$177)</f>
        <v/>
      </c>
      <c r="C34" s="34" t="inlineStr">
        <is>
          <t>Back Three</t>
        </is>
      </c>
      <c r="D34" s="34">
        <f>_xlfn.XLOOKUP(B34,$B$2:$B$7,$C$2:$C$7)</f>
        <v/>
      </c>
      <c r="E34" s="5" t="n">
        <v>61</v>
      </c>
      <c r="F34" s="5" t="n">
        <v>3</v>
      </c>
      <c r="G34" s="5" t="n"/>
      <c r="H34" s="5" t="n"/>
      <c r="I34" s="5" t="n">
        <v>90</v>
      </c>
      <c r="J34" s="5" t="n"/>
      <c r="K34" s="5" t="n"/>
      <c r="L34" s="5" t="n"/>
      <c r="M34" s="5" t="n"/>
      <c r="N34" s="5" t="n"/>
      <c r="O34" s="5" t="n">
        <v>1</v>
      </c>
      <c r="P34" s="5" t="n">
        <v>3</v>
      </c>
      <c r="Q34" s="5" t="n">
        <v>1</v>
      </c>
      <c r="R34" s="5" t="n"/>
      <c r="S34" s="5" t="n"/>
      <c r="T34" s="6" t="n">
        <v>45</v>
      </c>
      <c r="U34" s="5" t="n"/>
    </row>
    <row r="35" ht="16" customHeight="1" thickBot="1">
      <c r="A35" s="7" t="inlineStr">
        <is>
          <t>E. Dumortier</t>
        </is>
      </c>
      <c r="B35" s="34">
        <f t="array" ref="B35:C35">_xlfn.XLOOKUP(A35,'Player List'!$A$2:$A$177,'Player List'!$B$2:$C$177)</f>
        <v/>
      </c>
      <c r="C35" s="34" t="inlineStr">
        <is>
          <t>Centre</t>
        </is>
      </c>
      <c r="D35" s="34">
        <f>_xlfn.XLOOKUP(B35,$B$2:$B$7,$C$2:$C$7)</f>
        <v/>
      </c>
      <c r="E35" s="2" t="n">
        <v>68</v>
      </c>
      <c r="F35" s="2" t="n">
        <v>2</v>
      </c>
      <c r="G35" s="2" t="n"/>
      <c r="H35" s="2" t="n">
        <v>2</v>
      </c>
      <c r="I35" s="2" t="n">
        <v>88</v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3" t="n">
        <v>33.6</v>
      </c>
      <c r="U35" s="2" t="n"/>
    </row>
    <row r="36" ht="16" customHeight="1" thickBot="1">
      <c r="A36" s="8" t="inlineStr">
        <is>
          <t>G. Fickou</t>
        </is>
      </c>
      <c r="B36" s="34">
        <f t="array" ref="B36:C36">_xlfn.XLOOKUP(A36,'Player List'!$A$2:$A$177,'Player List'!$B$2:$C$177)</f>
        <v/>
      </c>
      <c r="C36" s="34" t="inlineStr">
        <is>
          <t>Centre</t>
        </is>
      </c>
      <c r="D36" s="34">
        <f>_xlfn.XLOOKUP(B36,$B$2:$B$7,$C$2:$C$7)</f>
        <v/>
      </c>
      <c r="E36" s="5" t="n">
        <v>80</v>
      </c>
      <c r="F36" s="5" t="n">
        <v>14</v>
      </c>
      <c r="G36" s="5" t="n"/>
      <c r="H36" s="5" t="n"/>
      <c r="I36" s="5" t="n">
        <v>83</v>
      </c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6" t="n">
        <v>30.6</v>
      </c>
      <c r="U36" s="5" t="n"/>
    </row>
    <row r="37" ht="16" customHeight="1" thickBot="1">
      <c r="A37" s="7" t="inlineStr">
        <is>
          <t>Y. Moefana</t>
        </is>
      </c>
      <c r="B37" s="34">
        <f t="array" ref="B37:C37">_xlfn.XLOOKUP(A37,'Player List'!$A$2:$A$177,'Player List'!$B$2:$C$177)</f>
        <v/>
      </c>
      <c r="C37" s="34" t="inlineStr">
        <is>
          <t>Centre</t>
        </is>
      </c>
      <c r="D37" s="34">
        <f>_xlfn.XLOOKUP(B37,$B$2:$B$7,$C$2:$C$7)</f>
        <v/>
      </c>
      <c r="E37" s="2" t="n">
        <v>80</v>
      </c>
      <c r="F37" s="2" t="n">
        <v>9</v>
      </c>
      <c r="G37" s="2" t="n"/>
      <c r="H37" s="2" t="n"/>
      <c r="I37" s="2" t="n">
        <v>57</v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3" t="n">
        <v>20.4</v>
      </c>
      <c r="U37" s="2" t="n"/>
    </row>
    <row r="38" ht="16" customHeight="1" thickBot="1">
      <c r="A38" s="10" t="inlineStr">
        <is>
          <t>M. Jalibert</t>
        </is>
      </c>
      <c r="B38" s="34">
        <f t="array" ref="B38:C38">_xlfn.XLOOKUP(A38,'Player List'!$A$2:$A$177,'Player List'!$B$2:$C$177)</f>
        <v/>
      </c>
      <c r="C38" s="34" t="inlineStr">
        <is>
          <t>Fly Half</t>
        </is>
      </c>
      <c r="D38" s="34">
        <f>_xlfn.XLOOKUP(B38,$B$2:$B$7,$C$2:$C$7)</f>
        <v/>
      </c>
      <c r="E38" s="5" t="n">
        <v>19</v>
      </c>
      <c r="F38" s="5" t="n">
        <v>2</v>
      </c>
      <c r="G38" s="5" t="n"/>
      <c r="H38" s="5" t="n"/>
      <c r="I38" s="5" t="n">
        <v>19</v>
      </c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6" t="n">
        <v>5.8</v>
      </c>
      <c r="U38" s="5" t="n"/>
    </row>
    <row r="39" ht="16" customHeight="1" thickBot="1">
      <c r="A39" s="9" t="inlineStr">
        <is>
          <t>R. Ntamack</t>
        </is>
      </c>
      <c r="B39" s="34">
        <f t="array" ref="B39:C39">_xlfn.XLOOKUP(A39,'Player List'!$A$2:$A$177,'Player List'!$B$2:$C$177)</f>
        <v/>
      </c>
      <c r="C39" s="34" t="inlineStr">
        <is>
          <t>Fly Half</t>
        </is>
      </c>
      <c r="D39" s="34">
        <f>_xlfn.XLOOKUP(B39,$B$2:$B$7,$C$2:$C$7)</f>
        <v/>
      </c>
      <c r="E39" s="2" t="n">
        <v>80</v>
      </c>
      <c r="F39" s="2" t="n">
        <v>12</v>
      </c>
      <c r="G39" s="2" t="n"/>
      <c r="H39" s="2" t="n"/>
      <c r="I39" s="2" t="n">
        <v>51</v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3" t="n">
        <v>22.2</v>
      </c>
      <c r="U39" s="2" t="n"/>
    </row>
    <row r="40" ht="16" customHeight="1" thickBot="1">
      <c r="A40" s="12" t="inlineStr">
        <is>
          <t>A. Dupont</t>
        </is>
      </c>
      <c r="B40" s="34">
        <f t="array" ref="B40:C40">_xlfn.XLOOKUP(A40,'Player List'!$A$2:$A$177,'Player List'!$B$2:$C$177)</f>
        <v/>
      </c>
      <c r="C40" s="34" t="inlineStr">
        <is>
          <t>Scrum Half</t>
        </is>
      </c>
      <c r="D40" s="34">
        <f>_xlfn.XLOOKUP(B40,$B$2:$B$7,$C$2:$C$7)</f>
        <v/>
      </c>
      <c r="E40" s="5" t="n">
        <v>80</v>
      </c>
      <c r="F40" s="5" t="n">
        <v>10</v>
      </c>
      <c r="G40" s="5" t="n">
        <v>1</v>
      </c>
      <c r="H40" s="5" t="n">
        <v>2</v>
      </c>
      <c r="I40" s="5" t="n">
        <v>90</v>
      </c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6" t="n">
        <v>49</v>
      </c>
      <c r="U40" s="5" t="n"/>
    </row>
    <row r="41" ht="16" customHeight="1" thickBot="1">
      <c r="A41" s="13" t="inlineStr">
        <is>
          <t>G. Alldritt</t>
        </is>
      </c>
      <c r="B41" s="34">
        <f t="array" ref="B41:C41">_xlfn.XLOOKUP(A41,'Player List'!$A$2:$A$177,'Player List'!$B$2:$C$177)</f>
        <v/>
      </c>
      <c r="C41" s="34" t="inlineStr">
        <is>
          <t>Back Row</t>
        </is>
      </c>
      <c r="D41" s="34">
        <f>_xlfn.XLOOKUP(B41,$B$2:$B$7,$C$2:$C$7)</f>
        <v/>
      </c>
      <c r="E41" s="2" t="n">
        <v>52</v>
      </c>
      <c r="F41" s="2" t="n">
        <v>13</v>
      </c>
      <c r="G41" s="2" t="n"/>
      <c r="H41" s="2" t="n"/>
      <c r="I41" s="2" t="n">
        <v>17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3" t="n">
        <v>16.4</v>
      </c>
      <c r="U41" s="2" t="n"/>
    </row>
    <row r="42" ht="16" customHeight="1" thickBot="1">
      <c r="A42" s="14" t="inlineStr">
        <is>
          <t>F. Cros</t>
        </is>
      </c>
      <c r="B42" s="34">
        <f t="array" ref="B42:C42">_xlfn.XLOOKUP(A42,'Player List'!$A$2:$A$177,'Player List'!$B$2:$C$177)</f>
        <v/>
      </c>
      <c r="C42" s="34" t="inlineStr">
        <is>
          <t>Back Row</t>
        </is>
      </c>
      <c r="D42" s="34">
        <f>_xlfn.XLOOKUP(B42,$B$2:$B$7,$C$2:$C$7)</f>
        <v/>
      </c>
      <c r="E42" s="5" t="n">
        <v>11</v>
      </c>
      <c r="F42" s="5" t="n">
        <v>6</v>
      </c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6" t="n">
        <v>6</v>
      </c>
      <c r="U42" s="5" t="n"/>
    </row>
    <row r="43" ht="16" customHeight="1" thickBot="1">
      <c r="A43" s="13" t="inlineStr">
        <is>
          <t>A. Jelonch</t>
        </is>
      </c>
      <c r="B43" s="34">
        <f t="array" ref="B43:C43">_xlfn.XLOOKUP(A43,'Player List'!$A$2:$A$177,'Player List'!$B$2:$C$177)</f>
        <v/>
      </c>
      <c r="C43" s="34" t="inlineStr">
        <is>
          <t>Back Row</t>
        </is>
      </c>
      <c r="D43" s="34">
        <f>_xlfn.XLOOKUP(B43,$B$2:$B$7,$C$2:$C$7)</f>
        <v/>
      </c>
      <c r="E43" s="2" t="n">
        <v>80</v>
      </c>
      <c r="F43" s="2" t="n">
        <v>22</v>
      </c>
      <c r="G43" s="2" t="n"/>
      <c r="H43" s="2" t="n">
        <v>1</v>
      </c>
      <c r="I43" s="2" t="n">
        <v>58</v>
      </c>
      <c r="J43" s="2" t="n"/>
      <c r="K43" s="2" t="n"/>
      <c r="L43" s="2" t="n"/>
      <c r="M43" s="2" t="n"/>
      <c r="N43" s="2" t="n">
        <v>1</v>
      </c>
      <c r="O43" s="2" t="n"/>
      <c r="P43" s="2" t="n"/>
      <c r="Q43" s="2" t="n"/>
      <c r="R43" s="2" t="n"/>
      <c r="S43" s="2" t="n"/>
      <c r="T43" s="3" t="n">
        <v>47.6</v>
      </c>
      <c r="U43" s="2" t="n"/>
    </row>
    <row r="44" ht="16" customHeight="1" thickBot="1">
      <c r="A44" s="14" t="inlineStr">
        <is>
          <t>S. Macalou</t>
        </is>
      </c>
      <c r="B44" s="34">
        <f t="array" ref="B44:C44">_xlfn.XLOOKUP(A44,'Player List'!$A$2:$A$177,'Player List'!$B$2:$C$177)</f>
        <v/>
      </c>
      <c r="C44" s="34" t="inlineStr">
        <is>
          <t>Back Row</t>
        </is>
      </c>
      <c r="D44" s="34">
        <f>_xlfn.XLOOKUP(B44,$B$2:$B$7,$C$2:$C$7)</f>
        <v/>
      </c>
      <c r="E44" s="5" t="n">
        <v>28</v>
      </c>
      <c r="F44" s="5" t="n">
        <v>7</v>
      </c>
      <c r="G44" s="5" t="n"/>
      <c r="H44" s="5" t="n"/>
      <c r="I44" s="5" t="n">
        <v>23</v>
      </c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6" t="n">
        <v>11.6</v>
      </c>
      <c r="U44" s="5" t="n"/>
    </row>
    <row r="45" ht="16" customHeight="1" thickBot="1">
      <c r="A45" s="13" t="inlineStr">
        <is>
          <t>C. Ollivon</t>
        </is>
      </c>
      <c r="B45" s="34">
        <f t="array" ref="B45:C45">_xlfn.XLOOKUP(A45,'Player List'!$A$2:$A$177,'Player List'!$B$2:$C$177)</f>
        <v/>
      </c>
      <c r="C45" s="34" t="inlineStr">
        <is>
          <t>Back Row</t>
        </is>
      </c>
      <c r="D45" s="34">
        <f>_xlfn.XLOOKUP(B45,$B$2:$B$7,$C$2:$C$7)</f>
        <v/>
      </c>
      <c r="E45" s="2" t="n">
        <v>69</v>
      </c>
      <c r="F45" s="2" t="n">
        <v>21</v>
      </c>
      <c r="G45" s="2" t="n"/>
      <c r="H45" s="2" t="n"/>
      <c r="I45" s="2" t="n">
        <v>25</v>
      </c>
      <c r="J45" s="2" t="n"/>
      <c r="K45" s="2" t="n"/>
      <c r="L45" s="2" t="n">
        <v>1</v>
      </c>
      <c r="M45" s="2" t="n"/>
      <c r="N45" s="2" t="n"/>
      <c r="O45" s="2" t="n"/>
      <c r="P45" s="2" t="n"/>
      <c r="Q45" s="2" t="n"/>
      <c r="R45" s="2" t="n"/>
      <c r="S45" s="2" t="n"/>
      <c r="T45" s="3" t="n">
        <v>33</v>
      </c>
      <c r="U45" s="2" t="n"/>
    </row>
    <row r="46" ht="16" customHeight="1" thickBot="1">
      <c r="A46" s="16" t="inlineStr">
        <is>
          <t>T. Flament</t>
        </is>
      </c>
      <c r="B46" s="34">
        <f t="array" ref="B46:C46">_xlfn.XLOOKUP(A46,'Player List'!$A$2:$A$177,'Player List'!$B$2:$C$177)</f>
        <v/>
      </c>
      <c r="C46" s="34" t="inlineStr">
        <is>
          <t>Second Row</t>
        </is>
      </c>
      <c r="D46" s="34">
        <f>_xlfn.XLOOKUP(B46,$B$2:$B$7,$C$2:$C$7)</f>
        <v/>
      </c>
      <c r="E46" s="5" t="n">
        <v>80</v>
      </c>
      <c r="F46" s="5" t="n">
        <v>24</v>
      </c>
      <c r="G46" s="5" t="n">
        <v>2</v>
      </c>
      <c r="H46" s="5" t="n"/>
      <c r="I46" s="5" t="n">
        <v>60</v>
      </c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6" t="n">
        <v>50</v>
      </c>
      <c r="U46" s="5" t="n"/>
    </row>
    <row r="47" ht="16" customHeight="1" thickBot="1">
      <c r="A47" s="15" t="inlineStr">
        <is>
          <t>R. Taofifenua</t>
        </is>
      </c>
      <c r="B47" s="34">
        <f t="array" ref="B47:C47">_xlfn.XLOOKUP(A47,'Player List'!$A$2:$A$177,'Player List'!$B$2:$C$177)</f>
        <v/>
      </c>
      <c r="C47" s="34" t="inlineStr">
        <is>
          <t>Second Row</t>
        </is>
      </c>
      <c r="D47" s="34">
        <f>_xlfn.XLOOKUP(B47,$B$2:$B$7,$C$2:$C$7)</f>
        <v/>
      </c>
      <c r="E47" s="2" t="n">
        <v>35</v>
      </c>
      <c r="F47" s="2" t="n">
        <v>11</v>
      </c>
      <c r="G47" s="2" t="n">
        <v>1</v>
      </c>
      <c r="H47" s="2" t="n"/>
      <c r="I47" s="2" t="n">
        <v>3</v>
      </c>
      <c r="J47" s="2" t="n"/>
      <c r="K47" s="2" t="n"/>
      <c r="L47" s="2" t="n">
        <v>1</v>
      </c>
      <c r="M47" s="2" t="n"/>
      <c r="N47" s="2" t="n"/>
      <c r="O47" s="2" t="n"/>
      <c r="P47" s="2" t="n"/>
      <c r="Q47" s="2" t="n"/>
      <c r="R47" s="2" t="n"/>
      <c r="S47" s="2" t="n"/>
      <c r="T47" s="3" t="n">
        <v>25.6</v>
      </c>
      <c r="U47" s="2" t="n"/>
    </row>
    <row r="48" ht="16" customHeight="1" thickBot="1">
      <c r="A48" s="16" t="inlineStr">
        <is>
          <t>P. Willemse</t>
        </is>
      </c>
      <c r="B48" s="34">
        <f t="array" ref="B48:C48">_xlfn.XLOOKUP(A48,'Player List'!$A$2:$A$177,'Player List'!$B$2:$C$177)</f>
        <v/>
      </c>
      <c r="C48" s="34" t="inlineStr">
        <is>
          <t>Second Row</t>
        </is>
      </c>
      <c r="D48" s="34">
        <f>_xlfn.XLOOKUP(B48,$B$2:$B$7,$C$2:$C$7)</f>
        <v/>
      </c>
      <c r="E48" s="5" t="n">
        <v>45</v>
      </c>
      <c r="F48" s="5" t="n">
        <v>10</v>
      </c>
      <c r="G48" s="5" t="n">
        <v>2</v>
      </c>
      <c r="H48" s="5" t="n"/>
      <c r="I48" s="5" t="n">
        <v>16</v>
      </c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6" t="n">
        <v>27.2</v>
      </c>
      <c r="U48" s="5" t="n"/>
    </row>
    <row r="49" ht="16" customHeight="1" thickBot="1">
      <c r="A49" s="18" t="inlineStr">
        <is>
          <t>U. Atonio</t>
        </is>
      </c>
      <c r="B49" s="34">
        <f t="array" ref="B49:C49">_xlfn.XLOOKUP(A49,'Player List'!$A$2:$A$177,'Player List'!$B$2:$C$177)</f>
        <v/>
      </c>
      <c r="C49" s="34" t="inlineStr">
        <is>
          <t>Prop</t>
        </is>
      </c>
      <c r="D49" s="34">
        <f>_xlfn.XLOOKUP(B49,$B$2:$B$7,$C$2:$C$7)</f>
        <v/>
      </c>
      <c r="E49" s="2" t="n">
        <v>44</v>
      </c>
      <c r="F49" s="2" t="n">
        <v>8</v>
      </c>
      <c r="G49" s="2" t="n">
        <v>2</v>
      </c>
      <c r="H49" s="2" t="n"/>
      <c r="I49" s="2" t="n">
        <v>6</v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>
        <v>1</v>
      </c>
      <c r="S49" s="2" t="n"/>
      <c r="T49" s="3" t="n">
        <v>18.2</v>
      </c>
      <c r="U49" s="2" t="n"/>
    </row>
    <row r="50" ht="16" customHeight="1" thickBot="1">
      <c r="A50" s="17" t="inlineStr">
        <is>
          <t>C. Baille</t>
        </is>
      </c>
      <c r="B50" s="34">
        <f t="array" ref="B50:C50">_xlfn.XLOOKUP(A50,'Player List'!$A$2:$A$177,'Player List'!$B$2:$C$177)</f>
        <v/>
      </c>
      <c r="C50" s="34" t="inlineStr">
        <is>
          <t>Prop</t>
        </is>
      </c>
      <c r="D50" s="34">
        <f>_xlfn.XLOOKUP(B50,$B$2:$B$7,$C$2:$C$7)</f>
        <v/>
      </c>
      <c r="E50" s="5" t="n">
        <v>56</v>
      </c>
      <c r="F50" s="5" t="n">
        <v>14</v>
      </c>
      <c r="G50" s="5" t="n"/>
      <c r="H50" s="5" t="n"/>
      <c r="I50" s="5" t="n">
        <v>23</v>
      </c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6" t="n">
        <v>18.6</v>
      </c>
      <c r="U50" s="5" t="n"/>
    </row>
    <row r="51" ht="16" customHeight="1" thickBot="1">
      <c r="A51" s="18" t="inlineStr">
        <is>
          <t>S. Falatea</t>
        </is>
      </c>
      <c r="B51" s="34">
        <f t="array" ref="B51:C51">_xlfn.XLOOKUP(A51,'Player List'!$A$2:$A$177,'Player List'!$B$2:$C$177)</f>
        <v/>
      </c>
      <c r="C51" s="34" t="inlineStr">
        <is>
          <t>Prop</t>
        </is>
      </c>
      <c r="D51" s="34">
        <f>_xlfn.XLOOKUP(B51,$B$2:$B$7,$C$2:$C$7)</f>
        <v/>
      </c>
      <c r="E51" s="2" t="n">
        <v>36</v>
      </c>
      <c r="F51" s="2" t="n">
        <v>6</v>
      </c>
      <c r="G51" s="2" t="n">
        <v>1</v>
      </c>
      <c r="H51" s="2" t="n"/>
      <c r="I51" s="2" t="n">
        <v>20</v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3" t="n">
        <v>17</v>
      </c>
      <c r="U51" s="2" t="n"/>
    </row>
    <row r="52" ht="16" customHeight="1" thickBot="1">
      <c r="A52" s="17" t="inlineStr">
        <is>
          <t>R. Wardi</t>
        </is>
      </c>
      <c r="B52" s="34">
        <f t="array" ref="B52:C52">_xlfn.XLOOKUP(A52,'Player List'!$A$2:$A$177,'Player List'!$B$2:$C$177)</f>
        <v/>
      </c>
      <c r="C52" s="34" t="inlineStr">
        <is>
          <t>Prop</t>
        </is>
      </c>
      <c r="D52" s="34">
        <f>_xlfn.XLOOKUP(B52,$B$2:$B$7,$C$2:$C$7)</f>
        <v/>
      </c>
      <c r="E52" s="5" t="n">
        <v>24</v>
      </c>
      <c r="F52" s="5" t="n">
        <v>6</v>
      </c>
      <c r="G52" s="5" t="n">
        <v>1</v>
      </c>
      <c r="H52" s="5" t="n"/>
      <c r="I52" s="5" t="n">
        <v>11</v>
      </c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6" t="n">
        <v>15.2</v>
      </c>
      <c r="U52" s="5" t="n"/>
    </row>
    <row r="53" ht="16" customHeight="1" thickBot="1">
      <c r="A53" s="20" t="inlineStr">
        <is>
          <t>G. Barlot</t>
        </is>
      </c>
      <c r="B53" s="34">
        <f t="array" ref="B53:C53">_xlfn.XLOOKUP(A53,'Player List'!$A$2:$A$177,'Player List'!$B$2:$C$177)</f>
        <v/>
      </c>
      <c r="C53" s="34" t="inlineStr">
        <is>
          <t>Hooker</t>
        </is>
      </c>
      <c r="D53" s="34">
        <f>_xlfn.XLOOKUP(B53,$B$2:$B$7,$C$2:$C$7)</f>
        <v/>
      </c>
      <c r="E53" s="2" t="n">
        <v>6</v>
      </c>
      <c r="F53" s="2" t="n">
        <v>2</v>
      </c>
      <c r="G53" s="2" t="n"/>
      <c r="H53" s="2" t="n"/>
      <c r="I53" s="2" t="n">
        <v>18</v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3" t="n">
        <v>5.6</v>
      </c>
      <c r="U53" s="2" t="n"/>
    </row>
    <row r="54" ht="16" customHeight="1" thickBot="1">
      <c r="A54" s="19" t="inlineStr">
        <is>
          <t>J. Marchand</t>
        </is>
      </c>
      <c r="B54" s="34">
        <f t="array" ref="B54:C54">_xlfn.XLOOKUP(A54,'Player List'!$A$2:$A$177,'Player List'!$B$2:$C$177)</f>
        <v/>
      </c>
      <c r="C54" s="34" t="inlineStr">
        <is>
          <t>Hooker</t>
        </is>
      </c>
      <c r="D54" s="34">
        <f>_xlfn.XLOOKUP(B54,$B$2:$B$7,$C$2:$C$7)</f>
        <v/>
      </c>
      <c r="E54" s="5" t="n">
        <v>74</v>
      </c>
      <c r="F54" s="5" t="n">
        <v>19</v>
      </c>
      <c r="G54" s="5" t="n"/>
      <c r="H54" s="5" t="n"/>
      <c r="I54" s="5" t="n">
        <v>24</v>
      </c>
      <c r="J54" s="5" t="n"/>
      <c r="K54" s="5" t="n"/>
      <c r="L54" s="5" t="n">
        <v>2</v>
      </c>
      <c r="M54" s="5" t="n"/>
      <c r="N54" s="5" t="n"/>
      <c r="O54" s="5" t="n"/>
      <c r="P54" s="5" t="n"/>
      <c r="Q54" s="5" t="n"/>
      <c r="R54" s="5" t="n"/>
      <c r="S54" s="5" t="n"/>
      <c r="T54" s="6" t="n">
        <v>37.8</v>
      </c>
      <c r="U54" s="5" t="n"/>
    </row>
    <row r="55" ht="16" customHeight="1" thickBot="1">
      <c r="A55" s="1" t="inlineStr">
        <is>
          <t>S. Hogg</t>
        </is>
      </c>
      <c r="B55" s="34">
        <f t="array" ref="B55:C55">_xlfn.XLOOKUP(A55,'Player List'!$A$2:$A$177,'Player List'!$B$2:$C$177)</f>
        <v/>
      </c>
      <c r="C55" s="34" t="inlineStr">
        <is>
          <t>Back Three</t>
        </is>
      </c>
      <c r="D55" s="34">
        <f>_xlfn.XLOOKUP(B55,$B$2:$B$7,$C$2:$C$7)</f>
        <v/>
      </c>
      <c r="E55" s="2" t="n">
        <v>13</v>
      </c>
      <c r="F55" s="2" t="n">
        <v>1</v>
      </c>
      <c r="G55" s="2" t="n"/>
      <c r="H55" s="2" t="n"/>
      <c r="I55" s="2" t="n">
        <v>18</v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3" t="n">
        <v>5.9</v>
      </c>
      <c r="U55" s="2" t="n"/>
    </row>
    <row r="56" ht="16" customHeight="1" thickBot="1">
      <c r="A56" s="4" t="inlineStr">
        <is>
          <t>B. Kinghorn</t>
        </is>
      </c>
      <c r="B56" s="34">
        <f t="array" ref="B56:C56">_xlfn.XLOOKUP(A56,'Player List'!$A$2:$A$177,'Player List'!$B$2:$C$177)</f>
        <v/>
      </c>
      <c r="C56" s="34" t="inlineStr">
        <is>
          <t>Back Three</t>
        </is>
      </c>
      <c r="D56" s="34">
        <f>_xlfn.XLOOKUP(B56,$B$2:$B$7,$C$2:$C$7)</f>
        <v/>
      </c>
      <c r="E56" s="5" t="n">
        <v>67</v>
      </c>
      <c r="F56" s="5" t="n">
        <v>5</v>
      </c>
      <c r="G56" s="5" t="n"/>
      <c r="H56" s="5" t="n">
        <v>2</v>
      </c>
      <c r="I56" s="5" t="n">
        <v>110</v>
      </c>
      <c r="J56" s="5" t="n"/>
      <c r="K56" s="5" t="n"/>
      <c r="L56" s="5" t="n"/>
      <c r="M56" s="5" t="n">
        <v>1</v>
      </c>
      <c r="N56" s="5" t="n"/>
      <c r="O56" s="5" t="n"/>
      <c r="P56" s="5" t="n"/>
      <c r="Q56" s="5" t="n"/>
      <c r="R56" s="5" t="n"/>
      <c r="S56" s="5" t="n"/>
      <c r="T56" s="6" t="n">
        <v>62.7</v>
      </c>
      <c r="U56" s="5" t="n"/>
    </row>
    <row r="57" ht="16" customHeight="1" thickBot="1">
      <c r="A57" s="1" t="inlineStr">
        <is>
          <t>K. Steyn</t>
        </is>
      </c>
      <c r="B57" s="34">
        <f t="array" ref="B57:C57">_xlfn.XLOOKUP(A57,'Player List'!$A$2:$A$177,'Player List'!$B$2:$C$177)</f>
        <v/>
      </c>
      <c r="C57" s="34" t="inlineStr">
        <is>
          <t>Back Three</t>
        </is>
      </c>
      <c r="D57" s="34">
        <f>_xlfn.XLOOKUP(B57,$B$2:$B$7,$C$2:$C$7)</f>
        <v/>
      </c>
      <c r="E57" s="2" t="n">
        <v>80</v>
      </c>
      <c r="F57" s="2" t="n">
        <v>3</v>
      </c>
      <c r="G57" s="2" t="n"/>
      <c r="H57" s="2" t="n">
        <v>3</v>
      </c>
      <c r="I57" s="2" t="n">
        <v>65</v>
      </c>
      <c r="J57" s="2" t="n"/>
      <c r="K57" s="2" t="n"/>
      <c r="L57" s="2" t="n"/>
      <c r="M57" s="2" t="n">
        <v>2</v>
      </c>
      <c r="N57" s="2" t="n"/>
      <c r="O57" s="2" t="n"/>
      <c r="P57" s="2" t="n"/>
      <c r="Q57" s="2" t="n"/>
      <c r="R57" s="2" t="n"/>
      <c r="S57" s="2" t="n"/>
      <c r="T57" s="3" t="n">
        <v>75</v>
      </c>
      <c r="U57" s="2" t="n"/>
    </row>
    <row r="58" ht="16" customHeight="1" thickBot="1">
      <c r="A58" s="4" t="inlineStr">
        <is>
          <t>D. van der Merwe</t>
        </is>
      </c>
      <c r="B58" s="34">
        <f t="array" ref="B58:C58">_xlfn.XLOOKUP(A58,'Player List'!$A$2:$A$177,'Player List'!$B$2:$C$177)</f>
        <v/>
      </c>
      <c r="C58" s="34" t="inlineStr">
        <is>
          <t>Back Three</t>
        </is>
      </c>
      <c r="D58" s="34">
        <f>_xlfn.XLOOKUP(B58,$B$2:$B$7,$C$2:$C$7)</f>
        <v/>
      </c>
      <c r="E58" s="5" t="n">
        <v>80</v>
      </c>
      <c r="F58" s="5" t="n">
        <v>2</v>
      </c>
      <c r="G58" s="5" t="n"/>
      <c r="H58" s="5" t="n">
        <v>3</v>
      </c>
      <c r="I58" s="5" t="n">
        <v>149</v>
      </c>
      <c r="J58" s="5" t="n"/>
      <c r="K58" s="5" t="n"/>
      <c r="L58" s="5" t="n"/>
      <c r="M58" s="5" t="n"/>
      <c r="N58" s="5" t="n">
        <v>1</v>
      </c>
      <c r="O58" s="5" t="n"/>
      <c r="P58" s="5" t="n"/>
      <c r="Q58" s="5" t="n"/>
      <c r="R58" s="5" t="n"/>
      <c r="S58" s="5" t="n"/>
      <c r="T58" s="6" t="n">
        <v>67.8</v>
      </c>
      <c r="U58" s="5" t="n"/>
    </row>
    <row r="59" ht="16" customHeight="1" thickBot="1">
      <c r="A59" s="7" t="inlineStr">
        <is>
          <t>C. Harris</t>
        </is>
      </c>
      <c r="B59" s="34">
        <f t="array" ref="B59:C59">_xlfn.XLOOKUP(A59,'Player List'!$A$2:$A$177,'Player List'!$B$2:$C$177)</f>
        <v/>
      </c>
      <c r="C59" s="34" t="inlineStr">
        <is>
          <t>Centre</t>
        </is>
      </c>
      <c r="D59" s="34">
        <f>_xlfn.XLOOKUP(B59,$B$2:$B$7,$C$2:$C$7)</f>
        <v/>
      </c>
      <c r="E59" s="2" t="n">
        <v>8</v>
      </c>
      <c r="F59" s="2" t="n">
        <v>3</v>
      </c>
      <c r="G59" s="2" t="n"/>
      <c r="H59" s="2" t="n"/>
      <c r="I59" s="2" t="n">
        <v>12</v>
      </c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3" t="n">
        <v>6.2</v>
      </c>
      <c r="U59" s="2" t="n"/>
    </row>
    <row r="60" ht="16" customHeight="1" thickBot="1">
      <c r="A60" s="8" t="inlineStr">
        <is>
          <t>H. Jones</t>
        </is>
      </c>
      <c r="B60" s="34">
        <f t="array" ref="B60:C60">_xlfn.XLOOKUP(A60,'Player List'!$A$2:$A$177,'Player List'!$B$2:$C$177)</f>
        <v/>
      </c>
      <c r="C60" s="34" t="inlineStr">
        <is>
          <t>Centre</t>
        </is>
      </c>
      <c r="D60" s="34">
        <f>_xlfn.XLOOKUP(B60,$B$2:$B$7,$C$2:$C$7)</f>
        <v/>
      </c>
      <c r="E60" s="5" t="n">
        <v>80</v>
      </c>
      <c r="F60" s="5" t="n">
        <v>10</v>
      </c>
      <c r="G60" s="5" t="n">
        <v>1</v>
      </c>
      <c r="H60" s="5" t="n">
        <v>1</v>
      </c>
      <c r="I60" s="5" t="n">
        <v>72</v>
      </c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6" t="n">
        <v>46.4</v>
      </c>
      <c r="U60" s="5" t="n"/>
    </row>
    <row r="61" ht="16" customHeight="1" thickBot="1">
      <c r="A61" s="7" t="inlineStr">
        <is>
          <t>S. Tuipulotu</t>
        </is>
      </c>
      <c r="B61" s="34">
        <f t="array" ref="B61:C61">_xlfn.XLOOKUP(A61,'Player List'!$A$2:$A$177,'Player List'!$B$2:$C$177)</f>
        <v/>
      </c>
      <c r="C61" s="34" t="inlineStr">
        <is>
          <t>Centre</t>
        </is>
      </c>
      <c r="D61" s="34">
        <f>_xlfn.XLOOKUP(B61,$B$2:$B$7,$C$2:$C$7)</f>
        <v/>
      </c>
      <c r="E61" s="2" t="n">
        <v>72</v>
      </c>
      <c r="F61" s="2" t="n">
        <v>12</v>
      </c>
      <c r="G61" s="2" t="n"/>
      <c r="H61" s="2" t="n"/>
      <c r="I61" s="2" t="n">
        <v>16</v>
      </c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3" t="n">
        <v>22.4</v>
      </c>
      <c r="U61" s="2" t="n"/>
    </row>
    <row r="62" ht="16" customHeight="1" thickBot="1">
      <c r="A62" s="10" t="inlineStr">
        <is>
          <t>F. Russell</t>
        </is>
      </c>
      <c r="B62" s="34">
        <f t="array" ref="B62:C62">_xlfn.XLOOKUP(A62,'Player List'!$A$2:$A$177,'Player List'!$B$2:$C$177)</f>
        <v/>
      </c>
      <c r="C62" s="34" t="inlineStr">
        <is>
          <t>Fly Half</t>
        </is>
      </c>
      <c r="D62" s="34">
        <f>_xlfn.XLOOKUP(B62,$B$2:$B$7,$C$2:$C$7)</f>
        <v/>
      </c>
      <c r="E62" s="5" t="n">
        <v>80</v>
      </c>
      <c r="F62" s="5" t="n">
        <v>8</v>
      </c>
      <c r="G62" s="5" t="n"/>
      <c r="H62" s="5" t="n"/>
      <c r="I62" s="5" t="n">
        <v>73</v>
      </c>
      <c r="J62" s="5" t="n">
        <v>1</v>
      </c>
      <c r="K62" s="5" t="n"/>
      <c r="L62" s="5" t="n"/>
      <c r="M62" s="5" t="n"/>
      <c r="N62" s="5" t="n">
        <v>3</v>
      </c>
      <c r="O62" s="5" t="n">
        <v>2</v>
      </c>
      <c r="P62" s="5" t="n">
        <v>2</v>
      </c>
      <c r="Q62" s="5" t="n"/>
      <c r="R62" s="5" t="n"/>
      <c r="S62" s="5" t="n"/>
      <c r="T62" s="6" t="n">
        <v>90.59999999999999</v>
      </c>
      <c r="U62" s="5" t="n">
        <v>1</v>
      </c>
    </row>
    <row r="63" ht="16" customHeight="1" thickBot="1">
      <c r="A63" s="11" t="inlineStr">
        <is>
          <t>G. Horne</t>
        </is>
      </c>
      <c r="B63" s="34">
        <f t="array" ref="B63:C63">_xlfn.XLOOKUP(A63,'Player List'!$A$2:$A$177,'Player List'!$B$2:$C$177)</f>
        <v/>
      </c>
      <c r="C63" s="34" t="inlineStr">
        <is>
          <t>Scrum Half</t>
        </is>
      </c>
      <c r="D63" s="34">
        <f>_xlfn.XLOOKUP(B63,$B$2:$B$7,$C$2:$C$7)</f>
        <v/>
      </c>
      <c r="E63" s="2" t="n">
        <v>21</v>
      </c>
      <c r="F63" s="2" t="n">
        <v>3</v>
      </c>
      <c r="G63" s="2" t="n"/>
      <c r="H63" s="2" t="n"/>
      <c r="I63" s="2" t="n">
        <v>8</v>
      </c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3" t="n">
        <v>6.7</v>
      </c>
      <c r="U63" s="2" t="n"/>
    </row>
    <row r="64" ht="16" customHeight="1" thickBot="1">
      <c r="A64" s="12" t="inlineStr">
        <is>
          <t>B. White</t>
        </is>
      </c>
      <c r="B64" s="34">
        <f t="array" ref="B64:C64">_xlfn.XLOOKUP(A64,'Player List'!$A$2:$A$177,'Player List'!$B$2:$C$177)</f>
        <v/>
      </c>
      <c r="C64" s="34" t="inlineStr">
        <is>
          <t>Scrum Half</t>
        </is>
      </c>
      <c r="D64" s="34">
        <f>_xlfn.XLOOKUP(B64,$B$2:$B$7,$C$2:$C$7)</f>
        <v/>
      </c>
      <c r="E64" s="5" t="n">
        <v>59</v>
      </c>
      <c r="F64" s="5" t="n">
        <v>4</v>
      </c>
      <c r="G64" s="5" t="n"/>
      <c r="H64" s="5" t="n"/>
      <c r="I64" s="5" t="n">
        <v>23</v>
      </c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6" t="n">
        <v>14.5</v>
      </c>
      <c r="U64" s="5" t="n"/>
    </row>
    <row r="65" ht="16" customHeight="1" thickBot="1">
      <c r="A65" s="13" t="inlineStr">
        <is>
          <t>L. Crosbie</t>
        </is>
      </c>
      <c r="B65" s="34">
        <f t="array" ref="B65:C65">_xlfn.XLOOKUP(A65,'Player List'!$A$2:$A$177,'Player List'!$B$2:$C$177)</f>
        <v/>
      </c>
      <c r="C65" s="34" t="inlineStr">
        <is>
          <t>Back Row</t>
        </is>
      </c>
      <c r="D65" s="34">
        <f>_xlfn.XLOOKUP(B65,$B$2:$B$7,$C$2:$C$7)</f>
        <v/>
      </c>
      <c r="E65" s="2" t="n">
        <v>39</v>
      </c>
      <c r="F65" s="2" t="n">
        <v>11</v>
      </c>
      <c r="G65" s="2" t="n">
        <v>1</v>
      </c>
      <c r="H65" s="2" t="n"/>
      <c r="I65" s="2" t="n">
        <v>10</v>
      </c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3" t="n">
        <v>23.9</v>
      </c>
      <c r="U65" s="2" t="n"/>
    </row>
    <row r="66" ht="16" customHeight="1" thickBot="1">
      <c r="A66" s="14" t="inlineStr">
        <is>
          <t>J. Dempsey</t>
        </is>
      </c>
      <c r="B66" s="34">
        <f t="array" ref="B66:C66">_xlfn.XLOOKUP(A66,'Player List'!$A$2:$A$177,'Player List'!$B$2:$C$177)</f>
        <v/>
      </c>
      <c r="C66" s="34" t="inlineStr">
        <is>
          <t>Back Row</t>
        </is>
      </c>
      <c r="D66" s="34">
        <f>_xlfn.XLOOKUP(B66,$B$2:$B$7,$C$2:$C$7)</f>
        <v/>
      </c>
      <c r="E66" s="5" t="n">
        <v>36</v>
      </c>
      <c r="F66" s="5" t="n">
        <v>2</v>
      </c>
      <c r="G66" s="5" t="n"/>
      <c r="H66" s="5" t="n"/>
      <c r="I66" s="5" t="n">
        <v>14</v>
      </c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6" t="n">
        <v>8.4</v>
      </c>
      <c r="U66" s="5" t="n"/>
    </row>
    <row r="67" ht="16" customHeight="1" thickBot="1">
      <c r="A67" s="13" t="inlineStr">
        <is>
          <t>M. Fagerson</t>
        </is>
      </c>
      <c r="B67" s="34">
        <f t="array" ref="B67:C67">_xlfn.XLOOKUP(A67,'Player List'!$A$2:$A$177,'Player List'!$B$2:$C$177)</f>
        <v/>
      </c>
      <c r="C67" s="34" t="inlineStr">
        <is>
          <t>Back Row</t>
        </is>
      </c>
      <c r="D67" s="34">
        <f>_xlfn.XLOOKUP(B67,$B$2:$B$7,$C$2:$C$7)</f>
        <v/>
      </c>
      <c r="E67" s="2" t="n">
        <v>80</v>
      </c>
      <c r="F67" s="2" t="n">
        <v>16</v>
      </c>
      <c r="G67" s="2" t="n">
        <v>2</v>
      </c>
      <c r="H67" s="2" t="n">
        <v>1</v>
      </c>
      <c r="I67" s="2" t="n">
        <v>49</v>
      </c>
      <c r="J67" s="2" t="n"/>
      <c r="K67" s="2" t="n"/>
      <c r="L67" s="2" t="n"/>
      <c r="M67" s="2" t="n">
        <v>1</v>
      </c>
      <c r="N67" s="2" t="n"/>
      <c r="O67" s="2" t="n"/>
      <c r="P67" s="2" t="n"/>
      <c r="Q67" s="2" t="n"/>
      <c r="R67" s="2" t="n"/>
      <c r="S67" s="2" t="n"/>
      <c r="T67" s="3" t="n">
        <v>69.8</v>
      </c>
      <c r="U67" s="2" t="n"/>
    </row>
    <row r="68" ht="16" customHeight="1" thickBot="1">
      <c r="A68" s="14" t="inlineStr">
        <is>
          <t>J. Ritchie</t>
        </is>
      </c>
      <c r="B68" s="34">
        <f t="array" ref="B68:C68">_xlfn.XLOOKUP(A68,'Player List'!$A$2:$A$177,'Player List'!$B$2:$C$177)</f>
        <v/>
      </c>
      <c r="C68" s="34" t="inlineStr">
        <is>
          <t>Back Row</t>
        </is>
      </c>
      <c r="D68" s="34">
        <f>_xlfn.XLOOKUP(B68,$B$2:$B$7,$C$2:$C$7)</f>
        <v/>
      </c>
      <c r="E68" s="5" t="n">
        <v>80</v>
      </c>
      <c r="F68" s="5" t="n">
        <v>8</v>
      </c>
      <c r="G68" s="5" t="n"/>
      <c r="H68" s="5" t="n"/>
      <c r="I68" s="5" t="n">
        <v>10</v>
      </c>
      <c r="J68" s="5" t="n"/>
      <c r="K68" s="5" t="n"/>
      <c r="L68" s="5" t="n">
        <v>2</v>
      </c>
      <c r="M68" s="5" t="n"/>
      <c r="N68" s="5" t="n"/>
      <c r="O68" s="5" t="n"/>
      <c r="P68" s="5" t="n"/>
      <c r="Q68" s="5" t="n"/>
      <c r="R68" s="5" t="n"/>
      <c r="S68" s="5" t="n"/>
      <c r="T68" s="6" t="n">
        <v>32</v>
      </c>
      <c r="U68" s="5" t="n"/>
    </row>
    <row r="69" ht="16" customHeight="1" thickBot="1">
      <c r="A69" s="15" t="inlineStr">
        <is>
          <t>G. Gilchrist</t>
        </is>
      </c>
      <c r="B69" s="34">
        <f t="array" ref="B69:C69">_xlfn.XLOOKUP(A69,'Player List'!$A$2:$A$177,'Player List'!$B$2:$C$177)</f>
        <v/>
      </c>
      <c r="C69" s="34" t="inlineStr">
        <is>
          <t>Second Row</t>
        </is>
      </c>
      <c r="D69" s="34">
        <f>_xlfn.XLOOKUP(B69,$B$2:$B$7,$C$2:$C$7)</f>
        <v/>
      </c>
      <c r="E69" s="2" t="n">
        <v>64</v>
      </c>
      <c r="F69" s="2" t="n">
        <v>10</v>
      </c>
      <c r="G69" s="2" t="n">
        <v>2</v>
      </c>
      <c r="H69" s="2" t="n"/>
      <c r="I69" s="2" t="n"/>
      <c r="J69" s="2" t="n"/>
      <c r="K69" s="2" t="n">
        <v>1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3" t="n">
        <v>37.4</v>
      </c>
      <c r="U69" s="2" t="n"/>
    </row>
    <row r="70" ht="16" customHeight="1" thickBot="1">
      <c r="A70" s="16" t="inlineStr">
        <is>
          <t>J. Gray</t>
        </is>
      </c>
      <c r="B70" s="34">
        <f t="array" ref="B70:C70">_xlfn.XLOOKUP(A70,'Player List'!$A$2:$A$177,'Player List'!$B$2:$C$177)</f>
        <v/>
      </c>
      <c r="C70" s="34" t="inlineStr">
        <is>
          <t>Second Row</t>
        </is>
      </c>
      <c r="D70" s="34">
        <f>_xlfn.XLOOKUP(B70,$B$2:$B$7,$C$2:$C$7)</f>
        <v/>
      </c>
      <c r="E70" s="5" t="n">
        <v>16</v>
      </c>
      <c r="F70" s="5" t="n">
        <v>3</v>
      </c>
      <c r="G70" s="5" t="n">
        <v>1</v>
      </c>
      <c r="H70" s="5" t="n"/>
      <c r="I70" s="5" t="n">
        <v>2</v>
      </c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6" t="n">
        <v>12</v>
      </c>
      <c r="U70" s="5" t="n"/>
    </row>
    <row r="71" ht="16" customHeight="1" thickBot="1">
      <c r="A71" s="15" t="inlineStr">
        <is>
          <t>R. Gray</t>
        </is>
      </c>
      <c r="B71" s="34">
        <f t="array" ref="B71:C71">_xlfn.XLOOKUP(A71,'Player List'!$A$2:$A$177,'Player List'!$B$2:$C$177)</f>
        <v/>
      </c>
      <c r="C71" s="34" t="inlineStr">
        <is>
          <t>Second Row</t>
        </is>
      </c>
      <c r="D71" s="34">
        <f>_xlfn.XLOOKUP(B71,$B$2:$B$7,$C$2:$C$7)</f>
        <v/>
      </c>
      <c r="E71" s="2" t="n">
        <v>80</v>
      </c>
      <c r="F71" s="2" t="n">
        <v>12</v>
      </c>
      <c r="G71" s="2" t="n">
        <v>1</v>
      </c>
      <c r="H71" s="2" t="n"/>
      <c r="I71" s="2" t="n">
        <v>4</v>
      </c>
      <c r="J71" s="2" t="n"/>
      <c r="K71" s="2" t="n">
        <v>1</v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3" t="n">
        <v>34.8</v>
      </c>
      <c r="U71" s="2" t="n"/>
    </row>
    <row r="72" ht="16" customHeight="1" thickBot="1">
      <c r="A72" s="17" t="inlineStr">
        <is>
          <t>J. Bhatti</t>
        </is>
      </c>
      <c r="B72" s="34">
        <f t="array" ref="B72:C72">_xlfn.XLOOKUP(A72,'Player List'!$A$2:$A$177,'Player List'!$B$2:$C$177)</f>
        <v/>
      </c>
      <c r="C72" s="34" t="inlineStr">
        <is>
          <t>Prop</t>
        </is>
      </c>
      <c r="D72" s="34">
        <f>_xlfn.XLOOKUP(B72,$B$2:$B$7,$C$2:$C$7)</f>
        <v/>
      </c>
      <c r="E72" s="5" t="n">
        <v>16</v>
      </c>
      <c r="F72" s="5" t="n">
        <v>3</v>
      </c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6" t="n">
        <v>4.6</v>
      </c>
      <c r="U72" s="5" t="n"/>
    </row>
    <row r="73" ht="16" customHeight="1" thickBot="1">
      <c r="A73" s="18" t="inlineStr">
        <is>
          <t>Z. Fagerson</t>
        </is>
      </c>
      <c r="B73" s="34">
        <f t="array" ref="B73:C73">_xlfn.XLOOKUP(A73,'Player List'!$A$2:$A$177,'Player List'!$B$2:$C$177)</f>
        <v/>
      </c>
      <c r="C73" s="34" t="inlineStr">
        <is>
          <t>Prop</t>
        </is>
      </c>
      <c r="D73" s="34">
        <f>_xlfn.XLOOKUP(B73,$B$2:$B$7,$C$2:$C$7)</f>
        <v/>
      </c>
      <c r="E73" s="2" t="n">
        <v>64</v>
      </c>
      <c r="F73" s="2" t="n">
        <v>15</v>
      </c>
      <c r="G73" s="2" t="n">
        <v>2</v>
      </c>
      <c r="H73" s="2" t="n"/>
      <c r="I73" s="2" t="n">
        <v>14</v>
      </c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3" t="n">
        <v>38.2</v>
      </c>
      <c r="U73" s="2" t="n"/>
    </row>
    <row r="74" ht="16" customHeight="1" thickBot="1">
      <c r="A74" s="17" t="inlineStr">
        <is>
          <t>W. Nel</t>
        </is>
      </c>
      <c r="B74" s="34">
        <f t="array" ref="B74:C74">_xlfn.XLOOKUP(A74,'Player List'!$A$2:$A$177,'Player List'!$B$2:$C$177)</f>
        <v/>
      </c>
      <c r="C74" s="34" t="inlineStr">
        <is>
          <t>Prop</t>
        </is>
      </c>
      <c r="D74" s="34">
        <f>_xlfn.XLOOKUP(B74,$B$2:$B$7,$C$2:$C$7)</f>
        <v/>
      </c>
      <c r="E74" s="5" t="n">
        <v>16</v>
      </c>
      <c r="F74" s="5" t="n">
        <v>1</v>
      </c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6" t="n">
        <v>2.6</v>
      </c>
      <c r="U74" s="5" t="n"/>
    </row>
    <row r="75" ht="16" customHeight="1" thickBot="1">
      <c r="A75" s="18" t="inlineStr">
        <is>
          <t>P. Schoeman</t>
        </is>
      </c>
      <c r="B75" s="34">
        <f t="array" ref="B75:C75">_xlfn.XLOOKUP(A75,'Player List'!$A$2:$A$177,'Player List'!$B$2:$C$177)</f>
        <v/>
      </c>
      <c r="C75" s="34" t="inlineStr">
        <is>
          <t>Prop</t>
        </is>
      </c>
      <c r="D75" s="34">
        <f>_xlfn.XLOOKUP(B75,$B$2:$B$7,$C$2:$C$7)</f>
        <v/>
      </c>
      <c r="E75" s="2" t="n">
        <v>64</v>
      </c>
      <c r="F75" s="2" t="n">
        <v>12</v>
      </c>
      <c r="G75" s="2" t="n"/>
      <c r="H75" s="2" t="n"/>
      <c r="I75" s="2" t="n">
        <v>35</v>
      </c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3" t="n">
        <v>25.4</v>
      </c>
      <c r="U75" s="2" t="n"/>
    </row>
    <row r="76" ht="16" customHeight="1" thickBot="1">
      <c r="A76" s="19" t="inlineStr">
        <is>
          <t>F. Brown</t>
        </is>
      </c>
      <c r="B76" s="34">
        <f t="array" ref="B76:C76">_xlfn.XLOOKUP(A76,'Player List'!$A$2:$A$177,'Player List'!$B$2:$C$177)</f>
        <v/>
      </c>
      <c r="C76" s="34" t="inlineStr">
        <is>
          <t>Hooker</t>
        </is>
      </c>
      <c r="D76" s="34">
        <f>_xlfn.XLOOKUP(B76,$B$2:$B$7,$C$2:$C$7)</f>
        <v/>
      </c>
      <c r="E76" s="5" t="n">
        <v>27</v>
      </c>
      <c r="F76" s="5" t="n">
        <v>3</v>
      </c>
      <c r="G76" s="5" t="n"/>
      <c r="H76" s="5" t="n"/>
      <c r="I76" s="5" t="n">
        <v>14</v>
      </c>
      <c r="J76" s="5" t="n"/>
      <c r="K76" s="5" t="n"/>
      <c r="L76" s="5" t="n">
        <v>1</v>
      </c>
      <c r="M76" s="5" t="n"/>
      <c r="N76" s="5" t="n"/>
      <c r="O76" s="5" t="n"/>
      <c r="P76" s="5" t="n"/>
      <c r="Q76" s="5" t="n"/>
      <c r="R76" s="5" t="n"/>
      <c r="S76" s="5" t="n"/>
      <c r="T76" s="6" t="n">
        <v>15.5</v>
      </c>
      <c r="U76" s="5" t="n"/>
    </row>
    <row r="77" ht="16" customHeight="1" thickBot="1">
      <c r="A77" s="20" t="inlineStr">
        <is>
          <t>G. Turner</t>
        </is>
      </c>
      <c r="B77" s="34">
        <f t="array" ref="B77:C77">_xlfn.XLOOKUP(A77,'Player List'!$A$2:$A$177,'Player List'!$B$2:$C$177)</f>
        <v/>
      </c>
      <c r="C77" s="34" t="inlineStr">
        <is>
          <t>Hooker</t>
        </is>
      </c>
      <c r="D77" s="34">
        <f>_xlfn.XLOOKUP(B77,$B$2:$B$7,$C$2:$C$7)</f>
        <v/>
      </c>
      <c r="E77" s="2" t="n">
        <v>48</v>
      </c>
      <c r="F77" s="2" t="n">
        <v>5</v>
      </c>
      <c r="G77" s="2" t="n"/>
      <c r="H77" s="2" t="n"/>
      <c r="I77" s="2" t="n">
        <v>37</v>
      </c>
      <c r="J77" s="2" t="n"/>
      <c r="K77" s="2" t="n"/>
      <c r="L77" s="2" t="n"/>
      <c r="M77" s="2" t="n">
        <v>1</v>
      </c>
      <c r="N77" s="2" t="n"/>
      <c r="O77" s="2" t="n"/>
      <c r="P77" s="2" t="n"/>
      <c r="Q77" s="2" t="n"/>
      <c r="R77" s="2" t="n">
        <v>1</v>
      </c>
      <c r="S77" s="2" t="n"/>
      <c r="T77" s="3" t="n">
        <v>27.2</v>
      </c>
      <c r="U77" s="2" t="n"/>
    </row>
    <row r="78" ht="16" customHeight="1" thickBot="1">
      <c r="A78" s="1" t="inlineStr">
        <is>
          <t>J. Adams</t>
        </is>
      </c>
      <c r="B78" s="34">
        <f t="array" ref="B78:C78">_xlfn.XLOOKUP(A78,'Player List'!$A$2:$A$177,'Player List'!$B$2:$C$177)</f>
        <v/>
      </c>
      <c r="C78" s="34" t="inlineStr">
        <is>
          <t>Back Three</t>
        </is>
      </c>
      <c r="D78" s="34">
        <f>_xlfn.XLOOKUP(B78,$B$2:$B$7,$C$2:$C$7)</f>
        <v/>
      </c>
      <c r="E78" s="2" t="n">
        <v>59</v>
      </c>
      <c r="F78" s="2" t="n">
        <v>5</v>
      </c>
      <c r="G78" s="2" t="n">
        <v>1</v>
      </c>
      <c r="H78" s="2" t="n"/>
      <c r="I78" s="2" t="n">
        <v>21</v>
      </c>
      <c r="J78" s="2" t="n"/>
      <c r="K78" s="2" t="n"/>
      <c r="L78" s="2" t="n">
        <v>1</v>
      </c>
      <c r="M78" s="2" t="n"/>
      <c r="N78" s="2" t="n"/>
      <c r="O78" s="2" t="n"/>
      <c r="P78" s="2" t="n"/>
      <c r="Q78" s="2" t="n"/>
      <c r="R78" s="2" t="n"/>
      <c r="S78" s="2" t="n"/>
      <c r="T78" s="3" t="n">
        <v>23.2</v>
      </c>
      <c r="U78" s="2" t="n"/>
    </row>
    <row r="79" ht="16" customHeight="1" thickBot="1">
      <c r="A79" s="4" t="inlineStr">
        <is>
          <t>A. Cuthbert</t>
        </is>
      </c>
      <c r="B79" s="34">
        <f t="array" ref="B79:C79">_xlfn.XLOOKUP(A79,'Player List'!$A$2:$A$177,'Player List'!$B$2:$C$177)</f>
        <v/>
      </c>
      <c r="C79" s="34" t="inlineStr">
        <is>
          <t>Back Three</t>
        </is>
      </c>
      <c r="D79" s="34">
        <f>_xlfn.XLOOKUP(B79,$B$2:$B$7,$C$2:$C$7)</f>
        <v/>
      </c>
      <c r="E79" s="5" t="n">
        <v>28</v>
      </c>
      <c r="F79" s="5" t="n">
        <v>1</v>
      </c>
      <c r="G79" s="5" t="n"/>
      <c r="H79" s="5" t="n"/>
      <c r="I79" s="5" t="n">
        <v>47</v>
      </c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6" t="n">
        <v>10.4</v>
      </c>
      <c r="U79" s="5" t="n"/>
    </row>
    <row r="80" ht="16" customHeight="1" thickBot="1">
      <c r="A80" s="1" t="inlineStr">
        <is>
          <t>R. Dyer</t>
        </is>
      </c>
      <c r="B80" s="34">
        <f t="array" ref="B80:C80">_xlfn.XLOOKUP(A80,'Player List'!$A$2:$A$177,'Player List'!$B$2:$C$177)</f>
        <v/>
      </c>
      <c r="C80" s="34" t="inlineStr">
        <is>
          <t>Back Three</t>
        </is>
      </c>
      <c r="D80" s="34">
        <f>_xlfn.XLOOKUP(B80,$B$2:$B$7,$C$2:$C$7)</f>
        <v/>
      </c>
      <c r="E80" s="2" t="n">
        <v>80</v>
      </c>
      <c r="F80" s="2" t="n">
        <v>5</v>
      </c>
      <c r="G80" s="2" t="n"/>
      <c r="H80" s="2" t="n">
        <v>1</v>
      </c>
      <c r="I80" s="2" t="n">
        <v>90</v>
      </c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3" t="n">
        <v>30</v>
      </c>
      <c r="U80" s="2" t="n"/>
    </row>
    <row r="81" ht="16" customHeight="1" thickBot="1">
      <c r="A81" s="4" t="inlineStr">
        <is>
          <t>L. Williams</t>
        </is>
      </c>
      <c r="B81" s="34">
        <f t="array" ref="B81:C81">_xlfn.XLOOKUP(A81,'Player List'!$A$2:$A$177,'Player List'!$B$2:$C$177)</f>
        <v/>
      </c>
      <c r="C81" s="34" t="inlineStr">
        <is>
          <t>Back Three</t>
        </is>
      </c>
      <c r="D81" s="34">
        <f>_xlfn.XLOOKUP(B81,$B$2:$B$7,$C$2:$C$7)</f>
        <v/>
      </c>
      <c r="E81" s="5" t="n">
        <v>69</v>
      </c>
      <c r="F81" s="5" t="n">
        <v>9</v>
      </c>
      <c r="G81" s="5" t="n"/>
      <c r="H81" s="5" t="n"/>
      <c r="I81" s="5" t="n">
        <v>44</v>
      </c>
      <c r="J81" s="5" t="n"/>
      <c r="K81" s="5" t="n"/>
      <c r="L81" s="5" t="n"/>
      <c r="M81" s="5" t="n"/>
      <c r="N81" s="5" t="n"/>
      <c r="O81" s="5" t="n"/>
      <c r="P81" s="5" t="n"/>
      <c r="Q81" s="5" t="n"/>
      <c r="R81" s="5" t="n">
        <v>1</v>
      </c>
      <c r="S81" s="5" t="n"/>
      <c r="T81" s="6" t="n">
        <v>12.8</v>
      </c>
      <c r="U81" s="5" t="n"/>
    </row>
    <row r="82" ht="16" customHeight="1" thickBot="1">
      <c r="A82" s="7" t="inlineStr">
        <is>
          <t>J. Hawkins</t>
        </is>
      </c>
      <c r="B82" s="34">
        <f t="array" ref="B82:C82">_xlfn.XLOOKUP(A82,'Player List'!$A$2:$A$177,'Player List'!$B$2:$C$177)</f>
        <v/>
      </c>
      <c r="C82" s="34" t="inlineStr">
        <is>
          <t>Centre</t>
        </is>
      </c>
      <c r="D82" s="34">
        <f>_xlfn.XLOOKUP(B82,$B$2:$B$7,$C$2:$C$7)</f>
        <v/>
      </c>
      <c r="E82" s="2" t="n">
        <v>80</v>
      </c>
      <c r="F82" s="2" t="n">
        <v>7</v>
      </c>
      <c r="G82" s="2" t="n"/>
      <c r="H82" s="2" t="n"/>
      <c r="I82" s="2" t="n">
        <v>26</v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3" t="n">
        <v>12.2</v>
      </c>
      <c r="U82" s="2" t="n"/>
    </row>
    <row r="83" ht="16" customHeight="1" thickBot="1">
      <c r="A83" s="8" t="inlineStr">
        <is>
          <t>G. North</t>
        </is>
      </c>
      <c r="B83" s="34">
        <f t="array" ref="B83:C83">_xlfn.XLOOKUP(A83,'Player List'!$A$2:$A$177,'Player List'!$B$2:$C$177)</f>
        <v/>
      </c>
      <c r="C83" s="34" t="inlineStr">
        <is>
          <t>Centre</t>
        </is>
      </c>
      <c r="D83" s="34">
        <f>_xlfn.XLOOKUP(B83,$B$2:$B$7,$C$2:$C$7)</f>
        <v/>
      </c>
      <c r="E83" s="5" t="n">
        <v>73</v>
      </c>
      <c r="F83" s="5" t="n">
        <v>2</v>
      </c>
      <c r="G83" s="5" t="n">
        <v>1</v>
      </c>
      <c r="H83" s="5" t="n"/>
      <c r="I83" s="5" t="n">
        <v>51</v>
      </c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6" t="n">
        <v>19.2</v>
      </c>
      <c r="U83" s="5" t="n"/>
    </row>
    <row r="84" ht="16" customHeight="1" thickBot="1">
      <c r="A84" s="9" t="inlineStr">
        <is>
          <t>D. Biggar</t>
        </is>
      </c>
      <c r="B84" s="34">
        <f t="array" ref="B84:C84">_xlfn.XLOOKUP(A84,'Player List'!$A$2:$A$177,'Player List'!$B$2:$C$177)</f>
        <v/>
      </c>
      <c r="C84" s="34" t="inlineStr">
        <is>
          <t>Fly Half</t>
        </is>
      </c>
      <c r="D84" s="34">
        <f>_xlfn.XLOOKUP(B84,$B$2:$B$7,$C$2:$C$7)</f>
        <v/>
      </c>
      <c r="E84" s="2" t="n">
        <v>57</v>
      </c>
      <c r="F84" s="2" t="n">
        <v>6</v>
      </c>
      <c r="G84" s="2" t="n"/>
      <c r="H84" s="2" t="n"/>
      <c r="I84" s="2" t="n">
        <v>16</v>
      </c>
      <c r="J84" s="2" t="n"/>
      <c r="K84" s="2" t="n"/>
      <c r="L84" s="2" t="n">
        <v>1</v>
      </c>
      <c r="M84" s="2" t="n"/>
      <c r="N84" s="2" t="n"/>
      <c r="O84" s="2" t="n">
        <v>1</v>
      </c>
      <c r="P84" s="2" t="n"/>
      <c r="Q84" s="2" t="n"/>
      <c r="R84" s="2" t="n"/>
      <c r="S84" s="2" t="n"/>
      <c r="T84" s="3" t="n">
        <v>18.2</v>
      </c>
      <c r="U84" s="2" t="n"/>
    </row>
    <row r="85" ht="16" customHeight="1" thickBot="1">
      <c r="A85" s="10" t="inlineStr">
        <is>
          <t>R. Patchell</t>
        </is>
      </c>
      <c r="B85" s="34">
        <f t="array" ref="B85:C85">_xlfn.XLOOKUP(A85,'Player List'!$A$2:$A$177,'Player List'!$B$2:$C$177)</f>
        <v/>
      </c>
      <c r="C85" s="34" t="inlineStr">
        <is>
          <t>Fly Half</t>
        </is>
      </c>
      <c r="D85" s="34">
        <f>_xlfn.XLOOKUP(B85,$B$2:$B$7,$C$2:$C$7)</f>
        <v/>
      </c>
      <c r="E85" s="5" t="n">
        <v>23</v>
      </c>
      <c r="F85" s="5" t="n">
        <v>1</v>
      </c>
      <c r="G85" s="5" t="n"/>
      <c r="H85" s="5" t="n"/>
      <c r="I85" s="5" t="n">
        <v>18</v>
      </c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6" t="n">
        <v>4.6</v>
      </c>
      <c r="U85" s="5" t="n"/>
    </row>
    <row r="86" ht="16" customHeight="1" thickBot="1">
      <c r="A86" s="11" t="inlineStr">
        <is>
          <t>R. Webb</t>
        </is>
      </c>
      <c r="B86" s="34">
        <f t="array" ref="B86:C86">_xlfn.XLOOKUP(A86,'Player List'!$A$2:$A$177,'Player List'!$B$2:$C$177)</f>
        <v/>
      </c>
      <c r="C86" s="34" t="inlineStr">
        <is>
          <t>Scrum Half</t>
        </is>
      </c>
      <c r="D86" s="34">
        <f>_xlfn.XLOOKUP(B86,$B$2:$B$7,$C$2:$C$7)</f>
        <v/>
      </c>
      <c r="E86" s="2" t="n">
        <v>23</v>
      </c>
      <c r="F86" s="2" t="n">
        <v>2</v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>
        <v>1</v>
      </c>
      <c r="S86" s="2" t="n"/>
      <c r="T86" s="3" t="n">
        <v>-3</v>
      </c>
      <c r="U86" s="2" t="n"/>
    </row>
    <row r="87" ht="16" customHeight="1" thickBot="1">
      <c r="A87" s="12" t="inlineStr">
        <is>
          <t>T. Williams</t>
        </is>
      </c>
      <c r="B87" s="34">
        <f t="array" ref="B87:C87">_xlfn.XLOOKUP(A87,'Player List'!$A$2:$A$177,'Player List'!$B$2:$C$177)</f>
        <v/>
      </c>
      <c r="C87" s="34" t="inlineStr">
        <is>
          <t>Scrum Half</t>
        </is>
      </c>
      <c r="D87" s="34">
        <f>_xlfn.XLOOKUP(B87,$B$2:$B$7,$C$2:$C$7)</f>
        <v/>
      </c>
      <c r="E87" s="5" t="n">
        <v>57</v>
      </c>
      <c r="F87" s="5" t="n">
        <v>4</v>
      </c>
      <c r="G87" s="5" t="n">
        <v>1</v>
      </c>
      <c r="H87" s="5" t="n"/>
      <c r="I87" s="5" t="n">
        <v>13</v>
      </c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6" t="n">
        <v>13.6</v>
      </c>
      <c r="U87" s="5" t="n"/>
    </row>
    <row r="88" ht="16" customHeight="1" thickBot="1">
      <c r="A88" s="13" t="inlineStr">
        <is>
          <t>T. Faletau</t>
        </is>
      </c>
      <c r="B88" s="34">
        <f t="array" ref="B88:C88">_xlfn.XLOOKUP(A88,'Player List'!$A$2:$A$177,'Player List'!$B$2:$C$177)</f>
        <v/>
      </c>
      <c r="C88" s="34" t="inlineStr">
        <is>
          <t>Back Row</t>
        </is>
      </c>
      <c r="D88" s="34">
        <f>_xlfn.XLOOKUP(B88,$B$2:$B$7,$C$2:$C$7)</f>
        <v/>
      </c>
      <c r="E88" s="2" t="n">
        <v>28</v>
      </c>
      <c r="F88" s="2" t="n">
        <v>8</v>
      </c>
      <c r="G88" s="2" t="n"/>
      <c r="H88" s="2" t="n"/>
      <c r="I88" s="2" t="n">
        <v>25</v>
      </c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3" t="n">
        <v>13</v>
      </c>
      <c r="U88" s="2" t="n"/>
    </row>
    <row r="89" ht="16" customHeight="1" thickBot="1">
      <c r="A89" s="14" t="inlineStr">
        <is>
          <t>J. Morgan</t>
        </is>
      </c>
      <c r="B89" s="34">
        <f t="array" ref="B89:C89">_xlfn.XLOOKUP(A89,'Player List'!$A$2:$A$177,'Player List'!$B$2:$C$177)</f>
        <v/>
      </c>
      <c r="C89" s="34" t="inlineStr">
        <is>
          <t>Back Row</t>
        </is>
      </c>
      <c r="D89" s="34">
        <f>_xlfn.XLOOKUP(B89,$B$2:$B$7,$C$2:$C$7)</f>
        <v/>
      </c>
      <c r="E89" s="5" t="n">
        <v>52</v>
      </c>
      <c r="F89" s="5" t="n">
        <v>11</v>
      </c>
      <c r="G89" s="5" t="n"/>
      <c r="H89" s="5" t="n"/>
      <c r="I89" s="5" t="n">
        <v>32</v>
      </c>
      <c r="J89" s="5" t="n"/>
      <c r="K89" s="5" t="n"/>
      <c r="L89" s="5" t="n">
        <v>2</v>
      </c>
      <c r="M89" s="5" t="n"/>
      <c r="N89" s="5" t="n"/>
      <c r="O89" s="5" t="n"/>
      <c r="P89" s="5" t="n"/>
      <c r="Q89" s="5" t="n"/>
      <c r="R89" s="5" t="n"/>
      <c r="S89" s="5" t="n"/>
      <c r="T89" s="6" t="n">
        <v>31.4</v>
      </c>
      <c r="U89" s="5" t="n"/>
    </row>
    <row r="90" ht="16" customHeight="1" thickBot="1">
      <c r="A90" s="13" t="inlineStr">
        <is>
          <t>T. Reffell</t>
        </is>
      </c>
      <c r="B90" s="34">
        <f t="array" ref="B90:C90">_xlfn.XLOOKUP(A90,'Player List'!$A$2:$A$177,'Player List'!$B$2:$C$177)</f>
        <v/>
      </c>
      <c r="C90" s="34" t="inlineStr">
        <is>
          <t>Back Row</t>
        </is>
      </c>
      <c r="D90" s="34">
        <f>_xlfn.XLOOKUP(B90,$B$2:$B$7,$C$2:$C$7)</f>
        <v/>
      </c>
      <c r="E90" s="2" t="n">
        <v>80</v>
      </c>
      <c r="F90" s="2" t="n">
        <v>13</v>
      </c>
      <c r="G90" s="2" t="n">
        <v>1</v>
      </c>
      <c r="H90" s="2" t="n"/>
      <c r="I90" s="2" t="n">
        <v>20</v>
      </c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3" t="n">
        <v>24</v>
      </c>
      <c r="U90" s="2" t="n"/>
    </row>
    <row r="91" ht="16" customHeight="1" thickBot="1">
      <c r="A91" s="16" t="inlineStr">
        <is>
          <t>A. Beard</t>
        </is>
      </c>
      <c r="B91" s="34">
        <f t="array" ref="B91:C91">_xlfn.XLOOKUP(A91,'Player List'!$A$2:$A$177,'Player List'!$B$2:$C$177)</f>
        <v/>
      </c>
      <c r="C91" s="34" t="inlineStr">
        <is>
          <t>Second Row</t>
        </is>
      </c>
      <c r="D91" s="34">
        <f>_xlfn.XLOOKUP(B91,$B$2:$B$7,$C$2:$C$7)</f>
        <v/>
      </c>
      <c r="E91" s="5" t="n">
        <v>80</v>
      </c>
      <c r="F91" s="5" t="n">
        <v>7</v>
      </c>
      <c r="G91" s="5" t="n"/>
      <c r="H91" s="5" t="n"/>
      <c r="I91" s="5" t="n">
        <v>22</v>
      </c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6" t="n">
        <v>11.4</v>
      </c>
      <c r="U91" s="5" t="n"/>
    </row>
    <row r="92" ht="16" customHeight="1" thickBot="1">
      <c r="A92" s="15" t="inlineStr">
        <is>
          <t>R. Davies</t>
        </is>
      </c>
      <c r="B92" s="34">
        <f t="array" ref="B92:C92">_xlfn.XLOOKUP(A92,'Player List'!$A$2:$A$177,'Player List'!$B$2:$C$177)</f>
        <v/>
      </c>
      <c r="C92" s="34" t="inlineStr">
        <is>
          <t>Second Row</t>
        </is>
      </c>
      <c r="D92" s="34">
        <f>_xlfn.XLOOKUP(B92,$B$2:$B$7,$C$2:$C$7)</f>
        <v/>
      </c>
      <c r="E92" s="2" t="n">
        <v>14</v>
      </c>
      <c r="F92" s="2" t="n">
        <v>1</v>
      </c>
      <c r="G92" s="2" t="n"/>
      <c r="H92" s="2" t="n"/>
      <c r="I92" s="2" t="n">
        <v>1</v>
      </c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3" t="n">
        <v>1.2</v>
      </c>
      <c r="U92" s="2" t="n"/>
    </row>
    <row r="93" ht="16" customHeight="1" thickBot="1">
      <c r="A93" s="16" t="inlineStr">
        <is>
          <t>D. Jenkins</t>
        </is>
      </c>
      <c r="B93" s="34">
        <f t="array" ref="B93:C93">_xlfn.XLOOKUP(A93,'Player List'!$A$2:$A$177,'Player List'!$B$2:$C$177)</f>
        <v/>
      </c>
      <c r="C93" s="34" t="inlineStr">
        <is>
          <t>Second Row</t>
        </is>
      </c>
      <c r="D93" s="34">
        <f>_xlfn.XLOOKUP(B93,$B$2:$B$7,$C$2:$C$7)</f>
        <v/>
      </c>
      <c r="E93" s="5" t="n">
        <v>66</v>
      </c>
      <c r="F93" s="5" t="n">
        <v>8</v>
      </c>
      <c r="G93" s="5" t="n"/>
      <c r="H93" s="5" t="n"/>
      <c r="I93" s="5" t="n">
        <v>30</v>
      </c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6" t="n">
        <v>14</v>
      </c>
      <c r="U93" s="5" t="n"/>
    </row>
    <row r="94" ht="16" customHeight="1" thickBot="1">
      <c r="A94" s="15" t="inlineStr">
        <is>
          <t>C. Tshiunza</t>
        </is>
      </c>
      <c r="B94" s="34">
        <f t="array" ref="B94:C94">_xlfn.XLOOKUP(A94,'Player List'!$A$2:$A$177,'Player List'!$B$2:$C$177)</f>
        <v/>
      </c>
      <c r="C94" s="34" t="inlineStr">
        <is>
          <t>Second Row</t>
        </is>
      </c>
      <c r="D94" s="34">
        <f>_xlfn.XLOOKUP(B94,$B$2:$B$7,$C$2:$C$7)</f>
        <v/>
      </c>
      <c r="E94" s="2" t="n">
        <v>80</v>
      </c>
      <c r="F94" s="2" t="n">
        <v>7</v>
      </c>
      <c r="G94" s="2" t="n"/>
      <c r="H94" s="2" t="n"/>
      <c r="I94" s="2" t="n">
        <v>50</v>
      </c>
      <c r="J94" s="2" t="n"/>
      <c r="K94" s="2" t="n">
        <v>1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3" t="n">
        <v>24</v>
      </c>
      <c r="U94" s="2" t="n"/>
    </row>
    <row r="95" ht="16" customHeight="1" thickBot="1">
      <c r="A95" s="17" t="inlineStr">
        <is>
          <t>L. Brown</t>
        </is>
      </c>
      <c r="B95" s="34">
        <f t="array" ref="B95:C95">_xlfn.XLOOKUP(A95,'Player List'!$A$2:$A$177,'Player List'!$B$2:$C$177)</f>
        <v/>
      </c>
      <c r="C95" s="34" t="inlineStr">
        <is>
          <t>Prop</t>
        </is>
      </c>
      <c r="D95" s="34">
        <f>_xlfn.XLOOKUP(B95,$B$2:$B$7,$C$2:$C$7)</f>
        <v/>
      </c>
      <c r="E95" s="5" t="n">
        <v>16</v>
      </c>
      <c r="F95" s="5" t="n">
        <v>1</v>
      </c>
      <c r="G95" s="5" t="n">
        <v>1</v>
      </c>
      <c r="H95" s="5" t="n"/>
      <c r="I95" s="5" t="n">
        <v>8</v>
      </c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6" t="n">
        <v>9.6</v>
      </c>
      <c r="U95" s="5" t="n"/>
    </row>
    <row r="96" ht="16" customHeight="1" thickBot="1">
      <c r="A96" s="18" t="inlineStr">
        <is>
          <t>R. Carre</t>
        </is>
      </c>
      <c r="B96" s="34">
        <f t="array" ref="B96:C96">_xlfn.XLOOKUP(A96,'Player List'!$A$2:$A$177,'Player List'!$B$2:$C$177)</f>
        <v/>
      </c>
      <c r="C96" s="34" t="inlineStr">
        <is>
          <t>Prop</t>
        </is>
      </c>
      <c r="D96" s="34">
        <f>_xlfn.XLOOKUP(B96,$B$2:$B$7,$C$2:$C$7)</f>
        <v/>
      </c>
      <c r="E96" s="2" t="n">
        <v>28</v>
      </c>
      <c r="F96" s="2" t="n">
        <v>2</v>
      </c>
      <c r="G96" s="2" t="n"/>
      <c r="H96" s="2" t="n"/>
      <c r="I96" s="2" t="n">
        <v>23</v>
      </c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3" t="n">
        <v>6.6</v>
      </c>
      <c r="U96" s="2" t="n"/>
    </row>
    <row r="97" ht="16" customHeight="1" thickBot="1">
      <c r="A97" s="17" t="inlineStr">
        <is>
          <t>W. Jones</t>
        </is>
      </c>
      <c r="B97" s="34">
        <f t="array" ref="B97:C97">_xlfn.XLOOKUP(A97,'Player List'!$A$2:$A$177,'Player List'!$B$2:$C$177)</f>
        <v/>
      </c>
      <c r="C97" s="34" t="inlineStr">
        <is>
          <t>Prop</t>
        </is>
      </c>
      <c r="D97" s="34">
        <f>_xlfn.XLOOKUP(B97,$B$2:$B$7,$C$2:$C$7)</f>
        <v/>
      </c>
      <c r="E97" s="5" t="n">
        <v>52</v>
      </c>
      <c r="F97" s="5" t="n">
        <v>4</v>
      </c>
      <c r="G97" s="5" t="n">
        <v>1</v>
      </c>
      <c r="H97" s="5" t="n"/>
      <c r="I97" s="5" t="n">
        <v>19</v>
      </c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6" t="n">
        <v>14.8</v>
      </c>
      <c r="U97" s="5" t="n"/>
    </row>
    <row r="98" ht="16" customHeight="1" thickBot="1">
      <c r="A98" s="18" t="inlineStr">
        <is>
          <t>D. Lewis</t>
        </is>
      </c>
      <c r="B98" s="34">
        <f t="array" ref="B98:C98">_xlfn.XLOOKUP(A98,'Player List'!$A$2:$A$177,'Player List'!$B$2:$C$177)</f>
        <v/>
      </c>
      <c r="C98" s="34" t="inlineStr">
        <is>
          <t>Prop</t>
        </is>
      </c>
      <c r="D98" s="34">
        <f>_xlfn.XLOOKUP(B98,$B$2:$B$7,$C$2:$C$7)</f>
        <v/>
      </c>
      <c r="E98" s="2" t="n">
        <v>64</v>
      </c>
      <c r="F98" s="2" t="n">
        <v>8</v>
      </c>
      <c r="G98" s="2" t="n"/>
      <c r="H98" s="2" t="n"/>
      <c r="I98" s="2" t="n">
        <v>22</v>
      </c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3" t="n">
        <v>12.4</v>
      </c>
      <c r="U98" s="2" t="n"/>
    </row>
    <row r="99" ht="16" customHeight="1" thickBot="1">
      <c r="A99" s="19" t="inlineStr">
        <is>
          <t>S. Baldwin</t>
        </is>
      </c>
      <c r="B99" s="34">
        <f t="array" ref="B99:C99">_xlfn.XLOOKUP(A99,'Player List'!$A$2:$A$177,'Player List'!$B$2:$C$177)</f>
        <v/>
      </c>
      <c r="C99" s="34" t="inlineStr">
        <is>
          <t>Hooker</t>
        </is>
      </c>
      <c r="D99" s="34">
        <f>_xlfn.XLOOKUP(B99,$B$2:$B$7,$C$2:$C$7)</f>
        <v/>
      </c>
      <c r="E99" s="5" t="n">
        <v>16</v>
      </c>
      <c r="F99" s="5" t="n">
        <v>4</v>
      </c>
      <c r="G99" s="5" t="n"/>
      <c r="H99" s="5" t="n"/>
      <c r="I99" s="5" t="n">
        <v>8</v>
      </c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6" t="n">
        <v>5.6</v>
      </c>
      <c r="U99" s="5" t="n"/>
    </row>
    <row r="100" ht="16" customHeight="1" thickBot="1">
      <c r="A100" s="20" t="inlineStr">
        <is>
          <t>K. Owens</t>
        </is>
      </c>
      <c r="B100" s="34">
        <f t="array" ref="B100:C100">_xlfn.XLOOKUP(A100,'Player List'!$A$2:$A$177,'Player List'!$B$2:$C$177)</f>
        <v/>
      </c>
      <c r="C100" s="34" t="inlineStr">
        <is>
          <t>Hooker</t>
        </is>
      </c>
      <c r="D100" s="34">
        <f>_xlfn.XLOOKUP(B100,$B$2:$B$7,$C$2:$C$7)</f>
        <v/>
      </c>
      <c r="E100" s="2" t="n">
        <v>64</v>
      </c>
      <c r="F100" s="2" t="n">
        <v>9</v>
      </c>
      <c r="G100" s="2" t="n">
        <v>1</v>
      </c>
      <c r="H100" s="2" t="n"/>
      <c r="I100" s="2" t="n">
        <v>35</v>
      </c>
      <c r="J100" s="2" t="n"/>
      <c r="K100" s="2" t="n"/>
      <c r="L100" s="2" t="n"/>
      <c r="M100" s="2" t="n">
        <v>1</v>
      </c>
      <c r="N100" s="2" t="n"/>
      <c r="O100" s="2" t="n"/>
      <c r="P100" s="2" t="n"/>
      <c r="Q100" s="2" t="n"/>
      <c r="R100" s="2" t="n"/>
      <c r="S100" s="2" t="n"/>
      <c r="T100" s="3" t="n">
        <v>38</v>
      </c>
      <c r="U100" s="2" t="n"/>
    </row>
    <row r="101" ht="16" customHeight="1" thickBot="1">
      <c r="A101" s="1" t="inlineStr">
        <is>
          <t>H. Arundell</t>
        </is>
      </c>
      <c r="B101" s="34">
        <f t="array" ref="B101:C101">_xlfn.XLOOKUP(A101,'Player List'!$A$2:$A$177,'Player List'!$B$2:$C$177)</f>
        <v/>
      </c>
      <c r="C101" s="34" t="inlineStr">
        <is>
          <t>Back Three</t>
        </is>
      </c>
      <c r="D101" s="34">
        <f>_xlfn.XLOOKUP(B101,$B$2:$B$7,$C$2:$C$7)</f>
        <v/>
      </c>
      <c r="E101" s="2" t="n">
        <v>26</v>
      </c>
      <c r="F101" s="2" t="n">
        <v>1</v>
      </c>
      <c r="G101" s="2" t="n"/>
      <c r="H101" s="2" t="n"/>
      <c r="I101" s="2" t="n">
        <v>12</v>
      </c>
      <c r="J101" s="2" t="n"/>
      <c r="K101" s="2" t="n"/>
      <c r="L101" s="2" t="n"/>
      <c r="M101" s="2" t="n">
        <v>1</v>
      </c>
      <c r="N101" s="2" t="n"/>
      <c r="O101" s="2" t="n"/>
      <c r="P101" s="2" t="n"/>
      <c r="Q101" s="2" t="n"/>
      <c r="R101" s="2" t="n"/>
      <c r="S101" s="2" t="n"/>
      <c r="T101" s="3" t="n">
        <v>21</v>
      </c>
      <c r="U101" s="2" t="n"/>
    </row>
    <row r="102" ht="16" customHeight="1" thickBot="1">
      <c r="A102" s="4" t="inlineStr">
        <is>
          <t>O. Hassell-Collins</t>
        </is>
      </c>
      <c r="B102" s="34">
        <f t="array" ref="B102:C102">_xlfn.XLOOKUP(A102,'Player List'!$A$2:$A$177,'Player List'!$B$2:$C$177)</f>
        <v/>
      </c>
      <c r="C102" s="34" t="inlineStr">
        <is>
          <t>Back Three</t>
        </is>
      </c>
      <c r="D102" s="34">
        <f>_xlfn.XLOOKUP(B102,$B$2:$B$7,$C$2:$C$7)</f>
        <v/>
      </c>
      <c r="E102" s="5" t="n">
        <v>54</v>
      </c>
      <c r="F102" s="5" t="n">
        <v>4</v>
      </c>
      <c r="G102" s="5" t="n"/>
      <c r="H102" s="5" t="n"/>
      <c r="I102" s="5" t="n">
        <v>17</v>
      </c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6" t="n">
        <v>12.8</v>
      </c>
      <c r="U102" s="5" t="n"/>
    </row>
    <row r="103" ht="16" customHeight="1" thickBot="1">
      <c r="A103" s="1" t="inlineStr">
        <is>
          <t>M. Malins</t>
        </is>
      </c>
      <c r="B103" s="34">
        <f t="array" ref="B103:C103">_xlfn.XLOOKUP(A103,'Player List'!$A$2:$A$177,'Player List'!$B$2:$C$177)</f>
        <v/>
      </c>
      <c r="C103" s="34" t="inlineStr">
        <is>
          <t>Back Three</t>
        </is>
      </c>
      <c r="D103" s="34">
        <f>_xlfn.XLOOKUP(B103,$B$2:$B$7,$C$2:$C$7)</f>
        <v/>
      </c>
      <c r="E103" s="2" t="n">
        <v>80</v>
      </c>
      <c r="F103" s="2" t="n">
        <v>8</v>
      </c>
      <c r="G103" s="2" t="n"/>
      <c r="H103" s="2" t="n">
        <v>1</v>
      </c>
      <c r="I103" s="2" t="n">
        <v>58</v>
      </c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3" t="n">
        <v>34.6</v>
      </c>
      <c r="U103" s="2" t="n"/>
    </row>
    <row r="104" ht="16" customHeight="1" thickBot="1">
      <c r="A104" s="4" t="inlineStr">
        <is>
          <t>F. Steward</t>
        </is>
      </c>
      <c r="B104" s="34">
        <f t="array" ref="B104:C104">_xlfn.XLOOKUP(A104,'Player List'!$A$2:$A$177,'Player List'!$B$2:$C$177)</f>
        <v/>
      </c>
      <c r="C104" s="34" t="inlineStr">
        <is>
          <t>Back Three</t>
        </is>
      </c>
      <c r="D104" s="34">
        <f>_xlfn.XLOOKUP(B104,$B$2:$B$7,$C$2:$C$7)</f>
        <v/>
      </c>
      <c r="E104" s="5" t="n">
        <v>80</v>
      </c>
      <c r="F104" s="5" t="n">
        <v>3</v>
      </c>
      <c r="G104" s="5" t="n"/>
      <c r="H104" s="5" t="n"/>
      <c r="I104" s="5" t="n">
        <v>40</v>
      </c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6" t="n">
        <v>19</v>
      </c>
      <c r="U104" s="5" t="n"/>
    </row>
    <row r="105" ht="16" customHeight="1" thickBot="1">
      <c r="A105" s="7" t="inlineStr">
        <is>
          <t>O. Farrell</t>
        </is>
      </c>
      <c r="B105" s="34">
        <f t="array" ref="B105:C105">_xlfn.XLOOKUP(A105,'Player List'!$A$2:$A$177,'Player List'!$B$2:$C$177)</f>
        <v/>
      </c>
      <c r="C105" s="34" t="inlineStr">
        <is>
          <t>Centre</t>
        </is>
      </c>
      <c r="D105" s="34">
        <f>_xlfn.XLOOKUP(B105,$B$2:$B$7,$C$2:$C$7)</f>
        <v/>
      </c>
      <c r="E105" s="2" t="n">
        <v>80</v>
      </c>
      <c r="F105" s="2" t="n">
        <v>12</v>
      </c>
      <c r="G105" s="2" t="n"/>
      <c r="H105" s="2" t="n"/>
      <c r="I105" s="2" t="n">
        <v>19</v>
      </c>
      <c r="J105" s="2" t="n"/>
      <c r="K105" s="2" t="n"/>
      <c r="L105" s="2" t="n"/>
      <c r="M105" s="2" t="n"/>
      <c r="N105" s="2" t="n"/>
      <c r="O105" s="2" t="n">
        <v>2</v>
      </c>
      <c r="P105" s="2" t="n"/>
      <c r="Q105" s="2" t="n"/>
      <c r="R105" s="2" t="n"/>
      <c r="S105" s="2" t="n"/>
      <c r="T105" s="3" t="n">
        <v>27.8</v>
      </c>
      <c r="U105" s="2" t="n"/>
    </row>
    <row r="106" ht="16" customHeight="1" thickBot="1">
      <c r="A106" s="8" t="inlineStr">
        <is>
          <t>O. Lawrence</t>
        </is>
      </c>
      <c r="B106" s="34">
        <f t="array" ref="B106:C106">_xlfn.XLOOKUP(A106,'Player List'!$A$2:$A$177,'Player List'!$B$2:$C$177)</f>
        <v/>
      </c>
      <c r="C106" s="34" t="inlineStr">
        <is>
          <t>Centre</t>
        </is>
      </c>
      <c r="D106" s="34">
        <f>_xlfn.XLOOKUP(B106,$B$2:$B$7,$C$2:$C$7)</f>
        <v/>
      </c>
      <c r="E106" s="5" t="n">
        <v>80</v>
      </c>
      <c r="F106" s="5" t="n">
        <v>8</v>
      </c>
      <c r="G106" s="5" t="n"/>
      <c r="H106" s="5" t="n">
        <v>1</v>
      </c>
      <c r="I106" s="5" t="n">
        <v>83</v>
      </c>
      <c r="J106" s="5" t="n"/>
      <c r="K106" s="5" t="n"/>
      <c r="L106" s="5" t="n">
        <v>1</v>
      </c>
      <c r="M106" s="5" t="n"/>
      <c r="N106" s="5" t="n"/>
      <c r="O106" s="5" t="n"/>
      <c r="P106" s="5" t="n"/>
      <c r="Q106" s="5" t="n"/>
      <c r="R106" s="5" t="n"/>
      <c r="S106" s="5" t="n"/>
      <c r="T106" s="6" t="n">
        <v>61.6</v>
      </c>
      <c r="U106" s="5" t="n">
        <v>1</v>
      </c>
    </row>
    <row r="107" ht="16" customHeight="1" thickBot="1">
      <c r="A107" s="7" t="inlineStr">
        <is>
          <t>H. Slade</t>
        </is>
      </c>
      <c r="B107" s="34">
        <f t="array" ref="B107:C107">_xlfn.XLOOKUP(A107,'Player List'!$A$2:$A$177,'Player List'!$B$2:$C$177)</f>
        <v/>
      </c>
      <c r="C107" s="34" t="inlineStr">
        <is>
          <t>Centre</t>
        </is>
      </c>
      <c r="D107" s="34">
        <f>_xlfn.XLOOKUP(B107,$B$2:$B$7,$C$2:$C$7)</f>
        <v/>
      </c>
      <c r="E107" s="2" t="n">
        <v>72</v>
      </c>
      <c r="F107" s="2" t="n">
        <v>4</v>
      </c>
      <c r="G107" s="2" t="n"/>
      <c r="H107" s="2" t="n"/>
      <c r="I107" s="2" t="n">
        <v>7</v>
      </c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3" t="n">
        <v>12.6</v>
      </c>
      <c r="U107" s="2" t="n"/>
    </row>
    <row r="108" ht="16" customHeight="1" thickBot="1">
      <c r="A108" s="10" t="inlineStr">
        <is>
          <t>M. Smith</t>
        </is>
      </c>
      <c r="B108" s="34">
        <f t="array" ref="B108:C108">_xlfn.XLOOKUP(A108,'Player List'!$A$2:$A$177,'Player List'!$B$2:$C$177)</f>
        <v/>
      </c>
      <c r="C108" s="34" t="inlineStr">
        <is>
          <t>Fly Half</t>
        </is>
      </c>
      <c r="D108" s="34">
        <f>_xlfn.XLOOKUP(B108,$B$2:$B$7,$C$2:$C$7)</f>
        <v/>
      </c>
      <c r="E108" s="5" t="n">
        <v>8</v>
      </c>
      <c r="F108" s="5" t="n">
        <v>4</v>
      </c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6" t="n">
        <v>4.8</v>
      </c>
      <c r="U108" s="5" t="n"/>
    </row>
    <row r="109" ht="16" customHeight="1" thickBot="1">
      <c r="A109" s="11" t="inlineStr">
        <is>
          <t>A. Mitchell</t>
        </is>
      </c>
      <c r="B109" s="34">
        <f t="array" ref="B109:C109">_xlfn.XLOOKUP(A109,'Player List'!$A$2:$A$177,'Player List'!$B$2:$C$177)</f>
        <v/>
      </c>
      <c r="C109" s="34" t="inlineStr">
        <is>
          <t>Scrum Half</t>
        </is>
      </c>
      <c r="D109" s="34">
        <f>_xlfn.XLOOKUP(B109,$B$2:$B$7,$C$2:$C$7)</f>
        <v/>
      </c>
      <c r="E109" s="2" t="n">
        <v>20</v>
      </c>
      <c r="F109" s="2" t="n">
        <v>5</v>
      </c>
      <c r="G109" s="2" t="n"/>
      <c r="H109" s="2" t="n"/>
      <c r="I109" s="2" t="n">
        <v>1</v>
      </c>
      <c r="J109" s="2" t="n"/>
      <c r="K109" s="2" t="n"/>
      <c r="L109" s="2" t="n"/>
      <c r="M109" s="2" t="n"/>
      <c r="N109" s="2" t="n">
        <v>1</v>
      </c>
      <c r="O109" s="2" t="n"/>
      <c r="P109" s="2" t="n"/>
      <c r="Q109" s="2" t="n"/>
      <c r="R109" s="2" t="n"/>
      <c r="S109" s="2" t="n"/>
      <c r="T109" s="3" t="n">
        <v>14.2</v>
      </c>
      <c r="U109" s="2" t="n"/>
    </row>
    <row r="110" ht="16" customHeight="1" thickBot="1">
      <c r="A110" s="12" t="inlineStr">
        <is>
          <t>J. van Poortvliet</t>
        </is>
      </c>
      <c r="B110" s="34">
        <f t="array" ref="B110:C110">_xlfn.XLOOKUP(A110,'Player List'!$A$2:$A$177,'Player List'!$B$2:$C$177)</f>
        <v/>
      </c>
      <c r="C110" s="34" t="inlineStr">
        <is>
          <t>Scrum Half</t>
        </is>
      </c>
      <c r="D110" s="34">
        <f>_xlfn.XLOOKUP(B110,$B$2:$B$7,$C$2:$C$7)</f>
        <v/>
      </c>
      <c r="E110" s="5" t="n">
        <v>60</v>
      </c>
      <c r="F110" s="5" t="n">
        <v>1</v>
      </c>
      <c r="G110" s="5" t="n"/>
      <c r="H110" s="5" t="n">
        <v>1</v>
      </c>
      <c r="I110" s="5" t="n">
        <v>39</v>
      </c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6" t="n">
        <v>21.8</v>
      </c>
      <c r="U110" s="5" t="n"/>
    </row>
    <row r="111" ht="16" customHeight="1" thickBot="1">
      <c r="A111" s="13" t="inlineStr">
        <is>
          <t>A. Dombrandt</t>
        </is>
      </c>
      <c r="B111" s="34">
        <f t="array" ref="B111:C111">_xlfn.XLOOKUP(A111,'Player List'!$A$2:$A$177,'Player List'!$B$2:$C$177)</f>
        <v/>
      </c>
      <c r="C111" s="34" t="inlineStr">
        <is>
          <t>Back Row</t>
        </is>
      </c>
      <c r="D111" s="34">
        <f>_xlfn.XLOOKUP(B111,$B$2:$B$7,$C$2:$C$7)</f>
        <v/>
      </c>
      <c r="E111" s="2" t="n">
        <v>65</v>
      </c>
      <c r="F111" s="2" t="n">
        <v>9</v>
      </c>
      <c r="G111" s="2" t="n"/>
      <c r="H111" s="2" t="n"/>
      <c r="I111" s="2" t="n">
        <v>70</v>
      </c>
      <c r="J111" s="2" t="n"/>
      <c r="K111" s="2" t="n"/>
      <c r="L111" s="2" t="n">
        <v>2</v>
      </c>
      <c r="M111" s="2" t="n"/>
      <c r="N111" s="2" t="n"/>
      <c r="O111" s="2" t="n"/>
      <c r="P111" s="2" t="n"/>
      <c r="Q111" s="2" t="n"/>
      <c r="R111" s="2" t="n"/>
      <c r="S111" s="2" t="n"/>
      <c r="T111" s="3" t="n">
        <v>43.5</v>
      </c>
      <c r="U111" s="2" t="n"/>
    </row>
    <row r="112" ht="16" customHeight="1" thickBot="1">
      <c r="A112" s="14" t="inlineStr">
        <is>
          <t>B. Earl</t>
        </is>
      </c>
      <c r="B112" s="34">
        <f t="array" ref="B112:C112">_xlfn.XLOOKUP(A112,'Player List'!$A$2:$A$177,'Player List'!$B$2:$C$177)</f>
        <v/>
      </c>
      <c r="C112" s="34" t="inlineStr">
        <is>
          <t>Back Row</t>
        </is>
      </c>
      <c r="D112" s="34">
        <f>_xlfn.XLOOKUP(B112,$B$2:$B$7,$C$2:$C$7)</f>
        <v/>
      </c>
      <c r="E112" s="5" t="n">
        <v>27</v>
      </c>
      <c r="F112" s="5" t="n">
        <v>6</v>
      </c>
      <c r="G112" s="5" t="n"/>
      <c r="H112" s="5" t="n"/>
      <c r="I112" s="5" t="n">
        <v>10</v>
      </c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6" t="n">
        <v>10.7</v>
      </c>
      <c r="U112" s="5" t="n"/>
    </row>
    <row r="113" ht="16" customHeight="1" thickBot="1">
      <c r="A113" s="13" t="inlineStr">
        <is>
          <t>L. Ludlam</t>
        </is>
      </c>
      <c r="B113" s="34">
        <f t="array" ref="B113:C113">_xlfn.XLOOKUP(A113,'Player List'!$A$2:$A$177,'Player List'!$B$2:$C$177)</f>
        <v/>
      </c>
      <c r="C113" s="34" t="inlineStr">
        <is>
          <t>Back Row</t>
        </is>
      </c>
      <c r="D113" s="34">
        <f>_xlfn.XLOOKUP(B113,$B$2:$B$7,$C$2:$C$7)</f>
        <v/>
      </c>
      <c r="E113" s="2" t="n">
        <v>80</v>
      </c>
      <c r="F113" s="2" t="n">
        <v>19</v>
      </c>
      <c r="G113" s="2" t="n">
        <v>3</v>
      </c>
      <c r="H113" s="2" t="n"/>
      <c r="I113" s="2" t="n">
        <v>25</v>
      </c>
      <c r="J113" s="2" t="n"/>
      <c r="K113" s="2" t="n"/>
      <c r="L113" s="2" t="n">
        <v>1</v>
      </c>
      <c r="M113" s="2" t="n"/>
      <c r="N113" s="2" t="n"/>
      <c r="O113" s="2" t="n"/>
      <c r="P113" s="2" t="n"/>
      <c r="Q113" s="2" t="n"/>
      <c r="R113" s="2" t="n"/>
      <c r="S113" s="2" t="n"/>
      <c r="T113" s="3" t="n">
        <v>60</v>
      </c>
      <c r="U113" s="2" t="n"/>
    </row>
    <row r="114" ht="16" customHeight="1" thickBot="1">
      <c r="A114" s="14" t="inlineStr">
        <is>
          <t>J. Willis</t>
        </is>
      </c>
      <c r="B114" s="34">
        <f t="array" ref="B114:C114">_xlfn.XLOOKUP(A114,'Player List'!$A$2:$A$177,'Player List'!$B$2:$C$177)</f>
        <v/>
      </c>
      <c r="C114" s="34" t="inlineStr">
        <is>
          <t>Back Row</t>
        </is>
      </c>
      <c r="D114" s="34">
        <f>_xlfn.XLOOKUP(B114,$B$2:$B$7,$C$2:$C$7)</f>
        <v/>
      </c>
      <c r="E114" s="5" t="n">
        <v>53</v>
      </c>
      <c r="F114" s="5" t="n">
        <v>20</v>
      </c>
      <c r="G114" s="5" t="n">
        <v>1</v>
      </c>
      <c r="H114" s="5" t="n">
        <v>1</v>
      </c>
      <c r="I114" s="5" t="n">
        <v>27</v>
      </c>
      <c r="J114" s="5" t="n"/>
      <c r="K114" s="5" t="n"/>
      <c r="L114" s="5" t="n">
        <v>1</v>
      </c>
      <c r="M114" s="5" t="n">
        <v>1</v>
      </c>
      <c r="N114" s="5" t="n"/>
      <c r="O114" s="5" t="n"/>
      <c r="P114" s="5" t="n"/>
      <c r="Q114" s="5" t="n"/>
      <c r="R114" s="5" t="n"/>
      <c r="S114" s="5" t="n"/>
      <c r="T114" s="6" t="n">
        <v>66.7</v>
      </c>
      <c r="U114" s="5" t="n"/>
    </row>
    <row r="115" ht="16" customHeight="1" thickBot="1">
      <c r="A115" s="15" t="inlineStr">
        <is>
          <t>O. Chessum</t>
        </is>
      </c>
      <c r="B115" s="34">
        <f t="array" ref="B115:C115">_xlfn.XLOOKUP(A115,'Player List'!$A$2:$A$177,'Player List'!$B$2:$C$177)</f>
        <v/>
      </c>
      <c r="C115" s="34" t="inlineStr">
        <is>
          <t>Second Row</t>
        </is>
      </c>
      <c r="D115" s="34">
        <f>_xlfn.XLOOKUP(B115,$B$2:$B$7,$C$2:$C$7)</f>
        <v/>
      </c>
      <c r="E115" s="2" t="n">
        <v>80</v>
      </c>
      <c r="F115" s="2" t="n">
        <v>8</v>
      </c>
      <c r="G115" s="2" t="n">
        <v>1</v>
      </c>
      <c r="H115" s="2" t="n"/>
      <c r="I115" s="2" t="n">
        <v>37</v>
      </c>
      <c r="J115" s="2" t="n"/>
      <c r="K115" s="2" t="n"/>
      <c r="L115" s="2" t="n"/>
      <c r="M115" s="2" t="n">
        <v>1</v>
      </c>
      <c r="N115" s="2" t="n"/>
      <c r="O115" s="2" t="n"/>
      <c r="P115" s="2" t="n"/>
      <c r="Q115" s="2" t="n"/>
      <c r="R115" s="2" t="n"/>
      <c r="S115" s="2" t="n"/>
      <c r="T115" s="3" t="n">
        <v>45.4</v>
      </c>
      <c r="U115" s="2" t="n"/>
    </row>
    <row r="116" ht="16" customHeight="1" thickBot="1">
      <c r="A116" s="16" t="inlineStr">
        <is>
          <t>N. Isiekwe</t>
        </is>
      </c>
      <c r="B116" s="34">
        <f t="array" ref="B116:C116">_xlfn.XLOOKUP(A116,'Player List'!$A$2:$A$177,'Player List'!$B$2:$C$177)</f>
        <v/>
      </c>
      <c r="C116" s="34" t="inlineStr">
        <is>
          <t>Second Row</t>
        </is>
      </c>
      <c r="D116" s="34">
        <f>_xlfn.XLOOKUP(B116,$B$2:$B$7,$C$2:$C$7)</f>
        <v/>
      </c>
      <c r="E116" s="5" t="n">
        <v>15</v>
      </c>
      <c r="F116" s="5" t="n">
        <v>3</v>
      </c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6" t="n">
        <v>4.5</v>
      </c>
      <c r="U116" s="5" t="n"/>
    </row>
    <row r="117" ht="16" customHeight="1" thickBot="1">
      <c r="A117" s="15" t="inlineStr">
        <is>
          <t>M. Itoje</t>
        </is>
      </c>
      <c r="B117" s="34">
        <f t="array" ref="B117:C117">_xlfn.XLOOKUP(A117,'Player List'!$A$2:$A$177,'Player List'!$B$2:$C$177)</f>
        <v/>
      </c>
      <c r="C117" s="34" t="inlineStr">
        <is>
          <t>Second Row</t>
        </is>
      </c>
      <c r="D117" s="34">
        <f>_xlfn.XLOOKUP(B117,$B$2:$B$7,$C$2:$C$7)</f>
        <v/>
      </c>
      <c r="E117" s="2" t="n">
        <v>80</v>
      </c>
      <c r="F117" s="2" t="n">
        <v>16</v>
      </c>
      <c r="G117" s="2" t="n">
        <v>1</v>
      </c>
      <c r="H117" s="2" t="n"/>
      <c r="I117" s="2" t="n">
        <v>20</v>
      </c>
      <c r="J117" s="2" t="n"/>
      <c r="K117" s="2" t="n"/>
      <c r="L117" s="2" t="n">
        <v>1</v>
      </c>
      <c r="M117" s="2" t="n"/>
      <c r="N117" s="2" t="n"/>
      <c r="O117" s="2" t="n"/>
      <c r="P117" s="2" t="n"/>
      <c r="Q117" s="2" t="n"/>
      <c r="R117" s="2" t="n"/>
      <c r="S117" s="2" t="n"/>
      <c r="T117" s="3" t="n">
        <v>42</v>
      </c>
      <c r="U117" s="2" t="n"/>
    </row>
    <row r="118" ht="16" customHeight="1" thickBot="1">
      <c r="A118" s="17" t="inlineStr">
        <is>
          <t>D. Cole</t>
        </is>
      </c>
      <c r="B118" s="34">
        <f t="array" ref="B118:C118">_xlfn.XLOOKUP(A118,'Player List'!$A$2:$A$177,'Player List'!$B$2:$C$177)</f>
        <v/>
      </c>
      <c r="C118" s="34" t="inlineStr">
        <is>
          <t>Prop</t>
        </is>
      </c>
      <c r="D118" s="34">
        <f>_xlfn.XLOOKUP(B118,$B$2:$B$7,$C$2:$C$7)</f>
        <v/>
      </c>
      <c r="E118" s="5" t="n">
        <v>31</v>
      </c>
      <c r="F118" s="5" t="n">
        <v>2</v>
      </c>
      <c r="G118" s="5" t="n"/>
      <c r="H118" s="5" t="n"/>
      <c r="I118" s="5" t="n">
        <v>8</v>
      </c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6" t="n">
        <v>6.7</v>
      </c>
      <c r="U118" s="5" t="n"/>
    </row>
    <row r="119" ht="16" customHeight="1" thickBot="1">
      <c r="A119" s="18" t="inlineStr">
        <is>
          <t>E. Genge</t>
        </is>
      </c>
      <c r="B119" s="34">
        <f t="array" ref="B119:C119">_xlfn.XLOOKUP(A119,'Player List'!$A$2:$A$177,'Player List'!$B$2:$C$177)</f>
        <v/>
      </c>
      <c r="C119" s="34" t="inlineStr">
        <is>
          <t>Prop</t>
        </is>
      </c>
      <c r="D119" s="34">
        <f>_xlfn.XLOOKUP(B119,$B$2:$B$7,$C$2:$C$7)</f>
        <v/>
      </c>
      <c r="E119" s="2" t="n">
        <v>54</v>
      </c>
      <c r="F119" s="2" t="n">
        <v>5</v>
      </c>
      <c r="G119" s="2" t="n"/>
      <c r="H119" s="2" t="n"/>
      <c r="I119" s="2" t="n">
        <v>21</v>
      </c>
      <c r="J119" s="2" t="n"/>
      <c r="K119" s="2" t="n"/>
      <c r="L119" s="2" t="n"/>
      <c r="M119" s="2" t="n"/>
      <c r="N119" s="2" t="n">
        <v>1</v>
      </c>
      <c r="O119" s="2" t="n"/>
      <c r="P119" s="2" t="n"/>
      <c r="Q119" s="2" t="n"/>
      <c r="R119" s="2" t="n"/>
      <c r="S119" s="2" t="n"/>
      <c r="T119" s="3" t="n">
        <v>21.6</v>
      </c>
      <c r="U119" s="2" t="n"/>
    </row>
    <row r="120" ht="16" customHeight="1" thickBot="1">
      <c r="A120" s="17" t="inlineStr">
        <is>
          <t>K. Sinckler</t>
        </is>
      </c>
      <c r="B120" s="34">
        <f t="array" ref="B120:C120">_xlfn.XLOOKUP(A120,'Player List'!$A$2:$A$177,'Player List'!$B$2:$C$177)</f>
        <v/>
      </c>
      <c r="C120" s="34" t="inlineStr">
        <is>
          <t>Prop</t>
        </is>
      </c>
      <c r="D120" s="34">
        <f>_xlfn.XLOOKUP(B120,$B$2:$B$7,$C$2:$C$7)</f>
        <v/>
      </c>
      <c r="E120" s="5" t="n">
        <v>49</v>
      </c>
      <c r="F120" s="5" t="n">
        <v>11</v>
      </c>
      <c r="G120" s="5" t="n">
        <v>1</v>
      </c>
      <c r="H120" s="5" t="n"/>
      <c r="I120" s="5" t="n">
        <v>12</v>
      </c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6" t="n">
        <v>25.3</v>
      </c>
      <c r="U120" s="5" t="n"/>
    </row>
    <row r="121" ht="16" customHeight="1" thickBot="1">
      <c r="A121" s="18" t="inlineStr">
        <is>
          <t>M. Vunipola</t>
        </is>
      </c>
      <c r="B121" s="34">
        <f t="array" ref="B121:C121">_xlfn.XLOOKUP(A121,'Player List'!$A$2:$A$177,'Player List'!$B$2:$C$177)</f>
        <v/>
      </c>
      <c r="C121" s="34" t="inlineStr">
        <is>
          <t>Prop</t>
        </is>
      </c>
      <c r="D121" s="34">
        <f>_xlfn.XLOOKUP(B121,$B$2:$B$7,$C$2:$C$7)</f>
        <v/>
      </c>
      <c r="E121" s="2" t="n">
        <v>26</v>
      </c>
      <c r="F121" s="2" t="n">
        <v>3</v>
      </c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3" t="n">
        <v>5.6</v>
      </c>
      <c r="U121" s="2" t="n"/>
    </row>
    <row r="122" ht="16" customHeight="1" thickBot="1">
      <c r="A122" s="19" t="inlineStr">
        <is>
          <t>J. George</t>
        </is>
      </c>
      <c r="B122" s="34">
        <f t="array" ref="B122:C122">_xlfn.XLOOKUP(A122,'Player List'!$A$2:$A$177,'Player List'!$B$2:$C$177)</f>
        <v/>
      </c>
      <c r="C122" s="34" t="inlineStr">
        <is>
          <t>Hooker</t>
        </is>
      </c>
      <c r="D122" s="34">
        <f>_xlfn.XLOOKUP(B122,$B$2:$B$7,$C$2:$C$7)</f>
        <v/>
      </c>
      <c r="E122" s="5" t="n">
        <v>73</v>
      </c>
      <c r="F122" s="5" t="n">
        <v>7</v>
      </c>
      <c r="G122" s="5" t="n">
        <v>1</v>
      </c>
      <c r="H122" s="5" t="n"/>
      <c r="I122" s="5" t="n">
        <v>6</v>
      </c>
      <c r="J122" s="5" t="n"/>
      <c r="K122" s="5" t="n"/>
      <c r="L122" s="5" t="n"/>
      <c r="M122" s="5" t="n">
        <v>1</v>
      </c>
      <c r="N122" s="5" t="n"/>
      <c r="O122" s="5" t="n"/>
      <c r="P122" s="5" t="n"/>
      <c r="Q122" s="5" t="n"/>
      <c r="R122" s="5" t="n"/>
      <c r="S122" s="5" t="n"/>
      <c r="T122" s="6" t="n">
        <v>37.5</v>
      </c>
      <c r="U122" s="5" t="n"/>
    </row>
    <row r="123" ht="16" customHeight="1" thickBot="1">
      <c r="A123" s="20" t="inlineStr">
        <is>
          <t>J. Walker</t>
        </is>
      </c>
      <c r="B123" s="34">
        <f t="array" ref="B123:C123">_xlfn.XLOOKUP(A123,'Player List'!$A$2:$A$177,'Player List'!$B$2:$C$177)</f>
        <v/>
      </c>
      <c r="C123" s="34" t="inlineStr">
        <is>
          <t>Hooker</t>
        </is>
      </c>
      <c r="D123" s="34">
        <f>_xlfn.XLOOKUP(B123,$B$2:$B$7,$C$2:$C$7)</f>
        <v/>
      </c>
      <c r="E123" s="2" t="n">
        <v>7</v>
      </c>
      <c r="F123" s="2" t="n">
        <v>3</v>
      </c>
      <c r="G123" s="2" t="n"/>
      <c r="H123" s="2" t="n"/>
      <c r="I123" s="2" t="n">
        <v>9</v>
      </c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3" t="n">
        <v>5.5</v>
      </c>
      <c r="U123" s="2" t="n"/>
    </row>
    <row r="124" ht="16" customHeight="1" thickBot="1">
      <c r="A124" s="1" t="inlineStr">
        <is>
          <t>P. Bruno</t>
        </is>
      </c>
      <c r="B124" s="34">
        <f t="array" ref="B124:C124">_xlfn.XLOOKUP(A124,'Player List'!$A$2:$A$177,'Player List'!$B$2:$C$177)</f>
        <v/>
      </c>
      <c r="C124" s="34" t="inlineStr">
        <is>
          <t>Back Three</t>
        </is>
      </c>
      <c r="D124" s="34">
        <f>_xlfn.XLOOKUP(B124,$B$2:$B$7,$C$2:$C$7)</f>
        <v/>
      </c>
      <c r="E124" s="2" t="n">
        <v>33</v>
      </c>
      <c r="F124" s="2" t="n"/>
      <c r="G124" s="2" t="n"/>
      <c r="H124" s="2" t="n"/>
      <c r="I124" s="2" t="n">
        <v>27</v>
      </c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3" t="n">
        <v>5.4</v>
      </c>
      <c r="U124" s="2" t="n"/>
    </row>
    <row r="125" ht="16" customHeight="1" thickBot="1">
      <c r="A125" s="4" t="inlineStr">
        <is>
          <t>A. Capuozzo</t>
        </is>
      </c>
      <c r="B125" s="34">
        <f t="array" ref="B125:C125">_xlfn.XLOOKUP(A125,'Player List'!$A$2:$A$177,'Player List'!$B$2:$C$177)</f>
        <v/>
      </c>
      <c r="C125" s="34" t="inlineStr">
        <is>
          <t>Back Three</t>
        </is>
      </c>
      <c r="D125" s="34">
        <f>_xlfn.XLOOKUP(B125,$B$2:$B$7,$C$2:$C$7)</f>
        <v/>
      </c>
      <c r="E125" s="5" t="n">
        <v>80</v>
      </c>
      <c r="F125" s="5" t="n">
        <v>2</v>
      </c>
      <c r="G125" s="5" t="n"/>
      <c r="H125" s="5" t="n">
        <v>3</v>
      </c>
      <c r="I125" s="5" t="n">
        <v>127</v>
      </c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6" t="n">
        <v>48.4</v>
      </c>
      <c r="U125" s="5" t="n"/>
    </row>
    <row r="126" ht="16" customHeight="1" thickBot="1">
      <c r="A126" s="1" t="inlineStr">
        <is>
          <t>A. Fusco</t>
        </is>
      </c>
      <c r="B126" s="34">
        <f t="array" ref="B126:C126">_xlfn.XLOOKUP(A126,'Player List'!$A$2:$A$177,'Player List'!$B$2:$C$177)</f>
        <v/>
      </c>
      <c r="C126" s="34" t="inlineStr">
        <is>
          <t>Back Three</t>
        </is>
      </c>
      <c r="D126" s="34">
        <f>_xlfn.XLOOKUP(B126,$B$2:$B$7,$C$2:$C$7)</f>
        <v/>
      </c>
      <c r="E126" s="2" t="n">
        <v>18</v>
      </c>
      <c r="F126" s="2" t="n">
        <v>1</v>
      </c>
      <c r="G126" s="2" t="n">
        <v>1</v>
      </c>
      <c r="H126" s="2" t="n"/>
      <c r="I126" s="2" t="n">
        <v>8</v>
      </c>
      <c r="J126" s="2" t="n"/>
      <c r="K126" s="2" t="n"/>
      <c r="L126" s="2" t="n"/>
      <c r="M126" s="2" t="n">
        <v>1</v>
      </c>
      <c r="N126" s="2" t="n"/>
      <c r="O126" s="2" t="n"/>
      <c r="P126" s="2" t="n"/>
      <c r="Q126" s="2" t="n"/>
      <c r="R126" s="2" t="n"/>
      <c r="S126" s="2" t="n"/>
      <c r="T126" s="3" t="n">
        <v>24.6</v>
      </c>
      <c r="U126" s="2" t="n"/>
    </row>
    <row r="127" ht="16" customHeight="1" thickBot="1">
      <c r="A127" s="4" t="inlineStr">
        <is>
          <t>T. Menoncello</t>
        </is>
      </c>
      <c r="B127" s="34">
        <f t="array" ref="B127:C127">_xlfn.XLOOKUP(A127,'Player List'!$A$2:$A$177,'Player List'!$B$2:$C$177)</f>
        <v/>
      </c>
      <c r="C127" s="34" t="inlineStr">
        <is>
          <t>Back Three</t>
        </is>
      </c>
      <c r="D127" s="34">
        <f>_xlfn.XLOOKUP(B127,$B$2:$B$7,$C$2:$C$7)</f>
        <v/>
      </c>
      <c r="E127" s="5" t="n">
        <v>80</v>
      </c>
      <c r="F127" s="5" t="n">
        <v>7</v>
      </c>
      <c r="G127" s="5" t="n"/>
      <c r="H127" s="5" t="n">
        <v>1</v>
      </c>
      <c r="I127" s="5" t="n">
        <v>33</v>
      </c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6" t="n">
        <v>20.6</v>
      </c>
      <c r="U127" s="5" t="n"/>
    </row>
    <row r="128" ht="16" customHeight="1" thickBot="1">
      <c r="A128" s="1" t="inlineStr">
        <is>
          <t>E. Padovani</t>
        </is>
      </c>
      <c r="B128" s="34">
        <f t="array" ref="B128:C128">_xlfn.XLOOKUP(A128,'Player List'!$A$2:$A$177,'Player List'!$B$2:$C$177)</f>
        <v/>
      </c>
      <c r="C128" s="34" t="inlineStr">
        <is>
          <t>Back Three</t>
        </is>
      </c>
      <c r="D128" s="34">
        <f>_xlfn.XLOOKUP(B128,$B$2:$B$7,$C$2:$C$7)</f>
        <v/>
      </c>
      <c r="E128" s="2" t="n">
        <v>80</v>
      </c>
      <c r="F128" s="2" t="n">
        <v>3</v>
      </c>
      <c r="G128" s="2" t="n"/>
      <c r="H128" s="2" t="n"/>
      <c r="I128" s="2" t="n">
        <v>36</v>
      </c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3" t="n">
        <v>10.2</v>
      </c>
      <c r="U128" s="2" t="n"/>
    </row>
    <row r="129" ht="16" customHeight="1" thickBot="1">
      <c r="A129" s="8" t="inlineStr">
        <is>
          <t>J. Brex</t>
        </is>
      </c>
      <c r="B129" s="34">
        <f t="array" ref="B129:C129">_xlfn.XLOOKUP(A129,'Player List'!$A$2:$A$177,'Player List'!$B$2:$C$177)</f>
        <v/>
      </c>
      <c r="C129" s="34" t="inlineStr">
        <is>
          <t>Centre</t>
        </is>
      </c>
      <c r="D129" s="34">
        <f>_xlfn.XLOOKUP(B129,$B$2:$B$7,$C$2:$C$7)</f>
        <v/>
      </c>
      <c r="E129" s="5" t="n">
        <v>80</v>
      </c>
      <c r="F129" s="5" t="n">
        <v>4</v>
      </c>
      <c r="G129" s="5" t="n"/>
      <c r="H129" s="5" t="n"/>
      <c r="I129" s="5" t="n">
        <v>92</v>
      </c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6" t="n">
        <v>22.4</v>
      </c>
      <c r="U129" s="5" t="n"/>
    </row>
    <row r="130" ht="16" customHeight="1" thickBot="1">
      <c r="A130" s="7" t="inlineStr">
        <is>
          <t>L. Morisi</t>
        </is>
      </c>
      <c r="B130" s="34">
        <f t="array" ref="B130:C130">_xlfn.XLOOKUP(A130,'Player List'!$A$2:$A$177,'Player List'!$B$2:$C$177)</f>
        <v/>
      </c>
      <c r="C130" s="34" t="inlineStr">
        <is>
          <t>Centre</t>
        </is>
      </c>
      <c r="D130" s="34">
        <f>_xlfn.XLOOKUP(B130,$B$2:$B$7,$C$2:$C$7)</f>
        <v/>
      </c>
      <c r="E130" s="2" t="n">
        <v>47</v>
      </c>
      <c r="F130" s="2" t="n">
        <v>10</v>
      </c>
      <c r="G130" s="2" t="n"/>
      <c r="H130" s="2" t="n"/>
      <c r="I130" s="2" t="n">
        <v>27</v>
      </c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3" t="n">
        <v>15.4</v>
      </c>
      <c r="U130" s="2" t="n"/>
    </row>
    <row r="131" ht="16" customHeight="1" thickBot="1">
      <c r="A131" s="10" t="inlineStr">
        <is>
          <t>T. Allan</t>
        </is>
      </c>
      <c r="B131" s="34">
        <f t="array" ref="B131:C131">_xlfn.XLOOKUP(A131,'Player List'!$A$2:$A$177,'Player List'!$B$2:$C$177)</f>
        <v/>
      </c>
      <c r="C131" s="34" t="inlineStr">
        <is>
          <t>Fly Half</t>
        </is>
      </c>
      <c r="D131" s="34">
        <f>_xlfn.XLOOKUP(B131,$B$2:$B$7,$C$2:$C$7)</f>
        <v/>
      </c>
      <c r="E131" s="5" t="n">
        <v>80</v>
      </c>
      <c r="F131" s="5" t="n">
        <v>13</v>
      </c>
      <c r="G131" s="5" t="n"/>
      <c r="H131" s="5" t="n"/>
      <c r="I131" s="5" t="n">
        <v>51</v>
      </c>
      <c r="J131" s="5" t="n"/>
      <c r="K131" s="5" t="n"/>
      <c r="L131" s="5" t="n"/>
      <c r="M131" s="5" t="n"/>
      <c r="N131" s="5" t="n"/>
      <c r="O131" s="5" t="n">
        <v>2</v>
      </c>
      <c r="P131" s="5" t="n"/>
      <c r="Q131" s="5" t="n"/>
      <c r="R131" s="5" t="n"/>
      <c r="S131" s="5" t="n"/>
      <c r="T131" s="6" t="n">
        <v>27.2</v>
      </c>
      <c r="U131" s="5" t="n"/>
    </row>
    <row r="132" ht="16" customHeight="1" thickBot="1">
      <c r="A132" s="11" t="inlineStr">
        <is>
          <t>S. Varney</t>
        </is>
      </c>
      <c r="B132" s="34">
        <f t="array" ref="B132:C132">_xlfn.XLOOKUP(A132,'Player List'!$A$2:$A$177,'Player List'!$B$2:$C$177)</f>
        <v/>
      </c>
      <c r="C132" s="34" t="inlineStr">
        <is>
          <t>Scrum Half</t>
        </is>
      </c>
      <c r="D132" s="34">
        <f>_xlfn.XLOOKUP(B132,$B$2:$B$7,$C$2:$C$7)</f>
        <v/>
      </c>
      <c r="E132" s="2" t="n">
        <v>62</v>
      </c>
      <c r="F132" s="2" t="n">
        <v>1</v>
      </c>
      <c r="G132" s="2" t="n">
        <v>1</v>
      </c>
      <c r="H132" s="2" t="n"/>
      <c r="I132" s="2" t="n">
        <v>20</v>
      </c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3" t="n">
        <v>12</v>
      </c>
      <c r="U132" s="2" t="n"/>
    </row>
    <row r="133" ht="16" customHeight="1" thickBot="1">
      <c r="A133" s="14" t="inlineStr">
        <is>
          <t>E. Iachizzi</t>
        </is>
      </c>
      <c r="B133" s="34">
        <f t="array" ref="B133:C133">_xlfn.XLOOKUP(A133,'Player List'!$A$2:$A$177,'Player List'!$B$2:$C$177)</f>
        <v/>
      </c>
      <c r="C133" s="34" t="inlineStr">
        <is>
          <t>Back Row</t>
        </is>
      </c>
      <c r="D133" s="34">
        <f>_xlfn.XLOOKUP(B133,$B$2:$B$7,$C$2:$C$7)</f>
        <v/>
      </c>
      <c r="E133" s="5" t="n">
        <v>8</v>
      </c>
      <c r="F133" s="5" t="n"/>
      <c r="G133" s="5" t="n"/>
      <c r="H133" s="5" t="n"/>
      <c r="I133" s="5" t="n">
        <v>26</v>
      </c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6" t="n">
        <v>5.2</v>
      </c>
      <c r="U133" s="5" t="n"/>
    </row>
    <row r="134" ht="16" customHeight="1" thickBot="1">
      <c r="A134" s="13" t="inlineStr">
        <is>
          <t>M. Lamaro</t>
        </is>
      </c>
      <c r="B134" s="34">
        <f t="array" ref="B134:C134">_xlfn.XLOOKUP(A134,'Player List'!$A$2:$A$177,'Player List'!$B$2:$C$177)</f>
        <v/>
      </c>
      <c r="C134" s="34" t="inlineStr">
        <is>
          <t>Back Row</t>
        </is>
      </c>
      <c r="D134" s="34">
        <f>_xlfn.XLOOKUP(B134,$B$2:$B$7,$C$2:$C$7)</f>
        <v/>
      </c>
      <c r="E134" s="2" t="n">
        <v>23</v>
      </c>
      <c r="F134" s="2" t="n"/>
      <c r="G134" s="2" t="n"/>
      <c r="H134" s="2" t="n"/>
      <c r="I134" s="2" t="n">
        <v>5</v>
      </c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3" t="n">
        <v>1</v>
      </c>
      <c r="U134" s="2" t="n"/>
    </row>
    <row r="135" ht="16" customHeight="1" thickBot="1">
      <c r="A135" s="14" t="inlineStr">
        <is>
          <t>S. Negri</t>
        </is>
      </c>
      <c r="B135" s="34">
        <f t="array" ref="B135:C135">_xlfn.XLOOKUP(A135,'Player List'!$A$2:$A$177,'Player List'!$B$2:$C$177)</f>
        <v/>
      </c>
      <c r="C135" s="34" t="inlineStr">
        <is>
          <t>Back Row</t>
        </is>
      </c>
      <c r="D135" s="34">
        <f>_xlfn.XLOOKUP(B135,$B$2:$B$7,$C$2:$C$7)</f>
        <v/>
      </c>
      <c r="E135" s="5" t="n">
        <v>74</v>
      </c>
      <c r="F135" s="5" t="n">
        <v>6</v>
      </c>
      <c r="G135" s="5" t="n">
        <v>1</v>
      </c>
      <c r="H135" s="5" t="n">
        <v>1</v>
      </c>
      <c r="I135" s="5" t="n">
        <v>83</v>
      </c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6" t="n">
        <v>36.6</v>
      </c>
      <c r="U135" s="5" t="n"/>
    </row>
    <row r="136" ht="16" customHeight="1" thickBot="1">
      <c r="A136" s="13" t="inlineStr">
        <is>
          <t>J. Polledri</t>
        </is>
      </c>
      <c r="B136" s="34">
        <f t="array" ref="B136:C136">_xlfn.XLOOKUP(A136,'Player List'!$A$2:$A$177,'Player List'!$B$2:$C$177)</f>
        <v/>
      </c>
      <c r="C136" s="34" t="inlineStr">
        <is>
          <t>Back Row</t>
        </is>
      </c>
      <c r="D136" s="34">
        <f>_xlfn.XLOOKUP(B136,$B$2:$B$7,$C$2:$C$7)</f>
        <v/>
      </c>
      <c r="E136" s="2" t="n">
        <v>23</v>
      </c>
      <c r="F136" s="2" t="n">
        <v>1</v>
      </c>
      <c r="G136" s="2" t="n">
        <v>1</v>
      </c>
      <c r="H136" s="2" t="n"/>
      <c r="I136" s="2" t="n">
        <v>26</v>
      </c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3" t="n">
        <v>13.2</v>
      </c>
      <c r="U136" s="2" t="n"/>
    </row>
    <row r="137" ht="16" customHeight="1" thickBot="1">
      <c r="A137" s="16" t="inlineStr">
        <is>
          <t>L. Cannone</t>
        </is>
      </c>
      <c r="B137" s="34">
        <f t="array" ref="B137:C137">_xlfn.XLOOKUP(A137,'Player List'!$A$2:$A$177,'Player List'!$B$2:$C$177)</f>
        <v/>
      </c>
      <c r="C137" s="34" t="inlineStr">
        <is>
          <t>Second Row</t>
        </is>
      </c>
      <c r="D137" s="34">
        <f>_xlfn.XLOOKUP(B137,$B$2:$B$7,$C$2:$C$7)</f>
        <v/>
      </c>
      <c r="E137" s="5" t="n">
        <v>48</v>
      </c>
      <c r="F137" s="5" t="n">
        <v>7</v>
      </c>
      <c r="G137" s="5" t="n">
        <v>1</v>
      </c>
      <c r="H137" s="5" t="n"/>
      <c r="I137" s="5" t="n">
        <v>44</v>
      </c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>
        <v>1</v>
      </c>
      <c r="S137" s="5" t="n"/>
      <c r="T137" s="6" t="n">
        <v>17.8</v>
      </c>
      <c r="U137" s="5" t="n"/>
    </row>
    <row r="138" ht="16" customHeight="1" thickBot="1">
      <c r="A138" s="15" t="inlineStr">
        <is>
          <t>N. Cannone</t>
        </is>
      </c>
      <c r="B138" s="34">
        <f t="array" ref="B138:C138">_xlfn.XLOOKUP(A138,'Player List'!$A$2:$A$177,'Player List'!$B$2:$C$177)</f>
        <v/>
      </c>
      <c r="C138" s="34" t="inlineStr">
        <is>
          <t>Second Row</t>
        </is>
      </c>
      <c r="D138" s="34">
        <f>_xlfn.XLOOKUP(B138,$B$2:$B$7,$C$2:$C$7)</f>
        <v/>
      </c>
      <c r="E138" s="2" t="n">
        <v>72</v>
      </c>
      <c r="F138" s="2" t="n">
        <v>6</v>
      </c>
      <c r="G138" s="2" t="n"/>
      <c r="H138" s="2" t="n"/>
      <c r="I138" s="2" t="n">
        <v>21</v>
      </c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3" t="n">
        <v>10.2</v>
      </c>
      <c r="U138" s="2" t="n"/>
    </row>
    <row r="139" ht="16" customHeight="1" thickBot="1">
      <c r="A139" s="16" t="inlineStr">
        <is>
          <t>F. Ruzza</t>
        </is>
      </c>
      <c r="B139" s="34">
        <f t="array" ref="B139:C139">_xlfn.XLOOKUP(A139,'Player List'!$A$2:$A$177,'Player List'!$B$2:$C$177)</f>
        <v/>
      </c>
      <c r="C139" s="34" t="inlineStr">
        <is>
          <t>Second Row</t>
        </is>
      </c>
      <c r="D139" s="34">
        <f>_xlfn.XLOOKUP(B139,$B$2:$B$7,$C$2:$C$7)</f>
        <v/>
      </c>
      <c r="E139" s="5" t="n">
        <v>80</v>
      </c>
      <c r="F139" s="5" t="n">
        <v>7</v>
      </c>
      <c r="G139" s="5" t="n">
        <v>1</v>
      </c>
      <c r="H139" s="5" t="n">
        <v>1</v>
      </c>
      <c r="I139" s="5" t="n">
        <v>52</v>
      </c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6" t="n">
        <v>31.4</v>
      </c>
      <c r="U139" s="5" t="n"/>
    </row>
    <row r="140" ht="16" customHeight="1" thickBot="1">
      <c r="A140" s="15" t="inlineStr">
        <is>
          <t>M. Zuliani</t>
        </is>
      </c>
      <c r="B140" s="34">
        <f t="array" ref="B140:C140">_xlfn.XLOOKUP(A140,'Player List'!$A$2:$A$177,'Player List'!$B$2:$C$177)</f>
        <v/>
      </c>
      <c r="C140" s="34" t="inlineStr">
        <is>
          <t>Second Row</t>
        </is>
      </c>
      <c r="D140" s="34">
        <f>_xlfn.XLOOKUP(B140,$B$2:$B$7,$C$2:$C$7)</f>
        <v/>
      </c>
      <c r="E140" s="2" t="n">
        <v>56</v>
      </c>
      <c r="F140" s="2" t="n">
        <v>9</v>
      </c>
      <c r="G140" s="2" t="n">
        <v>2</v>
      </c>
      <c r="H140" s="2" t="n"/>
      <c r="I140" s="2" t="n">
        <v>61</v>
      </c>
      <c r="J140" s="2" t="n"/>
      <c r="K140" s="2" t="n"/>
      <c r="L140" s="2" t="n">
        <v>1</v>
      </c>
      <c r="M140" s="2" t="n"/>
      <c r="N140" s="2" t="n"/>
      <c r="O140" s="2" t="n"/>
      <c r="P140" s="2" t="n"/>
      <c r="Q140" s="2" t="n"/>
      <c r="R140" s="2" t="n"/>
      <c r="S140" s="2" t="n"/>
      <c r="T140" s="3" t="n">
        <v>42.2</v>
      </c>
      <c r="U140" s="2" t="n"/>
    </row>
    <row r="141" ht="16" customHeight="1" thickBot="1">
      <c r="A141" s="17" t="inlineStr">
        <is>
          <t>S. Ferrari</t>
        </is>
      </c>
      <c r="B141" s="34">
        <f t="array" ref="B141:C141">_xlfn.XLOOKUP(A141,'Player List'!$A$2:$A$177,'Player List'!$B$2:$C$177)</f>
        <v/>
      </c>
      <c r="C141" s="34" t="inlineStr">
        <is>
          <t>Prop</t>
        </is>
      </c>
      <c r="D141" s="34">
        <f>_xlfn.XLOOKUP(B141,$B$2:$B$7,$C$2:$C$7)</f>
        <v/>
      </c>
      <c r="E141" s="5" t="n">
        <v>21</v>
      </c>
      <c r="F141" s="5" t="n">
        <v>3</v>
      </c>
      <c r="G141" s="5" t="n"/>
      <c r="H141" s="5" t="n"/>
      <c r="I141" s="5" t="n">
        <v>4</v>
      </c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>
        <v>1</v>
      </c>
      <c r="S141" s="5" t="n"/>
      <c r="T141" s="6" t="n">
        <v>-1.2</v>
      </c>
      <c r="U141" s="5" t="n"/>
    </row>
    <row r="142" ht="16" customHeight="1" thickBot="1">
      <c r="A142" s="18" t="inlineStr">
        <is>
          <t>D. Fischetti</t>
        </is>
      </c>
      <c r="B142" s="34">
        <f t="array" ref="B142:C142">_xlfn.XLOOKUP(A142,'Player List'!$A$2:$A$177,'Player List'!$B$2:$C$177)</f>
        <v/>
      </c>
      <c r="C142" s="34" t="inlineStr">
        <is>
          <t>Prop</t>
        </is>
      </c>
      <c r="D142" s="34">
        <f>_xlfn.XLOOKUP(B142,$B$2:$B$7,$C$2:$C$7)</f>
        <v/>
      </c>
      <c r="E142" s="2" t="n">
        <v>55</v>
      </c>
      <c r="F142" s="2" t="n">
        <v>7</v>
      </c>
      <c r="G142" s="2" t="n">
        <v>3</v>
      </c>
      <c r="H142" s="2" t="n"/>
      <c r="I142" s="2" t="n">
        <v>7</v>
      </c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3" t="n">
        <v>29.4</v>
      </c>
      <c r="U142" s="2" t="n"/>
    </row>
    <row r="143" ht="16" customHeight="1" thickBot="1">
      <c r="A143" s="17" t="inlineStr">
        <is>
          <t>M. Riccioni</t>
        </is>
      </c>
      <c r="B143" s="34">
        <f t="array" ref="B143:C143">_xlfn.XLOOKUP(A143,'Player List'!$A$2:$A$177,'Player List'!$B$2:$C$177)</f>
        <v/>
      </c>
      <c r="C143" s="34" t="inlineStr">
        <is>
          <t>Prop</t>
        </is>
      </c>
      <c r="D143" s="34">
        <f>_xlfn.XLOOKUP(B143,$B$2:$B$7,$C$2:$C$7)</f>
        <v/>
      </c>
      <c r="E143" s="5" t="n">
        <v>54</v>
      </c>
      <c r="F143" s="5" t="n">
        <v>7</v>
      </c>
      <c r="G143" s="5" t="n"/>
      <c r="H143" s="5" t="n"/>
      <c r="I143" s="5" t="n">
        <v>15</v>
      </c>
      <c r="J143" s="5" t="n"/>
      <c r="K143" s="5" t="n"/>
      <c r="L143" s="5" t="n"/>
      <c r="M143" s="5" t="n">
        <v>1</v>
      </c>
      <c r="N143" s="5" t="n"/>
      <c r="O143" s="5" t="n"/>
      <c r="P143" s="5" t="n"/>
      <c r="Q143" s="5" t="n"/>
      <c r="R143" s="5" t="n"/>
      <c r="S143" s="5" t="n"/>
      <c r="T143" s="6" t="n">
        <v>25</v>
      </c>
      <c r="U143" s="5" t="n"/>
    </row>
    <row r="144" ht="16" customHeight="1" thickBot="1">
      <c r="A144" s="18" t="inlineStr">
        <is>
          <t>F. Zani</t>
        </is>
      </c>
      <c r="B144" s="34">
        <f t="array" ref="B144:C144">_xlfn.XLOOKUP(A144,'Player List'!$A$2:$A$177,'Player List'!$B$2:$C$177)</f>
        <v/>
      </c>
      <c r="C144" s="34" t="inlineStr">
        <is>
          <t>Prop</t>
        </is>
      </c>
      <c r="D144" s="34">
        <f>_xlfn.XLOOKUP(B144,$B$2:$B$7,$C$2:$C$7)</f>
        <v/>
      </c>
      <c r="E144" s="2" t="n">
        <v>25</v>
      </c>
      <c r="F144" s="2" t="n">
        <v>1</v>
      </c>
      <c r="G144" s="2" t="n"/>
      <c r="H144" s="2" t="n"/>
      <c r="I144" s="2" t="n">
        <v>12</v>
      </c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3" t="n">
        <v>3.4</v>
      </c>
      <c r="U144" s="2" t="n"/>
    </row>
    <row r="145" ht="16" customHeight="1" thickBot="1">
      <c r="A145" s="19" t="inlineStr">
        <is>
          <t>L. Bigi</t>
        </is>
      </c>
      <c r="B145" s="34">
        <f t="array" ref="B145:C145">_xlfn.XLOOKUP(A145,'Player List'!$A$2:$A$177,'Player List'!$B$2:$C$177)</f>
        <v/>
      </c>
      <c r="C145" s="34" t="inlineStr">
        <is>
          <t>Hooker</t>
        </is>
      </c>
      <c r="D145" s="34">
        <f>_xlfn.XLOOKUP(B145,$B$2:$B$7,$C$2:$C$7)</f>
        <v/>
      </c>
      <c r="E145" s="5" t="n">
        <v>19</v>
      </c>
      <c r="F145" s="5" t="n">
        <v>2</v>
      </c>
      <c r="G145" s="5" t="n">
        <v>1</v>
      </c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6" t="n">
        <v>9</v>
      </c>
      <c r="U145" s="5" t="n"/>
    </row>
    <row r="146" ht="16" customHeight="1" thickBot="1">
      <c r="A146" s="20" t="inlineStr">
        <is>
          <t>G. Nicotera</t>
        </is>
      </c>
      <c r="B146" s="34">
        <f t="array" ref="B146:C146">_xlfn.XLOOKUP(A146,'Player List'!$A$2:$A$177,'Player List'!$B$2:$C$177)</f>
        <v/>
      </c>
      <c r="C146" s="34" t="inlineStr">
        <is>
          <t>Hooker</t>
        </is>
      </c>
      <c r="D146" s="34">
        <f>_xlfn.XLOOKUP(B146,$B$2:$B$7,$C$2:$C$7)</f>
        <v/>
      </c>
      <c r="E146" s="2" t="n">
        <v>61</v>
      </c>
      <c r="F146" s="2" t="n">
        <v>13</v>
      </c>
      <c r="G146" s="2" t="n"/>
      <c r="H146" s="2" t="n"/>
      <c r="I146" s="2" t="n">
        <v>43</v>
      </c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3" t="n">
        <v>21.6</v>
      </c>
      <c r="U146" s="2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2:V145"/>
  <sheetViews>
    <sheetView workbookViewId="0">
      <selection activeCell="M28" sqref="M28"/>
    </sheetView>
  </sheetViews>
  <sheetFormatPr baseColWidth="10" defaultColWidth="8.83203125" defaultRowHeight="15"/>
  <sheetData>
    <row r="2">
      <c r="B2" t="inlineStr">
        <is>
          <t>Scotland</t>
        </is>
      </c>
      <c r="C2" t="inlineStr">
        <is>
          <t>Loss</t>
        </is>
      </c>
      <c r="E2" t="inlineStr">
        <is>
          <t>Italy</t>
        </is>
      </c>
      <c r="F2" t="n">
        <v>20</v>
      </c>
      <c r="G2" t="n">
        <v>34</v>
      </c>
      <c r="H2" t="inlineStr">
        <is>
          <t>Ireland</t>
        </is>
      </c>
    </row>
    <row r="3">
      <c r="B3" t="inlineStr">
        <is>
          <t>Wales</t>
        </is>
      </c>
      <c r="C3" t="inlineStr">
        <is>
          <t>Loss</t>
        </is>
      </c>
      <c r="E3" t="inlineStr">
        <is>
          <t>Wales</t>
        </is>
      </c>
      <c r="F3" t="n">
        <v>10</v>
      </c>
      <c r="G3" t="n">
        <v>20</v>
      </c>
      <c r="H3" t="inlineStr">
        <is>
          <t>England</t>
        </is>
      </c>
    </row>
    <row r="4">
      <c r="B4" t="inlineStr">
        <is>
          <t>Ireland</t>
        </is>
      </c>
      <c r="C4" t="inlineStr">
        <is>
          <t>Win</t>
        </is>
      </c>
      <c r="E4" t="inlineStr">
        <is>
          <t>France</t>
        </is>
      </c>
      <c r="F4" t="n">
        <v>32</v>
      </c>
      <c r="G4" t="n">
        <v>21</v>
      </c>
      <c r="H4" t="inlineStr">
        <is>
          <t>Scotland</t>
        </is>
      </c>
    </row>
    <row r="5">
      <c r="B5" t="inlineStr">
        <is>
          <t>England</t>
        </is>
      </c>
      <c r="C5" t="inlineStr">
        <is>
          <t>Win</t>
        </is>
      </c>
    </row>
    <row r="6">
      <c r="B6" t="inlineStr">
        <is>
          <t>France</t>
        </is>
      </c>
      <c r="C6" t="inlineStr">
        <is>
          <t>Win</t>
        </is>
      </c>
    </row>
    <row r="7">
      <c r="B7" t="inlineStr">
        <is>
          <t>Italy</t>
        </is>
      </c>
      <c r="C7" t="inlineStr">
        <is>
          <t>Loss</t>
        </is>
      </c>
    </row>
    <row r="8" ht="16" customHeight="1" thickBot="1"/>
    <row r="9" ht="31" customHeight="1" thickBot="1">
      <c r="A9" t="inlineStr">
        <is>
          <t>Name</t>
        </is>
      </c>
      <c r="B9" s="40" t="inlineStr">
        <is>
          <t>Nation</t>
        </is>
      </c>
      <c r="C9" s="40" t="inlineStr">
        <is>
          <t>Position</t>
        </is>
      </c>
      <c r="D9" t="inlineStr">
        <is>
          <t>Win/Loss</t>
        </is>
      </c>
      <c r="E9" t="inlineStr">
        <is>
          <t>Time Played</t>
        </is>
      </c>
      <c r="F9" s="35" t="inlineStr">
        <is>
          <t>Tackles</t>
        </is>
      </c>
      <c r="G9" s="35" t="inlineStr">
        <is>
          <t>Dominant Tackles</t>
        </is>
      </c>
      <c r="H9" s="35" t="inlineStr">
        <is>
          <t>Line Breaks</t>
        </is>
      </c>
      <c r="I9" s="35" t="inlineStr">
        <is>
          <t>Metres Carried</t>
        </is>
      </c>
      <c r="J9" s="35" t="inlineStr">
        <is>
          <t>50-22</t>
        </is>
      </c>
      <c r="K9" s="35" t="inlineStr">
        <is>
          <t>Lineout Steal</t>
        </is>
      </c>
      <c r="L9" s="35" t="inlineStr">
        <is>
          <t>Breakdown Steal</t>
        </is>
      </c>
      <c r="M9" s="35" t="inlineStr">
        <is>
          <t>Try</t>
        </is>
      </c>
      <c r="N9" s="35" t="inlineStr">
        <is>
          <t>Assists</t>
        </is>
      </c>
      <c r="O9" s="35" t="inlineStr">
        <is>
          <t>Conversion</t>
        </is>
      </c>
      <c r="P9" s="35" t="inlineStr">
        <is>
          <t>Penalty</t>
        </is>
      </c>
      <c r="Q9" s="35" t="inlineStr">
        <is>
          <t>Drop Goal</t>
        </is>
      </c>
      <c r="R9" s="35" t="inlineStr">
        <is>
          <t>Yellow Card</t>
        </is>
      </c>
      <c r="S9" s="35" t="inlineStr">
        <is>
          <t>Red Card</t>
        </is>
      </c>
      <c r="T9" s="35" t="inlineStr">
        <is>
          <t>Game Total</t>
        </is>
      </c>
      <c r="U9" s="35" t="inlineStr">
        <is>
          <t>MoM</t>
        </is>
      </c>
      <c r="V9" s="35" t="inlineStr">
        <is>
          <t>Total Points</t>
        </is>
      </c>
    </row>
    <row r="10" ht="16" customHeight="1" thickBot="1">
      <c r="A10" s="1" t="inlineStr">
        <is>
          <t>M. Hansen</t>
        </is>
      </c>
      <c r="B10" s="34">
        <f t="array" ref="B10:C10">_xlfn.XLOOKUP(A10,'Player List'!$A$2:$A$177,'Player List'!$B$2:$C$177)</f>
        <v/>
      </c>
      <c r="C10" s="34" t="inlineStr">
        <is>
          <t>Back Three</t>
        </is>
      </c>
      <c r="D10" s="34">
        <f>_xlfn.XLOOKUP(B10,$B$2:$B$7,$C$2:$C$7)</f>
        <v/>
      </c>
      <c r="E10" s="2" t="n">
        <v>80</v>
      </c>
      <c r="F10" s="2" t="n">
        <v>2</v>
      </c>
      <c r="G10" s="2" t="n"/>
      <c r="H10" s="2" t="n">
        <v>3</v>
      </c>
      <c r="I10" s="2" t="n">
        <v>75</v>
      </c>
      <c r="J10" s="2" t="n"/>
      <c r="K10" s="2" t="n"/>
      <c r="L10" s="2" t="n">
        <v>1</v>
      </c>
      <c r="M10" s="2" t="n">
        <v>2</v>
      </c>
      <c r="N10" s="2" t="n"/>
      <c r="O10" s="2" t="n"/>
      <c r="P10" s="2" t="n"/>
      <c r="Q10" s="2" t="n"/>
      <c r="R10" s="2" t="n"/>
      <c r="S10" s="2" t="n"/>
      <c r="T10" s="3" t="n">
        <v>98</v>
      </c>
      <c r="U10" s="2" t="n">
        <v>1</v>
      </c>
    </row>
    <row r="11" ht="16" customHeight="1" thickBot="1">
      <c r="A11" s="4" t="inlineStr">
        <is>
          <t>H. Keenan</t>
        </is>
      </c>
      <c r="B11" s="34">
        <f t="array" ref="B11:C11">_xlfn.XLOOKUP(A11,'Player List'!$A$2:$A$177,'Player List'!$B$2:$C$177)</f>
        <v/>
      </c>
      <c r="C11" s="34" t="inlineStr">
        <is>
          <t>Back Three</t>
        </is>
      </c>
      <c r="D11" s="34">
        <f>_xlfn.XLOOKUP(B11,$B$2:$B$7,$C$2:$C$7)</f>
        <v/>
      </c>
      <c r="E11" s="5" t="n">
        <v>80</v>
      </c>
      <c r="F11" s="5" t="n">
        <v>3</v>
      </c>
      <c r="G11" s="5" t="n">
        <v>1</v>
      </c>
      <c r="H11" s="5" t="n"/>
      <c r="I11" s="5" t="n">
        <v>124</v>
      </c>
      <c r="J11" s="5" t="n"/>
      <c r="K11" s="5" t="n"/>
      <c r="L11" s="5" t="n"/>
      <c r="M11" s="5" t="n">
        <v>1</v>
      </c>
      <c r="N11" s="5" t="n"/>
      <c r="O11" s="5" t="n"/>
      <c r="P11" s="5" t="n"/>
      <c r="Q11" s="5" t="n"/>
      <c r="R11" s="5" t="n"/>
      <c r="S11" s="5" t="n"/>
      <c r="T11" s="6" t="n">
        <v>57.8</v>
      </c>
      <c r="U11" s="5" t="n"/>
    </row>
    <row r="12" ht="16" customHeight="1" thickBot="1">
      <c r="A12" s="1" t="inlineStr">
        <is>
          <t>J. Lowe</t>
        </is>
      </c>
      <c r="B12" s="34">
        <f t="array" ref="B12:C12">_xlfn.XLOOKUP(A12,'Player List'!$A$2:$A$177,'Player List'!$B$2:$C$177)</f>
        <v/>
      </c>
      <c r="C12" s="34" t="inlineStr">
        <is>
          <t>Back Three</t>
        </is>
      </c>
      <c r="D12" s="34">
        <f>_xlfn.XLOOKUP(B12,$B$2:$B$7,$C$2:$C$7)</f>
        <v/>
      </c>
      <c r="E12" s="2" t="n">
        <v>80</v>
      </c>
      <c r="F12" s="2" t="n">
        <v>1</v>
      </c>
      <c r="G12" s="2" t="n">
        <v>2</v>
      </c>
      <c r="H12" s="2" t="n">
        <v>4</v>
      </c>
      <c r="I12" s="2" t="n">
        <v>131</v>
      </c>
      <c r="J12" s="2" t="n"/>
      <c r="K12" s="2" t="n"/>
      <c r="L12" s="2" t="n"/>
      <c r="M12" s="2" t="n"/>
      <c r="N12" s="2" t="n">
        <v>2</v>
      </c>
      <c r="O12" s="2" t="n"/>
      <c r="P12" s="2" t="n"/>
      <c r="Q12" s="2" t="n"/>
      <c r="R12" s="2" t="n"/>
      <c r="S12" s="2" t="n"/>
      <c r="T12" s="3" t="n">
        <v>91.2</v>
      </c>
      <c r="U12" s="2" t="n"/>
    </row>
    <row r="13" ht="16" customHeight="1" thickBot="1">
      <c r="A13" s="4" t="inlineStr">
        <is>
          <t>J. O'Brien</t>
        </is>
      </c>
      <c r="B13" s="34">
        <f t="array" ref="B13:C13">_xlfn.XLOOKUP(A13,'Player List'!$A$2:$A$177,'Player List'!$B$2:$C$177)</f>
        <v/>
      </c>
      <c r="C13" s="34" t="inlineStr">
        <is>
          <t>Back Three</t>
        </is>
      </c>
      <c r="D13" s="34">
        <f>_xlfn.XLOOKUP(B13,$B$2:$B$7,$C$2:$C$7)</f>
        <v/>
      </c>
      <c r="E13" s="5" t="n">
        <v>8</v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6" t="n">
        <v>0.8</v>
      </c>
      <c r="U13" s="5" t="n"/>
    </row>
    <row r="14" ht="16" customHeight="1" thickBot="1">
      <c r="A14" s="7" t="inlineStr">
        <is>
          <t>B. Aki</t>
        </is>
      </c>
      <c r="B14" s="34">
        <f t="array" ref="B14:C14">_xlfn.XLOOKUP(A14,'Player List'!$A$2:$A$177,'Player List'!$B$2:$C$177)</f>
        <v/>
      </c>
      <c r="C14" s="34" t="inlineStr">
        <is>
          <t>Centre</t>
        </is>
      </c>
      <c r="D14" s="34">
        <f>_xlfn.XLOOKUP(B14,$B$2:$B$7,$C$2:$C$7)</f>
        <v/>
      </c>
      <c r="E14" s="2" t="n">
        <v>80</v>
      </c>
      <c r="F14" s="2" t="n">
        <v>7</v>
      </c>
      <c r="G14" s="2" t="n"/>
      <c r="H14" s="2" t="n">
        <v>1</v>
      </c>
      <c r="I14" s="2" t="n">
        <v>107</v>
      </c>
      <c r="J14" s="2" t="n"/>
      <c r="K14" s="2" t="n"/>
      <c r="L14" s="2" t="n">
        <v>1</v>
      </c>
      <c r="M14" s="2" t="n">
        <v>1</v>
      </c>
      <c r="N14" s="2" t="n">
        <v>1</v>
      </c>
      <c r="O14" s="2" t="n"/>
      <c r="P14" s="2" t="n"/>
      <c r="Q14" s="2" t="n"/>
      <c r="R14" s="2" t="n"/>
      <c r="S14" s="2" t="n"/>
      <c r="T14" s="3" t="n">
        <v>72.40000000000001</v>
      </c>
      <c r="U14" s="2" t="n"/>
    </row>
    <row r="15" ht="16" customHeight="1" thickBot="1">
      <c r="A15" s="8" t="inlineStr">
        <is>
          <t>S. McCloskey</t>
        </is>
      </c>
      <c r="B15" s="34">
        <f t="array" ref="B15:C15">_xlfn.XLOOKUP(A15,'Player List'!$A$2:$A$177,'Player List'!$B$2:$C$177)</f>
        <v/>
      </c>
      <c r="C15" s="34" t="inlineStr">
        <is>
          <t>Centre</t>
        </is>
      </c>
      <c r="D15" s="34">
        <f>_xlfn.XLOOKUP(B15,$B$2:$B$7,$C$2:$C$7)</f>
        <v/>
      </c>
      <c r="E15" s="5" t="n">
        <v>72</v>
      </c>
      <c r="F15" s="5" t="n">
        <v>14</v>
      </c>
      <c r="G15" s="5" t="n"/>
      <c r="H15" s="5" t="n"/>
      <c r="I15" s="5" t="n">
        <v>69</v>
      </c>
      <c r="J15" s="5" t="n"/>
      <c r="K15" s="5" t="n"/>
      <c r="L15" s="5" t="n"/>
      <c r="M15" s="5" t="n"/>
      <c r="N15" s="5" t="n">
        <v>1</v>
      </c>
      <c r="O15" s="5" t="n"/>
      <c r="P15" s="5" t="n"/>
      <c r="Q15" s="5" t="n"/>
      <c r="R15" s="5" t="n"/>
      <c r="S15" s="5" t="n"/>
      <c r="T15" s="6" t="n">
        <v>42</v>
      </c>
      <c r="U15" s="5" t="n"/>
    </row>
    <row r="16" ht="16" customHeight="1" thickBot="1">
      <c r="A16" s="9" t="inlineStr">
        <is>
          <t>R. Byrne</t>
        </is>
      </c>
      <c r="B16" s="34">
        <f t="array" ref="B16:C16">_xlfn.XLOOKUP(A16,'Player List'!$A$2:$A$177,'Player List'!$B$2:$C$177)</f>
        <v/>
      </c>
      <c r="C16" s="34" t="inlineStr">
        <is>
          <t>Fly Half</t>
        </is>
      </c>
      <c r="D16" s="34">
        <f>_xlfn.XLOOKUP(B16,$B$2:$B$7,$C$2:$C$7)</f>
        <v/>
      </c>
      <c r="E16" s="2" t="n">
        <v>78</v>
      </c>
      <c r="F16" s="2" t="n">
        <v>4</v>
      </c>
      <c r="G16" s="2" t="n"/>
      <c r="H16" s="2" t="n"/>
      <c r="I16" s="2" t="n">
        <v>12</v>
      </c>
      <c r="J16" s="2" t="n"/>
      <c r="K16" s="2" t="n"/>
      <c r="L16" s="2" t="n"/>
      <c r="M16" s="2" t="n"/>
      <c r="N16" s="2" t="n"/>
      <c r="O16" s="2" t="n">
        <v>3</v>
      </c>
      <c r="P16" s="2" t="n">
        <v>1</v>
      </c>
      <c r="Q16" s="2" t="n"/>
      <c r="R16" s="2" t="n"/>
      <c r="S16" s="2" t="n"/>
      <c r="T16" s="3" t="n">
        <v>25.2</v>
      </c>
      <c r="U16" s="2" t="n"/>
    </row>
    <row r="17" ht="16" customHeight="1" thickBot="1">
      <c r="A17" s="10" t="inlineStr">
        <is>
          <t>J. Crowley</t>
        </is>
      </c>
      <c r="B17" s="34">
        <f t="array" ref="B17:C17">_xlfn.XLOOKUP(A17,'Player List'!$A$2:$A$177,'Player List'!$B$2:$C$177)</f>
        <v/>
      </c>
      <c r="C17" s="34" t="inlineStr">
        <is>
          <t>Fly Half</t>
        </is>
      </c>
      <c r="D17" s="34">
        <f>_xlfn.XLOOKUP(B17,$B$2:$B$7,$C$2:$C$7)</f>
        <v/>
      </c>
      <c r="E17" s="5" t="n">
        <v>2</v>
      </c>
      <c r="F17" s="5" t="n">
        <v>2</v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6" t="n">
        <v>2.2</v>
      </c>
      <c r="U17" s="5" t="n"/>
    </row>
    <row r="18" ht="16" customHeight="1" thickBot="1">
      <c r="A18" s="11" t="inlineStr">
        <is>
          <t>C. Casey</t>
        </is>
      </c>
      <c r="B18" s="34">
        <f t="array" ref="B18:C18">_xlfn.XLOOKUP(A18,'Player List'!$A$2:$A$177,'Player List'!$B$2:$C$177)</f>
        <v/>
      </c>
      <c r="C18" s="34" t="inlineStr">
        <is>
          <t>Scrum Half</t>
        </is>
      </c>
      <c r="D18" s="34">
        <f>_xlfn.XLOOKUP(B18,$B$2:$B$7,$C$2:$C$7)</f>
        <v/>
      </c>
      <c r="E18" s="2" t="n">
        <v>65</v>
      </c>
      <c r="F18" s="2" t="n">
        <v>2</v>
      </c>
      <c r="G18" s="2" t="n"/>
      <c r="H18" s="2" t="n"/>
      <c r="I18" s="2" t="n">
        <v>4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3" t="n">
        <v>9.300000000000001</v>
      </c>
      <c r="U18" s="2" t="n"/>
    </row>
    <row r="19" ht="16" customHeight="1" thickBot="1">
      <c r="A19" s="12" t="inlineStr">
        <is>
          <t>C. Murray</t>
        </is>
      </c>
      <c r="B19" s="34">
        <f t="array" ref="B19:C19">_xlfn.XLOOKUP(A19,'Player List'!$A$2:$A$177,'Player List'!$B$2:$C$177)</f>
        <v/>
      </c>
      <c r="C19" s="34" t="inlineStr">
        <is>
          <t>Scrum Half</t>
        </is>
      </c>
      <c r="D19" s="34">
        <f>_xlfn.XLOOKUP(B19,$B$2:$B$7,$C$2:$C$7)</f>
        <v/>
      </c>
      <c r="E19" s="5" t="n">
        <v>15</v>
      </c>
      <c r="F19" s="5" t="n">
        <v>1</v>
      </c>
      <c r="G19" s="5" t="n"/>
      <c r="H19" s="5" t="n"/>
      <c r="I19" s="5" t="n">
        <v>6</v>
      </c>
      <c r="J19" s="5" t="n"/>
      <c r="K19" s="5" t="n"/>
      <c r="L19" s="5" t="n"/>
      <c r="M19" s="5" t="n"/>
      <c r="N19" s="5" t="n">
        <v>1</v>
      </c>
      <c r="O19" s="5" t="n"/>
      <c r="P19" s="5" t="n"/>
      <c r="Q19" s="5" t="n"/>
      <c r="R19" s="5" t="n"/>
      <c r="S19" s="5" t="n"/>
      <c r="T19" s="6" t="n">
        <v>10.7</v>
      </c>
      <c r="U19" s="5" t="n"/>
    </row>
    <row r="20" ht="16" customHeight="1" thickBot="1">
      <c r="A20" s="13" t="inlineStr">
        <is>
          <t>J. Conan</t>
        </is>
      </c>
      <c r="B20" s="34">
        <f t="array" ref="B20:C20">_xlfn.XLOOKUP(A20,'Player List'!$A$2:$A$177,'Player List'!$B$2:$C$177)</f>
        <v/>
      </c>
      <c r="C20" s="34" t="inlineStr">
        <is>
          <t>Back Row</t>
        </is>
      </c>
      <c r="D20" s="34">
        <f>_xlfn.XLOOKUP(B20,$B$2:$B$7,$C$2:$C$7)</f>
        <v/>
      </c>
      <c r="E20" s="2" t="n">
        <v>56</v>
      </c>
      <c r="F20" s="2" t="n">
        <v>4</v>
      </c>
      <c r="G20" s="2" t="n"/>
      <c r="H20" s="2" t="n"/>
      <c r="I20" s="2" t="n">
        <v>42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3" t="n">
        <v>18</v>
      </c>
      <c r="U20" s="2" t="n"/>
    </row>
    <row r="21" ht="16" customHeight="1" thickBot="1">
      <c r="A21" s="14" t="inlineStr">
        <is>
          <t>C. Doris</t>
        </is>
      </c>
      <c r="B21" s="34">
        <f t="array" ref="B21:C21">_xlfn.XLOOKUP(A21,'Player List'!$A$2:$A$177,'Player List'!$B$2:$C$177)</f>
        <v/>
      </c>
      <c r="C21" s="34" t="inlineStr">
        <is>
          <t>Back Row</t>
        </is>
      </c>
      <c r="D21" s="34">
        <f>_xlfn.XLOOKUP(B21,$B$2:$B$7,$C$2:$C$7)</f>
        <v/>
      </c>
      <c r="E21" s="5" t="n">
        <v>80</v>
      </c>
      <c r="F21" s="5" t="n">
        <v>10</v>
      </c>
      <c r="G21" s="5" t="n">
        <v>1</v>
      </c>
      <c r="H21" s="5" t="n"/>
      <c r="I21" s="5" t="n">
        <v>43</v>
      </c>
      <c r="J21" s="5" t="n"/>
      <c r="K21" s="5" t="n"/>
      <c r="L21" s="5" t="n">
        <v>1</v>
      </c>
      <c r="M21" s="5" t="n"/>
      <c r="N21" s="5" t="n"/>
      <c r="O21" s="5" t="n"/>
      <c r="P21" s="5" t="n"/>
      <c r="Q21" s="5" t="n"/>
      <c r="R21" s="5" t="n"/>
      <c r="S21" s="5" t="n"/>
      <c r="T21" s="6" t="n">
        <v>40.6</v>
      </c>
      <c r="U21" s="5" t="n"/>
    </row>
    <row r="22" ht="16" customHeight="1" thickBot="1">
      <c r="A22" s="13" t="inlineStr">
        <is>
          <t>P. O'Mahony</t>
        </is>
      </c>
      <c r="B22" s="34">
        <f t="array" ref="B22:C22">_xlfn.XLOOKUP(A22,'Player List'!$A$2:$A$177,'Player List'!$B$2:$C$177)</f>
        <v/>
      </c>
      <c r="C22" s="34" t="inlineStr">
        <is>
          <t>Back Row</t>
        </is>
      </c>
      <c r="D22" s="34">
        <f>_xlfn.XLOOKUP(B22,$B$2:$B$7,$C$2:$C$7)</f>
        <v/>
      </c>
      <c r="E22" s="2" t="n">
        <v>24</v>
      </c>
      <c r="F22" s="2" t="n">
        <v>4</v>
      </c>
      <c r="G22" s="2" t="n">
        <v>1</v>
      </c>
      <c r="H22" s="2" t="n"/>
      <c r="I22" s="2" t="n">
        <v>4</v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3" t="n">
        <v>14.2</v>
      </c>
      <c r="U22" s="2" t="n"/>
    </row>
    <row r="23" ht="16" customHeight="1" thickBot="1">
      <c r="A23" s="14" t="inlineStr">
        <is>
          <t>J. van der Flier</t>
        </is>
      </c>
      <c r="B23" s="34">
        <f t="array" ref="B23:C23">_xlfn.XLOOKUP(A23,'Player List'!$A$2:$A$177,'Player List'!$B$2:$C$177)</f>
        <v/>
      </c>
      <c r="C23" s="34" t="inlineStr">
        <is>
          <t>Back Row</t>
        </is>
      </c>
      <c r="D23" s="34">
        <f>_xlfn.XLOOKUP(B23,$B$2:$B$7,$C$2:$C$7)</f>
        <v/>
      </c>
      <c r="E23" s="5" t="n">
        <v>80</v>
      </c>
      <c r="F23" s="5" t="n">
        <v>12</v>
      </c>
      <c r="G23" s="5" t="n"/>
      <c r="H23" s="5" t="n">
        <v>1</v>
      </c>
      <c r="I23" s="5" t="n">
        <v>52</v>
      </c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6" t="n">
        <v>37.4</v>
      </c>
      <c r="U23" s="5" t="n"/>
    </row>
    <row r="24" ht="16" customHeight="1" thickBot="1">
      <c r="A24" s="15" t="inlineStr">
        <is>
          <t>R. Baird</t>
        </is>
      </c>
      <c r="B24" s="34">
        <f t="array" ref="B24:C24">_xlfn.XLOOKUP(A24,'Player List'!$A$2:$A$177,'Player List'!$B$2:$C$177)</f>
        <v/>
      </c>
      <c r="C24" s="34" t="inlineStr">
        <is>
          <t>Second Row</t>
        </is>
      </c>
      <c r="D24" s="34">
        <f>_xlfn.XLOOKUP(B24,$B$2:$B$7,$C$2:$C$7)</f>
        <v/>
      </c>
      <c r="E24" s="2" t="n">
        <v>28</v>
      </c>
      <c r="F24" s="2" t="n">
        <v>1</v>
      </c>
      <c r="G24" s="2" t="n">
        <v>1</v>
      </c>
      <c r="H24" s="2" t="n"/>
      <c r="I24" s="2" t="n">
        <v>8</v>
      </c>
      <c r="J24" s="2" t="n"/>
      <c r="K24" s="2" t="n">
        <v>1</v>
      </c>
      <c r="L24" s="2" t="n">
        <v>1</v>
      </c>
      <c r="M24" s="2" t="n"/>
      <c r="N24" s="2" t="n"/>
      <c r="O24" s="2" t="n"/>
      <c r="P24" s="2" t="n"/>
      <c r="Q24" s="2" t="n"/>
      <c r="R24" s="2" t="n"/>
      <c r="S24" s="2" t="n"/>
      <c r="T24" s="3" t="n">
        <v>26.4</v>
      </c>
      <c r="U24" s="2" t="n"/>
    </row>
    <row r="25" ht="16" customHeight="1" thickBot="1">
      <c r="A25" s="16" t="inlineStr">
        <is>
          <t>I. Henderson</t>
        </is>
      </c>
      <c r="B25" s="34">
        <f t="array" ref="B25:C25">_xlfn.XLOOKUP(A25,'Player List'!$A$2:$A$177,'Player List'!$B$2:$C$177)</f>
        <v/>
      </c>
      <c r="C25" s="34" t="inlineStr">
        <is>
          <t>Second Row</t>
        </is>
      </c>
      <c r="D25" s="34">
        <f>_xlfn.XLOOKUP(B25,$B$2:$B$7,$C$2:$C$7)</f>
        <v/>
      </c>
      <c r="E25" s="5" t="n">
        <v>52</v>
      </c>
      <c r="F25" s="5" t="n">
        <v>7</v>
      </c>
      <c r="G25" s="5" t="n"/>
      <c r="H25" s="5" t="n"/>
      <c r="I25" s="5" t="n">
        <v>13</v>
      </c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6" t="n">
        <v>14.8</v>
      </c>
      <c r="U25" s="5" t="n"/>
    </row>
    <row r="26" ht="16" customHeight="1" thickBot="1">
      <c r="A26" s="15" t="inlineStr">
        <is>
          <t>J. Ryan</t>
        </is>
      </c>
      <c r="B26" s="34">
        <f t="array" ref="B26:C26">_xlfn.XLOOKUP(A26,'Player List'!$A$2:$A$177,'Player List'!$B$2:$C$177)</f>
        <v/>
      </c>
      <c r="C26" s="34" t="inlineStr">
        <is>
          <t>Second Row</t>
        </is>
      </c>
      <c r="D26" s="34">
        <f>_xlfn.XLOOKUP(B26,$B$2:$B$7,$C$2:$C$7)</f>
        <v/>
      </c>
      <c r="E26" s="2" t="n">
        <v>80</v>
      </c>
      <c r="F26" s="2" t="n">
        <v>9</v>
      </c>
      <c r="G26" s="2" t="n">
        <v>1</v>
      </c>
      <c r="H26" s="2" t="n"/>
      <c r="I26" s="2" t="n">
        <v>53</v>
      </c>
      <c r="J26" s="2" t="n"/>
      <c r="K26" s="2" t="n"/>
      <c r="L26" s="2" t="n"/>
      <c r="M26" s="2" t="n">
        <v>1</v>
      </c>
      <c r="N26" s="2" t="n"/>
      <c r="O26" s="2" t="n"/>
      <c r="P26" s="2" t="n"/>
      <c r="Q26" s="2" t="n"/>
      <c r="R26" s="2" t="n"/>
      <c r="S26" s="2" t="n"/>
      <c r="T26" s="3" t="n">
        <v>49.6</v>
      </c>
      <c r="U26" s="2" t="n"/>
    </row>
    <row r="27" ht="16" customHeight="1" thickBot="1">
      <c r="A27" s="17" t="inlineStr">
        <is>
          <t>F. Bealham</t>
        </is>
      </c>
      <c r="B27" s="34">
        <f t="array" ref="B27:C27">_xlfn.XLOOKUP(A27,'Player List'!$A$2:$A$177,'Player List'!$B$2:$C$177)</f>
        <v/>
      </c>
      <c r="C27" s="34" t="inlineStr">
        <is>
          <t>Prop</t>
        </is>
      </c>
      <c r="D27" s="34">
        <f>_xlfn.XLOOKUP(B27,$B$2:$B$7,$C$2:$C$7)</f>
        <v/>
      </c>
      <c r="E27" s="5" t="n">
        <v>37</v>
      </c>
      <c r="F27" s="5" t="n">
        <v>2</v>
      </c>
      <c r="G27" s="5" t="n">
        <v>1</v>
      </c>
      <c r="H27" s="5" t="n"/>
      <c r="I27" s="5" t="n">
        <v>1</v>
      </c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6" t="n">
        <v>12.9</v>
      </c>
      <c r="U27" s="5" t="n"/>
    </row>
    <row r="28" ht="16" customHeight="1" thickBot="1">
      <c r="A28" s="18" t="inlineStr">
        <is>
          <t>D. Kilcoyne</t>
        </is>
      </c>
      <c r="B28" s="34">
        <f t="array" ref="B28:C28">_xlfn.XLOOKUP(A28,'Player List'!$A$2:$A$177,'Player List'!$B$2:$C$177)</f>
        <v/>
      </c>
      <c r="C28" s="34" t="inlineStr">
        <is>
          <t>Prop</t>
        </is>
      </c>
      <c r="D28" s="34">
        <f>_xlfn.XLOOKUP(B28,$B$2:$B$7,$C$2:$C$7)</f>
        <v/>
      </c>
      <c r="E28" s="2" t="n">
        <v>15</v>
      </c>
      <c r="F28" s="2" t="n"/>
      <c r="G28" s="2" t="n">
        <v>1</v>
      </c>
      <c r="H28" s="2" t="n"/>
      <c r="I28" s="2" t="n">
        <v>7</v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3" t="n">
        <v>9.9</v>
      </c>
      <c r="U28" s="2" t="n"/>
    </row>
    <row r="29" ht="16" customHeight="1" thickBot="1">
      <c r="A29" s="17" t="inlineStr">
        <is>
          <t>T. O'Toole</t>
        </is>
      </c>
      <c r="B29" s="34">
        <f t="array" ref="B29:C29">_xlfn.XLOOKUP(A29,'Player List'!$A$2:$A$177,'Player List'!$B$2:$C$177)</f>
        <v/>
      </c>
      <c r="C29" s="34" t="inlineStr">
        <is>
          <t>Prop</t>
        </is>
      </c>
      <c r="D29" s="34">
        <f>_xlfn.XLOOKUP(B29,$B$2:$B$7,$C$2:$C$7)</f>
        <v/>
      </c>
      <c r="E29" s="5" t="n">
        <v>43</v>
      </c>
      <c r="F29" s="5" t="n">
        <v>6</v>
      </c>
      <c r="G29" s="5" t="n"/>
      <c r="H29" s="5" t="n"/>
      <c r="I29" s="5" t="n">
        <v>24</v>
      </c>
      <c r="J29" s="5" t="n"/>
      <c r="K29" s="5" t="n"/>
      <c r="L29" s="5" t="n">
        <v>1</v>
      </c>
      <c r="M29" s="5" t="n"/>
      <c r="N29" s="5" t="n"/>
      <c r="O29" s="5" t="n"/>
      <c r="P29" s="5" t="n"/>
      <c r="Q29" s="5" t="n"/>
      <c r="R29" s="5" t="n"/>
      <c r="S29" s="5" t="n"/>
      <c r="T29" s="6" t="n">
        <v>22.1</v>
      </c>
      <c r="U29" s="5" t="n"/>
    </row>
    <row r="30" ht="16" customHeight="1" thickBot="1">
      <c r="A30" s="18" t="inlineStr">
        <is>
          <t>A. Porter</t>
        </is>
      </c>
      <c r="B30" s="34">
        <f t="array" ref="B30:C30">_xlfn.XLOOKUP(A30,'Player List'!$A$2:$A$177,'Player List'!$B$2:$C$177)</f>
        <v/>
      </c>
      <c r="C30" s="34" t="inlineStr">
        <is>
          <t>Prop</t>
        </is>
      </c>
      <c r="D30" s="34">
        <f>_xlfn.XLOOKUP(B30,$B$2:$B$7,$C$2:$C$7)</f>
        <v/>
      </c>
      <c r="E30" s="2" t="n">
        <v>65</v>
      </c>
      <c r="F30" s="2" t="n">
        <v>3</v>
      </c>
      <c r="G30" s="2" t="n"/>
      <c r="H30" s="2" t="n"/>
      <c r="I30" s="2" t="n">
        <v>10</v>
      </c>
      <c r="J30" s="2" t="n"/>
      <c r="K30" s="2" t="n"/>
      <c r="L30" s="2" t="n">
        <v>1</v>
      </c>
      <c r="M30" s="2" t="n"/>
      <c r="N30" s="2" t="n"/>
      <c r="O30" s="2" t="n"/>
      <c r="P30" s="2" t="n"/>
      <c r="Q30" s="2" t="n"/>
      <c r="R30" s="2" t="n"/>
      <c r="S30" s="2" t="n"/>
      <c r="T30" s="3" t="n">
        <v>18.5</v>
      </c>
      <c r="U30" s="2" t="n"/>
    </row>
    <row r="31" ht="16" customHeight="1" thickBot="1">
      <c r="A31" s="19" t="inlineStr">
        <is>
          <t>R. Kelleher</t>
        </is>
      </c>
      <c r="B31" s="34">
        <f t="array" ref="B31:C31">_xlfn.XLOOKUP(A31,'Player List'!$A$2:$A$177,'Player List'!$B$2:$C$177)</f>
        <v/>
      </c>
      <c r="C31" s="34" t="inlineStr">
        <is>
          <t>Hooker</t>
        </is>
      </c>
      <c r="D31" s="34">
        <f>_xlfn.XLOOKUP(B31,$B$2:$B$7,$C$2:$C$7)</f>
        <v/>
      </c>
      <c r="E31" s="5" t="n">
        <v>56</v>
      </c>
      <c r="F31" s="5" t="n">
        <v>9</v>
      </c>
      <c r="G31" s="5" t="n"/>
      <c r="H31" s="5" t="n"/>
      <c r="I31" s="5" t="n">
        <v>23</v>
      </c>
      <c r="J31" s="5" t="n"/>
      <c r="K31" s="5" t="n"/>
      <c r="L31" s="5" t="n">
        <v>1</v>
      </c>
      <c r="M31" s="5" t="n"/>
      <c r="N31" s="5" t="n"/>
      <c r="O31" s="5" t="n"/>
      <c r="P31" s="5" t="n"/>
      <c r="Q31" s="5" t="n"/>
      <c r="R31" s="5" t="n"/>
      <c r="S31" s="5" t="n"/>
      <c r="T31" s="6" t="n">
        <v>26.2</v>
      </c>
      <c r="U31" s="5" t="n"/>
    </row>
    <row r="32" ht="16" customHeight="1" thickBot="1">
      <c r="A32" s="20" t="inlineStr">
        <is>
          <t>D. Sheehan</t>
        </is>
      </c>
      <c r="B32" s="34">
        <f t="array" ref="B32:C32">_xlfn.XLOOKUP(A32,'Player List'!$A$2:$A$177,'Player List'!$B$2:$C$177)</f>
        <v/>
      </c>
      <c r="C32" s="34" t="inlineStr">
        <is>
          <t>Hooker</t>
        </is>
      </c>
      <c r="D32" s="34">
        <f>_xlfn.XLOOKUP(B32,$B$2:$B$7,$C$2:$C$7)</f>
        <v/>
      </c>
      <c r="E32" s="2" t="n">
        <v>24</v>
      </c>
      <c r="F32" s="2" t="n">
        <v>2</v>
      </c>
      <c r="G32" s="2" t="n">
        <v>2</v>
      </c>
      <c r="H32" s="2" t="n"/>
      <c r="I32" s="2" t="n">
        <v>5</v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3" t="n">
        <v>19.4</v>
      </c>
      <c r="U32" s="2" t="n"/>
    </row>
    <row r="33" ht="16" customHeight="1" thickBot="1">
      <c r="A33" s="1" t="inlineStr">
        <is>
          <t>P. Bruno</t>
        </is>
      </c>
      <c r="B33" s="34">
        <f t="array" ref="B33:C33">_xlfn.XLOOKUP(A33,'Player List'!$A$2:$A$177,'Player List'!$B$2:$C$177)</f>
        <v/>
      </c>
      <c r="C33" s="34" t="inlineStr">
        <is>
          <t>Back Three</t>
        </is>
      </c>
      <c r="D33" s="34">
        <f>_xlfn.XLOOKUP(B33,$B$2:$B$7,$C$2:$C$7)</f>
        <v/>
      </c>
      <c r="E33" s="2" t="n">
        <v>80</v>
      </c>
      <c r="F33" s="2" t="n">
        <v>3</v>
      </c>
      <c r="G33" s="2" t="n"/>
      <c r="H33" s="2" t="n">
        <v>1</v>
      </c>
      <c r="I33" s="2" t="n">
        <v>176</v>
      </c>
      <c r="J33" s="2" t="n"/>
      <c r="K33" s="2" t="n"/>
      <c r="L33" s="2" t="n"/>
      <c r="M33" s="2" t="n">
        <v>1</v>
      </c>
      <c r="N33" s="2" t="n"/>
      <c r="O33" s="2" t="n"/>
      <c r="P33" s="2" t="n"/>
      <c r="Q33" s="2" t="n"/>
      <c r="R33" s="2" t="n"/>
      <c r="S33" s="2" t="n"/>
      <c r="T33" s="3" t="n">
        <v>60.2</v>
      </c>
      <c r="U33" s="2" t="n"/>
    </row>
    <row r="34" ht="16" customHeight="1" thickBot="1">
      <c r="A34" s="4" t="inlineStr">
        <is>
          <t>A. Capuozzo</t>
        </is>
      </c>
      <c r="B34" s="34">
        <f t="array" ref="B34:C34">_xlfn.XLOOKUP(A34,'Player List'!$A$2:$A$177,'Player List'!$B$2:$C$177)</f>
        <v/>
      </c>
      <c r="C34" s="34" t="inlineStr">
        <is>
          <t>Back Three</t>
        </is>
      </c>
      <c r="D34" s="34">
        <f>_xlfn.XLOOKUP(B34,$B$2:$B$7,$C$2:$C$7)</f>
        <v/>
      </c>
      <c r="E34" s="5" t="n">
        <v>80</v>
      </c>
      <c r="F34" s="5" t="n">
        <v>3</v>
      </c>
      <c r="G34" s="5" t="n">
        <v>1</v>
      </c>
      <c r="H34" s="5" t="n">
        <v>1</v>
      </c>
      <c r="I34" s="5" t="n">
        <v>60</v>
      </c>
      <c r="J34" s="5" t="n"/>
      <c r="K34" s="5" t="n"/>
      <c r="L34" s="5" t="n">
        <v>1</v>
      </c>
      <c r="M34" s="5" t="n"/>
      <c r="N34" s="5" t="n"/>
      <c r="O34" s="5" t="n"/>
      <c r="P34" s="5" t="n"/>
      <c r="Q34" s="5" t="n"/>
      <c r="R34" s="5" t="n"/>
      <c r="S34" s="5" t="n"/>
      <c r="T34" s="6" t="n">
        <v>36</v>
      </c>
      <c r="U34" s="5" t="n"/>
    </row>
    <row r="35" ht="16" customHeight="1" thickBot="1">
      <c r="A35" s="1" t="inlineStr">
        <is>
          <t>A. Fusco</t>
        </is>
      </c>
      <c r="B35" s="34">
        <f t="array" ref="B35:C35">_xlfn.XLOOKUP(A35,'Player List'!$A$2:$A$177,'Player List'!$B$2:$C$177)</f>
        <v/>
      </c>
      <c r="C35" s="34" t="inlineStr">
        <is>
          <t>Back Three</t>
        </is>
      </c>
      <c r="D35" s="34">
        <f>_xlfn.XLOOKUP(B35,$B$2:$B$7,$C$2:$C$7)</f>
        <v/>
      </c>
      <c r="E35" s="2" t="n">
        <v>13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3" t="n">
        <v>0</v>
      </c>
      <c r="U35" s="2" t="n"/>
    </row>
    <row r="36" ht="16" customHeight="1" thickBot="1">
      <c r="A36" s="4" t="inlineStr">
        <is>
          <t>T. Menoncello</t>
        </is>
      </c>
      <c r="B36" s="34">
        <f t="array" ref="B36:C36">_xlfn.XLOOKUP(A36,'Player List'!$A$2:$A$177,'Player List'!$B$2:$C$177)</f>
        <v/>
      </c>
      <c r="C36" s="34" t="inlineStr">
        <is>
          <t>Back Three</t>
        </is>
      </c>
      <c r="D36" s="34">
        <f>_xlfn.XLOOKUP(B36,$B$2:$B$7,$C$2:$C$7)</f>
        <v/>
      </c>
      <c r="E36" s="5" t="n">
        <v>78</v>
      </c>
      <c r="F36" s="5" t="n">
        <v>12</v>
      </c>
      <c r="G36" s="5" t="n"/>
      <c r="H36" s="5" t="n">
        <v>1</v>
      </c>
      <c r="I36" s="5" t="n">
        <v>72</v>
      </c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6" t="n">
        <v>33.4</v>
      </c>
      <c r="U36" s="5" t="n"/>
    </row>
    <row r="37" ht="16" customHeight="1" thickBot="1">
      <c r="A37" s="1" t="inlineStr">
        <is>
          <t>E. Padovani</t>
        </is>
      </c>
      <c r="B37" s="34">
        <f t="array" ref="B37:C37">_xlfn.XLOOKUP(A37,'Player List'!$A$2:$A$177,'Player List'!$B$2:$C$177)</f>
        <v/>
      </c>
      <c r="C37" s="34" t="inlineStr">
        <is>
          <t>Back Three</t>
        </is>
      </c>
      <c r="D37" s="34">
        <f>_xlfn.XLOOKUP(B37,$B$2:$B$7,$C$2:$C$7)</f>
        <v/>
      </c>
      <c r="E37" s="2" t="n">
        <v>80</v>
      </c>
      <c r="F37" s="2" t="n"/>
      <c r="G37" s="2" t="n"/>
      <c r="H37" s="2" t="n"/>
      <c r="I37" s="2" t="n">
        <v>51</v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3" t="n">
        <v>10.2</v>
      </c>
      <c r="U37" s="2" t="n"/>
    </row>
    <row r="38" ht="16" customHeight="1" thickBot="1">
      <c r="A38" s="8" t="inlineStr">
        <is>
          <t>J. Brex</t>
        </is>
      </c>
      <c r="B38" s="34">
        <f t="array" ref="B38:C38">_xlfn.XLOOKUP(A38,'Player List'!$A$2:$A$177,'Player List'!$B$2:$C$177)</f>
        <v/>
      </c>
      <c r="C38" s="34" t="inlineStr">
        <is>
          <t>Centre</t>
        </is>
      </c>
      <c r="D38" s="34">
        <f>_xlfn.XLOOKUP(B38,$B$2:$B$7,$C$2:$C$7)</f>
        <v/>
      </c>
      <c r="E38" s="5" t="n">
        <v>80</v>
      </c>
      <c r="F38" s="5" t="n">
        <v>8</v>
      </c>
      <c r="G38" s="5" t="n">
        <v>1</v>
      </c>
      <c r="H38" s="5" t="n"/>
      <c r="I38" s="5" t="n">
        <v>26</v>
      </c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6" t="n">
        <v>20.2</v>
      </c>
      <c r="U38" s="5" t="n"/>
    </row>
    <row r="39" ht="16" customHeight="1" thickBot="1">
      <c r="A39" s="7" t="inlineStr">
        <is>
          <t>L. Morisi</t>
        </is>
      </c>
      <c r="B39" s="34">
        <f t="array" ref="B39:C39">_xlfn.XLOOKUP(A39,'Player List'!$A$2:$A$177,'Player List'!$B$2:$C$177)</f>
        <v/>
      </c>
      <c r="C39" s="34" t="inlineStr">
        <is>
          <t>Centre</t>
        </is>
      </c>
      <c r="D39" s="34">
        <f>_xlfn.XLOOKUP(B39,$B$2:$B$7,$C$2:$C$7)</f>
        <v/>
      </c>
      <c r="E39" s="2" t="n">
        <v>2</v>
      </c>
      <c r="F39" s="2" t="n">
        <v>1</v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3" t="n">
        <v>1</v>
      </c>
      <c r="U39" s="2" t="n"/>
    </row>
    <row r="40" ht="16" customHeight="1" thickBot="1">
      <c r="A40" s="10" t="inlineStr">
        <is>
          <t>T. Allan</t>
        </is>
      </c>
      <c r="B40" s="34">
        <f t="array" ref="B40:C40">_xlfn.XLOOKUP(A40,'Player List'!$A$2:$A$177,'Player List'!$B$2:$C$177)</f>
        <v/>
      </c>
      <c r="C40" s="34" t="inlineStr">
        <is>
          <t>Fly Half</t>
        </is>
      </c>
      <c r="D40" s="34">
        <f>_xlfn.XLOOKUP(B40,$B$2:$B$7,$C$2:$C$7)</f>
        <v/>
      </c>
      <c r="E40" s="5" t="n">
        <v>8</v>
      </c>
      <c r="F40" s="5" t="n">
        <v>1</v>
      </c>
      <c r="G40" s="5" t="n"/>
      <c r="H40" s="5" t="n"/>
      <c r="I40" s="5" t="n">
        <v>14</v>
      </c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6" t="n">
        <v>3.8</v>
      </c>
      <c r="U40" s="5" t="n"/>
    </row>
    <row r="41" ht="16" customHeight="1" thickBot="1">
      <c r="A41" s="9" t="inlineStr">
        <is>
          <t>P. Garbisi</t>
        </is>
      </c>
      <c r="B41" s="34">
        <f t="array" ref="B41:C41">_xlfn.XLOOKUP(A41,'Player List'!$A$2:$A$177,'Player List'!$B$2:$C$177)</f>
        <v/>
      </c>
      <c r="C41" s="34" t="inlineStr">
        <is>
          <t>Fly Half</t>
        </is>
      </c>
      <c r="D41" s="34">
        <f>_xlfn.XLOOKUP(B41,$B$2:$B$7,$C$2:$C$7)</f>
        <v/>
      </c>
      <c r="E41" s="2" t="n">
        <v>72</v>
      </c>
      <c r="F41" s="2" t="n">
        <v>5</v>
      </c>
      <c r="G41" s="2" t="n"/>
      <c r="H41" s="2" t="n"/>
      <c r="I41" s="2" t="n">
        <v>42</v>
      </c>
      <c r="J41" s="2" t="n"/>
      <c r="K41" s="2" t="n"/>
      <c r="L41" s="2" t="n"/>
      <c r="M41" s="2" t="n"/>
      <c r="N41" s="2" t="n"/>
      <c r="O41" s="2" t="n">
        <v>2</v>
      </c>
      <c r="P41" s="2" t="n">
        <v>2</v>
      </c>
      <c r="Q41" s="2" t="n"/>
      <c r="R41" s="2" t="n"/>
      <c r="S41" s="2" t="n"/>
      <c r="T41" s="3" t="n">
        <v>27.4</v>
      </c>
      <c r="U41" s="2" t="n"/>
    </row>
    <row r="42" ht="16" customHeight="1" thickBot="1">
      <c r="A42" s="12" t="inlineStr">
        <is>
          <t>S. Varney</t>
        </is>
      </c>
      <c r="B42" s="34">
        <f t="array" ref="B42:C42">_xlfn.XLOOKUP(A42,'Player List'!$A$2:$A$177,'Player List'!$B$2:$C$177)</f>
        <v/>
      </c>
      <c r="C42" s="34" t="inlineStr">
        <is>
          <t>Scrum Half</t>
        </is>
      </c>
      <c r="D42" s="34">
        <f>_xlfn.XLOOKUP(B42,$B$2:$B$7,$C$2:$C$7)</f>
        <v/>
      </c>
      <c r="E42" s="5" t="n">
        <v>67</v>
      </c>
      <c r="F42" s="5" t="n">
        <v>1</v>
      </c>
      <c r="G42" s="5" t="n">
        <v>1</v>
      </c>
      <c r="H42" s="5" t="n"/>
      <c r="I42" s="5" t="n">
        <v>12</v>
      </c>
      <c r="J42" s="5" t="n"/>
      <c r="K42" s="5" t="n"/>
      <c r="L42" s="5" t="n"/>
      <c r="M42" s="5" t="n">
        <v>1</v>
      </c>
      <c r="N42" s="5" t="n"/>
      <c r="O42" s="5" t="n"/>
      <c r="P42" s="5" t="n"/>
      <c r="Q42" s="5" t="n"/>
      <c r="R42" s="5" t="n"/>
      <c r="S42" s="5" t="n"/>
      <c r="T42" s="6" t="n">
        <v>25.4</v>
      </c>
      <c r="U42" s="5" t="n"/>
    </row>
    <row r="43" ht="16" customHeight="1" thickBot="1">
      <c r="A43" s="13" t="inlineStr">
        <is>
          <t>E. Iachizzi</t>
        </is>
      </c>
      <c r="B43" s="34">
        <f t="array" ref="B43:C43">_xlfn.XLOOKUP(A43,'Player List'!$A$2:$A$177,'Player List'!$B$2:$C$177)</f>
        <v/>
      </c>
      <c r="C43" s="34" t="inlineStr">
        <is>
          <t>Back Row</t>
        </is>
      </c>
      <c r="D43" s="34">
        <f>_xlfn.XLOOKUP(B43,$B$2:$B$7,$C$2:$C$7)</f>
        <v/>
      </c>
      <c r="E43" s="2" t="n">
        <v>15</v>
      </c>
      <c r="F43" s="2" t="n">
        <v>4</v>
      </c>
      <c r="G43" s="2" t="n">
        <v>1</v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3" t="n">
        <v>11</v>
      </c>
      <c r="U43" s="2" t="n"/>
    </row>
    <row r="44" ht="16" customHeight="1" thickBot="1">
      <c r="A44" s="14" t="inlineStr">
        <is>
          <t>M. Lamaro</t>
        </is>
      </c>
      <c r="B44" s="34">
        <f t="array" ref="B44:C44">_xlfn.XLOOKUP(A44,'Player List'!$A$2:$A$177,'Player List'!$B$2:$C$177)</f>
        <v/>
      </c>
      <c r="C44" s="34" t="inlineStr">
        <is>
          <t>Back Row</t>
        </is>
      </c>
      <c r="D44" s="34">
        <f>_xlfn.XLOOKUP(B44,$B$2:$B$7,$C$2:$C$7)</f>
        <v/>
      </c>
      <c r="E44" s="5" t="n">
        <v>80</v>
      </c>
      <c r="F44" s="5" t="n">
        <v>12</v>
      </c>
      <c r="G44" s="5" t="n">
        <v>2</v>
      </c>
      <c r="H44" s="5" t="n"/>
      <c r="I44" s="5" t="n">
        <v>19</v>
      </c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6" t="n">
        <v>29.8</v>
      </c>
      <c r="U44" s="5" t="n"/>
    </row>
    <row r="45" ht="16" customHeight="1" thickBot="1">
      <c r="A45" s="13" t="inlineStr">
        <is>
          <t>S. Negri</t>
        </is>
      </c>
      <c r="B45" s="34">
        <f t="array" ref="B45:C45">_xlfn.XLOOKUP(A45,'Player List'!$A$2:$A$177,'Player List'!$B$2:$C$177)</f>
        <v/>
      </c>
      <c r="C45" s="34" t="inlineStr">
        <is>
          <t>Back Row</t>
        </is>
      </c>
      <c r="D45" s="34">
        <f>_xlfn.XLOOKUP(B45,$B$2:$B$7,$C$2:$C$7)</f>
        <v/>
      </c>
      <c r="E45" s="2" t="n">
        <v>80</v>
      </c>
      <c r="F45" s="2" t="n">
        <v>11</v>
      </c>
      <c r="G45" s="2" t="n">
        <v>1</v>
      </c>
      <c r="H45" s="2" t="n"/>
      <c r="I45" s="2" t="n">
        <v>54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3" t="n">
        <v>28.8</v>
      </c>
      <c r="U45" s="2" t="n"/>
    </row>
    <row r="46" ht="16" customHeight="1" thickBot="1">
      <c r="A46" s="14" t="inlineStr">
        <is>
          <t>G. Pettinelli</t>
        </is>
      </c>
      <c r="B46" s="34">
        <f t="array" ref="B46:C46">_xlfn.XLOOKUP(A46,'Player List'!$A$2:$A$177,'Player List'!$B$2:$C$177)</f>
        <v/>
      </c>
      <c r="C46" s="34" t="inlineStr">
        <is>
          <t>Back Row</t>
        </is>
      </c>
      <c r="D46" s="34">
        <f>_xlfn.XLOOKUP(B46,$B$2:$B$7,$C$2:$C$7)</f>
        <v/>
      </c>
      <c r="E46" s="5" t="n">
        <v>15</v>
      </c>
      <c r="F46" s="5" t="n">
        <v>4</v>
      </c>
      <c r="G46" s="5" t="n"/>
      <c r="H46" s="5" t="n">
        <v>1</v>
      </c>
      <c r="I46" s="5" t="n">
        <v>33</v>
      </c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6" t="n">
        <v>17.6</v>
      </c>
      <c r="U46" s="5" t="n"/>
    </row>
    <row r="47" ht="16" customHeight="1" thickBot="1">
      <c r="A47" s="15" t="inlineStr">
        <is>
          <t>N. Cannone</t>
        </is>
      </c>
      <c r="B47" s="34">
        <f t="array" ref="B47:C47">_xlfn.XLOOKUP(A47,'Player List'!$A$2:$A$177,'Player List'!$B$2:$C$177)</f>
        <v/>
      </c>
      <c r="C47" s="34" t="inlineStr">
        <is>
          <t>Second Row</t>
        </is>
      </c>
      <c r="D47" s="34">
        <f>_xlfn.XLOOKUP(B47,$B$2:$B$7,$C$2:$C$7)</f>
        <v/>
      </c>
      <c r="E47" s="2" t="n">
        <v>65</v>
      </c>
      <c r="F47" s="2" t="n">
        <v>12</v>
      </c>
      <c r="G47" s="2" t="n">
        <v>1</v>
      </c>
      <c r="H47" s="2" t="n"/>
      <c r="I47" s="2" t="n">
        <v>16</v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3" t="n">
        <v>22.2</v>
      </c>
      <c r="U47" s="2" t="n"/>
    </row>
    <row r="48" ht="16" customHeight="1" thickBot="1">
      <c r="A48" s="16" t="inlineStr">
        <is>
          <t>L. Cannone</t>
        </is>
      </c>
      <c r="B48" s="34">
        <f t="array" ref="B48:C48">_xlfn.XLOOKUP(A48,'Player List'!$A$2:$A$177,'Player List'!$B$2:$C$177)</f>
        <v/>
      </c>
      <c r="C48" s="34" t="inlineStr">
        <is>
          <t>Second Row</t>
        </is>
      </c>
      <c r="D48" s="34">
        <f>_xlfn.XLOOKUP(B48,$B$2:$B$7,$C$2:$C$7)</f>
        <v/>
      </c>
      <c r="E48" s="5" t="n">
        <v>65</v>
      </c>
      <c r="F48" s="5" t="n">
        <v>13</v>
      </c>
      <c r="G48" s="5" t="n">
        <v>2</v>
      </c>
      <c r="H48" s="5" t="n">
        <v>2</v>
      </c>
      <c r="I48" s="5" t="n">
        <v>102</v>
      </c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6" t="n">
        <v>61.4</v>
      </c>
      <c r="U48" s="5" t="n"/>
    </row>
    <row r="49" ht="16" customHeight="1" thickBot="1">
      <c r="A49" s="15" t="inlineStr">
        <is>
          <t>F. Ruzza</t>
        </is>
      </c>
      <c r="B49" s="34">
        <f t="array" ref="B49:C49">_xlfn.XLOOKUP(A49,'Player List'!$A$2:$A$177,'Player List'!$B$2:$C$177)</f>
        <v/>
      </c>
      <c r="C49" s="34" t="inlineStr">
        <is>
          <t>Second Row</t>
        </is>
      </c>
      <c r="D49" s="34">
        <f>_xlfn.XLOOKUP(B49,$B$2:$B$7,$C$2:$C$7)</f>
        <v/>
      </c>
      <c r="E49" s="2" t="n">
        <v>80</v>
      </c>
      <c r="F49" s="2" t="n">
        <v>9</v>
      </c>
      <c r="G49" s="2" t="n">
        <v>1</v>
      </c>
      <c r="H49" s="2" t="n"/>
      <c r="I49" s="2" t="n">
        <v>5</v>
      </c>
      <c r="J49" s="2" t="n"/>
      <c r="K49" s="2" t="n">
        <v>1</v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3" t="n">
        <v>24</v>
      </c>
      <c r="U49" s="2" t="n"/>
    </row>
    <row r="50" ht="16" customHeight="1" thickBot="1">
      <c r="A50" s="17" t="inlineStr">
        <is>
          <t>S. Ferrari</t>
        </is>
      </c>
      <c r="B50" s="34">
        <f t="array" ref="B50:C50">_xlfn.XLOOKUP(A50,'Player List'!$A$2:$A$177,'Player List'!$B$2:$C$177)</f>
        <v/>
      </c>
      <c r="C50" s="34" t="inlineStr">
        <is>
          <t>Prop</t>
        </is>
      </c>
      <c r="D50" s="34">
        <f>_xlfn.XLOOKUP(B50,$B$2:$B$7,$C$2:$C$7)</f>
        <v/>
      </c>
      <c r="E50" s="5" t="n">
        <v>47</v>
      </c>
      <c r="F50" s="5" t="n">
        <v>8</v>
      </c>
      <c r="G50" s="5" t="n"/>
      <c r="H50" s="5" t="n"/>
      <c r="I50" s="5" t="n">
        <v>6</v>
      </c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6" t="n">
        <v>9.199999999999999</v>
      </c>
      <c r="U50" s="5" t="n"/>
    </row>
    <row r="51" ht="16" customHeight="1" thickBot="1">
      <c r="A51" s="18" t="inlineStr">
        <is>
          <t>D. Fischetti</t>
        </is>
      </c>
      <c r="B51" s="34">
        <f t="array" ref="B51:C51">_xlfn.XLOOKUP(A51,'Player List'!$A$2:$A$177,'Player List'!$B$2:$C$177)</f>
        <v/>
      </c>
      <c r="C51" s="34" t="inlineStr">
        <is>
          <t>Prop</t>
        </is>
      </c>
      <c r="D51" s="34">
        <f>_xlfn.XLOOKUP(B51,$B$2:$B$7,$C$2:$C$7)</f>
        <v/>
      </c>
      <c r="E51" s="2" t="n">
        <v>60</v>
      </c>
      <c r="F51" s="2" t="n">
        <v>10</v>
      </c>
      <c r="G51" s="2" t="n">
        <v>3</v>
      </c>
      <c r="H51" s="2" t="n"/>
      <c r="I51" s="2" t="n">
        <v>28</v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3" t="n">
        <v>36.6</v>
      </c>
      <c r="U51" s="2" t="n"/>
    </row>
    <row r="52" ht="16" customHeight="1" thickBot="1">
      <c r="A52" s="17" t="inlineStr">
        <is>
          <t>M. Riccioni</t>
        </is>
      </c>
      <c r="B52" s="34">
        <f t="array" ref="B52:C52">_xlfn.XLOOKUP(A52,'Player List'!$A$2:$A$177,'Player List'!$B$2:$C$177)</f>
        <v/>
      </c>
      <c r="C52" s="34" t="inlineStr">
        <is>
          <t>Prop</t>
        </is>
      </c>
      <c r="D52" s="34">
        <f>_xlfn.XLOOKUP(B52,$B$2:$B$7,$C$2:$C$7)</f>
        <v/>
      </c>
      <c r="E52" s="5" t="n">
        <v>33</v>
      </c>
      <c r="F52" s="5" t="n">
        <v>9</v>
      </c>
      <c r="G52" s="5" t="n">
        <v>1</v>
      </c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6" t="n">
        <v>16</v>
      </c>
      <c r="U52" s="5" t="n"/>
    </row>
    <row r="53" ht="16" customHeight="1" thickBot="1">
      <c r="A53" s="18" t="inlineStr">
        <is>
          <t>F. Zani</t>
        </is>
      </c>
      <c r="B53" s="34">
        <f t="array" ref="B53:C53">_xlfn.XLOOKUP(A53,'Player List'!$A$2:$A$177,'Player List'!$B$2:$C$177)</f>
        <v/>
      </c>
      <c r="C53" s="34" t="inlineStr">
        <is>
          <t>Prop</t>
        </is>
      </c>
      <c r="D53" s="34">
        <f>_xlfn.XLOOKUP(B53,$B$2:$B$7,$C$2:$C$7)</f>
        <v/>
      </c>
      <c r="E53" s="2" t="n">
        <v>20</v>
      </c>
      <c r="F53" s="2" t="n">
        <v>5</v>
      </c>
      <c r="G53" s="2" t="n">
        <v>1</v>
      </c>
      <c r="H53" s="2" t="n"/>
      <c r="I53" s="2" t="n">
        <v>1</v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3" t="n">
        <v>12.2</v>
      </c>
      <c r="U53" s="2" t="n"/>
    </row>
    <row r="54" ht="16" customHeight="1" thickBot="1">
      <c r="A54" s="19" t="inlineStr">
        <is>
          <t>L. Bigi</t>
        </is>
      </c>
      <c r="B54" s="34">
        <f t="array" ref="B54:C54">_xlfn.XLOOKUP(A54,'Player List'!$A$2:$A$177,'Player List'!$B$2:$C$177)</f>
        <v/>
      </c>
      <c r="C54" s="34" t="inlineStr">
        <is>
          <t>Hooker</t>
        </is>
      </c>
      <c r="D54" s="34">
        <f>_xlfn.XLOOKUP(B54,$B$2:$B$7,$C$2:$C$7)</f>
        <v/>
      </c>
      <c r="E54" s="5" t="n">
        <v>29</v>
      </c>
      <c r="F54" s="5" t="n">
        <v>11</v>
      </c>
      <c r="G54" s="5" t="n">
        <v>1</v>
      </c>
      <c r="H54" s="5" t="n"/>
      <c r="I54" s="5" t="n">
        <v>6</v>
      </c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6" t="n">
        <v>19.2</v>
      </c>
      <c r="U54" s="5" t="n"/>
    </row>
    <row r="55" ht="16" customHeight="1" thickBot="1">
      <c r="A55" s="20" t="inlineStr">
        <is>
          <t>G. Nicotera</t>
        </is>
      </c>
      <c r="B55" s="34">
        <f t="array" ref="B55:C55">_xlfn.XLOOKUP(A55,'Player List'!$A$2:$A$177,'Player List'!$B$2:$C$177)</f>
        <v/>
      </c>
      <c r="C55" s="34" t="inlineStr">
        <is>
          <t>Hooker</t>
        </is>
      </c>
      <c r="D55" s="34">
        <f>_xlfn.XLOOKUP(B55,$B$2:$B$7,$C$2:$C$7)</f>
        <v/>
      </c>
      <c r="E55" s="2" t="n">
        <v>51</v>
      </c>
      <c r="F55" s="2" t="n">
        <v>7</v>
      </c>
      <c r="G55" s="2" t="n">
        <v>1</v>
      </c>
      <c r="H55" s="2" t="n"/>
      <c r="I55" s="2" t="n">
        <v>22</v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3" t="n">
        <v>18.4</v>
      </c>
      <c r="U55" s="2" t="n"/>
    </row>
    <row r="56" ht="16" customHeight="1" thickBot="1">
      <c r="A56" s="1" t="inlineStr">
        <is>
          <t>J. Adams</t>
        </is>
      </c>
      <c r="B56" s="34">
        <f t="array" ref="B56:C56">_xlfn.XLOOKUP(A56,'Player List'!$A$2:$A$177,'Player List'!$B$2:$C$177)</f>
        <v/>
      </c>
      <c r="C56" s="34" t="inlineStr">
        <is>
          <t>Back Three</t>
        </is>
      </c>
      <c r="D56" s="34">
        <f>_xlfn.XLOOKUP(B56,$B$2:$B$7,$C$2:$C$7)</f>
        <v/>
      </c>
      <c r="E56" s="2" t="n">
        <v>54</v>
      </c>
      <c r="F56" s="2" t="n">
        <v>6</v>
      </c>
      <c r="G56" s="2" t="n"/>
      <c r="H56" s="2" t="n"/>
      <c r="I56" s="2" t="n">
        <v>17</v>
      </c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3" t="n">
        <v>9.4</v>
      </c>
      <c r="U56" s="2" t="n"/>
    </row>
    <row r="57" ht="16" customHeight="1" thickBot="1">
      <c r="A57" s="4" t="inlineStr">
        <is>
          <t>L. Halfpenny</t>
        </is>
      </c>
      <c r="B57" s="34">
        <f t="array" ref="B57:C57">_xlfn.XLOOKUP(A57,'Player List'!$A$2:$A$177,'Player List'!$B$2:$C$177)</f>
        <v/>
      </c>
      <c r="C57" s="34" t="inlineStr">
        <is>
          <t>Back Three</t>
        </is>
      </c>
      <c r="D57" s="34">
        <f>_xlfn.XLOOKUP(B57,$B$2:$B$7,$C$2:$C$7)</f>
        <v/>
      </c>
      <c r="E57" s="5" t="n">
        <v>80</v>
      </c>
      <c r="F57" s="5" t="n">
        <v>3</v>
      </c>
      <c r="G57" s="5" t="n"/>
      <c r="H57" s="5" t="n"/>
      <c r="I57" s="5" t="n">
        <v>60</v>
      </c>
      <c r="J57" s="5" t="n"/>
      <c r="K57" s="5" t="n"/>
      <c r="L57" s="5" t="n"/>
      <c r="M57" s="5" t="n"/>
      <c r="N57" s="5" t="n"/>
      <c r="O57" s="5" t="n">
        <v>1</v>
      </c>
      <c r="P57" s="5" t="n">
        <v>1</v>
      </c>
      <c r="Q57" s="5" t="n"/>
      <c r="R57" s="5" t="n"/>
      <c r="S57" s="5" t="n"/>
      <c r="T57" s="6" t="n">
        <v>22</v>
      </c>
      <c r="U57" s="5" t="n"/>
    </row>
    <row r="58" ht="16" customHeight="1" thickBot="1">
      <c r="A58" s="1" t="inlineStr">
        <is>
          <t>L. Rees-Zammit</t>
        </is>
      </c>
      <c r="B58" s="34">
        <f t="array" ref="B58:C58">_xlfn.XLOOKUP(A58,'Player List'!$A$2:$A$177,'Player List'!$B$2:$C$177)</f>
        <v/>
      </c>
      <c r="C58" s="34" t="inlineStr">
        <is>
          <t>Back Three</t>
        </is>
      </c>
      <c r="D58" s="34">
        <f>_xlfn.XLOOKUP(B58,$B$2:$B$7,$C$2:$C$7)</f>
        <v/>
      </c>
      <c r="E58" s="2" t="n">
        <v>80</v>
      </c>
      <c r="F58" s="2" t="n">
        <v>2</v>
      </c>
      <c r="G58" s="2" t="n">
        <v>2</v>
      </c>
      <c r="H58" s="2" t="n">
        <v>3</v>
      </c>
      <c r="I58" s="2" t="n">
        <v>125</v>
      </c>
      <c r="J58" s="2" t="n"/>
      <c r="K58" s="2" t="n"/>
      <c r="L58" s="2" t="n"/>
      <c r="M58" s="2" t="n">
        <v>1</v>
      </c>
      <c r="N58" s="2" t="n"/>
      <c r="O58" s="2" t="n"/>
      <c r="P58" s="2" t="n"/>
      <c r="Q58" s="2" t="n"/>
      <c r="R58" s="2" t="n"/>
      <c r="S58" s="2" t="n"/>
      <c r="T58" s="3" t="n">
        <v>77</v>
      </c>
      <c r="U58" s="2" t="n"/>
    </row>
    <row r="59" ht="16" customHeight="1" thickBot="1">
      <c r="A59" s="8" t="inlineStr">
        <is>
          <t>M. Grady</t>
        </is>
      </c>
      <c r="B59" s="34">
        <f t="array" ref="B59:C59">_xlfn.XLOOKUP(A59,'Player List'!$A$2:$A$177,'Player List'!$B$2:$C$177)</f>
        <v/>
      </c>
      <c r="C59" s="34" t="inlineStr">
        <is>
          <t>Centre</t>
        </is>
      </c>
      <c r="D59" s="34">
        <f>_xlfn.XLOOKUP(B59,$B$2:$B$7,$C$2:$C$7)</f>
        <v/>
      </c>
      <c r="E59" s="5" t="n">
        <v>80</v>
      </c>
      <c r="F59" s="5" t="n">
        <v>8</v>
      </c>
      <c r="G59" s="5" t="n"/>
      <c r="H59" s="5" t="n"/>
      <c r="I59" s="5" t="n">
        <v>48</v>
      </c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6" t="n">
        <v>17.6</v>
      </c>
      <c r="U59" s="5" t="n"/>
    </row>
    <row r="60" ht="16" customHeight="1" thickBot="1">
      <c r="A60" s="7" t="inlineStr">
        <is>
          <t>J. Hawkins</t>
        </is>
      </c>
      <c r="B60" s="34">
        <f t="array" ref="B60:C60">_xlfn.XLOOKUP(A60,'Player List'!$A$2:$A$177,'Player List'!$B$2:$C$177)</f>
        <v/>
      </c>
      <c r="C60" s="34" t="inlineStr">
        <is>
          <t>Centre</t>
        </is>
      </c>
      <c r="D60" s="34">
        <f>_xlfn.XLOOKUP(B60,$B$2:$B$7,$C$2:$C$7)</f>
        <v/>
      </c>
      <c r="E60" s="2" t="n">
        <v>80</v>
      </c>
      <c r="F60" s="2" t="n">
        <v>6</v>
      </c>
      <c r="G60" s="2" t="n"/>
      <c r="H60" s="2" t="n"/>
      <c r="I60" s="2" t="n">
        <v>79</v>
      </c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3" t="n">
        <v>21.8</v>
      </c>
      <c r="U60" s="2" t="n"/>
    </row>
    <row r="61" ht="16" customHeight="1" thickBot="1">
      <c r="A61" s="8" t="inlineStr">
        <is>
          <t>N. Tompkins</t>
        </is>
      </c>
      <c r="B61" s="34">
        <f t="array" ref="B61:C61">_xlfn.XLOOKUP(A61,'Player List'!$A$2:$A$177,'Player List'!$B$2:$C$177)</f>
        <v/>
      </c>
      <c r="C61" s="34" t="inlineStr">
        <is>
          <t>Centre</t>
        </is>
      </c>
      <c r="D61" s="34">
        <f>_xlfn.XLOOKUP(B61,$B$2:$B$7,$C$2:$C$7)</f>
        <v/>
      </c>
      <c r="E61" s="5" t="n">
        <v>26</v>
      </c>
      <c r="F61" s="5" t="n">
        <v>5</v>
      </c>
      <c r="G61" s="5" t="n"/>
      <c r="H61" s="5" t="n"/>
      <c r="I61" s="5" t="n">
        <v>29</v>
      </c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6" t="n">
        <v>10.8</v>
      </c>
      <c r="U61" s="5" t="n"/>
    </row>
    <row r="62" ht="16" customHeight="1" thickBot="1">
      <c r="A62" s="9" t="inlineStr">
        <is>
          <t>D. Biggar</t>
        </is>
      </c>
      <c r="B62" s="34">
        <f t="array" ref="B62:C62">_xlfn.XLOOKUP(A62,'Player List'!$A$2:$A$177,'Player List'!$B$2:$C$177)</f>
        <v/>
      </c>
      <c r="C62" s="34" t="inlineStr">
        <is>
          <t>Fly Half</t>
        </is>
      </c>
      <c r="D62" s="34">
        <f>_xlfn.XLOOKUP(B62,$B$2:$B$7,$C$2:$C$7)</f>
        <v/>
      </c>
      <c r="E62" s="2" t="n">
        <v>26</v>
      </c>
      <c r="F62" s="2" t="n">
        <v>4</v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3" t="n">
        <v>4</v>
      </c>
      <c r="U62" s="2" t="n"/>
    </row>
    <row r="63" ht="16" customHeight="1" thickBot="1">
      <c r="A63" s="10" t="inlineStr">
        <is>
          <t>O. Williams</t>
        </is>
      </c>
      <c r="B63" s="34">
        <f t="array" ref="B63:C63">_xlfn.XLOOKUP(A63,'Player List'!$A$2:$A$177,'Player List'!$B$2:$C$177)</f>
        <v/>
      </c>
      <c r="C63" s="34" t="inlineStr">
        <is>
          <t>Fly Half</t>
        </is>
      </c>
      <c r="D63" s="34">
        <f>_xlfn.XLOOKUP(B63,$B$2:$B$7,$C$2:$C$7)</f>
        <v/>
      </c>
      <c r="E63" s="5" t="n">
        <v>54</v>
      </c>
      <c r="F63" s="5" t="n">
        <v>6</v>
      </c>
      <c r="G63" s="5" t="n"/>
      <c r="H63" s="5" t="n"/>
      <c r="I63" s="5" t="n">
        <v>24</v>
      </c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6" t="n">
        <v>10.8</v>
      </c>
      <c r="U63" s="5" t="n"/>
    </row>
    <row r="64" ht="16" customHeight="1" thickBot="1">
      <c r="A64" s="11" t="inlineStr">
        <is>
          <t>K. Hardy</t>
        </is>
      </c>
      <c r="B64" s="34">
        <f t="array" ref="B64:C64">_xlfn.XLOOKUP(A64,'Player List'!$A$2:$A$177,'Player List'!$B$2:$C$177)</f>
        <v/>
      </c>
      <c r="C64" s="34" t="inlineStr">
        <is>
          <t>Scrum Half</t>
        </is>
      </c>
      <c r="D64" s="34">
        <f>_xlfn.XLOOKUP(B64,$B$2:$B$7,$C$2:$C$7)</f>
        <v/>
      </c>
      <c r="E64" s="2" t="n">
        <v>11</v>
      </c>
      <c r="F64" s="2" t="n">
        <v>4</v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3" t="n">
        <v>4</v>
      </c>
      <c r="U64" s="2" t="n"/>
    </row>
    <row r="65" ht="16" customHeight="1" thickBot="1">
      <c r="A65" s="12" t="inlineStr">
        <is>
          <t>T. Williams</t>
        </is>
      </c>
      <c r="B65" s="34">
        <f t="array" ref="B65:C65">_xlfn.XLOOKUP(A65,'Player List'!$A$2:$A$177,'Player List'!$B$2:$C$177)</f>
        <v/>
      </c>
      <c r="C65" s="34" t="inlineStr">
        <is>
          <t>Scrum Half</t>
        </is>
      </c>
      <c r="D65" s="34">
        <f>_xlfn.XLOOKUP(B65,$B$2:$B$7,$C$2:$C$7)</f>
        <v/>
      </c>
      <c r="E65" s="5" t="n">
        <v>69</v>
      </c>
      <c r="F65" s="5" t="n">
        <v>2</v>
      </c>
      <c r="G65" s="5" t="n"/>
      <c r="H65" s="5" t="n"/>
      <c r="I65" s="5" t="n">
        <v>26</v>
      </c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6" t="n">
        <v>7.2</v>
      </c>
      <c r="U65" s="5" t="n"/>
    </row>
    <row r="66" ht="16" customHeight="1" thickBot="1">
      <c r="A66" s="13" t="inlineStr">
        <is>
          <t>T. Faletau</t>
        </is>
      </c>
      <c r="B66" s="34">
        <f t="array" ref="B66:C66">_xlfn.XLOOKUP(A66,'Player List'!$A$2:$A$177,'Player List'!$B$2:$C$177)</f>
        <v/>
      </c>
      <c r="C66" s="34" t="inlineStr">
        <is>
          <t>Back Row</t>
        </is>
      </c>
      <c r="D66" s="34">
        <f>_xlfn.XLOOKUP(B66,$B$2:$B$7,$C$2:$C$7)</f>
        <v/>
      </c>
      <c r="E66" s="2" t="n">
        <v>80</v>
      </c>
      <c r="F66" s="2" t="n">
        <v>11</v>
      </c>
      <c r="G66" s="2" t="n"/>
      <c r="H66" s="2" t="n"/>
      <c r="I66" s="2" t="n">
        <v>55</v>
      </c>
      <c r="J66" s="2" t="n"/>
      <c r="K66" s="2" t="n"/>
      <c r="L66" s="2" t="n">
        <v>2</v>
      </c>
      <c r="M66" s="2" t="n"/>
      <c r="N66" s="2" t="n"/>
      <c r="O66" s="2" t="n"/>
      <c r="P66" s="2" t="n"/>
      <c r="Q66" s="2" t="n"/>
      <c r="R66" s="2" t="n"/>
      <c r="S66" s="2" t="n"/>
      <c r="T66" s="3" t="n">
        <v>36</v>
      </c>
      <c r="U66" s="2" t="n"/>
    </row>
    <row r="67" ht="16" customHeight="1" thickBot="1">
      <c r="A67" s="14" t="inlineStr">
        <is>
          <t>T. Reffell</t>
        </is>
      </c>
      <c r="B67" s="34">
        <f t="array" ref="B67:C67">_xlfn.XLOOKUP(A67,'Player List'!$A$2:$A$177,'Player List'!$B$2:$C$177)</f>
        <v/>
      </c>
      <c r="C67" s="34" t="inlineStr">
        <is>
          <t>Back Row</t>
        </is>
      </c>
      <c r="D67" s="34">
        <f>_xlfn.XLOOKUP(B67,$B$2:$B$7,$C$2:$C$7)</f>
        <v/>
      </c>
      <c r="E67" s="5" t="n">
        <v>17</v>
      </c>
      <c r="F67" s="5" t="n">
        <v>3</v>
      </c>
      <c r="G67" s="5" t="n"/>
      <c r="H67" s="5" t="n"/>
      <c r="I67" s="5" t="n">
        <v>25</v>
      </c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6" t="n">
        <v>8</v>
      </c>
      <c r="U67" s="5" t="n"/>
    </row>
    <row r="68" ht="16" customHeight="1" thickBot="1">
      <c r="A68" s="13" t="inlineStr">
        <is>
          <t>J. Tipuric</t>
        </is>
      </c>
      <c r="B68" s="34">
        <f t="array" ref="B68:C68">_xlfn.XLOOKUP(A68,'Player List'!$A$2:$A$177,'Player List'!$B$2:$C$177)</f>
        <v/>
      </c>
      <c r="C68" s="34" t="inlineStr">
        <is>
          <t>Back Row</t>
        </is>
      </c>
      <c r="D68" s="34">
        <f>_xlfn.XLOOKUP(B68,$B$2:$B$7,$C$2:$C$7)</f>
        <v/>
      </c>
      <c r="E68" s="2" t="n">
        <v>80</v>
      </c>
      <c r="F68" s="2" t="n">
        <v>15</v>
      </c>
      <c r="G68" s="2" t="n">
        <v>2</v>
      </c>
      <c r="H68" s="2" t="n"/>
      <c r="I68" s="2" t="n">
        <v>31</v>
      </c>
      <c r="J68" s="2" t="n"/>
      <c r="K68" s="2" t="n"/>
      <c r="L68" s="2" t="n">
        <v>1</v>
      </c>
      <c r="M68" s="2" t="n"/>
      <c r="N68" s="2" t="n"/>
      <c r="O68" s="2" t="n"/>
      <c r="P68" s="2" t="n"/>
      <c r="Q68" s="2" t="n"/>
      <c r="R68" s="2" t="n"/>
      <c r="S68" s="2" t="n"/>
      <c r="T68" s="3" t="n">
        <v>42.2</v>
      </c>
      <c r="U68" s="2" t="n"/>
    </row>
    <row r="69" ht="16" customHeight="1" thickBot="1">
      <c r="A69" s="16" t="inlineStr">
        <is>
          <t>A. Beard</t>
        </is>
      </c>
      <c r="B69" s="34">
        <f t="array" ref="B69:C69">_xlfn.XLOOKUP(A69,'Player List'!$A$2:$A$177,'Player List'!$B$2:$C$177)</f>
        <v/>
      </c>
      <c r="C69" s="34" t="inlineStr">
        <is>
          <t>Second Row</t>
        </is>
      </c>
      <c r="D69" s="34">
        <f>_xlfn.XLOOKUP(B69,$B$2:$B$7,$C$2:$C$7)</f>
        <v/>
      </c>
      <c r="E69" s="5" t="n">
        <v>80</v>
      </c>
      <c r="F69" s="5" t="n">
        <v>13</v>
      </c>
      <c r="G69" s="5" t="n">
        <v>1</v>
      </c>
      <c r="H69" s="5" t="n"/>
      <c r="I69" s="5" t="n">
        <v>24</v>
      </c>
      <c r="J69" s="5" t="n"/>
      <c r="K69" s="5" t="n"/>
      <c r="L69" s="5" t="n">
        <v>1</v>
      </c>
      <c r="M69" s="5" t="n"/>
      <c r="N69" s="5" t="n"/>
      <c r="O69" s="5" t="n"/>
      <c r="P69" s="5" t="n"/>
      <c r="Q69" s="5" t="n"/>
      <c r="R69" s="5" t="n"/>
      <c r="S69" s="5" t="n"/>
      <c r="T69" s="6" t="n">
        <v>31.8</v>
      </c>
      <c r="U69" s="5" t="n"/>
    </row>
    <row r="70" ht="16" customHeight="1" thickBot="1">
      <c r="A70" s="15" t="inlineStr">
        <is>
          <t>D. Jenkins</t>
        </is>
      </c>
      <c r="B70" s="34">
        <f t="array" ref="B70:C70">_xlfn.XLOOKUP(A70,'Player List'!$A$2:$A$177,'Player List'!$B$2:$C$177)</f>
        <v/>
      </c>
      <c r="C70" s="34" t="inlineStr">
        <is>
          <t>Second Row</t>
        </is>
      </c>
      <c r="D70" s="34">
        <f>_xlfn.XLOOKUP(B70,$B$2:$B$7,$C$2:$C$7)</f>
        <v/>
      </c>
      <c r="E70" s="2" t="n">
        <v>17</v>
      </c>
      <c r="F70" s="2" t="n">
        <v>4</v>
      </c>
      <c r="G70" s="2" t="n"/>
      <c r="H70" s="2" t="n"/>
      <c r="I70" s="2" t="n">
        <v>8</v>
      </c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3" t="n">
        <v>5.6</v>
      </c>
      <c r="U70" s="2" t="n"/>
    </row>
    <row r="71" ht="16" customHeight="1" thickBot="1">
      <c r="A71" s="16" t="inlineStr">
        <is>
          <t>A. Jones</t>
        </is>
      </c>
      <c r="B71" s="34">
        <f t="array" ref="B71:C71">_xlfn.XLOOKUP(A71,'Player List'!$A$2:$A$177,'Player List'!$B$2:$C$177)</f>
        <v/>
      </c>
      <c r="C71" s="34" t="inlineStr">
        <is>
          <t>Second Row</t>
        </is>
      </c>
      <c r="D71" s="34">
        <f>_xlfn.XLOOKUP(B71,$B$2:$B$7,$C$2:$C$7)</f>
        <v/>
      </c>
      <c r="E71" s="5" t="n">
        <v>63</v>
      </c>
      <c r="F71" s="5" t="n">
        <v>9</v>
      </c>
      <c r="G71" s="5" t="n">
        <v>1</v>
      </c>
      <c r="H71" s="5" t="n"/>
      <c r="I71" s="5" t="n">
        <v>12</v>
      </c>
      <c r="J71" s="5" t="n"/>
      <c r="K71" s="5" t="n">
        <v>1</v>
      </c>
      <c r="L71" s="5" t="n">
        <v>1</v>
      </c>
      <c r="M71" s="5" t="n"/>
      <c r="N71" s="5" t="n"/>
      <c r="O71" s="5" t="n"/>
      <c r="P71" s="5" t="n"/>
      <c r="Q71" s="5" t="n"/>
      <c r="R71" s="5" t="n"/>
      <c r="S71" s="5" t="n"/>
      <c r="T71" s="6" t="n">
        <v>32.4</v>
      </c>
      <c r="U71" s="5" t="n"/>
    </row>
    <row r="72" ht="16" customHeight="1" thickBot="1">
      <c r="A72" s="15" t="inlineStr">
        <is>
          <t>C. Tshiunza</t>
        </is>
      </c>
      <c r="B72" s="34">
        <f t="array" ref="B72:C72">_xlfn.XLOOKUP(A72,'Player List'!$A$2:$A$177,'Player List'!$B$2:$C$177)</f>
        <v/>
      </c>
      <c r="C72" s="34" t="inlineStr">
        <is>
          <t>Second Row</t>
        </is>
      </c>
      <c r="D72" s="34">
        <f>_xlfn.XLOOKUP(B72,$B$2:$B$7,$C$2:$C$7)</f>
        <v/>
      </c>
      <c r="E72" s="2" t="n">
        <v>63</v>
      </c>
      <c r="F72" s="2" t="n">
        <v>13</v>
      </c>
      <c r="G72" s="2" t="n">
        <v>1</v>
      </c>
      <c r="H72" s="2" t="n"/>
      <c r="I72" s="2" t="n">
        <v>28</v>
      </c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3" t="n">
        <v>25.6</v>
      </c>
      <c r="U72" s="2" t="n"/>
    </row>
    <row r="73" ht="16" customHeight="1" thickBot="1">
      <c r="A73" s="17" t="inlineStr">
        <is>
          <t>R. Carre</t>
        </is>
      </c>
      <c r="B73" s="34">
        <f t="array" ref="B73:C73">_xlfn.XLOOKUP(A73,'Player List'!$A$2:$A$177,'Player List'!$B$2:$C$177)</f>
        <v/>
      </c>
      <c r="C73" s="34" t="inlineStr">
        <is>
          <t>Prop</t>
        </is>
      </c>
      <c r="D73" s="34">
        <f>_xlfn.XLOOKUP(B73,$B$2:$B$7,$C$2:$C$7)</f>
        <v/>
      </c>
      <c r="E73" s="5" t="n">
        <v>24</v>
      </c>
      <c r="F73" s="5" t="n">
        <v>3</v>
      </c>
      <c r="G73" s="5" t="n"/>
      <c r="H73" s="5" t="n"/>
      <c r="I73" s="5" t="n">
        <v>24</v>
      </c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6" t="n">
        <v>7.8</v>
      </c>
      <c r="U73" s="5" t="n"/>
    </row>
    <row r="74" ht="16" customHeight="1" thickBot="1">
      <c r="A74" s="18" t="inlineStr">
        <is>
          <t>T. Francis</t>
        </is>
      </c>
      <c r="B74" s="34">
        <f t="array" ref="B74:C74">_xlfn.XLOOKUP(A74,'Player List'!$A$2:$A$177,'Player List'!$B$2:$C$177)</f>
        <v/>
      </c>
      <c r="C74" s="34" t="inlineStr">
        <is>
          <t>Prop</t>
        </is>
      </c>
      <c r="D74" s="34">
        <f>_xlfn.XLOOKUP(B74,$B$2:$B$7,$C$2:$C$7)</f>
        <v/>
      </c>
      <c r="E74" s="2" t="n">
        <v>56</v>
      </c>
      <c r="F74" s="2" t="n">
        <v>11</v>
      </c>
      <c r="G74" s="2" t="n"/>
      <c r="H74" s="2" t="n"/>
      <c r="I74" s="2" t="n">
        <v>7</v>
      </c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3" t="n">
        <v>12.4</v>
      </c>
      <c r="U74" s="2" t="n"/>
    </row>
    <row r="75" ht="16" customHeight="1" thickBot="1">
      <c r="A75" s="17" t="inlineStr">
        <is>
          <t>D. Lewis</t>
        </is>
      </c>
      <c r="B75" s="34">
        <f t="array" ref="B75:C75">_xlfn.XLOOKUP(A75,'Player List'!$A$2:$A$177,'Player List'!$B$2:$C$177)</f>
        <v/>
      </c>
      <c r="C75" s="34" t="inlineStr">
        <is>
          <t>Prop</t>
        </is>
      </c>
      <c r="D75" s="34">
        <f>_xlfn.XLOOKUP(B75,$B$2:$B$7,$C$2:$C$7)</f>
        <v/>
      </c>
      <c r="E75" s="5" t="n">
        <v>24</v>
      </c>
      <c r="F75" s="5" t="n">
        <v>2</v>
      </c>
      <c r="G75" s="5" t="n"/>
      <c r="H75" s="5" t="n"/>
      <c r="I75" s="5" t="n">
        <v>3</v>
      </c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6" t="n">
        <v>2.6</v>
      </c>
      <c r="U75" s="5" t="n"/>
    </row>
    <row r="76" ht="16" customHeight="1" thickBot="1">
      <c r="A76" s="18" t="inlineStr">
        <is>
          <t>G. Thomas</t>
        </is>
      </c>
      <c r="B76" s="34">
        <f t="array" ref="B76:C76">_xlfn.XLOOKUP(A76,'Player List'!$A$2:$A$177,'Player List'!$B$2:$C$177)</f>
        <v/>
      </c>
      <c r="C76" s="34" t="inlineStr">
        <is>
          <t>Prop</t>
        </is>
      </c>
      <c r="D76" s="34">
        <f>_xlfn.XLOOKUP(B76,$B$2:$B$7,$C$2:$C$7)</f>
        <v/>
      </c>
      <c r="E76" s="2" t="n">
        <v>56</v>
      </c>
      <c r="F76" s="2" t="n">
        <v>11</v>
      </c>
      <c r="G76" s="2" t="n"/>
      <c r="H76" s="2" t="n">
        <v>1</v>
      </c>
      <c r="I76" s="2" t="n">
        <v>29</v>
      </c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3" t="n">
        <v>23.8</v>
      </c>
      <c r="U76" s="2" t="n"/>
    </row>
    <row r="77" ht="16" customHeight="1" thickBot="1">
      <c r="A77" s="19" t="inlineStr">
        <is>
          <t>K. Owens</t>
        </is>
      </c>
      <c r="B77" s="34">
        <f t="array" ref="B77:C77">_xlfn.XLOOKUP(A77,'Player List'!$A$2:$A$177,'Player List'!$B$2:$C$177)</f>
        <v/>
      </c>
      <c r="C77" s="34" t="inlineStr">
        <is>
          <t>Hooker</t>
        </is>
      </c>
      <c r="D77" s="34">
        <f>_xlfn.XLOOKUP(B77,$B$2:$B$7,$C$2:$C$7)</f>
        <v/>
      </c>
      <c r="E77" s="5" t="n">
        <v>69</v>
      </c>
      <c r="F77" s="5" t="n">
        <v>8</v>
      </c>
      <c r="G77" s="5" t="n">
        <v>1</v>
      </c>
      <c r="H77" s="5" t="n"/>
      <c r="I77" s="5" t="n">
        <v>29</v>
      </c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6" t="n">
        <v>20.8</v>
      </c>
      <c r="U77" s="5" t="n"/>
    </row>
    <row r="78" ht="16" customHeight="1" thickBot="1">
      <c r="A78" s="20" t="inlineStr">
        <is>
          <t>B. Roberts</t>
        </is>
      </c>
      <c r="B78" s="34">
        <f t="array" ref="B78:C78">_xlfn.XLOOKUP(A78,'Player List'!$A$2:$A$177,'Player List'!$B$2:$C$177)</f>
        <v/>
      </c>
      <c r="C78" s="34" t="inlineStr">
        <is>
          <t>Hooker</t>
        </is>
      </c>
      <c r="D78" s="34">
        <f>_xlfn.XLOOKUP(B78,$B$2:$B$7,$C$2:$C$7)</f>
        <v/>
      </c>
      <c r="E78" s="2" t="n">
        <v>11</v>
      </c>
      <c r="F78" s="2" t="n">
        <v>3</v>
      </c>
      <c r="G78" s="2" t="n"/>
      <c r="H78" s="2" t="n"/>
      <c r="I78" s="2" t="n">
        <v>5</v>
      </c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3" t="n">
        <v>4</v>
      </c>
      <c r="U78" s="2" t="n"/>
    </row>
    <row r="79" ht="16" customHeight="1" thickBot="1">
      <c r="A79" s="1" t="inlineStr">
        <is>
          <t>H. Arundell</t>
        </is>
      </c>
      <c r="B79" s="34">
        <f t="array" ref="B79:C79">_xlfn.XLOOKUP(A79,'Player List'!$A$2:$A$177,'Player List'!$B$2:$C$177)</f>
        <v/>
      </c>
      <c r="C79" s="34" t="inlineStr">
        <is>
          <t>Back Three</t>
        </is>
      </c>
      <c r="D79" s="34">
        <f>_xlfn.XLOOKUP(B79,$B$2:$B$7,$C$2:$C$7)</f>
        <v/>
      </c>
      <c r="E79" s="2" t="n">
        <v>1</v>
      </c>
      <c r="F79" s="2" t="n"/>
      <c r="G79" s="2" t="n"/>
      <c r="H79" s="2" t="n"/>
      <c r="I79" s="2" t="n">
        <v>12</v>
      </c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3" t="n">
        <v>2.5</v>
      </c>
      <c r="U79" s="2" t="n"/>
    </row>
    <row r="80" ht="16" customHeight="1" thickBot="1">
      <c r="A80" s="4" t="inlineStr">
        <is>
          <t>M. Malins</t>
        </is>
      </c>
      <c r="B80" s="34">
        <f t="array" ref="B80:C80">_xlfn.XLOOKUP(A80,'Player List'!$A$2:$A$177,'Player List'!$B$2:$C$177)</f>
        <v/>
      </c>
      <c r="C80" s="34" t="inlineStr">
        <is>
          <t>Back Three</t>
        </is>
      </c>
      <c r="D80" s="34">
        <f>_xlfn.XLOOKUP(B80,$B$2:$B$7,$C$2:$C$7)</f>
        <v/>
      </c>
      <c r="E80" s="5" t="n">
        <v>80</v>
      </c>
      <c r="F80" s="5" t="n">
        <v>11</v>
      </c>
      <c r="G80" s="5" t="n">
        <v>1</v>
      </c>
      <c r="H80" s="5" t="n">
        <v>1</v>
      </c>
      <c r="I80" s="5" t="n">
        <v>66</v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6" t="n">
        <v>46.2</v>
      </c>
      <c r="U80" s="5" t="n"/>
    </row>
    <row r="81" ht="16" customHeight="1" thickBot="1">
      <c r="A81" s="1" t="inlineStr">
        <is>
          <t>F. Steward</t>
        </is>
      </c>
      <c r="B81" s="34">
        <f t="array" ref="B81:C81">_xlfn.XLOOKUP(A81,'Player List'!$A$2:$A$177,'Player List'!$B$2:$C$177)</f>
        <v/>
      </c>
      <c r="C81" s="34" t="inlineStr">
        <is>
          <t>Back Three</t>
        </is>
      </c>
      <c r="D81" s="34">
        <f>_xlfn.XLOOKUP(B81,$B$2:$B$7,$C$2:$C$7)</f>
        <v/>
      </c>
      <c r="E81" s="2" t="n">
        <v>80</v>
      </c>
      <c r="F81" s="2" t="n">
        <v>3</v>
      </c>
      <c r="G81" s="2" t="n">
        <v>1</v>
      </c>
      <c r="H81" s="2" t="n"/>
      <c r="I81" s="2" t="n">
        <v>94</v>
      </c>
      <c r="J81" s="2" t="n"/>
      <c r="K81" s="2" t="n"/>
      <c r="L81" s="2" t="n"/>
      <c r="M81" s="2" t="n"/>
      <c r="N81" s="2" t="n">
        <v>1</v>
      </c>
      <c r="O81" s="2" t="n"/>
      <c r="P81" s="2" t="n"/>
      <c r="Q81" s="2" t="n"/>
      <c r="R81" s="2" t="n"/>
      <c r="S81" s="2" t="n"/>
      <c r="T81" s="3" t="n">
        <v>58.8</v>
      </c>
      <c r="U81" s="2" t="n">
        <v>1</v>
      </c>
    </row>
    <row r="82" ht="16" customHeight="1" thickBot="1">
      <c r="A82" s="4" t="inlineStr">
        <is>
          <t>A. Watson</t>
        </is>
      </c>
      <c r="B82" s="34">
        <f t="array" ref="B82:C82">_xlfn.XLOOKUP(A82,'Player List'!$A$2:$A$177,'Player List'!$B$2:$C$177)</f>
        <v/>
      </c>
      <c r="C82" s="34" t="inlineStr">
        <is>
          <t>Back Three</t>
        </is>
      </c>
      <c r="D82" s="34">
        <f>_xlfn.XLOOKUP(B82,$B$2:$B$7,$C$2:$C$7)</f>
        <v/>
      </c>
      <c r="E82" s="5" t="n">
        <v>80</v>
      </c>
      <c r="F82" s="5" t="n">
        <v>3</v>
      </c>
      <c r="G82" s="5" t="n">
        <v>1</v>
      </c>
      <c r="H82" s="5" t="n">
        <v>2</v>
      </c>
      <c r="I82" s="5" t="n">
        <v>58</v>
      </c>
      <c r="J82" s="5" t="n"/>
      <c r="K82" s="5" t="n"/>
      <c r="L82" s="5" t="n"/>
      <c r="M82" s="5" t="n">
        <v>1</v>
      </c>
      <c r="N82" s="5" t="n"/>
      <c r="O82" s="5" t="n"/>
      <c r="P82" s="5" t="n"/>
      <c r="Q82" s="5" t="n"/>
      <c r="R82" s="5" t="n"/>
      <c r="S82" s="5" t="n"/>
      <c r="T82" s="6" t="n">
        <v>58.6</v>
      </c>
      <c r="U82" s="5" t="n"/>
    </row>
    <row r="83" ht="16" customHeight="1" thickBot="1">
      <c r="A83" s="7" t="inlineStr">
        <is>
          <t>O. Farrell</t>
        </is>
      </c>
      <c r="B83" s="34">
        <f t="array" ref="B83:C83">_xlfn.XLOOKUP(A83,'Player List'!$A$2:$A$177,'Player List'!$B$2:$C$177)</f>
        <v/>
      </c>
      <c r="C83" s="34" t="inlineStr">
        <is>
          <t>Centre</t>
        </is>
      </c>
      <c r="D83" s="34">
        <f>_xlfn.XLOOKUP(B83,$B$2:$B$7,$C$2:$C$7)</f>
        <v/>
      </c>
      <c r="E83" s="2" t="n">
        <v>80</v>
      </c>
      <c r="F83" s="2" t="n">
        <v>17</v>
      </c>
      <c r="G83" s="2" t="n"/>
      <c r="H83" s="2" t="n"/>
      <c r="I83" s="2" t="n">
        <v>23</v>
      </c>
      <c r="J83" s="2" t="n"/>
      <c r="K83" s="2" t="n"/>
      <c r="L83" s="2" t="n">
        <v>2</v>
      </c>
      <c r="M83" s="2" t="n"/>
      <c r="N83" s="2" t="n"/>
      <c r="O83" s="2" t="n">
        <v>1</v>
      </c>
      <c r="P83" s="2" t="n">
        <v>1</v>
      </c>
      <c r="Q83" s="2" t="n"/>
      <c r="R83" s="2" t="n"/>
      <c r="S83" s="2" t="n"/>
      <c r="T83" s="3" t="n">
        <v>50.6</v>
      </c>
      <c r="U83" s="2" t="n"/>
    </row>
    <row r="84" ht="16" customHeight="1" thickBot="1">
      <c r="A84" s="8" t="inlineStr">
        <is>
          <t>O. Lawrence</t>
        </is>
      </c>
      <c r="B84" s="34">
        <f t="array" ref="B84:C84">_xlfn.XLOOKUP(A84,'Player List'!$A$2:$A$177,'Player List'!$B$2:$C$177)</f>
        <v/>
      </c>
      <c r="C84" s="34" t="inlineStr">
        <is>
          <t>Centre</t>
        </is>
      </c>
      <c r="D84" s="34">
        <f>_xlfn.XLOOKUP(B84,$B$2:$B$7,$C$2:$C$7)</f>
        <v/>
      </c>
      <c r="E84" s="5" t="n">
        <v>80</v>
      </c>
      <c r="F84" s="5" t="n">
        <v>7</v>
      </c>
      <c r="G84" s="5" t="n">
        <v>2</v>
      </c>
      <c r="H84" s="5" t="n">
        <v>1</v>
      </c>
      <c r="I84" s="5" t="n">
        <v>86</v>
      </c>
      <c r="J84" s="5" t="n"/>
      <c r="K84" s="5" t="n"/>
      <c r="L84" s="5" t="n">
        <v>1</v>
      </c>
      <c r="M84" s="5" t="n">
        <v>1</v>
      </c>
      <c r="N84" s="5" t="n"/>
      <c r="O84" s="5" t="n"/>
      <c r="P84" s="5" t="n"/>
      <c r="Q84" s="5" t="n"/>
      <c r="R84" s="5" t="n"/>
      <c r="S84" s="5" t="n"/>
      <c r="T84" s="6" t="n">
        <v>75.2</v>
      </c>
      <c r="U84" s="5" t="n"/>
    </row>
    <row r="85" ht="16" customHeight="1" thickBot="1">
      <c r="A85" s="7" t="inlineStr">
        <is>
          <t>H. Slade</t>
        </is>
      </c>
      <c r="B85" s="34">
        <f t="array" ref="B85:C85">_xlfn.XLOOKUP(A85,'Player List'!$A$2:$A$177,'Player List'!$B$2:$C$177)</f>
        <v/>
      </c>
      <c r="C85" s="34" t="inlineStr">
        <is>
          <t>Centre</t>
        </is>
      </c>
      <c r="D85" s="34">
        <f>_xlfn.XLOOKUP(B85,$B$2:$B$7,$C$2:$C$7)</f>
        <v/>
      </c>
      <c r="E85" s="2" t="n">
        <v>80</v>
      </c>
      <c r="F85" s="2" t="n">
        <v>5</v>
      </c>
      <c r="G85" s="2" t="n"/>
      <c r="H85" s="2" t="n">
        <v>3</v>
      </c>
      <c r="I85" s="2" t="n">
        <v>41</v>
      </c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3" t="n">
        <v>42.2</v>
      </c>
      <c r="U85" s="2" t="n"/>
    </row>
    <row r="86" ht="16" customHeight="1" thickBot="1">
      <c r="A86" s="10" t="inlineStr">
        <is>
          <t>M. Smith</t>
        </is>
      </c>
      <c r="B86" s="34">
        <f t="array" ref="B86:C86">_xlfn.XLOOKUP(A86,'Player List'!$A$2:$A$177,'Player List'!$B$2:$C$177)</f>
        <v/>
      </c>
      <c r="C86" s="34" t="inlineStr">
        <is>
          <t>Fly Half</t>
        </is>
      </c>
      <c r="D86" s="34">
        <f>_xlfn.XLOOKUP(B86,$B$2:$B$7,$C$2:$C$7)</f>
        <v/>
      </c>
      <c r="E86" s="5" t="n">
        <v>1</v>
      </c>
      <c r="F86" s="5" t="n"/>
      <c r="G86" s="5" t="n"/>
      <c r="H86" s="5" t="n"/>
      <c r="I86" s="5" t="n">
        <v>7</v>
      </c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6" t="n">
        <v>1.5</v>
      </c>
      <c r="U86" s="5" t="n"/>
    </row>
    <row r="87" ht="16" customHeight="1" thickBot="1">
      <c r="A87" s="11" t="inlineStr">
        <is>
          <t>A. Mitchell</t>
        </is>
      </c>
      <c r="B87" s="34">
        <f t="array" ref="B87:C87">_xlfn.XLOOKUP(A87,'Player List'!$A$2:$A$177,'Player List'!$B$2:$C$177)</f>
        <v/>
      </c>
      <c r="C87" s="34" t="inlineStr">
        <is>
          <t>Scrum Half</t>
        </is>
      </c>
      <c r="D87" s="34">
        <f>_xlfn.XLOOKUP(B87,$B$2:$B$7,$C$2:$C$7)</f>
        <v/>
      </c>
      <c r="E87" s="2" t="n">
        <v>8</v>
      </c>
      <c r="F87" s="2" t="n">
        <v>1</v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3" t="n">
        <v>1.8</v>
      </c>
      <c r="U87" s="2" t="n"/>
    </row>
    <row r="88" ht="16" customHeight="1" thickBot="1">
      <c r="A88" s="12" t="inlineStr">
        <is>
          <t>J. van Poortvliet</t>
        </is>
      </c>
      <c r="B88" s="34">
        <f t="array" ref="B88:C88">_xlfn.XLOOKUP(A88,'Player List'!$A$2:$A$177,'Player List'!$B$2:$C$177)</f>
        <v/>
      </c>
      <c r="C88" s="34" t="inlineStr">
        <is>
          <t>Scrum Half</t>
        </is>
      </c>
      <c r="D88" s="34">
        <f>_xlfn.XLOOKUP(B88,$B$2:$B$7,$C$2:$C$7)</f>
        <v/>
      </c>
      <c r="E88" s="5" t="n">
        <v>72</v>
      </c>
      <c r="F88" s="5" t="n">
        <v>7</v>
      </c>
      <c r="G88" s="5" t="n"/>
      <c r="H88" s="5" t="n"/>
      <c r="I88" s="5" t="n">
        <v>6</v>
      </c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6" t="n">
        <v>15.4</v>
      </c>
      <c r="U88" s="5" t="n"/>
    </row>
    <row r="89" ht="16" customHeight="1" thickBot="1">
      <c r="A89" s="13" t="inlineStr">
        <is>
          <t>B. Curry</t>
        </is>
      </c>
      <c r="B89" s="34">
        <f t="array" ref="B89:C89">_xlfn.XLOOKUP(A89,'Player List'!$A$2:$A$177,'Player List'!$B$2:$C$177)</f>
        <v/>
      </c>
      <c r="C89" s="34" t="inlineStr">
        <is>
          <t>Back Row</t>
        </is>
      </c>
      <c r="D89" s="34">
        <f>_xlfn.XLOOKUP(B89,$B$2:$B$7,$C$2:$C$7)</f>
        <v/>
      </c>
      <c r="E89" s="2" t="n">
        <v>21</v>
      </c>
      <c r="F89" s="2" t="n">
        <v>4</v>
      </c>
      <c r="G89" s="2" t="n">
        <v>1</v>
      </c>
      <c r="H89" s="2" t="n"/>
      <c r="I89" s="2" t="n">
        <v>16</v>
      </c>
      <c r="J89" s="2" t="n"/>
      <c r="K89" s="2" t="n"/>
      <c r="L89" s="2" t="n">
        <v>1</v>
      </c>
      <c r="M89" s="2" t="n"/>
      <c r="N89" s="2" t="n"/>
      <c r="O89" s="2" t="n"/>
      <c r="P89" s="2" t="n"/>
      <c r="Q89" s="2" t="n"/>
      <c r="R89" s="2" t="n"/>
      <c r="S89" s="2" t="n"/>
      <c r="T89" s="3" t="n">
        <v>23.3</v>
      </c>
      <c r="U89" s="2" t="n"/>
    </row>
    <row r="90" ht="16" customHeight="1" thickBot="1">
      <c r="A90" s="14" t="inlineStr">
        <is>
          <t>A. Dombrandt</t>
        </is>
      </c>
      <c r="B90" s="34">
        <f t="array" ref="B90:C90">_xlfn.XLOOKUP(A90,'Player List'!$A$2:$A$177,'Player List'!$B$2:$C$177)</f>
        <v/>
      </c>
      <c r="C90" s="34" t="inlineStr">
        <is>
          <t>Back Row</t>
        </is>
      </c>
      <c r="D90" s="34">
        <f>_xlfn.XLOOKUP(B90,$B$2:$B$7,$C$2:$C$7)</f>
        <v/>
      </c>
      <c r="E90" s="5" t="n">
        <v>69</v>
      </c>
      <c r="F90" s="5" t="n">
        <v>6</v>
      </c>
      <c r="G90" s="5" t="n"/>
      <c r="H90" s="5" t="n">
        <v>1</v>
      </c>
      <c r="I90" s="5" t="n">
        <v>56</v>
      </c>
      <c r="J90" s="5" t="n"/>
      <c r="K90" s="5" t="n"/>
      <c r="L90" s="5" t="n"/>
      <c r="M90" s="5" t="n"/>
      <c r="N90" s="5" t="n">
        <v>1</v>
      </c>
      <c r="O90" s="5" t="n"/>
      <c r="P90" s="5" t="n"/>
      <c r="Q90" s="5" t="n"/>
      <c r="R90" s="5" t="n"/>
      <c r="S90" s="5" t="n"/>
      <c r="T90" s="6" t="n">
        <v>38.1</v>
      </c>
      <c r="U90" s="5" t="n"/>
    </row>
    <row r="91" ht="16" customHeight="1" thickBot="1">
      <c r="A91" s="13" t="inlineStr">
        <is>
          <t>L. Ludlam</t>
        </is>
      </c>
      <c r="B91" s="34">
        <f t="array" ref="B91:C91">_xlfn.XLOOKUP(A91,'Player List'!$A$2:$A$177,'Player List'!$B$2:$C$177)</f>
        <v/>
      </c>
      <c r="C91" s="34" t="inlineStr">
        <is>
          <t>Back Row</t>
        </is>
      </c>
      <c r="D91" s="34">
        <f>_xlfn.XLOOKUP(B91,$B$2:$B$7,$C$2:$C$7)</f>
        <v/>
      </c>
      <c r="E91" s="2" t="n">
        <v>80</v>
      </c>
      <c r="F91" s="2" t="n">
        <v>13</v>
      </c>
      <c r="G91" s="2" t="n">
        <v>2</v>
      </c>
      <c r="H91" s="2" t="n"/>
      <c r="I91" s="2" t="n">
        <v>25</v>
      </c>
      <c r="J91" s="2" t="n"/>
      <c r="K91" s="2" t="n"/>
      <c r="L91" s="2" t="n">
        <v>1</v>
      </c>
      <c r="M91" s="2" t="n"/>
      <c r="N91" s="2" t="n"/>
      <c r="O91" s="2" t="n"/>
      <c r="P91" s="2" t="n"/>
      <c r="Q91" s="2" t="n"/>
      <c r="R91" s="2" t="n"/>
      <c r="S91" s="2" t="n"/>
      <c r="T91" s="3" t="n">
        <v>47</v>
      </c>
      <c r="U91" s="2" t="n"/>
    </row>
    <row r="92" ht="16" customHeight="1" thickBot="1">
      <c r="A92" s="14" t="inlineStr">
        <is>
          <t>J. Willis</t>
        </is>
      </c>
      <c r="B92" s="34">
        <f t="array" ref="B92:C92">_xlfn.XLOOKUP(A92,'Player List'!$A$2:$A$177,'Player List'!$B$2:$C$177)</f>
        <v/>
      </c>
      <c r="C92" s="34" t="inlineStr">
        <is>
          <t>Back Row</t>
        </is>
      </c>
      <c r="D92" s="34">
        <f>_xlfn.XLOOKUP(B92,$B$2:$B$7,$C$2:$C$7)</f>
        <v/>
      </c>
      <c r="E92" s="5" t="n">
        <v>59</v>
      </c>
      <c r="F92" s="5" t="n">
        <v>7</v>
      </c>
      <c r="G92" s="5" t="n">
        <v>2</v>
      </c>
      <c r="H92" s="5" t="n"/>
      <c r="I92" s="5" t="n">
        <v>11</v>
      </c>
      <c r="J92" s="5" t="n"/>
      <c r="K92" s="5" t="n"/>
      <c r="L92" s="5" t="n">
        <v>1</v>
      </c>
      <c r="M92" s="5" t="n"/>
      <c r="N92" s="5" t="n"/>
      <c r="O92" s="5" t="n"/>
      <c r="P92" s="5" t="n"/>
      <c r="Q92" s="5" t="n"/>
      <c r="R92" s="5" t="n"/>
      <c r="S92" s="5" t="n"/>
      <c r="T92" s="6" t="n">
        <v>36.1</v>
      </c>
      <c r="U92" s="5" t="n"/>
    </row>
    <row r="93" ht="16" customHeight="1" thickBot="1">
      <c r="A93" s="15" t="inlineStr">
        <is>
          <t>O. Chessum</t>
        </is>
      </c>
      <c r="B93" s="34">
        <f t="array" ref="B93:C93">_xlfn.XLOOKUP(A93,'Player List'!$A$2:$A$177,'Player List'!$B$2:$C$177)</f>
        <v/>
      </c>
      <c r="C93" s="34" t="inlineStr">
        <is>
          <t>Second Row</t>
        </is>
      </c>
      <c r="D93" s="34">
        <f>_xlfn.XLOOKUP(B93,$B$2:$B$7,$C$2:$C$7)</f>
        <v/>
      </c>
      <c r="E93" s="2" t="n">
        <v>80</v>
      </c>
      <c r="F93" s="2" t="n">
        <v>9</v>
      </c>
      <c r="G93" s="2" t="n">
        <v>3</v>
      </c>
      <c r="H93" s="2" t="n"/>
      <c r="I93" s="2" t="n">
        <v>5</v>
      </c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3" t="n">
        <v>39</v>
      </c>
      <c r="U93" s="2" t="n"/>
    </row>
    <row r="94" ht="16" customHeight="1" thickBot="1">
      <c r="A94" s="16" t="inlineStr">
        <is>
          <t>M. Itoje</t>
        </is>
      </c>
      <c r="B94" s="34">
        <f t="array" ref="B94:C94">_xlfn.XLOOKUP(A94,'Player List'!$A$2:$A$177,'Player List'!$B$2:$C$177)</f>
        <v/>
      </c>
      <c r="C94" s="34" t="inlineStr">
        <is>
          <t>Second Row</t>
        </is>
      </c>
      <c r="D94" s="34">
        <f>_xlfn.XLOOKUP(B94,$B$2:$B$7,$C$2:$C$7)</f>
        <v/>
      </c>
      <c r="E94" s="5" t="n">
        <v>80</v>
      </c>
      <c r="F94" s="5" t="n">
        <v>16</v>
      </c>
      <c r="G94" s="5" t="n">
        <v>2</v>
      </c>
      <c r="H94" s="5" t="n"/>
      <c r="I94" s="5" t="n">
        <v>16</v>
      </c>
      <c r="J94" s="5" t="n"/>
      <c r="K94" s="5" t="n"/>
      <c r="L94" s="5" t="n"/>
      <c r="M94" s="5" t="n"/>
      <c r="N94" s="5" t="n">
        <v>1</v>
      </c>
      <c r="O94" s="5" t="n"/>
      <c r="P94" s="5" t="n"/>
      <c r="Q94" s="5" t="n"/>
      <c r="R94" s="5" t="n"/>
      <c r="S94" s="5" t="n"/>
      <c r="T94" s="6" t="n">
        <v>48.2</v>
      </c>
      <c r="U94" s="5" t="n"/>
    </row>
    <row r="95" ht="16" customHeight="1" thickBot="1">
      <c r="A95" s="15" t="inlineStr">
        <is>
          <t>C. Lawes</t>
        </is>
      </c>
      <c r="B95" s="34">
        <f t="array" ref="B95:C95">_xlfn.XLOOKUP(A95,'Player List'!$A$2:$A$177,'Player List'!$B$2:$C$177)</f>
        <v/>
      </c>
      <c r="C95" s="34" t="inlineStr">
        <is>
          <t>Second Row</t>
        </is>
      </c>
      <c r="D95" s="34">
        <f>_xlfn.XLOOKUP(B95,$B$2:$B$7,$C$2:$C$7)</f>
        <v/>
      </c>
      <c r="E95" s="2" t="n">
        <v>11</v>
      </c>
      <c r="F95" s="2" t="n">
        <v>1</v>
      </c>
      <c r="G95" s="2" t="n"/>
      <c r="H95" s="2" t="n"/>
      <c r="I95" s="2" t="n">
        <v>6</v>
      </c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3" t="n">
        <v>3.3</v>
      </c>
      <c r="U95" s="2" t="n"/>
    </row>
    <row r="96" ht="16" customHeight="1" thickBot="1">
      <c r="A96" s="17" t="inlineStr">
        <is>
          <t>D. Cole</t>
        </is>
      </c>
      <c r="B96" s="34">
        <f t="array" ref="B96:C96">_xlfn.XLOOKUP(A96,'Player List'!$A$2:$A$177,'Player List'!$B$2:$C$177)</f>
        <v/>
      </c>
      <c r="C96" s="34" t="inlineStr">
        <is>
          <t>Prop</t>
        </is>
      </c>
      <c r="D96" s="34">
        <f>_xlfn.XLOOKUP(B96,$B$2:$B$7,$C$2:$C$7)</f>
        <v/>
      </c>
      <c r="E96" s="5" t="n">
        <v>16</v>
      </c>
      <c r="F96" s="5" t="n">
        <v>3</v>
      </c>
      <c r="G96" s="5" t="n"/>
      <c r="H96" s="5" t="n"/>
      <c r="I96" s="5" t="n">
        <v>6</v>
      </c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6" t="n">
        <v>5.8</v>
      </c>
      <c r="U96" s="5" t="n"/>
    </row>
    <row r="97" ht="16" customHeight="1" thickBot="1">
      <c r="A97" s="18" t="inlineStr">
        <is>
          <t>E. Genge</t>
        </is>
      </c>
      <c r="B97" s="34">
        <f t="array" ref="B97:C97">_xlfn.XLOOKUP(A97,'Player List'!$A$2:$A$177,'Player List'!$B$2:$C$177)</f>
        <v/>
      </c>
      <c r="C97" s="34" t="inlineStr">
        <is>
          <t>Prop</t>
        </is>
      </c>
      <c r="D97" s="34">
        <f>_xlfn.XLOOKUP(B97,$B$2:$B$7,$C$2:$C$7)</f>
        <v/>
      </c>
      <c r="E97" s="2" t="n">
        <v>54</v>
      </c>
      <c r="F97" s="2" t="n">
        <v>9</v>
      </c>
      <c r="G97" s="2" t="n">
        <v>1</v>
      </c>
      <c r="H97" s="2" t="n"/>
      <c r="I97" s="2" t="n">
        <v>61</v>
      </c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3" t="n">
        <v>33.6</v>
      </c>
      <c r="U97" s="2" t="n"/>
    </row>
    <row r="98" ht="16" customHeight="1" thickBot="1">
      <c r="A98" s="17" t="inlineStr">
        <is>
          <t>K. Sinckler</t>
        </is>
      </c>
      <c r="B98" s="34">
        <f t="array" ref="B98:C98">_xlfn.XLOOKUP(A98,'Player List'!$A$2:$A$177,'Player List'!$B$2:$C$177)</f>
        <v/>
      </c>
      <c r="C98" s="34" t="inlineStr">
        <is>
          <t>Prop</t>
        </is>
      </c>
      <c r="D98" s="34">
        <f>_xlfn.XLOOKUP(B98,$B$2:$B$7,$C$2:$C$7)</f>
        <v/>
      </c>
      <c r="E98" s="5" t="n">
        <v>64</v>
      </c>
      <c r="F98" s="5" t="n">
        <v>11</v>
      </c>
      <c r="G98" s="5" t="n">
        <v>1</v>
      </c>
      <c r="H98" s="5" t="n"/>
      <c r="I98" s="5" t="n">
        <v>24</v>
      </c>
      <c r="J98" s="5" t="n"/>
      <c r="K98" s="5" t="n"/>
      <c r="L98" s="5" t="n"/>
      <c r="M98" s="5" t="n">
        <v>1</v>
      </c>
      <c r="N98" s="5" t="n"/>
      <c r="O98" s="5" t="n"/>
      <c r="P98" s="5" t="n"/>
      <c r="Q98" s="5" t="n"/>
      <c r="R98" s="5" t="n"/>
      <c r="S98" s="5" t="n"/>
      <c r="T98" s="6" t="n">
        <v>44.2</v>
      </c>
      <c r="U98" s="5" t="n"/>
    </row>
    <row r="99" ht="16" customHeight="1" thickBot="1">
      <c r="A99" s="18" t="inlineStr">
        <is>
          <t>M. Vunipola</t>
        </is>
      </c>
      <c r="B99" s="34">
        <f t="array" ref="B99:C99">_xlfn.XLOOKUP(A99,'Player List'!$A$2:$A$177,'Player List'!$B$2:$C$177)</f>
        <v/>
      </c>
      <c r="C99" s="34" t="inlineStr">
        <is>
          <t>Prop</t>
        </is>
      </c>
      <c r="D99" s="34">
        <f>_xlfn.XLOOKUP(B99,$B$2:$B$7,$C$2:$C$7)</f>
        <v/>
      </c>
      <c r="E99" s="2" t="n">
        <v>26</v>
      </c>
      <c r="F99" s="2" t="n">
        <v>5</v>
      </c>
      <c r="G99" s="2" t="n"/>
      <c r="H99" s="2" t="n"/>
      <c r="I99" s="2" t="n">
        <v>18</v>
      </c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3" t="n">
        <v>11.2</v>
      </c>
      <c r="U99" s="2" t="n"/>
    </row>
    <row r="100" ht="16" customHeight="1" thickBot="1">
      <c r="A100" s="19" t="inlineStr">
        <is>
          <t>J. George</t>
        </is>
      </c>
      <c r="B100" s="34">
        <f t="array" ref="B100:C100">_xlfn.XLOOKUP(A100,'Player List'!$A$2:$A$177,'Player List'!$B$2:$C$177)</f>
        <v/>
      </c>
      <c r="C100" s="34" t="inlineStr">
        <is>
          <t>Hooker</t>
        </is>
      </c>
      <c r="D100" s="34">
        <f>_xlfn.XLOOKUP(B100,$B$2:$B$7,$C$2:$C$7)</f>
        <v/>
      </c>
      <c r="E100" s="5" t="n">
        <v>80</v>
      </c>
      <c r="F100" s="5" t="n">
        <v>15</v>
      </c>
      <c r="G100" s="5" t="n">
        <v>1</v>
      </c>
      <c r="H100" s="5" t="n"/>
      <c r="I100" s="5" t="n">
        <v>18</v>
      </c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6" t="n">
        <v>33.6</v>
      </c>
      <c r="U100" s="5" t="n"/>
    </row>
    <row r="101" ht="16" customHeight="1" thickBot="1">
      <c r="A101" s="20" t="inlineStr">
        <is>
          <t>J. Walker</t>
        </is>
      </c>
      <c r="B101" s="34">
        <f t="array" ref="B101:C101">_xlfn.XLOOKUP(A101,'Player List'!$A$2:$A$177,'Player List'!$B$2:$C$177)</f>
        <v/>
      </c>
      <c r="C101" s="34" t="inlineStr">
        <is>
          <t>Hooker</t>
        </is>
      </c>
      <c r="D101" s="34">
        <f>_xlfn.XLOOKUP(B101,$B$2:$B$7,$C$2:$C$7)</f>
        <v/>
      </c>
      <c r="E101" s="2" t="n">
        <v>1</v>
      </c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3" t="n">
        <v>0.1</v>
      </c>
      <c r="U101" s="2" t="n"/>
    </row>
    <row r="102" ht="16" customHeight="1" thickBot="1">
      <c r="A102" s="1" t="inlineStr">
        <is>
          <t>D. Penaud</t>
        </is>
      </c>
      <c r="B102" s="34">
        <f t="array" ref="B102:C102">_xlfn.XLOOKUP(A102,'Player List'!$A$2:$A$177,'Player List'!$B$2:$C$177)</f>
        <v/>
      </c>
      <c r="C102" s="34" t="inlineStr">
        <is>
          <t>Back Three</t>
        </is>
      </c>
      <c r="D102" s="34">
        <f>_xlfn.XLOOKUP(B102,$B$2:$B$7,$C$2:$C$7)</f>
        <v/>
      </c>
      <c r="E102" s="2" t="n">
        <v>80</v>
      </c>
      <c r="F102" s="2" t="n">
        <v>3</v>
      </c>
      <c r="G102" s="2" t="n"/>
      <c r="H102" s="2" t="n"/>
      <c r="I102" s="2" t="n">
        <v>24</v>
      </c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3" t="n">
        <v>15.8</v>
      </c>
      <c r="U102" s="2" t="n"/>
    </row>
    <row r="103" ht="16" customHeight="1" thickBot="1">
      <c r="A103" s="4" t="inlineStr">
        <is>
          <t>T. Ramos</t>
        </is>
      </c>
      <c r="B103" s="34">
        <f t="array" ref="B103:C103">_xlfn.XLOOKUP(A103,'Player List'!$A$2:$A$177,'Player List'!$B$2:$C$177)</f>
        <v/>
      </c>
      <c r="C103" s="34" t="inlineStr">
        <is>
          <t>Back Three</t>
        </is>
      </c>
      <c r="D103" s="34">
        <f>_xlfn.XLOOKUP(B103,$B$2:$B$7,$C$2:$C$7)</f>
        <v/>
      </c>
      <c r="E103" s="5" t="n">
        <v>80</v>
      </c>
      <c r="F103" s="5" t="n"/>
      <c r="G103" s="5" t="n"/>
      <c r="H103" s="5" t="n">
        <v>2</v>
      </c>
      <c r="I103" s="5" t="n">
        <v>173</v>
      </c>
      <c r="J103" s="5" t="n"/>
      <c r="K103" s="5" t="n"/>
      <c r="L103" s="5" t="n"/>
      <c r="M103" s="5" t="n">
        <v>1</v>
      </c>
      <c r="N103" s="5" t="n"/>
      <c r="O103" s="5" t="n">
        <v>3</v>
      </c>
      <c r="P103" s="5" t="n">
        <v>2</v>
      </c>
      <c r="Q103" s="5" t="n"/>
      <c r="R103" s="5" t="n"/>
      <c r="S103" s="5" t="n"/>
      <c r="T103" s="6" t="n">
        <v>87.59999999999999</v>
      </c>
      <c r="U103" s="5" t="n"/>
    </row>
    <row r="104" ht="16" customHeight="1" thickBot="1">
      <c r="A104" s="7" t="inlineStr">
        <is>
          <t>E. Dumortier</t>
        </is>
      </c>
      <c r="B104" s="34">
        <f t="array" ref="B104:C104">_xlfn.XLOOKUP(A104,'Player List'!$A$2:$A$177,'Player List'!$B$2:$C$177)</f>
        <v/>
      </c>
      <c r="C104" s="34" t="inlineStr">
        <is>
          <t>Centre</t>
        </is>
      </c>
      <c r="D104" s="34">
        <f>_xlfn.XLOOKUP(B104,$B$2:$B$7,$C$2:$C$7)</f>
        <v/>
      </c>
      <c r="E104" s="2" t="n">
        <v>80</v>
      </c>
      <c r="F104" s="2" t="n">
        <v>3</v>
      </c>
      <c r="G104" s="2" t="n"/>
      <c r="H104" s="2" t="n">
        <v>2</v>
      </c>
      <c r="I104" s="2" t="n">
        <v>46</v>
      </c>
      <c r="J104" s="2" t="n"/>
      <c r="K104" s="2" t="n"/>
      <c r="L104" s="2" t="n"/>
      <c r="M104" s="2" t="n">
        <v>1</v>
      </c>
      <c r="N104" s="2" t="n"/>
      <c r="O104" s="2" t="n"/>
      <c r="P104" s="2" t="n"/>
      <c r="Q104" s="2" t="n"/>
      <c r="R104" s="2" t="n"/>
      <c r="S104" s="2" t="n"/>
      <c r="T104" s="3" t="n">
        <v>49.2</v>
      </c>
      <c r="U104" s="2" t="n"/>
    </row>
    <row r="105" ht="16" customHeight="1" thickBot="1">
      <c r="A105" s="8" t="inlineStr">
        <is>
          <t>G. Fickou</t>
        </is>
      </c>
      <c r="B105" s="34">
        <f t="array" ref="B105:C105">_xlfn.XLOOKUP(A105,'Player List'!$A$2:$A$177,'Player List'!$B$2:$C$177)</f>
        <v/>
      </c>
      <c r="C105" s="34" t="inlineStr">
        <is>
          <t>Centre</t>
        </is>
      </c>
      <c r="D105" s="34">
        <f>_xlfn.XLOOKUP(B105,$B$2:$B$7,$C$2:$C$7)</f>
        <v/>
      </c>
      <c r="E105" s="5" t="n">
        <v>80</v>
      </c>
      <c r="F105" s="5" t="n">
        <v>15</v>
      </c>
      <c r="G105" s="5" t="n"/>
      <c r="H105" s="5" t="n">
        <v>1</v>
      </c>
      <c r="I105" s="5" t="n">
        <v>55</v>
      </c>
      <c r="J105" s="5" t="n"/>
      <c r="K105" s="5" t="n"/>
      <c r="L105" s="5" t="n"/>
      <c r="M105" s="5" t="n">
        <v>1</v>
      </c>
      <c r="N105" s="5" t="n"/>
      <c r="O105" s="5" t="n"/>
      <c r="P105" s="5" t="n"/>
      <c r="Q105" s="5" t="n"/>
      <c r="R105" s="5" t="n"/>
      <c r="S105" s="5" t="n"/>
      <c r="T105" s="6" t="n">
        <v>71</v>
      </c>
      <c r="U105" s="5" t="n">
        <v>1</v>
      </c>
    </row>
    <row r="106" ht="16" customHeight="1" thickBot="1">
      <c r="A106" s="7" t="inlineStr">
        <is>
          <t>Y. Moefana</t>
        </is>
      </c>
      <c r="B106" s="34">
        <f t="array" ref="B106:C106">_xlfn.XLOOKUP(A106,'Player List'!$A$2:$A$177,'Player List'!$B$2:$C$177)</f>
        <v/>
      </c>
      <c r="C106" s="34" t="inlineStr">
        <is>
          <t>Centre</t>
        </is>
      </c>
      <c r="D106" s="34">
        <f>_xlfn.XLOOKUP(B106,$B$2:$B$7,$C$2:$C$7)</f>
        <v/>
      </c>
      <c r="E106" s="2" t="n">
        <v>80</v>
      </c>
      <c r="F106" s="2" t="n">
        <v>10</v>
      </c>
      <c r="G106" s="2" t="n"/>
      <c r="H106" s="2" t="n">
        <v>1</v>
      </c>
      <c r="I106" s="2" t="n">
        <v>39</v>
      </c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3" t="n">
        <v>32.8</v>
      </c>
      <c r="U106" s="2" t="n"/>
    </row>
    <row r="107" ht="16" customHeight="1" thickBot="1">
      <c r="A107" s="10" t="inlineStr">
        <is>
          <t>M. Jalibert</t>
        </is>
      </c>
      <c r="B107" s="34">
        <f t="array" ref="B107:C107">_xlfn.XLOOKUP(A107,'Player List'!$A$2:$A$177,'Player List'!$B$2:$C$177)</f>
        <v/>
      </c>
      <c r="C107" s="34" t="inlineStr">
        <is>
          <t>Fly Half</t>
        </is>
      </c>
      <c r="D107" s="34">
        <f>_xlfn.XLOOKUP(B107,$B$2:$B$7,$C$2:$C$7)</f>
        <v/>
      </c>
      <c r="E107" s="5" t="n">
        <v>11</v>
      </c>
      <c r="F107" s="5" t="n">
        <v>1</v>
      </c>
      <c r="G107" s="5" t="n"/>
      <c r="H107" s="5" t="n"/>
      <c r="I107" s="5" t="n">
        <v>10</v>
      </c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6" t="n">
        <v>4.1</v>
      </c>
      <c r="U107" s="5" t="n"/>
    </row>
    <row r="108" ht="16" customHeight="1" thickBot="1">
      <c r="A108" s="9" t="inlineStr">
        <is>
          <t>R. Ntamack</t>
        </is>
      </c>
      <c r="B108" s="34">
        <f t="array" ref="B108:C108">_xlfn.XLOOKUP(A108,'Player List'!$A$2:$A$177,'Player List'!$B$2:$C$177)</f>
        <v/>
      </c>
      <c r="C108" s="34" t="inlineStr">
        <is>
          <t>Fly Half</t>
        </is>
      </c>
      <c r="D108" s="34">
        <f>_xlfn.XLOOKUP(B108,$B$2:$B$7,$C$2:$C$7)</f>
        <v/>
      </c>
      <c r="E108" s="2" t="n">
        <v>69</v>
      </c>
      <c r="F108" s="2" t="n">
        <v>12</v>
      </c>
      <c r="G108" s="2" t="n"/>
      <c r="H108" s="2" t="n">
        <v>1</v>
      </c>
      <c r="I108" s="2" t="n">
        <v>20</v>
      </c>
      <c r="J108" s="2" t="n"/>
      <c r="K108" s="2" t="n"/>
      <c r="L108" s="2" t="n"/>
      <c r="M108" s="2" t="n">
        <v>1</v>
      </c>
      <c r="N108" s="2" t="n">
        <v>1</v>
      </c>
      <c r="O108" s="2" t="n"/>
      <c r="P108" s="2" t="n"/>
      <c r="Q108" s="2" t="n"/>
      <c r="R108" s="2" t="n"/>
      <c r="S108" s="2" t="n"/>
      <c r="T108" s="3" t="n">
        <v>51.9</v>
      </c>
      <c r="U108" s="2" t="n"/>
    </row>
    <row r="109" ht="16" customHeight="1" thickBot="1">
      <c r="A109" s="12" t="inlineStr">
        <is>
          <t>A. Dupont</t>
        </is>
      </c>
      <c r="B109" s="34">
        <f t="array" ref="B109:C109">_xlfn.XLOOKUP(A109,'Player List'!$A$2:$A$177,'Player List'!$B$2:$C$177)</f>
        <v/>
      </c>
      <c r="C109" s="34" t="inlineStr">
        <is>
          <t>Scrum Half</t>
        </is>
      </c>
      <c r="D109" s="34">
        <f>_xlfn.XLOOKUP(B109,$B$2:$B$7,$C$2:$C$7)</f>
        <v/>
      </c>
      <c r="E109" s="5" t="n">
        <v>80</v>
      </c>
      <c r="F109" s="5" t="n">
        <v>13</v>
      </c>
      <c r="G109" s="5" t="n"/>
      <c r="H109" s="5" t="n"/>
      <c r="I109" s="5" t="n">
        <v>14</v>
      </c>
      <c r="J109" s="5" t="n"/>
      <c r="K109" s="5" t="n"/>
      <c r="L109" s="5" t="n">
        <v>1</v>
      </c>
      <c r="M109" s="5" t="n"/>
      <c r="N109" s="5" t="n">
        <v>2</v>
      </c>
      <c r="O109" s="5" t="n"/>
      <c r="P109" s="5" t="n"/>
      <c r="Q109" s="5" t="n"/>
      <c r="R109" s="5" t="n"/>
      <c r="S109" s="5" t="n"/>
      <c r="T109" s="6" t="n">
        <v>44.8</v>
      </c>
      <c r="U109" s="5" t="n"/>
    </row>
    <row r="110" ht="16" customHeight="1" thickBot="1">
      <c r="A110" s="13" t="inlineStr">
        <is>
          <t>G. Alldritt</t>
        </is>
      </c>
      <c r="B110" s="34">
        <f t="array" ref="B110:C110">_xlfn.XLOOKUP(A110,'Player List'!$A$2:$A$177,'Player List'!$B$2:$C$177)</f>
        <v/>
      </c>
      <c r="C110" s="34" t="inlineStr">
        <is>
          <t>Back Row</t>
        </is>
      </c>
      <c r="D110" s="34">
        <f>_xlfn.XLOOKUP(B110,$B$2:$B$7,$C$2:$C$7)</f>
        <v/>
      </c>
      <c r="E110" s="2" t="n">
        <v>12</v>
      </c>
      <c r="F110" s="2" t="n"/>
      <c r="G110" s="2" t="n"/>
      <c r="H110" s="2" t="n"/>
      <c r="I110" s="2" t="n">
        <v>6</v>
      </c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3" t="n">
        <v>2.4</v>
      </c>
      <c r="U110" s="2" t="n"/>
    </row>
    <row r="111" ht="16" customHeight="1" thickBot="1">
      <c r="A111" s="14" t="inlineStr">
        <is>
          <t>F. Cros</t>
        </is>
      </c>
      <c r="B111" s="34">
        <f t="array" ref="B111:C111">_xlfn.XLOOKUP(A111,'Player List'!$A$2:$A$177,'Player List'!$B$2:$C$177)</f>
        <v/>
      </c>
      <c r="C111" s="34" t="inlineStr">
        <is>
          <t>Back Row</t>
        </is>
      </c>
      <c r="D111" s="34">
        <f>_xlfn.XLOOKUP(B111,$B$2:$B$7,$C$2:$C$7)</f>
        <v/>
      </c>
      <c r="E111" s="5" t="n">
        <v>63</v>
      </c>
      <c r="F111" s="5" t="n">
        <v>10</v>
      </c>
      <c r="G111" s="5" t="n">
        <v>2</v>
      </c>
      <c r="H111" s="5" t="n"/>
      <c r="I111" s="5" t="n">
        <v>26</v>
      </c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6" t="n">
        <v>35.5</v>
      </c>
      <c r="U111" s="5" t="n"/>
    </row>
    <row r="112" ht="16" customHeight="1" thickBot="1">
      <c r="A112" s="13" t="inlineStr">
        <is>
          <t>A. Jelonch</t>
        </is>
      </c>
      <c r="B112" s="34">
        <f t="array" ref="B112:C112">_xlfn.XLOOKUP(A112,'Player List'!$A$2:$A$177,'Player List'!$B$2:$C$177)</f>
        <v/>
      </c>
      <c r="C112" s="34" t="inlineStr">
        <is>
          <t>Back Row</t>
        </is>
      </c>
      <c r="D112" s="34">
        <f>_xlfn.XLOOKUP(B112,$B$2:$B$7,$C$2:$C$7)</f>
        <v/>
      </c>
      <c r="E112" s="2" t="n">
        <v>17</v>
      </c>
      <c r="F112" s="2" t="n">
        <v>4</v>
      </c>
      <c r="G112" s="2" t="n">
        <v>2</v>
      </c>
      <c r="H112" s="2" t="n"/>
      <c r="I112" s="2" t="n">
        <v>19</v>
      </c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3" t="n">
        <v>23.5</v>
      </c>
      <c r="U112" s="2" t="n"/>
    </row>
    <row r="113" ht="16" customHeight="1" thickBot="1">
      <c r="A113" s="14" t="inlineStr">
        <is>
          <t>C. Ollivon</t>
        </is>
      </c>
      <c r="B113" s="34">
        <f t="array" ref="B113:C113">_xlfn.XLOOKUP(A113,'Player List'!$A$2:$A$177,'Player List'!$B$2:$C$177)</f>
        <v/>
      </c>
      <c r="C113" s="34" t="inlineStr">
        <is>
          <t>Back Row</t>
        </is>
      </c>
      <c r="D113" s="34">
        <f>_xlfn.XLOOKUP(B113,$B$2:$B$7,$C$2:$C$7)</f>
        <v/>
      </c>
      <c r="E113" s="5" t="n">
        <v>80</v>
      </c>
      <c r="F113" s="5" t="n">
        <v>15</v>
      </c>
      <c r="G113" s="5" t="n">
        <v>1</v>
      </c>
      <c r="H113" s="5" t="n"/>
      <c r="I113" s="5" t="n">
        <v>35</v>
      </c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6" t="n">
        <v>37</v>
      </c>
      <c r="U113" s="5" t="n"/>
    </row>
    <row r="114" ht="16" customHeight="1" thickBot="1">
      <c r="A114" s="15" t="inlineStr">
        <is>
          <t>T. Flament</t>
        </is>
      </c>
      <c r="B114" s="34">
        <f t="array" ref="B114:C114">_xlfn.XLOOKUP(A114,'Player List'!$A$2:$A$177,'Player List'!$B$2:$C$177)</f>
        <v/>
      </c>
      <c r="C114" s="34" t="inlineStr">
        <is>
          <t>Second Row</t>
        </is>
      </c>
      <c r="D114" s="34">
        <f>_xlfn.XLOOKUP(B114,$B$2:$B$7,$C$2:$C$7)</f>
        <v/>
      </c>
      <c r="E114" s="2" t="n">
        <v>80</v>
      </c>
      <c r="F114" s="2" t="n">
        <v>14</v>
      </c>
      <c r="G114" s="2" t="n">
        <v>1</v>
      </c>
      <c r="H114" s="2" t="n"/>
      <c r="I114" s="2" t="n">
        <v>15</v>
      </c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3" t="n">
        <v>32</v>
      </c>
      <c r="U114" s="2" t="n"/>
    </row>
    <row r="115" ht="16" customHeight="1" thickBot="1">
      <c r="A115" s="16" t="inlineStr">
        <is>
          <t>R. Taofifenua</t>
        </is>
      </c>
      <c r="B115" s="34">
        <f t="array" ref="B115:C115">_xlfn.XLOOKUP(A115,'Player List'!$A$2:$A$177,'Player List'!$B$2:$C$177)</f>
        <v/>
      </c>
      <c r="C115" s="34" t="inlineStr">
        <is>
          <t>Second Row</t>
        </is>
      </c>
      <c r="D115" s="34">
        <f>_xlfn.XLOOKUP(B115,$B$2:$B$7,$C$2:$C$7)</f>
        <v/>
      </c>
      <c r="E115" s="5" t="n">
        <v>27</v>
      </c>
      <c r="F115" s="5" t="n">
        <v>4</v>
      </c>
      <c r="G115" s="5" t="n"/>
      <c r="H115" s="5" t="n"/>
      <c r="I115" s="5" t="n">
        <v>8</v>
      </c>
      <c r="J115" s="5" t="n"/>
      <c r="K115" s="5" t="n"/>
      <c r="L115" s="5" t="n">
        <v>1</v>
      </c>
      <c r="M115" s="5" t="n"/>
      <c r="N115" s="5" t="n"/>
      <c r="O115" s="5" t="n"/>
      <c r="P115" s="5" t="n"/>
      <c r="Q115" s="5" t="n"/>
      <c r="R115" s="5" t="n"/>
      <c r="S115" s="5" t="n"/>
      <c r="T115" s="6" t="n">
        <v>15.3</v>
      </c>
      <c r="U115" s="5" t="n"/>
    </row>
    <row r="116" ht="16" customHeight="1" thickBot="1">
      <c r="A116" s="15" t="inlineStr">
        <is>
          <t>P. Willemse</t>
        </is>
      </c>
      <c r="B116" s="34">
        <f t="array" ref="B116:C116">_xlfn.XLOOKUP(A116,'Player List'!$A$2:$A$177,'Player List'!$B$2:$C$177)</f>
        <v/>
      </c>
      <c r="C116" s="34" t="inlineStr">
        <is>
          <t>Second Row</t>
        </is>
      </c>
      <c r="D116" s="34">
        <f>_xlfn.XLOOKUP(B116,$B$2:$B$7,$C$2:$C$7)</f>
        <v/>
      </c>
      <c r="E116" s="2" t="n">
        <v>53</v>
      </c>
      <c r="F116" s="2" t="n">
        <v>9</v>
      </c>
      <c r="G116" s="2" t="n">
        <v>1</v>
      </c>
      <c r="H116" s="2" t="n"/>
      <c r="I116" s="2" t="n">
        <v>20</v>
      </c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3" t="n">
        <v>25.3</v>
      </c>
      <c r="U116" s="2" t="n"/>
    </row>
    <row r="117" ht="16" customHeight="1" thickBot="1">
      <c r="A117" s="17" t="inlineStr">
        <is>
          <t>C. Baille</t>
        </is>
      </c>
      <c r="B117" s="34">
        <f t="array" ref="B117:C117">_xlfn.XLOOKUP(A117,'Player List'!$A$2:$A$177,'Player List'!$B$2:$C$177)</f>
        <v/>
      </c>
      <c r="C117" s="34" t="inlineStr">
        <is>
          <t>Prop</t>
        </is>
      </c>
      <c r="D117" s="34">
        <f>_xlfn.XLOOKUP(B117,$B$2:$B$7,$C$2:$C$7)</f>
        <v/>
      </c>
      <c r="E117" s="5" t="n">
        <v>63</v>
      </c>
      <c r="F117" s="5" t="n">
        <v>3</v>
      </c>
      <c r="G117" s="5" t="n">
        <v>1</v>
      </c>
      <c r="H117" s="5" t="n"/>
      <c r="I117" s="5" t="n">
        <v>41</v>
      </c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6" t="n">
        <v>24.5</v>
      </c>
      <c r="U117" s="5" t="n"/>
    </row>
    <row r="118" ht="16" customHeight="1" thickBot="1">
      <c r="A118" s="18" t="inlineStr">
        <is>
          <t>S. Falatea</t>
        </is>
      </c>
      <c r="B118" s="34">
        <f t="array" ref="B118:C118">_xlfn.XLOOKUP(A118,'Player List'!$A$2:$A$177,'Player List'!$B$2:$C$177)</f>
        <v/>
      </c>
      <c r="C118" s="34" t="inlineStr">
        <is>
          <t>Prop</t>
        </is>
      </c>
      <c r="D118" s="34">
        <f>_xlfn.XLOOKUP(B118,$B$2:$B$7,$C$2:$C$7)</f>
        <v/>
      </c>
      <c r="E118" s="2" t="n">
        <v>68</v>
      </c>
      <c r="F118" s="2" t="n">
        <v>7</v>
      </c>
      <c r="G118" s="2" t="n">
        <v>2</v>
      </c>
      <c r="H118" s="2" t="n"/>
      <c r="I118" s="2" t="n">
        <v>22</v>
      </c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3" t="n">
        <v>32.2</v>
      </c>
      <c r="U118" s="2" t="n"/>
    </row>
    <row r="119" ht="16" customHeight="1" thickBot="1">
      <c r="A119" s="17" t="inlineStr">
        <is>
          <t>M. Haouas</t>
        </is>
      </c>
      <c r="B119" s="34">
        <f t="array" ref="B119:C119">_xlfn.XLOOKUP(A119,'Player List'!$A$2:$A$177,'Player List'!$B$2:$C$177)</f>
        <v/>
      </c>
      <c r="C119" s="34" t="inlineStr">
        <is>
          <t>Prop</t>
        </is>
      </c>
      <c r="D119" s="34">
        <f>_xlfn.XLOOKUP(B119,$B$2:$B$7,$C$2:$C$7)</f>
        <v/>
      </c>
      <c r="E119" s="5" t="n">
        <v>11</v>
      </c>
      <c r="F119" s="5" t="n">
        <v>1</v>
      </c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>
        <v>1</v>
      </c>
      <c r="T119" s="6" t="n">
        <v>-7.9</v>
      </c>
      <c r="U119" s="5" t="n"/>
    </row>
    <row r="120" ht="16" customHeight="1" thickBot="1">
      <c r="A120" s="18" t="inlineStr">
        <is>
          <t>R. Wardi</t>
        </is>
      </c>
      <c r="B120" s="34">
        <f t="array" ref="B120:C120">_xlfn.XLOOKUP(A120,'Player List'!$A$2:$A$177,'Player List'!$B$2:$C$177)</f>
        <v/>
      </c>
      <c r="C120" s="34" t="inlineStr">
        <is>
          <t>Prop</t>
        </is>
      </c>
      <c r="D120" s="34">
        <f>_xlfn.XLOOKUP(B120,$B$2:$B$7,$C$2:$C$7)</f>
        <v/>
      </c>
      <c r="E120" s="2" t="n">
        <v>17</v>
      </c>
      <c r="F120" s="2" t="n"/>
      <c r="G120" s="2" t="n"/>
      <c r="H120" s="2" t="n"/>
      <c r="I120" s="2" t="n">
        <v>8</v>
      </c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3" t="n">
        <v>3.3</v>
      </c>
      <c r="U120" s="2" t="n"/>
    </row>
    <row r="121" ht="16" customHeight="1" thickBot="1">
      <c r="A121" s="19" t="inlineStr">
        <is>
          <t>G. Barlot</t>
        </is>
      </c>
      <c r="B121" s="34">
        <f t="array" ref="B121:C121">_xlfn.XLOOKUP(A121,'Player List'!$A$2:$A$177,'Player List'!$B$2:$C$177)</f>
        <v/>
      </c>
      <c r="C121" s="34" t="inlineStr">
        <is>
          <t>Hooker</t>
        </is>
      </c>
      <c r="D121" s="34">
        <f>_xlfn.XLOOKUP(B121,$B$2:$B$7,$C$2:$C$7)</f>
        <v/>
      </c>
      <c r="E121" s="5" t="n">
        <v>11</v>
      </c>
      <c r="F121" s="5" t="n"/>
      <c r="G121" s="5" t="n"/>
      <c r="H121" s="5" t="n"/>
      <c r="I121" s="5" t="n">
        <v>9</v>
      </c>
      <c r="J121" s="5" t="n"/>
      <c r="K121" s="5" t="n">
        <v>1</v>
      </c>
      <c r="L121" s="5" t="n"/>
      <c r="M121" s="5" t="n"/>
      <c r="N121" s="5" t="n"/>
      <c r="O121" s="5" t="n"/>
      <c r="P121" s="5" t="n"/>
      <c r="Q121" s="5" t="n"/>
      <c r="R121" s="5" t="n"/>
      <c r="S121" s="5" t="n"/>
      <c r="T121" s="6" t="n">
        <v>9.9</v>
      </c>
      <c r="U121" s="5" t="n"/>
    </row>
    <row r="122" ht="16" customHeight="1" thickBot="1">
      <c r="A122" s="20" t="inlineStr">
        <is>
          <t>J. Marchand</t>
        </is>
      </c>
      <c r="B122" s="34">
        <f t="array" ref="B122:C122">_xlfn.XLOOKUP(A122,'Player List'!$A$2:$A$177,'Player List'!$B$2:$C$177)</f>
        <v/>
      </c>
      <c r="C122" s="34" t="inlineStr">
        <is>
          <t>Hooker</t>
        </is>
      </c>
      <c r="D122" s="34">
        <f>_xlfn.XLOOKUP(B122,$B$2:$B$7,$C$2:$C$7)</f>
        <v/>
      </c>
      <c r="E122" s="2" t="n">
        <v>69</v>
      </c>
      <c r="F122" s="2" t="n">
        <v>16</v>
      </c>
      <c r="G122" s="2" t="n"/>
      <c r="H122" s="2" t="n"/>
      <c r="I122" s="2" t="n">
        <v>17</v>
      </c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3" t="n">
        <v>26.3</v>
      </c>
      <c r="U122" s="2" t="n"/>
    </row>
    <row r="123" ht="16" customHeight="1" thickBot="1">
      <c r="A123" s="1" t="inlineStr">
        <is>
          <t>S. Hogg</t>
        </is>
      </c>
      <c r="B123" s="34">
        <f t="array" ref="B123:C123">_xlfn.XLOOKUP(A123,'Player List'!$A$2:$A$177,'Player List'!$B$2:$C$177)</f>
        <v/>
      </c>
      <c r="C123" s="34" t="inlineStr">
        <is>
          <t>Back Three</t>
        </is>
      </c>
      <c r="D123" s="34">
        <f>_xlfn.XLOOKUP(B123,$B$2:$B$7,$C$2:$C$7)</f>
        <v/>
      </c>
      <c r="E123" s="2" t="n">
        <v>80</v>
      </c>
      <c r="F123" s="2" t="n">
        <v>6</v>
      </c>
      <c r="G123" s="2" t="n"/>
      <c r="H123" s="2" t="n">
        <v>1</v>
      </c>
      <c r="I123" s="2" t="n">
        <v>87</v>
      </c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3" t="n">
        <v>30.4</v>
      </c>
      <c r="U123" s="2" t="n"/>
    </row>
    <row r="124" ht="16" customHeight="1" thickBot="1">
      <c r="A124" s="4" t="inlineStr">
        <is>
          <t>B. Kinghorn</t>
        </is>
      </c>
      <c r="B124" s="34">
        <f t="array" ref="B124:C124">_xlfn.XLOOKUP(A124,'Player List'!$A$2:$A$177,'Player List'!$B$2:$C$177)</f>
        <v/>
      </c>
      <c r="C124" s="34" t="inlineStr">
        <is>
          <t>Back Three</t>
        </is>
      </c>
      <c r="D124" s="34">
        <f>_xlfn.XLOOKUP(B124,$B$2:$B$7,$C$2:$C$7)</f>
        <v/>
      </c>
      <c r="E124" s="5" t="n">
        <v>11</v>
      </c>
      <c r="F124" s="5" t="n">
        <v>1</v>
      </c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6" t="n">
        <v>1</v>
      </c>
      <c r="U124" s="5" t="n"/>
    </row>
    <row r="125" ht="16" customHeight="1" thickBot="1">
      <c r="A125" s="1" t="inlineStr">
        <is>
          <t>K. Steyn</t>
        </is>
      </c>
      <c r="B125" s="34">
        <f t="array" ref="B125:C125">_xlfn.XLOOKUP(A125,'Player List'!$A$2:$A$177,'Player List'!$B$2:$C$177)</f>
        <v/>
      </c>
      <c r="C125" s="34" t="inlineStr">
        <is>
          <t>Back Three</t>
        </is>
      </c>
      <c r="D125" s="34">
        <f>_xlfn.XLOOKUP(B125,$B$2:$B$7,$C$2:$C$7)</f>
        <v/>
      </c>
      <c r="E125" s="2" t="n">
        <v>69</v>
      </c>
      <c r="F125" s="2" t="n">
        <v>2</v>
      </c>
      <c r="G125" s="2" t="n"/>
      <c r="H125" s="2" t="n"/>
      <c r="I125" s="2" t="n">
        <v>45</v>
      </c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3" t="n">
        <v>11</v>
      </c>
      <c r="U125" s="2" t="n"/>
    </row>
    <row r="126" ht="16" customHeight="1" thickBot="1">
      <c r="A126" s="4" t="inlineStr">
        <is>
          <t>D. van der Merwe</t>
        </is>
      </c>
      <c r="B126" s="34">
        <f t="array" ref="B126:C126">_xlfn.XLOOKUP(A126,'Player List'!$A$2:$A$177,'Player List'!$B$2:$C$177)</f>
        <v/>
      </c>
      <c r="C126" s="34" t="inlineStr">
        <is>
          <t>Back Three</t>
        </is>
      </c>
      <c r="D126" s="34">
        <f>_xlfn.XLOOKUP(B126,$B$2:$B$7,$C$2:$C$7)</f>
        <v/>
      </c>
      <c r="E126" s="5" t="n">
        <v>80</v>
      </c>
      <c r="F126" s="5" t="n">
        <v>4</v>
      </c>
      <c r="G126" s="5" t="n"/>
      <c r="H126" s="5" t="n"/>
      <c r="I126" s="5" t="n">
        <v>21</v>
      </c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6" t="n">
        <v>8.199999999999999</v>
      </c>
      <c r="U126" s="5" t="n"/>
    </row>
    <row r="127" ht="16" customHeight="1" thickBot="1">
      <c r="A127" s="7" t="inlineStr">
        <is>
          <t>H. Jones</t>
        </is>
      </c>
      <c r="B127" s="34">
        <f t="array" ref="B127:C127">_xlfn.XLOOKUP(A127,'Player List'!$A$2:$A$177,'Player List'!$B$2:$C$177)</f>
        <v/>
      </c>
      <c r="C127" s="34" t="inlineStr">
        <is>
          <t>Centre</t>
        </is>
      </c>
      <c r="D127" s="34">
        <f>_xlfn.XLOOKUP(B127,$B$2:$B$7,$C$2:$C$7)</f>
        <v/>
      </c>
      <c r="E127" s="2" t="n">
        <v>80</v>
      </c>
      <c r="F127" s="2" t="n">
        <v>4</v>
      </c>
      <c r="G127" s="2" t="n"/>
      <c r="H127" s="2" t="n">
        <v>1</v>
      </c>
      <c r="I127" s="2" t="n">
        <v>141</v>
      </c>
      <c r="J127" s="2" t="n"/>
      <c r="K127" s="2" t="n"/>
      <c r="L127" s="2" t="n"/>
      <c r="M127" s="2" t="n">
        <v>2</v>
      </c>
      <c r="N127" s="2" t="n"/>
      <c r="O127" s="2" t="n"/>
      <c r="P127" s="2" t="n"/>
      <c r="Q127" s="2" t="n"/>
      <c r="R127" s="2" t="n"/>
      <c r="S127" s="2" t="n"/>
      <c r="T127" s="3" t="n">
        <v>69.2</v>
      </c>
      <c r="U127" s="2" t="n"/>
    </row>
    <row r="128" ht="16" customHeight="1" thickBot="1">
      <c r="A128" s="8" t="inlineStr">
        <is>
          <t>S. Tuipulotu</t>
        </is>
      </c>
      <c r="B128" s="34">
        <f t="array" ref="B128:C128">_xlfn.XLOOKUP(A128,'Player List'!$A$2:$A$177,'Player List'!$B$2:$C$177)</f>
        <v/>
      </c>
      <c r="C128" s="34" t="inlineStr">
        <is>
          <t>Centre</t>
        </is>
      </c>
      <c r="D128" s="34">
        <f>_xlfn.XLOOKUP(B128,$B$2:$B$7,$C$2:$C$7)</f>
        <v/>
      </c>
      <c r="E128" s="5" t="n">
        <v>80</v>
      </c>
      <c r="F128" s="5" t="n">
        <v>9</v>
      </c>
      <c r="G128" s="5" t="n"/>
      <c r="H128" s="5" t="n"/>
      <c r="I128" s="5" t="n">
        <v>52</v>
      </c>
      <c r="J128" s="5" t="n"/>
      <c r="K128" s="5" t="n"/>
      <c r="L128" s="5" t="n"/>
      <c r="M128" s="5" t="n"/>
      <c r="N128" s="5" t="n">
        <v>1</v>
      </c>
      <c r="O128" s="5" t="n"/>
      <c r="P128" s="5" t="n"/>
      <c r="Q128" s="5" t="n"/>
      <c r="R128" s="5" t="n"/>
      <c r="S128" s="5" t="n"/>
      <c r="T128" s="6" t="n">
        <v>26.4</v>
      </c>
      <c r="U128" s="5" t="n"/>
    </row>
    <row r="129" ht="16" customHeight="1" thickBot="1">
      <c r="A129" s="9" t="inlineStr">
        <is>
          <t>F. Russell</t>
        </is>
      </c>
      <c r="B129" s="34">
        <f t="array" ref="B129:C129">_xlfn.XLOOKUP(A129,'Player List'!$A$2:$A$177,'Player List'!$B$2:$C$177)</f>
        <v/>
      </c>
      <c r="C129" s="34" t="inlineStr">
        <is>
          <t>Fly Half</t>
        </is>
      </c>
      <c r="D129" s="34">
        <f>_xlfn.XLOOKUP(B129,$B$2:$B$7,$C$2:$C$7)</f>
        <v/>
      </c>
      <c r="E129" s="2" t="n">
        <v>80</v>
      </c>
      <c r="F129" s="2" t="n">
        <v>7</v>
      </c>
      <c r="G129" s="2" t="n"/>
      <c r="H129" s="2" t="n">
        <v>1</v>
      </c>
      <c r="I129" s="2" t="n">
        <v>117</v>
      </c>
      <c r="J129" s="2" t="n">
        <v>1</v>
      </c>
      <c r="K129" s="2" t="n"/>
      <c r="L129" s="2" t="n"/>
      <c r="M129" s="2" t="n">
        <v>1</v>
      </c>
      <c r="N129" s="2" t="n">
        <v>1</v>
      </c>
      <c r="O129" s="2" t="n">
        <v>3</v>
      </c>
      <c r="P129" s="2" t="n"/>
      <c r="Q129" s="2" t="n"/>
      <c r="R129" s="2" t="n"/>
      <c r="S129" s="2" t="n"/>
      <c r="T129" s="3" t="n">
        <v>75.40000000000001</v>
      </c>
      <c r="U129" s="2" t="n"/>
    </row>
    <row r="130" ht="16" customHeight="1" thickBot="1">
      <c r="A130" s="12" t="inlineStr">
        <is>
          <t>A. Price</t>
        </is>
      </c>
      <c r="B130" s="34">
        <f t="array" ref="B130:C130">_xlfn.XLOOKUP(A130,'Player List'!$A$2:$A$177,'Player List'!$B$2:$C$177)</f>
        <v/>
      </c>
      <c r="C130" s="34" t="inlineStr">
        <is>
          <t>Scrum Half</t>
        </is>
      </c>
      <c r="D130" s="34">
        <f>_xlfn.XLOOKUP(B130,$B$2:$B$7,$C$2:$C$7)</f>
        <v/>
      </c>
      <c r="E130" s="5" t="n">
        <v>23</v>
      </c>
      <c r="F130" s="5" t="n">
        <v>1</v>
      </c>
      <c r="G130" s="5" t="n"/>
      <c r="H130" s="5" t="n"/>
      <c r="I130" s="5" t="n"/>
      <c r="J130" s="5" t="n"/>
      <c r="K130" s="5" t="n"/>
      <c r="L130" s="5" t="n"/>
      <c r="M130" s="5" t="n"/>
      <c r="N130" s="5" t="n">
        <v>1</v>
      </c>
      <c r="O130" s="5" t="n"/>
      <c r="P130" s="5" t="n"/>
      <c r="Q130" s="5" t="n"/>
      <c r="R130" s="5" t="n"/>
      <c r="S130" s="5" t="n"/>
      <c r="T130" s="6" t="n">
        <v>8</v>
      </c>
      <c r="U130" s="5" t="n"/>
    </row>
    <row r="131" ht="16" customHeight="1" thickBot="1">
      <c r="A131" s="11" t="inlineStr">
        <is>
          <t>B. White</t>
        </is>
      </c>
      <c r="B131" s="34">
        <f t="array" ref="B131:C131">_xlfn.XLOOKUP(A131,'Player List'!$A$2:$A$177,'Player List'!$B$2:$C$177)</f>
        <v/>
      </c>
      <c r="C131" s="34" t="inlineStr">
        <is>
          <t>Scrum Half</t>
        </is>
      </c>
      <c r="D131" s="34">
        <f>_xlfn.XLOOKUP(B131,$B$2:$B$7,$C$2:$C$7)</f>
        <v/>
      </c>
      <c r="E131" s="2" t="n">
        <v>57</v>
      </c>
      <c r="F131" s="2" t="n">
        <v>5</v>
      </c>
      <c r="G131" s="2" t="n"/>
      <c r="H131" s="2" t="n"/>
      <c r="I131" s="2" t="n">
        <v>20</v>
      </c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3" t="n">
        <v>9</v>
      </c>
      <c r="U131" s="2" t="n"/>
    </row>
    <row r="132" ht="16" customHeight="1" thickBot="1">
      <c r="A132" s="14" t="inlineStr">
        <is>
          <t>J. Dempsey</t>
        </is>
      </c>
      <c r="B132" s="34">
        <f t="array" ref="B132:C132">_xlfn.XLOOKUP(A132,'Player List'!$A$2:$A$177,'Player List'!$B$2:$C$177)</f>
        <v/>
      </c>
      <c r="C132" s="34" t="inlineStr">
        <is>
          <t>Back Row</t>
        </is>
      </c>
      <c r="D132" s="34">
        <f>_xlfn.XLOOKUP(B132,$B$2:$B$7,$C$2:$C$7)</f>
        <v/>
      </c>
      <c r="E132" s="5" t="n">
        <v>23</v>
      </c>
      <c r="F132" s="5" t="n">
        <v>2</v>
      </c>
      <c r="G132" s="5" t="n"/>
      <c r="H132" s="5" t="n"/>
      <c r="I132" s="5" t="n">
        <v>20</v>
      </c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6" t="n">
        <v>6</v>
      </c>
      <c r="U132" s="5" t="n"/>
    </row>
    <row r="133" ht="16" customHeight="1" thickBot="1">
      <c r="A133" s="13" t="inlineStr">
        <is>
          <t>M. Fagerson</t>
        </is>
      </c>
      <c r="B133" s="34">
        <f t="array" ref="B133:C133">_xlfn.XLOOKUP(A133,'Player List'!$A$2:$A$177,'Player List'!$B$2:$C$177)</f>
        <v/>
      </c>
      <c r="C133" s="34" t="inlineStr">
        <is>
          <t>Back Row</t>
        </is>
      </c>
      <c r="D133" s="34">
        <f>_xlfn.XLOOKUP(B133,$B$2:$B$7,$C$2:$C$7)</f>
        <v/>
      </c>
      <c r="E133" s="2" t="n">
        <v>57</v>
      </c>
      <c r="F133" s="2" t="n">
        <v>11</v>
      </c>
      <c r="G133" s="2" t="n"/>
      <c r="H133" s="2" t="n"/>
      <c r="I133" s="2" t="n">
        <v>17</v>
      </c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3" t="n">
        <v>14.4</v>
      </c>
      <c r="U133" s="2" t="n"/>
    </row>
    <row r="134" ht="16" customHeight="1" thickBot="1">
      <c r="A134" s="14" t="inlineStr">
        <is>
          <t>J. Ritchie</t>
        </is>
      </c>
      <c r="B134" s="34">
        <f t="array" ref="B134:C134">_xlfn.XLOOKUP(A134,'Player List'!$A$2:$A$177,'Player List'!$B$2:$C$177)</f>
        <v/>
      </c>
      <c r="C134" s="34" t="inlineStr">
        <is>
          <t>Back Row</t>
        </is>
      </c>
      <c r="D134" s="34">
        <f>_xlfn.XLOOKUP(B134,$B$2:$B$7,$C$2:$C$7)</f>
        <v/>
      </c>
      <c r="E134" s="5" t="n">
        <v>80</v>
      </c>
      <c r="F134" s="5" t="n">
        <v>13</v>
      </c>
      <c r="G134" s="5" t="n"/>
      <c r="H134" s="5" t="n"/>
      <c r="I134" s="5" t="n">
        <v>46</v>
      </c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6" t="n">
        <v>22.2</v>
      </c>
      <c r="U134" s="5" t="n"/>
    </row>
    <row r="135" ht="16" customHeight="1" thickBot="1">
      <c r="A135" s="13" t="inlineStr">
        <is>
          <t>S. Skinner</t>
        </is>
      </c>
      <c r="B135" s="34">
        <f t="array" ref="B135:C135">_xlfn.XLOOKUP(A135,'Player List'!$A$2:$A$177,'Player List'!$B$2:$C$177)</f>
        <v/>
      </c>
      <c r="C135" s="34" t="inlineStr">
        <is>
          <t>Back Row</t>
        </is>
      </c>
      <c r="D135" s="34">
        <f>_xlfn.XLOOKUP(B135,$B$2:$B$7,$C$2:$C$7)</f>
        <v/>
      </c>
      <c r="E135" s="2" t="n">
        <v>9</v>
      </c>
      <c r="F135" s="2" t="n">
        <v>4</v>
      </c>
      <c r="G135" s="2" t="n"/>
      <c r="H135" s="2" t="n"/>
      <c r="I135" s="2" t="n"/>
      <c r="J135" s="2" t="n"/>
      <c r="K135" s="2" t="n"/>
      <c r="L135" s="2" t="n">
        <v>1</v>
      </c>
      <c r="M135" s="2" t="n"/>
      <c r="N135" s="2" t="n"/>
      <c r="O135" s="2" t="n"/>
      <c r="P135" s="2" t="n"/>
      <c r="Q135" s="2" t="n"/>
      <c r="R135" s="2" t="n"/>
      <c r="S135" s="2" t="n"/>
      <c r="T135" s="3" t="n">
        <v>11</v>
      </c>
      <c r="U135" s="2" t="n"/>
    </row>
    <row r="136" ht="16" customHeight="1" thickBot="1">
      <c r="A136" s="14" t="inlineStr">
        <is>
          <t>H. Watson</t>
        </is>
      </c>
      <c r="B136" s="34">
        <f t="array" ref="B136:C136">_xlfn.XLOOKUP(A136,'Player List'!$A$2:$A$177,'Player List'!$B$2:$C$177)</f>
        <v/>
      </c>
      <c r="C136" s="34" t="inlineStr">
        <is>
          <t>Back Row</t>
        </is>
      </c>
      <c r="D136" s="34">
        <f>_xlfn.XLOOKUP(B136,$B$2:$B$7,$C$2:$C$7)</f>
        <v/>
      </c>
      <c r="E136" s="5" t="n">
        <v>10</v>
      </c>
      <c r="F136" s="5" t="n">
        <v>5</v>
      </c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6" t="n">
        <v>5</v>
      </c>
      <c r="U136" s="5" t="n"/>
    </row>
    <row r="137" ht="16" customHeight="1" thickBot="1">
      <c r="A137" s="15" t="inlineStr">
        <is>
          <t>G. Gilchrist</t>
        </is>
      </c>
      <c r="B137" s="34">
        <f t="array" ref="B137:C137">_xlfn.XLOOKUP(A137,'Player List'!$A$2:$A$177,'Player List'!$B$2:$C$177)</f>
        <v/>
      </c>
      <c r="C137" s="34" t="inlineStr">
        <is>
          <t>Second Row</t>
        </is>
      </c>
      <c r="D137" s="34">
        <f>_xlfn.XLOOKUP(B137,$B$2:$B$7,$C$2:$C$7)</f>
        <v/>
      </c>
      <c r="E137" s="2" t="n">
        <v>7</v>
      </c>
      <c r="F137" s="2" t="n">
        <v>3</v>
      </c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>
        <v>1</v>
      </c>
      <c r="T137" s="3" t="n">
        <v>-7</v>
      </c>
      <c r="U137" s="2" t="n"/>
    </row>
    <row r="138" ht="16" customHeight="1" thickBot="1">
      <c r="A138" s="16" t="inlineStr">
        <is>
          <t>J. Gray</t>
        </is>
      </c>
      <c r="B138" s="34">
        <f t="array" ref="B138:C138">_xlfn.XLOOKUP(A138,'Player List'!$A$2:$A$177,'Player List'!$B$2:$C$177)</f>
        <v/>
      </c>
      <c r="C138" s="34" t="inlineStr">
        <is>
          <t>Second Row</t>
        </is>
      </c>
      <c r="D138" s="34">
        <f>_xlfn.XLOOKUP(B138,$B$2:$B$7,$C$2:$C$7)</f>
        <v/>
      </c>
      <c r="E138" s="5" t="n">
        <v>70</v>
      </c>
      <c r="F138" s="5" t="n">
        <v>8</v>
      </c>
      <c r="G138" s="5" t="n">
        <v>1</v>
      </c>
      <c r="H138" s="5" t="n"/>
      <c r="I138" s="5" t="n">
        <v>28</v>
      </c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6" t="n">
        <v>20.6</v>
      </c>
      <c r="U138" s="5" t="n"/>
    </row>
    <row r="139" ht="16" customHeight="1" thickBot="1">
      <c r="A139" s="15" t="inlineStr">
        <is>
          <t>R. Gray</t>
        </is>
      </c>
      <c r="B139" s="34">
        <f t="array" ref="B139:C139">_xlfn.XLOOKUP(A139,'Player List'!$A$2:$A$177,'Player List'!$B$2:$C$177)</f>
        <v/>
      </c>
      <c r="C139" s="34" t="inlineStr">
        <is>
          <t>Second Row</t>
        </is>
      </c>
      <c r="D139" s="34">
        <f>_xlfn.XLOOKUP(B139,$B$2:$B$7,$C$2:$C$7)</f>
        <v/>
      </c>
      <c r="E139" s="2" t="n">
        <v>71</v>
      </c>
      <c r="F139" s="2" t="n">
        <v>7</v>
      </c>
      <c r="G139" s="2" t="n"/>
      <c r="H139" s="2" t="n"/>
      <c r="I139" s="2" t="n">
        <v>15</v>
      </c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3" t="n">
        <v>10</v>
      </c>
      <c r="U139" s="2" t="n"/>
    </row>
    <row r="140" ht="16" customHeight="1" thickBot="1">
      <c r="A140" s="17" t="inlineStr">
        <is>
          <t>J. Bhatti</t>
        </is>
      </c>
      <c r="B140" s="34">
        <f t="array" ref="B140:C140">_xlfn.XLOOKUP(A140,'Player List'!$A$2:$A$177,'Player List'!$B$2:$C$177)</f>
        <v/>
      </c>
      <c r="C140" s="34" t="inlineStr">
        <is>
          <t>Prop</t>
        </is>
      </c>
      <c r="D140" s="34">
        <f>_xlfn.XLOOKUP(B140,$B$2:$B$7,$C$2:$C$7)</f>
        <v/>
      </c>
      <c r="E140" s="5" t="n">
        <v>17</v>
      </c>
      <c r="F140" s="5" t="n">
        <v>2</v>
      </c>
      <c r="G140" s="5" t="n">
        <v>1</v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6" t="n">
        <v>9</v>
      </c>
      <c r="U140" s="5" t="n"/>
    </row>
    <row r="141" ht="16" customHeight="1" thickBot="1">
      <c r="A141" s="18" t="inlineStr">
        <is>
          <t>Z. Fagerson</t>
        </is>
      </c>
      <c r="B141" s="34">
        <f t="array" ref="B141:C141">_xlfn.XLOOKUP(A141,'Player List'!$A$2:$A$177,'Player List'!$B$2:$C$177)</f>
        <v/>
      </c>
      <c r="C141" s="34" t="inlineStr">
        <is>
          <t>Prop</t>
        </is>
      </c>
      <c r="D141" s="34">
        <f>_xlfn.XLOOKUP(B141,$B$2:$B$7,$C$2:$C$7)</f>
        <v/>
      </c>
      <c r="E141" s="2" t="n">
        <v>63</v>
      </c>
      <c r="F141" s="2" t="n">
        <v>6</v>
      </c>
      <c r="G141" s="2" t="n"/>
      <c r="H141" s="2" t="n"/>
      <c r="I141" s="2" t="n">
        <v>29</v>
      </c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3" t="n">
        <v>11.8</v>
      </c>
      <c r="U141" s="2" t="n"/>
    </row>
    <row r="142" ht="16" customHeight="1" thickBot="1">
      <c r="A142" s="17" t="inlineStr">
        <is>
          <t>W. Nel</t>
        </is>
      </c>
      <c r="B142" s="34">
        <f t="array" ref="B142:C142">_xlfn.XLOOKUP(A142,'Player List'!$A$2:$A$177,'Player List'!$B$2:$C$177)</f>
        <v/>
      </c>
      <c r="C142" s="34" t="inlineStr">
        <is>
          <t>Prop</t>
        </is>
      </c>
      <c r="D142" s="34">
        <f>_xlfn.XLOOKUP(B142,$B$2:$B$7,$C$2:$C$7)</f>
        <v/>
      </c>
      <c r="E142" s="5" t="n">
        <v>17</v>
      </c>
      <c r="F142" s="5" t="n">
        <v>3</v>
      </c>
      <c r="G142" s="5" t="n"/>
      <c r="H142" s="5" t="n"/>
      <c r="I142" s="5" t="n">
        <v>5</v>
      </c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6" t="n">
        <v>4</v>
      </c>
      <c r="U142" s="5" t="n"/>
    </row>
    <row r="143" ht="16" customHeight="1" thickBot="1">
      <c r="A143" s="18" t="inlineStr">
        <is>
          <t>P. Schoeman</t>
        </is>
      </c>
      <c r="B143" s="34">
        <f t="array" ref="B143:C143">_xlfn.XLOOKUP(A143,'Player List'!$A$2:$A$177,'Player List'!$B$2:$C$177)</f>
        <v/>
      </c>
      <c r="C143" s="34" t="inlineStr">
        <is>
          <t>Prop</t>
        </is>
      </c>
      <c r="D143" s="34">
        <f>_xlfn.XLOOKUP(B143,$B$2:$B$7,$C$2:$C$7)</f>
        <v/>
      </c>
      <c r="E143" s="2" t="n">
        <v>63</v>
      </c>
      <c r="F143" s="2" t="n">
        <v>7</v>
      </c>
      <c r="G143" s="2" t="n"/>
      <c r="H143" s="2" t="n"/>
      <c r="I143" s="2" t="n">
        <v>65</v>
      </c>
      <c r="J143" s="2" t="n"/>
      <c r="K143" s="2" t="n"/>
      <c r="L143" s="2" t="n">
        <v>1</v>
      </c>
      <c r="M143" s="2" t="n"/>
      <c r="N143" s="2" t="n"/>
      <c r="O143" s="2" t="n"/>
      <c r="P143" s="2" t="n"/>
      <c r="Q143" s="2" t="n"/>
      <c r="R143" s="2" t="n"/>
      <c r="S143" s="2" t="n"/>
      <c r="T143" s="3" t="n">
        <v>27</v>
      </c>
      <c r="U143" s="2" t="n"/>
    </row>
    <row r="144" ht="16" customHeight="1" thickBot="1">
      <c r="A144" s="19" t="inlineStr">
        <is>
          <t>F. Brown</t>
        </is>
      </c>
      <c r="B144" s="34">
        <f t="array" ref="B144:C144">_xlfn.XLOOKUP(A144,'Player List'!$A$2:$A$177,'Player List'!$B$2:$C$177)</f>
        <v/>
      </c>
      <c r="C144" s="34" t="inlineStr">
        <is>
          <t>Hooker</t>
        </is>
      </c>
      <c r="D144" s="34">
        <f>_xlfn.XLOOKUP(B144,$B$2:$B$7,$C$2:$C$7)</f>
        <v/>
      </c>
      <c r="E144" s="5" t="n">
        <v>17</v>
      </c>
      <c r="F144" s="5" t="n">
        <v>4</v>
      </c>
      <c r="G144" s="5" t="n"/>
      <c r="H144" s="5" t="n"/>
      <c r="I144" s="5" t="n">
        <v>7</v>
      </c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6" t="n">
        <v>5.4</v>
      </c>
      <c r="U144" s="5" t="n"/>
    </row>
    <row r="145" ht="16" customHeight="1" thickBot="1">
      <c r="A145" s="20" t="inlineStr">
        <is>
          <t>G. Turner</t>
        </is>
      </c>
      <c r="B145" s="34">
        <f t="array" ref="B145:C145">_xlfn.XLOOKUP(A145,'Player List'!$A$2:$A$177,'Player List'!$B$2:$C$177)</f>
        <v/>
      </c>
      <c r="C145" s="34" t="inlineStr">
        <is>
          <t>Hooker</t>
        </is>
      </c>
      <c r="D145" s="34">
        <f>_xlfn.XLOOKUP(B145,$B$2:$B$7,$C$2:$C$7)</f>
        <v/>
      </c>
      <c r="E145" s="2" t="n">
        <v>63</v>
      </c>
      <c r="F145" s="2" t="n">
        <v>5</v>
      </c>
      <c r="G145" s="2" t="n"/>
      <c r="H145" s="2" t="n"/>
      <c r="I145" s="2" t="n">
        <v>47</v>
      </c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3" t="n">
        <v>14.4</v>
      </c>
      <c r="U145" s="2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2:V147"/>
  <sheetViews>
    <sheetView topLeftCell="C1" workbookViewId="0">
      <selection activeCell="M28" sqref="M28"/>
    </sheetView>
  </sheetViews>
  <sheetFormatPr baseColWidth="10" defaultColWidth="8.83203125" defaultRowHeight="15"/>
  <cols>
    <col width="11.1640625" customWidth="1" min="5" max="5"/>
    <col width="9.83203125" customWidth="1" min="6" max="6"/>
    <col width="10.5" customWidth="1" min="7" max="7"/>
    <col width="11.83203125" customWidth="1" min="8" max="8"/>
    <col width="9.83203125" customWidth="1" min="9" max="9"/>
    <col width="10.1640625" customWidth="1" min="10" max="10"/>
    <col width="11.6640625" customWidth="1" min="12" max="12"/>
  </cols>
  <sheetData>
    <row r="2">
      <c r="B2" t="inlineStr">
        <is>
          <t>Scotland</t>
        </is>
      </c>
      <c r="C2" t="inlineStr">
        <is>
          <t>Loss</t>
        </is>
      </c>
      <c r="E2" t="inlineStr">
        <is>
          <t>Italy</t>
        </is>
      </c>
      <c r="F2" t="n">
        <v>17</v>
      </c>
      <c r="G2" t="n">
        <v>29</v>
      </c>
      <c r="H2" t="inlineStr">
        <is>
          <t>Wales</t>
        </is>
      </c>
    </row>
    <row r="3">
      <c r="B3" t="inlineStr">
        <is>
          <t>Wales</t>
        </is>
      </c>
      <c r="C3" t="inlineStr">
        <is>
          <t>Win</t>
        </is>
      </c>
      <c r="E3" t="inlineStr">
        <is>
          <t>England</t>
        </is>
      </c>
      <c r="F3" t="n">
        <v>53</v>
      </c>
      <c r="G3" t="n">
        <v>10</v>
      </c>
      <c r="H3" t="inlineStr">
        <is>
          <t>France</t>
        </is>
      </c>
    </row>
    <row r="4">
      <c r="B4" t="inlineStr">
        <is>
          <t>Ireland</t>
        </is>
      </c>
      <c r="C4" t="inlineStr">
        <is>
          <t>Win</t>
        </is>
      </c>
      <c r="E4" t="inlineStr">
        <is>
          <t>Scotland</t>
        </is>
      </c>
      <c r="F4" t="n">
        <v>7</v>
      </c>
      <c r="G4" t="n">
        <v>22</v>
      </c>
      <c r="H4" t="inlineStr">
        <is>
          <t>Ireland</t>
        </is>
      </c>
    </row>
    <row r="5">
      <c r="B5" t="inlineStr">
        <is>
          <t>England</t>
        </is>
      </c>
      <c r="C5" t="inlineStr">
        <is>
          <t>Loss</t>
        </is>
      </c>
    </row>
    <row r="6">
      <c r="B6" t="inlineStr">
        <is>
          <t>France</t>
        </is>
      </c>
      <c r="C6" t="inlineStr">
        <is>
          <t>Win</t>
        </is>
      </c>
    </row>
    <row r="7">
      <c r="B7" t="inlineStr">
        <is>
          <t>Italy</t>
        </is>
      </c>
      <c r="C7" t="inlineStr">
        <is>
          <t>Loss</t>
        </is>
      </c>
    </row>
    <row r="8" ht="16" customHeight="1" thickBot="1"/>
    <row r="9" ht="31" customHeight="1" thickBot="1">
      <c r="A9" t="inlineStr">
        <is>
          <t>Name</t>
        </is>
      </c>
      <c r="B9" s="40" t="inlineStr">
        <is>
          <t>Nation</t>
        </is>
      </c>
      <c r="C9" s="40" t="inlineStr">
        <is>
          <t>Position</t>
        </is>
      </c>
      <c r="D9" t="inlineStr">
        <is>
          <t>Win/Loss</t>
        </is>
      </c>
      <c r="E9" t="inlineStr">
        <is>
          <t>Time Played</t>
        </is>
      </c>
      <c r="F9" s="35" t="inlineStr">
        <is>
          <t>Tackles</t>
        </is>
      </c>
      <c r="G9" s="35" t="inlineStr">
        <is>
          <t>Dominant Tackles</t>
        </is>
      </c>
      <c r="H9" s="35" t="inlineStr">
        <is>
          <t>Line Breaks</t>
        </is>
      </c>
      <c r="I9" s="35" t="inlineStr">
        <is>
          <t>Metres Carried</t>
        </is>
      </c>
      <c r="J9" s="35" t="inlineStr">
        <is>
          <t>50-22</t>
        </is>
      </c>
      <c r="K9" s="35" t="inlineStr">
        <is>
          <t>Lineout Steal</t>
        </is>
      </c>
      <c r="L9" s="35" t="inlineStr">
        <is>
          <t>Breakdown Steal</t>
        </is>
      </c>
      <c r="M9" s="35" t="inlineStr">
        <is>
          <t>Try</t>
        </is>
      </c>
      <c r="N9" s="35" t="inlineStr">
        <is>
          <t>Assists</t>
        </is>
      </c>
      <c r="O9" s="35" t="inlineStr">
        <is>
          <t>Conversion</t>
        </is>
      </c>
      <c r="P9" s="35" t="inlineStr">
        <is>
          <t>Penalty</t>
        </is>
      </c>
      <c r="Q9" s="35" t="inlineStr">
        <is>
          <t>Drop Goal</t>
        </is>
      </c>
      <c r="R9" s="35" t="inlineStr">
        <is>
          <t>Yellow Card</t>
        </is>
      </c>
      <c r="S9" s="35" t="inlineStr">
        <is>
          <t>Red Card</t>
        </is>
      </c>
      <c r="T9" s="35" t="inlineStr">
        <is>
          <t>Game Total</t>
        </is>
      </c>
      <c r="U9" s="35" t="inlineStr">
        <is>
          <t>MoM</t>
        </is>
      </c>
      <c r="V9" s="35" t="inlineStr">
        <is>
          <t>Total Points</t>
        </is>
      </c>
    </row>
    <row r="10" ht="16" customHeight="1" thickBot="1">
      <c r="A10" s="1" t="inlineStr">
        <is>
          <t>P. Bruno</t>
        </is>
      </c>
      <c r="B10" s="34">
        <f t="array" ref="B10:C10">_xlfn.XLOOKUP(A10,'Player List'!$A$2:$A$177,'Player List'!$B$2:$C$177)</f>
        <v/>
      </c>
      <c r="C10" s="34" t="inlineStr">
        <is>
          <t>Back Three</t>
        </is>
      </c>
      <c r="D10" s="34">
        <f>_xlfn.XLOOKUP(B10,$B$2:$B$7,$C$2:$C$7)</f>
        <v/>
      </c>
      <c r="E10" s="2" t="n">
        <v>69</v>
      </c>
      <c r="F10" s="2" t="n">
        <v>2</v>
      </c>
      <c r="G10" s="2" t="n"/>
      <c r="H10" s="2" t="n"/>
      <c r="I10" s="2" t="n">
        <v>29</v>
      </c>
      <c r="J10" s="2" t="n"/>
      <c r="K10" s="2" t="n"/>
      <c r="L10" s="2" t="n"/>
      <c r="M10" s="2" t="n"/>
      <c r="N10" s="2" t="n">
        <v>1</v>
      </c>
      <c r="O10" s="2" t="n"/>
      <c r="P10" s="2" t="n"/>
      <c r="Q10" s="2" t="n"/>
      <c r="R10" s="2" t="n">
        <v>1</v>
      </c>
      <c r="S10" s="2" t="n"/>
      <c r="T10" s="3" t="n">
        <v>9.800000000000001</v>
      </c>
      <c r="U10" s="2" t="n"/>
    </row>
    <row r="11" ht="16" customHeight="1" thickBot="1">
      <c r="A11" s="4" t="inlineStr">
        <is>
          <t>A. Fusco</t>
        </is>
      </c>
      <c r="B11" s="34">
        <f t="array" ref="B11:C11">_xlfn.XLOOKUP(A11,'Player List'!$A$2:$A$177,'Player List'!$B$2:$C$177)</f>
        <v/>
      </c>
      <c r="C11" s="34" t="inlineStr">
        <is>
          <t>Back Three</t>
        </is>
      </c>
      <c r="D11" s="34">
        <f>_xlfn.XLOOKUP(B11,$B$2:$B$7,$C$2:$C$7)</f>
        <v/>
      </c>
      <c r="E11" s="5" t="n">
        <v>24</v>
      </c>
      <c r="F11" s="5" t="n"/>
      <c r="G11" s="5" t="n"/>
      <c r="H11" s="5" t="n">
        <v>1</v>
      </c>
      <c r="I11" s="5" t="n">
        <v>50</v>
      </c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6" t="n">
        <v>17</v>
      </c>
      <c r="U11" s="5" t="n"/>
    </row>
    <row r="12" ht="16" customHeight="1" thickBot="1">
      <c r="A12" s="1" t="inlineStr">
        <is>
          <t>T. Menoncello</t>
        </is>
      </c>
      <c r="B12" s="34">
        <f t="array" ref="B12:C12">_xlfn.XLOOKUP(A12,'Player List'!$A$2:$A$177,'Player List'!$B$2:$C$177)</f>
        <v/>
      </c>
      <c r="C12" s="34" t="inlineStr">
        <is>
          <t>Back Three</t>
        </is>
      </c>
      <c r="D12" s="34">
        <f>_xlfn.XLOOKUP(B12,$B$2:$B$7,$C$2:$C$7)</f>
        <v/>
      </c>
      <c r="E12" s="2" t="n">
        <v>59</v>
      </c>
      <c r="F12" s="2" t="n">
        <v>7</v>
      </c>
      <c r="G12" s="2" t="n">
        <v>1</v>
      </c>
      <c r="H12" s="2" t="n">
        <v>1</v>
      </c>
      <c r="I12" s="2" t="n">
        <v>79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3" t="n">
        <v>36.8</v>
      </c>
      <c r="U12" s="2" t="n"/>
    </row>
    <row r="13" ht="16" customHeight="1" thickBot="1">
      <c r="A13" s="4" t="inlineStr">
        <is>
          <t>E. Padovani</t>
        </is>
      </c>
      <c r="B13" s="34">
        <f t="array" ref="B13:C13">_xlfn.XLOOKUP(A13,'Player List'!$A$2:$A$177,'Player List'!$B$2:$C$177)</f>
        <v/>
      </c>
      <c r="C13" s="34" t="inlineStr">
        <is>
          <t>Back Three</t>
        </is>
      </c>
      <c r="D13" s="34">
        <f>_xlfn.XLOOKUP(B13,$B$2:$B$7,$C$2:$C$7)</f>
        <v/>
      </c>
      <c r="E13" s="5" t="n">
        <v>80</v>
      </c>
      <c r="F13" s="5" t="n">
        <v>1</v>
      </c>
      <c r="G13" s="5" t="n">
        <v>1</v>
      </c>
      <c r="H13" s="5" t="n">
        <v>1</v>
      </c>
      <c r="I13" s="5" t="n">
        <v>51</v>
      </c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6" t="n">
        <v>25.2</v>
      </c>
      <c r="U13" s="5" t="n"/>
    </row>
    <row r="14" ht="16" customHeight="1" thickBot="1">
      <c r="A14" s="7" t="inlineStr">
        <is>
          <t>J. Brex</t>
        </is>
      </c>
      <c r="B14" s="34">
        <f t="array" ref="B14:C14">_xlfn.XLOOKUP(A14,'Player List'!$A$2:$A$177,'Player List'!$B$2:$C$177)</f>
        <v/>
      </c>
      <c r="C14" s="34" t="inlineStr">
        <is>
          <t>Centre</t>
        </is>
      </c>
      <c r="D14" s="34">
        <f>_xlfn.XLOOKUP(B14,$B$2:$B$7,$C$2:$C$7)</f>
        <v/>
      </c>
      <c r="E14" s="2" t="n">
        <v>80</v>
      </c>
      <c r="F14" s="2" t="n">
        <v>2</v>
      </c>
      <c r="G14" s="2" t="n"/>
      <c r="H14" s="2" t="n">
        <v>1</v>
      </c>
      <c r="I14" s="2" t="n">
        <v>90</v>
      </c>
      <c r="J14" s="2" t="n"/>
      <c r="K14" s="2" t="n"/>
      <c r="L14" s="2" t="n"/>
      <c r="M14" s="2" t="n">
        <v>1</v>
      </c>
      <c r="N14" s="2" t="n"/>
      <c r="O14" s="2" t="n"/>
      <c r="P14" s="2" t="n"/>
      <c r="Q14" s="2" t="n"/>
      <c r="R14" s="2" t="n"/>
      <c r="S14" s="2" t="n"/>
      <c r="T14" s="3" t="n">
        <v>42</v>
      </c>
      <c r="U14" s="2" t="n"/>
    </row>
    <row r="15" ht="16" customHeight="1" thickBot="1">
      <c r="A15" s="8" t="inlineStr">
        <is>
          <t>L. Morisi</t>
        </is>
      </c>
      <c r="B15" s="34">
        <f t="array" ref="B15:C15">_xlfn.XLOOKUP(A15,'Player List'!$A$2:$A$177,'Player List'!$B$2:$C$177)</f>
        <v/>
      </c>
      <c r="C15" s="34" t="inlineStr">
        <is>
          <t>Centre</t>
        </is>
      </c>
      <c r="D15" s="34">
        <f>_xlfn.XLOOKUP(B15,$B$2:$B$7,$C$2:$C$7)</f>
        <v/>
      </c>
      <c r="E15" s="5" t="n">
        <v>21</v>
      </c>
      <c r="F15" s="5" t="n"/>
      <c r="G15" s="5" t="n"/>
      <c r="H15" s="5" t="n"/>
      <c r="I15" s="5" t="n">
        <v>24</v>
      </c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6" t="n">
        <v>4.8</v>
      </c>
      <c r="U15" s="5" t="n"/>
    </row>
    <row r="16" ht="16" customHeight="1" thickBot="1">
      <c r="A16" s="9" t="inlineStr">
        <is>
          <t>T. Allan</t>
        </is>
      </c>
      <c r="B16" s="34">
        <f t="array" ref="B16:C16">_xlfn.XLOOKUP(A16,'Player List'!$A$2:$A$177,'Player List'!$B$2:$C$177)</f>
        <v/>
      </c>
      <c r="C16" s="34" t="inlineStr">
        <is>
          <t>Fly Half</t>
        </is>
      </c>
      <c r="D16" s="34">
        <f>_xlfn.XLOOKUP(B16,$B$2:$B$7,$C$2:$C$7)</f>
        <v/>
      </c>
      <c r="E16" s="2" t="n">
        <v>80</v>
      </c>
      <c r="F16" s="2" t="n"/>
      <c r="G16" s="2" t="n"/>
      <c r="H16" s="2" t="n">
        <v>3</v>
      </c>
      <c r="I16" s="2" t="n">
        <v>78</v>
      </c>
      <c r="J16" s="2" t="n"/>
      <c r="K16" s="2" t="n"/>
      <c r="L16" s="2" t="n"/>
      <c r="M16" s="2" t="n"/>
      <c r="N16" s="2" t="n">
        <v>1</v>
      </c>
      <c r="O16" s="2" t="n">
        <v>2</v>
      </c>
      <c r="P16" s="2" t="n">
        <v>1</v>
      </c>
      <c r="Q16" s="2" t="n"/>
      <c r="R16" s="2" t="n"/>
      <c r="S16" s="2" t="n"/>
      <c r="T16" s="3" t="n">
        <v>52.6</v>
      </c>
      <c r="U16" s="2" t="n"/>
    </row>
    <row r="17" ht="16" customHeight="1" thickBot="1">
      <c r="A17" s="10" t="inlineStr">
        <is>
          <t>P. Garbisi</t>
        </is>
      </c>
      <c r="B17" s="34">
        <f t="array" ref="B17:C17">_xlfn.XLOOKUP(A17,'Player List'!$A$2:$A$177,'Player List'!$B$2:$C$177)</f>
        <v/>
      </c>
      <c r="C17" s="34" t="inlineStr">
        <is>
          <t>Fly Half</t>
        </is>
      </c>
      <c r="D17" s="34">
        <f>_xlfn.XLOOKUP(B17,$B$2:$B$7,$C$2:$C$7)</f>
        <v/>
      </c>
      <c r="E17" s="5" t="n">
        <v>80</v>
      </c>
      <c r="F17" s="5" t="n">
        <v>6</v>
      </c>
      <c r="G17" s="5" t="n"/>
      <c r="H17" s="5" t="n">
        <v>1</v>
      </c>
      <c r="I17" s="5" t="n">
        <v>37</v>
      </c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6" t="n">
        <v>20.4</v>
      </c>
      <c r="U17" s="5" t="n"/>
    </row>
    <row r="18" ht="16" customHeight="1" thickBot="1">
      <c r="A18" s="11" t="inlineStr">
        <is>
          <t>S. Varney</t>
        </is>
      </c>
      <c r="B18" s="34">
        <f t="array" ref="B18:C18">_xlfn.XLOOKUP(A18,'Player List'!$A$2:$A$177,'Player List'!$B$2:$C$177)</f>
        <v/>
      </c>
      <c r="C18" s="34" t="inlineStr">
        <is>
          <t>Scrum Half</t>
        </is>
      </c>
      <c r="D18" s="34">
        <f>_xlfn.XLOOKUP(B18,$B$2:$B$7,$C$2:$C$7)</f>
        <v/>
      </c>
      <c r="E18" s="2" t="n">
        <v>56</v>
      </c>
      <c r="F18" s="2" t="n">
        <v>3</v>
      </c>
      <c r="G18" s="2" t="n"/>
      <c r="H18" s="2" t="n"/>
      <c r="I18" s="2" t="n">
        <v>38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3" t="n">
        <v>10.6</v>
      </c>
      <c r="U18" s="2" t="n"/>
    </row>
    <row r="19" ht="16" customHeight="1" thickBot="1">
      <c r="A19" s="14" t="inlineStr">
        <is>
          <t>E. Iachizzi</t>
        </is>
      </c>
      <c r="B19" s="34">
        <f t="array" ref="B19:C19">_xlfn.XLOOKUP(A19,'Player List'!$A$2:$A$177,'Player List'!$B$2:$C$177)</f>
        <v/>
      </c>
      <c r="C19" s="34" t="inlineStr">
        <is>
          <t>Back Row</t>
        </is>
      </c>
      <c r="D19" s="34">
        <f>_xlfn.XLOOKUP(B19,$B$2:$B$7,$C$2:$C$7)</f>
        <v/>
      </c>
      <c r="E19" s="5" t="n">
        <v>20</v>
      </c>
      <c r="F19" s="5" t="n">
        <v>1</v>
      </c>
      <c r="G19" s="5" t="n"/>
      <c r="H19" s="5" t="n">
        <v>1</v>
      </c>
      <c r="I19" s="5" t="n">
        <v>28</v>
      </c>
      <c r="J19" s="5" t="n"/>
      <c r="K19" s="5" t="n"/>
      <c r="L19" s="5" t="n">
        <v>1</v>
      </c>
      <c r="M19" s="5" t="n"/>
      <c r="N19" s="5" t="n"/>
      <c r="O19" s="5" t="n"/>
      <c r="P19" s="5" t="n"/>
      <c r="Q19" s="5" t="n"/>
      <c r="R19" s="5" t="n"/>
      <c r="S19" s="5" t="n"/>
      <c r="T19" s="6" t="n">
        <v>20.6</v>
      </c>
      <c r="U19" s="5" t="n"/>
    </row>
    <row r="20" ht="16" customHeight="1" thickBot="1">
      <c r="A20" s="13" t="inlineStr">
        <is>
          <t>M. Lamaro</t>
        </is>
      </c>
      <c r="B20" s="34">
        <f t="array" ref="B20:C20">_xlfn.XLOOKUP(A20,'Player List'!$A$2:$A$177,'Player List'!$B$2:$C$177)</f>
        <v/>
      </c>
      <c r="C20" s="34" t="inlineStr">
        <is>
          <t>Back Row</t>
        </is>
      </c>
      <c r="D20" s="34">
        <f>_xlfn.XLOOKUP(B20,$B$2:$B$7,$C$2:$C$7)</f>
        <v/>
      </c>
      <c r="E20" s="2" t="n">
        <v>77</v>
      </c>
      <c r="F20" s="2" t="n">
        <v>7</v>
      </c>
      <c r="G20" s="2" t="n"/>
      <c r="H20" s="2" t="n"/>
      <c r="I20" s="2" t="n">
        <v>24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3" t="n">
        <v>11.8</v>
      </c>
      <c r="U20" s="2" t="n"/>
    </row>
    <row r="21" ht="16" customHeight="1" thickBot="1">
      <c r="A21" s="14" t="inlineStr">
        <is>
          <t>S. Negri</t>
        </is>
      </c>
      <c r="B21" s="34">
        <f t="array" ref="B21:C21">_xlfn.XLOOKUP(A21,'Player List'!$A$2:$A$177,'Player List'!$B$2:$C$177)</f>
        <v/>
      </c>
      <c r="C21" s="34" t="inlineStr">
        <is>
          <t>Back Row</t>
        </is>
      </c>
      <c r="D21" s="34">
        <f>_xlfn.XLOOKUP(B21,$B$2:$B$7,$C$2:$C$7)</f>
        <v/>
      </c>
      <c r="E21" s="5" t="n">
        <v>52</v>
      </c>
      <c r="F21" s="5" t="n">
        <v>5</v>
      </c>
      <c r="G21" s="5" t="n"/>
      <c r="H21" s="5" t="n">
        <v>1</v>
      </c>
      <c r="I21" s="5" t="n">
        <v>50</v>
      </c>
      <c r="J21" s="5" t="n"/>
      <c r="K21" s="5" t="n"/>
      <c r="L21" s="5" t="n"/>
      <c r="M21" s="5" t="n">
        <v>1</v>
      </c>
      <c r="N21" s="5" t="n"/>
      <c r="O21" s="5" t="n"/>
      <c r="P21" s="5" t="n"/>
      <c r="Q21" s="5" t="n"/>
      <c r="R21" s="5" t="n"/>
      <c r="S21" s="5" t="n"/>
      <c r="T21" s="6" t="n">
        <v>37</v>
      </c>
      <c r="U21" s="5" t="n"/>
    </row>
    <row r="22" ht="16" customHeight="1" thickBot="1">
      <c r="A22" s="13" t="inlineStr">
        <is>
          <t>G. Pettinelli</t>
        </is>
      </c>
      <c r="B22" s="34">
        <f t="array" ref="B22:C22">_xlfn.XLOOKUP(A22,'Player List'!$A$2:$A$177,'Player List'!$B$2:$C$177)</f>
        <v/>
      </c>
      <c r="C22" s="34" t="inlineStr">
        <is>
          <t>Back Row</t>
        </is>
      </c>
      <c r="D22" s="34">
        <f>_xlfn.XLOOKUP(B22,$B$2:$B$7,$C$2:$C$7)</f>
        <v/>
      </c>
      <c r="E22" s="2" t="n">
        <v>3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3" t="n">
        <v>0</v>
      </c>
      <c r="U22" s="2" t="n"/>
    </row>
    <row r="23" ht="16" customHeight="1" thickBot="1">
      <c r="A23" s="16" t="inlineStr">
        <is>
          <t>N. Cannone</t>
        </is>
      </c>
      <c r="B23" s="34">
        <f t="array" ref="B23:C23">_xlfn.XLOOKUP(A23,'Player List'!$A$2:$A$177,'Player List'!$B$2:$C$177)</f>
        <v/>
      </c>
      <c r="C23" s="34" t="inlineStr">
        <is>
          <t>Second Row</t>
        </is>
      </c>
      <c r="D23" s="34">
        <f>_xlfn.XLOOKUP(B23,$B$2:$B$7,$C$2:$C$7)</f>
        <v/>
      </c>
      <c r="E23" s="5" t="n">
        <v>60</v>
      </c>
      <c r="F23" s="5" t="n">
        <v>3</v>
      </c>
      <c r="G23" s="5" t="n"/>
      <c r="H23" s="5" t="n"/>
      <c r="I23" s="5" t="n">
        <v>16</v>
      </c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6" t="n">
        <v>6.2</v>
      </c>
      <c r="U23" s="5" t="n"/>
    </row>
    <row r="24" ht="16" customHeight="1" thickBot="1">
      <c r="A24" s="15" t="inlineStr">
        <is>
          <t>L. Cannone</t>
        </is>
      </c>
      <c r="B24" s="34">
        <f t="array" ref="B24:C24">_xlfn.XLOOKUP(A24,'Player List'!$A$2:$A$177,'Player List'!$B$2:$C$177)</f>
        <v/>
      </c>
      <c r="C24" s="34" t="inlineStr">
        <is>
          <t>Second Row</t>
        </is>
      </c>
      <c r="D24" s="34">
        <f>_xlfn.XLOOKUP(B24,$B$2:$B$7,$C$2:$C$7)</f>
        <v/>
      </c>
      <c r="E24" s="2" t="n">
        <v>71</v>
      </c>
      <c r="F24" s="2" t="n">
        <v>7</v>
      </c>
      <c r="G24" s="2" t="n">
        <v>1</v>
      </c>
      <c r="H24" s="2" t="n"/>
      <c r="I24" s="2" t="n">
        <v>51</v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>
        <v>1</v>
      </c>
      <c r="S24" s="2" t="n"/>
      <c r="T24" s="3" t="n">
        <v>19.2</v>
      </c>
      <c r="U24" s="2" t="n"/>
    </row>
    <row r="25" ht="16" customHeight="1" thickBot="1">
      <c r="A25" s="16" t="inlineStr">
        <is>
          <t>F. Ruzza</t>
        </is>
      </c>
      <c r="B25" s="34">
        <f t="array" ref="B25:C25">_xlfn.XLOOKUP(A25,'Player List'!$A$2:$A$177,'Player List'!$B$2:$C$177)</f>
        <v/>
      </c>
      <c r="C25" s="34" t="inlineStr">
        <is>
          <t>Second Row</t>
        </is>
      </c>
      <c r="D25" s="34">
        <f>_xlfn.XLOOKUP(B25,$B$2:$B$7,$C$2:$C$7)</f>
        <v/>
      </c>
      <c r="E25" s="5" t="n">
        <v>80</v>
      </c>
      <c r="F25" s="5" t="n">
        <v>3</v>
      </c>
      <c r="G25" s="5" t="n"/>
      <c r="H25" s="5" t="n"/>
      <c r="I25" s="5" t="n">
        <v>35</v>
      </c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6" t="n">
        <v>10</v>
      </c>
      <c r="U25" s="5" t="n"/>
    </row>
    <row r="26" ht="16" customHeight="1" thickBot="1">
      <c r="A26" s="15" t="inlineStr">
        <is>
          <t>M. Zuliani</t>
        </is>
      </c>
      <c r="B26" s="34">
        <f t="array" ref="B26:C26">_xlfn.XLOOKUP(A26,'Player List'!$A$2:$A$177,'Player List'!$B$2:$C$177)</f>
        <v/>
      </c>
      <c r="C26" s="34" t="inlineStr">
        <is>
          <t>Second Row</t>
        </is>
      </c>
      <c r="D26" s="34">
        <f>_xlfn.XLOOKUP(B26,$B$2:$B$7,$C$2:$C$7)</f>
        <v/>
      </c>
      <c r="E26" s="2" t="n">
        <v>28</v>
      </c>
      <c r="F26" s="2" t="n">
        <v>1</v>
      </c>
      <c r="G26" s="2" t="n"/>
      <c r="H26" s="2" t="n">
        <v>1</v>
      </c>
      <c r="I26" s="2" t="n">
        <v>36</v>
      </c>
      <c r="J26" s="2" t="n"/>
      <c r="K26" s="2" t="n"/>
      <c r="L26" s="2" t="n">
        <v>1</v>
      </c>
      <c r="M26" s="2" t="n"/>
      <c r="N26" s="2" t="n"/>
      <c r="O26" s="2" t="n"/>
      <c r="P26" s="2" t="n"/>
      <c r="Q26" s="2" t="n"/>
      <c r="R26" s="2" t="n"/>
      <c r="S26" s="2" t="n"/>
      <c r="T26" s="3" t="n">
        <v>22.2</v>
      </c>
      <c r="U26" s="2" t="n"/>
    </row>
    <row r="27" ht="16" customHeight="1" thickBot="1">
      <c r="A27" s="17" t="inlineStr">
        <is>
          <t>S. Ferrari</t>
        </is>
      </c>
      <c r="B27" s="34">
        <f t="array" ref="B27:C27">_xlfn.XLOOKUP(A27,'Player List'!$A$2:$A$177,'Player List'!$B$2:$C$177)</f>
        <v/>
      </c>
      <c r="C27" s="34" t="inlineStr">
        <is>
          <t>Prop</t>
        </is>
      </c>
      <c r="D27" s="34">
        <f>_xlfn.XLOOKUP(B27,$B$2:$B$7,$C$2:$C$7)</f>
        <v/>
      </c>
      <c r="E27" s="5" t="n">
        <v>42</v>
      </c>
      <c r="F27" s="5" t="n">
        <v>4</v>
      </c>
      <c r="G27" s="5" t="n">
        <v>1</v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6" t="n">
        <v>11</v>
      </c>
      <c r="U27" s="5" t="n"/>
    </row>
    <row r="28" ht="16" customHeight="1" thickBot="1">
      <c r="A28" s="18" t="inlineStr">
        <is>
          <t>D. Fischetti</t>
        </is>
      </c>
      <c r="B28" s="34">
        <f t="array" ref="B28:C28">_xlfn.XLOOKUP(A28,'Player List'!$A$2:$A$177,'Player List'!$B$2:$C$177)</f>
        <v/>
      </c>
      <c r="C28" s="34" t="inlineStr">
        <is>
          <t>Prop</t>
        </is>
      </c>
      <c r="D28" s="34">
        <f>_xlfn.XLOOKUP(B28,$B$2:$B$7,$C$2:$C$7)</f>
        <v/>
      </c>
      <c r="E28" s="2" t="n">
        <v>62</v>
      </c>
      <c r="F28" s="2" t="n">
        <v>5</v>
      </c>
      <c r="G28" s="2" t="n"/>
      <c r="H28" s="2" t="n"/>
      <c r="I28" s="2" t="n">
        <v>39</v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3" t="n">
        <v>12.8</v>
      </c>
      <c r="U28" s="2" t="n"/>
    </row>
    <row r="29" ht="16" customHeight="1" thickBot="1">
      <c r="A29" s="17" t="inlineStr">
        <is>
          <t>M. Riccioni</t>
        </is>
      </c>
      <c r="B29" s="34">
        <f t="array" ref="B29:C29">_xlfn.XLOOKUP(A29,'Player List'!$A$2:$A$177,'Player List'!$B$2:$C$177)</f>
        <v/>
      </c>
      <c r="C29" s="34" t="inlineStr">
        <is>
          <t>Prop</t>
        </is>
      </c>
      <c r="D29" s="34">
        <f>_xlfn.XLOOKUP(B29,$B$2:$B$7,$C$2:$C$7)</f>
        <v/>
      </c>
      <c r="E29" s="5" t="n">
        <v>38</v>
      </c>
      <c r="F29" s="5" t="n">
        <v>2</v>
      </c>
      <c r="G29" s="5" t="n"/>
      <c r="H29" s="5" t="n"/>
      <c r="I29" s="5" t="n">
        <v>14</v>
      </c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6" t="n">
        <v>4.8</v>
      </c>
      <c r="U29" s="5" t="n"/>
    </row>
    <row r="30" ht="16" customHeight="1" thickBot="1">
      <c r="A30" s="18" t="inlineStr">
        <is>
          <t>F. Zani</t>
        </is>
      </c>
      <c r="B30" s="34">
        <f t="array" ref="B30:C30">_xlfn.XLOOKUP(A30,'Player List'!$A$2:$A$177,'Player List'!$B$2:$C$177)</f>
        <v/>
      </c>
      <c r="C30" s="34" t="inlineStr">
        <is>
          <t>Prop</t>
        </is>
      </c>
      <c r="D30" s="34">
        <f>_xlfn.XLOOKUP(B30,$B$2:$B$7,$C$2:$C$7)</f>
        <v/>
      </c>
      <c r="E30" s="2" t="n">
        <v>18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3" t="n">
        <v>0</v>
      </c>
      <c r="U30" s="2" t="n"/>
    </row>
    <row r="31" ht="16" customHeight="1" thickBot="1">
      <c r="A31" s="19" t="inlineStr">
        <is>
          <t>L. Bigi</t>
        </is>
      </c>
      <c r="B31" s="34">
        <f t="array" ref="B31:C31">_xlfn.XLOOKUP(A31,'Player List'!$A$2:$A$177,'Player List'!$B$2:$C$177)</f>
        <v/>
      </c>
      <c r="C31" s="34" t="inlineStr">
        <is>
          <t>Hooker</t>
        </is>
      </c>
      <c r="D31" s="34">
        <f>_xlfn.XLOOKUP(B31,$B$2:$B$7,$C$2:$C$7)</f>
        <v/>
      </c>
      <c r="E31" s="5" t="n">
        <v>28</v>
      </c>
      <c r="F31" s="5" t="n">
        <v>3</v>
      </c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6" t="n">
        <v>3</v>
      </c>
      <c r="U31" s="5" t="n"/>
    </row>
    <row r="32" ht="16" customHeight="1" thickBot="1">
      <c r="A32" s="20" t="inlineStr">
        <is>
          <t>G. Nicotera</t>
        </is>
      </c>
      <c r="B32" s="34">
        <f t="array" ref="B32:C32">_xlfn.XLOOKUP(A32,'Player List'!$A$2:$A$177,'Player List'!$B$2:$C$177)</f>
        <v/>
      </c>
      <c r="C32" s="34" t="inlineStr">
        <is>
          <t>Hooker</t>
        </is>
      </c>
      <c r="D32" s="34">
        <f>_xlfn.XLOOKUP(B32,$B$2:$B$7,$C$2:$C$7)</f>
        <v/>
      </c>
      <c r="E32" s="2" t="n">
        <v>52</v>
      </c>
      <c r="F32" s="2" t="n">
        <v>11</v>
      </c>
      <c r="G32" s="2" t="n"/>
      <c r="H32" s="2" t="n"/>
      <c r="I32" s="2" t="n">
        <v>17</v>
      </c>
      <c r="J32" s="2" t="n"/>
      <c r="K32" s="2" t="n"/>
      <c r="L32" s="2" t="n">
        <v>1</v>
      </c>
      <c r="M32" s="2" t="n"/>
      <c r="N32" s="2" t="n"/>
      <c r="O32" s="2" t="n"/>
      <c r="P32" s="2" t="n"/>
      <c r="Q32" s="2" t="n"/>
      <c r="R32" s="2" t="n"/>
      <c r="S32" s="2" t="n"/>
      <c r="T32" s="3" t="n">
        <v>21.4</v>
      </c>
      <c r="U32" s="2" t="n"/>
    </row>
    <row r="33" ht="16" customHeight="1" thickBot="1">
      <c r="A33" s="1" t="inlineStr">
        <is>
          <t>J. Adams</t>
        </is>
      </c>
      <c r="B33" s="34">
        <f t="array" ref="B33:C33">_xlfn.XLOOKUP(A33,'Player List'!$A$2:$A$177,'Player List'!$B$2:$C$177)</f>
        <v/>
      </c>
      <c r="C33" s="34" t="inlineStr">
        <is>
          <t>Back Three</t>
        </is>
      </c>
      <c r="D33" s="34">
        <f>_xlfn.XLOOKUP(B33,$B$2:$B$7,$C$2:$C$7)</f>
        <v/>
      </c>
      <c r="E33" s="2" t="n">
        <v>51</v>
      </c>
      <c r="F33" s="2" t="n">
        <v>1</v>
      </c>
      <c r="G33" s="2" t="n">
        <v>1</v>
      </c>
      <c r="H33" s="2" t="n">
        <v>1</v>
      </c>
      <c r="I33" s="2" t="n">
        <v>31</v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3" t="n">
        <v>26.3</v>
      </c>
      <c r="U33" s="2" t="n"/>
    </row>
    <row r="34" ht="16" customHeight="1" thickBot="1">
      <c r="A34" s="4" t="inlineStr">
        <is>
          <t>R. Dyer</t>
        </is>
      </c>
      <c r="B34" s="34">
        <f t="array" ref="B34:C34">_xlfn.XLOOKUP(A34,'Player List'!$A$2:$A$177,'Player List'!$B$2:$C$177)</f>
        <v/>
      </c>
      <c r="C34" s="34" t="inlineStr">
        <is>
          <t>Back Three</t>
        </is>
      </c>
      <c r="D34" s="34">
        <f>_xlfn.XLOOKUP(B34,$B$2:$B$7,$C$2:$C$7)</f>
        <v/>
      </c>
      <c r="E34" s="5" t="n">
        <v>80</v>
      </c>
      <c r="F34" s="5" t="n">
        <v>4</v>
      </c>
      <c r="G34" s="5" t="n">
        <v>1</v>
      </c>
      <c r="H34" s="5" t="n">
        <v>1</v>
      </c>
      <c r="I34" s="5" t="n">
        <v>19</v>
      </c>
      <c r="J34" s="5" t="n"/>
      <c r="K34" s="5" t="n"/>
      <c r="L34" s="5" t="n"/>
      <c r="M34" s="5" t="n">
        <v>1</v>
      </c>
      <c r="N34" s="5" t="n"/>
      <c r="O34" s="5" t="n"/>
      <c r="P34" s="5" t="n"/>
      <c r="Q34" s="5" t="n"/>
      <c r="R34" s="5" t="n"/>
      <c r="S34" s="5" t="n"/>
      <c r="T34" s="6" t="n">
        <v>44.8</v>
      </c>
      <c r="U34" s="5" t="n"/>
    </row>
    <row r="35" ht="16" customHeight="1" thickBot="1">
      <c r="A35" s="1" t="inlineStr">
        <is>
          <t>L. Rees-Zammit</t>
        </is>
      </c>
      <c r="B35" s="34">
        <f t="array" ref="B35:C35">_xlfn.XLOOKUP(A35,'Player List'!$A$2:$A$177,'Player List'!$B$2:$C$177)</f>
        <v/>
      </c>
      <c r="C35" s="34" t="inlineStr">
        <is>
          <t>Back Three</t>
        </is>
      </c>
      <c r="D35" s="34">
        <f>_xlfn.XLOOKUP(B35,$B$2:$B$7,$C$2:$C$7)</f>
        <v/>
      </c>
      <c r="E35" s="2" t="n">
        <v>29</v>
      </c>
      <c r="F35" s="2" t="n">
        <v>3</v>
      </c>
      <c r="G35" s="2" t="n"/>
      <c r="H35" s="2" t="n"/>
      <c r="I35" s="2" t="n">
        <v>46</v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3" t="n">
        <v>15.1</v>
      </c>
      <c r="U35" s="2" t="n"/>
    </row>
    <row r="36" ht="16" customHeight="1" thickBot="1">
      <c r="A36" s="4" t="inlineStr">
        <is>
          <t>L. Williams</t>
        </is>
      </c>
      <c r="B36" s="34">
        <f t="array" ref="B36:C36">_xlfn.XLOOKUP(A36,'Player List'!$A$2:$A$177,'Player List'!$B$2:$C$177)</f>
        <v/>
      </c>
      <c r="C36" s="34" t="inlineStr">
        <is>
          <t>Back Three</t>
        </is>
      </c>
      <c r="D36" s="34">
        <f>_xlfn.XLOOKUP(B36,$B$2:$B$7,$C$2:$C$7)</f>
        <v/>
      </c>
      <c r="E36" s="5" t="n">
        <v>62</v>
      </c>
      <c r="F36" s="5" t="n">
        <v>1</v>
      </c>
      <c r="G36" s="5" t="n"/>
      <c r="H36" s="5" t="n">
        <v>1</v>
      </c>
      <c r="I36" s="5" t="n">
        <v>87</v>
      </c>
      <c r="J36" s="5" t="n"/>
      <c r="K36" s="5" t="n"/>
      <c r="L36" s="5" t="n">
        <v>1</v>
      </c>
      <c r="M36" s="5" t="n">
        <v>1</v>
      </c>
      <c r="N36" s="5" t="n"/>
      <c r="O36" s="5" t="n"/>
      <c r="P36" s="5" t="n"/>
      <c r="Q36" s="5" t="n"/>
      <c r="R36" s="5" t="n"/>
      <c r="S36" s="5" t="n"/>
      <c r="T36" s="6" t="n">
        <v>53.6</v>
      </c>
      <c r="U36" s="5" t="n"/>
    </row>
    <row r="37" ht="16" customHeight="1" thickBot="1">
      <c r="A37" s="7" t="inlineStr">
        <is>
          <t>M. Grady</t>
        </is>
      </c>
      <c r="B37" s="34">
        <f t="array" ref="B37:C37">_xlfn.XLOOKUP(A37,'Player List'!$A$2:$A$177,'Player List'!$B$2:$C$177)</f>
        <v/>
      </c>
      <c r="C37" s="34" t="inlineStr">
        <is>
          <t>Centre</t>
        </is>
      </c>
      <c r="D37" s="34">
        <f>_xlfn.XLOOKUP(B37,$B$2:$B$7,$C$2:$C$7)</f>
        <v/>
      </c>
      <c r="E37" s="2" t="n">
        <v>80</v>
      </c>
      <c r="F37" s="2" t="n">
        <v>5</v>
      </c>
      <c r="G37" s="2" t="n"/>
      <c r="H37" s="2" t="n"/>
      <c r="I37" s="2" t="n">
        <v>26</v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3" t="n">
        <v>18.2</v>
      </c>
      <c r="U37" s="2" t="n"/>
    </row>
    <row r="38" ht="16" customHeight="1" thickBot="1">
      <c r="A38" s="8" t="inlineStr">
        <is>
          <t>J. Hawkins</t>
        </is>
      </c>
      <c r="B38" s="34">
        <f t="array" ref="B38:C38">_xlfn.XLOOKUP(A38,'Player List'!$A$2:$A$177,'Player List'!$B$2:$C$177)</f>
        <v/>
      </c>
      <c r="C38" s="34" t="inlineStr">
        <is>
          <t>Centre</t>
        </is>
      </c>
      <c r="D38" s="34">
        <f>_xlfn.XLOOKUP(B38,$B$2:$B$7,$C$2:$C$7)</f>
        <v/>
      </c>
      <c r="E38" s="5" t="n">
        <v>80</v>
      </c>
      <c r="F38" s="5" t="n">
        <v>3</v>
      </c>
      <c r="G38" s="5" t="n">
        <v>1</v>
      </c>
      <c r="H38" s="5" t="n"/>
      <c r="I38" s="5" t="n">
        <v>97</v>
      </c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6" t="n">
        <v>37.4</v>
      </c>
      <c r="U38" s="5" t="n"/>
    </row>
    <row r="39" ht="16" customHeight="1" thickBot="1">
      <c r="A39" s="7" t="inlineStr">
        <is>
          <t>G. North</t>
        </is>
      </c>
      <c r="B39" s="34">
        <f t="array" ref="B39:C39">_xlfn.XLOOKUP(A39,'Player List'!$A$2:$A$177,'Player List'!$B$2:$C$177)</f>
        <v/>
      </c>
      <c r="C39" s="34" t="inlineStr">
        <is>
          <t>Centre</t>
        </is>
      </c>
      <c r="D39" s="34">
        <f>_xlfn.XLOOKUP(B39,$B$2:$B$7,$C$2:$C$7)</f>
        <v/>
      </c>
      <c r="E39" s="2" t="n">
        <v>18</v>
      </c>
      <c r="F39" s="2" t="n">
        <v>1</v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3" t="n">
        <v>2.8</v>
      </c>
      <c r="U39" s="2" t="n"/>
    </row>
    <row r="40" ht="16" customHeight="1" thickBot="1">
      <c r="A40" s="10" t="inlineStr">
        <is>
          <t>O. Williams</t>
        </is>
      </c>
      <c r="B40" s="34">
        <f t="array" ref="B40:C40">_xlfn.XLOOKUP(A40,'Player List'!$A$2:$A$177,'Player List'!$B$2:$C$177)</f>
        <v/>
      </c>
      <c r="C40" s="34" t="inlineStr">
        <is>
          <t>Fly Half</t>
        </is>
      </c>
      <c r="D40" s="34">
        <f>_xlfn.XLOOKUP(B40,$B$2:$B$7,$C$2:$C$7)</f>
        <v/>
      </c>
      <c r="E40" s="5" t="n">
        <v>80</v>
      </c>
      <c r="F40" s="5" t="n">
        <v>8</v>
      </c>
      <c r="G40" s="5" t="n"/>
      <c r="H40" s="5" t="n"/>
      <c r="I40" s="5" t="n">
        <v>19</v>
      </c>
      <c r="J40" s="5" t="n"/>
      <c r="K40" s="5" t="n"/>
      <c r="L40" s="5" t="n"/>
      <c r="M40" s="5" t="n"/>
      <c r="N40" s="5" t="n"/>
      <c r="O40" s="5" t="n">
        <v>2</v>
      </c>
      <c r="P40" s="5" t="n">
        <v>1</v>
      </c>
      <c r="Q40" s="5" t="n"/>
      <c r="R40" s="5" t="n"/>
      <c r="S40" s="5" t="n"/>
      <c r="T40" s="6" t="n">
        <v>28.8</v>
      </c>
      <c r="U40" s="5" t="n"/>
    </row>
    <row r="41" ht="16" customHeight="1" thickBot="1">
      <c r="A41" s="11" t="inlineStr">
        <is>
          <t>R. Webb</t>
        </is>
      </c>
      <c r="B41" s="34">
        <f t="array" ref="B41:C41">_xlfn.XLOOKUP(A41,'Player List'!$A$2:$A$177,'Player List'!$B$2:$C$177)</f>
        <v/>
      </c>
      <c r="C41" s="34" t="inlineStr">
        <is>
          <t>Scrum Half</t>
        </is>
      </c>
      <c r="D41" s="34">
        <f>_xlfn.XLOOKUP(B41,$B$2:$B$7,$C$2:$C$7)</f>
        <v/>
      </c>
      <c r="E41" s="2" t="n">
        <v>54</v>
      </c>
      <c r="F41" s="2" t="n">
        <v>5</v>
      </c>
      <c r="G41" s="2" t="n">
        <v>1</v>
      </c>
      <c r="H41" s="2" t="n">
        <v>1</v>
      </c>
      <c r="I41" s="2" t="n">
        <v>28</v>
      </c>
      <c r="J41" s="2" t="n">
        <v>1</v>
      </c>
      <c r="K41" s="2" t="n"/>
      <c r="L41" s="2" t="n"/>
      <c r="M41" s="2" t="n"/>
      <c r="N41" s="2" t="n">
        <v>2</v>
      </c>
      <c r="O41" s="2" t="n"/>
      <c r="P41" s="2" t="n"/>
      <c r="Q41" s="2" t="n"/>
      <c r="R41" s="2" t="n"/>
      <c r="S41" s="2" t="n"/>
      <c r="T41" s="3" t="n">
        <v>69</v>
      </c>
      <c r="U41" s="2" t="n">
        <v>1</v>
      </c>
    </row>
    <row r="42" ht="16" customHeight="1" thickBot="1">
      <c r="A42" s="12" t="inlineStr">
        <is>
          <t>T. Williams</t>
        </is>
      </c>
      <c r="B42" s="34">
        <f t="array" ref="B42:C42">_xlfn.XLOOKUP(A42,'Player List'!$A$2:$A$177,'Player List'!$B$2:$C$177)</f>
        <v/>
      </c>
      <c r="C42" s="34" t="inlineStr">
        <is>
          <t>Scrum Half</t>
        </is>
      </c>
      <c r="D42" s="34">
        <f>_xlfn.XLOOKUP(B42,$B$2:$B$7,$C$2:$C$7)</f>
        <v/>
      </c>
      <c r="E42" s="5" t="n">
        <v>26</v>
      </c>
      <c r="F42" s="5" t="n">
        <v>2</v>
      </c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6" t="n">
        <v>4.6</v>
      </c>
      <c r="U42" s="5" t="n"/>
    </row>
    <row r="43" ht="16" customHeight="1" thickBot="1">
      <c r="A43" s="13" t="inlineStr">
        <is>
          <t>T. Faletau</t>
        </is>
      </c>
      <c r="B43" s="34">
        <f t="array" ref="B43:C43">_xlfn.XLOOKUP(A43,'Player List'!$A$2:$A$177,'Player List'!$B$2:$C$177)</f>
        <v/>
      </c>
      <c r="C43" s="34" t="inlineStr">
        <is>
          <t>Back Row</t>
        </is>
      </c>
      <c r="D43" s="34">
        <f>_xlfn.XLOOKUP(B43,$B$2:$B$7,$C$2:$C$7)</f>
        <v/>
      </c>
      <c r="E43" s="2" t="n">
        <v>80</v>
      </c>
      <c r="F43" s="2" t="n">
        <v>12</v>
      </c>
      <c r="G43" s="2" t="n"/>
      <c r="H43" s="2" t="n"/>
      <c r="I43" s="2" t="n">
        <v>54</v>
      </c>
      <c r="J43" s="2" t="n"/>
      <c r="K43" s="2" t="n"/>
      <c r="L43" s="2" t="n"/>
      <c r="M43" s="2" t="n">
        <v>1</v>
      </c>
      <c r="N43" s="2" t="n"/>
      <c r="O43" s="2" t="n"/>
      <c r="P43" s="2" t="n"/>
      <c r="Q43" s="2" t="n"/>
      <c r="R43" s="2" t="n"/>
      <c r="S43" s="2" t="n"/>
      <c r="T43" s="3" t="n">
        <v>45.8</v>
      </c>
      <c r="U43" s="2" t="n"/>
    </row>
    <row r="44" ht="16" customHeight="1" thickBot="1">
      <c r="A44" s="14" t="inlineStr">
        <is>
          <t>J. Morgan</t>
        </is>
      </c>
      <c r="B44" s="34">
        <f t="array" ref="B44:C44">_xlfn.XLOOKUP(A44,'Player List'!$A$2:$A$177,'Player List'!$B$2:$C$177)</f>
        <v/>
      </c>
      <c r="C44" s="34" t="inlineStr">
        <is>
          <t>Back Row</t>
        </is>
      </c>
      <c r="D44" s="34">
        <f>_xlfn.XLOOKUP(B44,$B$2:$B$7,$C$2:$C$7)</f>
        <v/>
      </c>
      <c r="E44" s="5" t="n">
        <v>60</v>
      </c>
      <c r="F44" s="5" t="n">
        <v>14</v>
      </c>
      <c r="G44" s="5" t="n"/>
      <c r="H44" s="5" t="n"/>
      <c r="I44" s="5" t="n">
        <v>19</v>
      </c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6" t="n">
        <v>23.8</v>
      </c>
      <c r="U44" s="5" t="n"/>
    </row>
    <row r="45" ht="16" customHeight="1" thickBot="1">
      <c r="A45" s="13" t="inlineStr">
        <is>
          <t>T. Reffell</t>
        </is>
      </c>
      <c r="B45" s="34">
        <f t="array" ref="B45:C45">_xlfn.XLOOKUP(A45,'Player List'!$A$2:$A$177,'Player List'!$B$2:$C$177)</f>
        <v/>
      </c>
      <c r="C45" s="34" t="inlineStr">
        <is>
          <t>Back Row</t>
        </is>
      </c>
      <c r="D45" s="34">
        <f>_xlfn.XLOOKUP(B45,$B$2:$B$7,$C$2:$C$7)</f>
        <v/>
      </c>
      <c r="E45" s="2" t="n">
        <v>20</v>
      </c>
      <c r="F45" s="2" t="n">
        <v>1</v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3" t="n">
        <v>3</v>
      </c>
      <c r="U45" s="2" t="n"/>
    </row>
    <row r="46" ht="16" customHeight="1" thickBot="1">
      <c r="A46" s="14" t="inlineStr">
        <is>
          <t>J. Tipuric</t>
        </is>
      </c>
      <c r="B46" s="34">
        <f t="array" ref="B46:C46">_xlfn.XLOOKUP(A46,'Player List'!$A$2:$A$177,'Player List'!$B$2:$C$177)</f>
        <v/>
      </c>
      <c r="C46" s="34" t="inlineStr">
        <is>
          <t>Back Row</t>
        </is>
      </c>
      <c r="D46" s="34">
        <f>_xlfn.XLOOKUP(B46,$B$2:$B$7,$C$2:$C$7)</f>
        <v/>
      </c>
      <c r="E46" s="5" t="n">
        <v>80</v>
      </c>
      <c r="F46" s="5" t="n">
        <v>8</v>
      </c>
      <c r="G46" s="5" t="n">
        <v>1</v>
      </c>
      <c r="H46" s="5" t="n"/>
      <c r="I46" s="5" t="n">
        <v>2</v>
      </c>
      <c r="J46" s="5" t="n"/>
      <c r="K46" s="5" t="n">
        <v>2</v>
      </c>
      <c r="L46" s="5" t="n"/>
      <c r="M46" s="5" t="n"/>
      <c r="N46" s="5" t="n"/>
      <c r="O46" s="5" t="n"/>
      <c r="P46" s="5" t="n"/>
      <c r="Q46" s="5" t="n"/>
      <c r="R46" s="5" t="n"/>
      <c r="S46" s="5" t="n"/>
      <c r="T46" s="6" t="n">
        <v>37.4</v>
      </c>
      <c r="U46" s="5" t="n"/>
    </row>
    <row r="47" ht="16" customHeight="1" thickBot="1">
      <c r="A47" s="15" t="inlineStr">
        <is>
          <t>A. Beard</t>
        </is>
      </c>
      <c r="B47" s="34">
        <f t="array" ref="B47:C47">_xlfn.XLOOKUP(A47,'Player List'!$A$2:$A$177,'Player List'!$B$2:$C$177)</f>
        <v/>
      </c>
      <c r="C47" s="34" t="inlineStr">
        <is>
          <t>Second Row</t>
        </is>
      </c>
      <c r="D47" s="34">
        <f>_xlfn.XLOOKUP(B47,$B$2:$B$7,$C$2:$C$7)</f>
        <v/>
      </c>
      <c r="E47" s="2" t="n">
        <v>80</v>
      </c>
      <c r="F47" s="2" t="n">
        <v>5</v>
      </c>
      <c r="G47" s="2" t="n"/>
      <c r="H47" s="2" t="n"/>
      <c r="I47" s="2" t="n">
        <v>2</v>
      </c>
      <c r="J47" s="2" t="n"/>
      <c r="K47" s="2" t="n">
        <v>1</v>
      </c>
      <c r="L47" s="2" t="n">
        <v>1</v>
      </c>
      <c r="M47" s="2" t="n"/>
      <c r="N47" s="2" t="n"/>
      <c r="O47" s="2" t="n"/>
      <c r="P47" s="2" t="n"/>
      <c r="Q47" s="2" t="n"/>
      <c r="R47" s="2" t="n"/>
      <c r="S47" s="2" t="n"/>
      <c r="T47" s="3" t="n">
        <v>27.4</v>
      </c>
      <c r="U47" s="2" t="n"/>
    </row>
    <row r="48" ht="16" customHeight="1" thickBot="1">
      <c r="A48" s="16" t="inlineStr">
        <is>
          <t>R. Davies</t>
        </is>
      </c>
      <c r="B48" s="34">
        <f t="array" ref="B48:C48">_xlfn.XLOOKUP(A48,'Player List'!$A$2:$A$177,'Player List'!$B$2:$C$177)</f>
        <v/>
      </c>
      <c r="C48" s="34" t="inlineStr">
        <is>
          <t>Second Row</t>
        </is>
      </c>
      <c r="D48" s="34">
        <f>_xlfn.XLOOKUP(B48,$B$2:$B$7,$C$2:$C$7)</f>
        <v/>
      </c>
      <c r="E48" s="5" t="n">
        <v>11</v>
      </c>
      <c r="F48" s="5" t="n">
        <v>2</v>
      </c>
      <c r="G48" s="5" t="n"/>
      <c r="H48" s="5" t="n"/>
      <c r="I48" s="5" t="n">
        <v>2</v>
      </c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6" t="n">
        <v>3.5</v>
      </c>
      <c r="U48" s="5" t="n"/>
    </row>
    <row r="49" ht="16" customHeight="1" thickBot="1">
      <c r="A49" s="15" t="inlineStr">
        <is>
          <t>D. Jenkins</t>
        </is>
      </c>
      <c r="B49" s="34">
        <f t="array" ref="B49:C49">_xlfn.XLOOKUP(A49,'Player List'!$A$2:$A$177,'Player List'!$B$2:$C$177)</f>
        <v/>
      </c>
      <c r="C49" s="34" t="inlineStr">
        <is>
          <t>Second Row</t>
        </is>
      </c>
      <c r="D49" s="34">
        <f>_xlfn.XLOOKUP(B49,$B$2:$B$7,$C$2:$C$7)</f>
        <v/>
      </c>
      <c r="E49" s="2" t="n">
        <v>69</v>
      </c>
      <c r="F49" s="2" t="n">
        <v>13</v>
      </c>
      <c r="G49" s="2" t="n">
        <v>1</v>
      </c>
      <c r="H49" s="2" t="n"/>
      <c r="I49" s="2" t="n">
        <v>1</v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3" t="n">
        <v>27.1</v>
      </c>
      <c r="U49" s="2" t="n"/>
    </row>
    <row r="50" ht="16" customHeight="1" thickBot="1">
      <c r="A50" s="17" t="inlineStr">
        <is>
          <t>T. Francis</t>
        </is>
      </c>
      <c r="B50" s="34">
        <f t="array" ref="B50:C50">_xlfn.XLOOKUP(A50,'Player List'!$A$2:$A$177,'Player List'!$B$2:$C$177)</f>
        <v/>
      </c>
      <c r="C50" s="34" t="inlineStr">
        <is>
          <t>Prop</t>
        </is>
      </c>
      <c r="D50" s="34">
        <f>_xlfn.XLOOKUP(B50,$B$2:$B$7,$C$2:$C$7)</f>
        <v/>
      </c>
      <c r="E50" s="5" t="n">
        <v>53</v>
      </c>
      <c r="F50" s="5" t="n">
        <v>7</v>
      </c>
      <c r="G50" s="5" t="n"/>
      <c r="H50" s="5" t="n"/>
      <c r="I50" s="5" t="n">
        <v>5</v>
      </c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6" t="n">
        <v>13.3</v>
      </c>
      <c r="U50" s="5" t="n"/>
    </row>
    <row r="51" ht="16" customHeight="1" thickBot="1">
      <c r="A51" s="18" t="inlineStr">
        <is>
          <t>W. Jones</t>
        </is>
      </c>
      <c r="B51" s="34">
        <f t="array" ref="B51:C51">_xlfn.XLOOKUP(A51,'Player List'!$A$2:$A$177,'Player List'!$B$2:$C$177)</f>
        <v/>
      </c>
      <c r="C51" s="34" t="inlineStr">
        <is>
          <t>Prop</t>
        </is>
      </c>
      <c r="D51" s="34">
        <f>_xlfn.XLOOKUP(B51,$B$2:$B$7,$C$2:$C$7)</f>
        <v/>
      </c>
      <c r="E51" s="2" t="n">
        <v>45</v>
      </c>
      <c r="F51" s="2" t="n">
        <v>4</v>
      </c>
      <c r="G51" s="2" t="n"/>
      <c r="H51" s="2" t="n"/>
      <c r="I51" s="2" t="n">
        <v>15</v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3" t="n">
        <v>11.5</v>
      </c>
      <c r="U51" s="2" t="n"/>
    </row>
    <row r="52" ht="16" customHeight="1" thickBot="1">
      <c r="A52" s="17" t="inlineStr">
        <is>
          <t>D. Lewis</t>
        </is>
      </c>
      <c r="B52" s="34">
        <f t="array" ref="B52:C52">_xlfn.XLOOKUP(A52,'Player List'!$A$2:$A$177,'Player List'!$B$2:$C$177)</f>
        <v/>
      </c>
      <c r="C52" s="34" t="inlineStr">
        <is>
          <t>Prop</t>
        </is>
      </c>
      <c r="D52" s="34">
        <f>_xlfn.XLOOKUP(B52,$B$2:$B$7,$C$2:$C$7)</f>
        <v/>
      </c>
      <c r="E52" s="5" t="n">
        <v>27</v>
      </c>
      <c r="F52" s="5" t="n">
        <v>4</v>
      </c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6" t="n">
        <v>6.7</v>
      </c>
      <c r="U52" s="5" t="n"/>
    </row>
    <row r="53" ht="16" customHeight="1" thickBot="1">
      <c r="A53" s="18" t="inlineStr">
        <is>
          <t>G. Thomas</t>
        </is>
      </c>
      <c r="B53" s="34">
        <f t="array" ref="B53:C53">_xlfn.XLOOKUP(A53,'Player List'!$A$2:$A$177,'Player List'!$B$2:$C$177)</f>
        <v/>
      </c>
      <c r="C53" s="34" t="inlineStr">
        <is>
          <t>Prop</t>
        </is>
      </c>
      <c r="D53" s="34">
        <f>_xlfn.XLOOKUP(B53,$B$2:$B$7,$C$2:$C$7)</f>
        <v/>
      </c>
      <c r="E53" s="2" t="n">
        <v>35</v>
      </c>
      <c r="F53" s="2" t="n">
        <v>3</v>
      </c>
      <c r="G53" s="2" t="n"/>
      <c r="H53" s="2" t="n"/>
      <c r="I53" s="2" t="n">
        <v>5</v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3" t="n">
        <v>7.5</v>
      </c>
      <c r="U53" s="2" t="n"/>
    </row>
    <row r="54" ht="16" customHeight="1" thickBot="1">
      <c r="A54" s="19" t="inlineStr">
        <is>
          <t>S. Baldwin</t>
        </is>
      </c>
      <c r="B54" s="34">
        <f t="array" ref="B54:C54">_xlfn.XLOOKUP(A54,'Player List'!$A$2:$A$177,'Player List'!$B$2:$C$177)</f>
        <v/>
      </c>
      <c r="C54" s="34" t="inlineStr">
        <is>
          <t>Hooker</t>
        </is>
      </c>
      <c r="D54" s="34">
        <f>_xlfn.XLOOKUP(B54,$B$2:$B$7,$C$2:$C$7)</f>
        <v/>
      </c>
      <c r="E54" s="5" t="n">
        <v>6</v>
      </c>
      <c r="F54" s="5" t="n">
        <v>2</v>
      </c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6" t="n">
        <v>2.6</v>
      </c>
      <c r="U54" s="5" t="n"/>
    </row>
    <row r="55" ht="16" customHeight="1" thickBot="1">
      <c r="A55" s="20" t="inlineStr">
        <is>
          <t>K. Owens</t>
        </is>
      </c>
      <c r="B55" s="34">
        <f t="array" ref="B55:C55">_xlfn.XLOOKUP(A55,'Player List'!$A$2:$A$177,'Player List'!$B$2:$C$177)</f>
        <v/>
      </c>
      <c r="C55" s="34" t="inlineStr">
        <is>
          <t>Hooker</t>
        </is>
      </c>
      <c r="D55" s="34">
        <f>_xlfn.XLOOKUP(B55,$B$2:$B$7,$C$2:$C$7)</f>
        <v/>
      </c>
      <c r="E55" s="2" t="n">
        <v>74</v>
      </c>
      <c r="F55" s="2" t="n">
        <v>12</v>
      </c>
      <c r="G55" s="2" t="n"/>
      <c r="H55" s="2" t="n"/>
      <c r="I55" s="2" t="n">
        <v>12</v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3" t="n">
        <v>21.8</v>
      </c>
      <c r="U55" s="2" t="n"/>
    </row>
    <row r="56" ht="16" customHeight="1" thickBot="1">
      <c r="A56" s="1" t="inlineStr">
        <is>
          <t>H. Arundell</t>
        </is>
      </c>
      <c r="B56" s="34">
        <f t="array" ref="B56:C56">_xlfn.XLOOKUP(A56,'Player List'!$A$2:$A$177,'Player List'!$B$2:$C$177)</f>
        <v/>
      </c>
      <c r="C56" s="34" t="inlineStr">
        <is>
          <t>Back Three</t>
        </is>
      </c>
      <c r="D56" s="34">
        <f>_xlfn.XLOOKUP(B56,$B$2:$B$7,$C$2:$C$7)</f>
        <v/>
      </c>
      <c r="E56" s="2" t="n">
        <v>22</v>
      </c>
      <c r="F56" s="2" t="n">
        <v>1</v>
      </c>
      <c r="G56" s="2" t="n"/>
      <c r="H56" s="2" t="n"/>
      <c r="I56" s="2" t="n">
        <v>14</v>
      </c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3" t="n">
        <v>3.8</v>
      </c>
      <c r="U56" s="2" t="n"/>
    </row>
    <row r="57" ht="16" customHeight="1" thickBot="1">
      <c r="A57" s="4" t="inlineStr">
        <is>
          <t>M. Malins</t>
        </is>
      </c>
      <c r="B57" s="34">
        <f t="array" ref="B57:C57">_xlfn.XLOOKUP(A57,'Player List'!$A$2:$A$177,'Player List'!$B$2:$C$177)</f>
        <v/>
      </c>
      <c r="C57" s="34" t="inlineStr">
        <is>
          <t>Back Three</t>
        </is>
      </c>
      <c r="D57" s="34">
        <f>_xlfn.XLOOKUP(B57,$B$2:$B$7,$C$2:$C$7)</f>
        <v/>
      </c>
      <c r="E57" s="5" t="n">
        <v>58</v>
      </c>
      <c r="F57" s="5" t="n">
        <v>7</v>
      </c>
      <c r="G57" s="5" t="n"/>
      <c r="H57" s="5" t="n"/>
      <c r="I57" s="5" t="n">
        <v>40</v>
      </c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6" t="n">
        <v>15</v>
      </c>
      <c r="U57" s="5" t="n"/>
    </row>
    <row r="58" ht="16" customHeight="1" thickBot="1">
      <c r="A58" s="1" t="inlineStr">
        <is>
          <t>F. Steward</t>
        </is>
      </c>
      <c r="B58" s="34">
        <f t="array" ref="B58:C58">_xlfn.XLOOKUP(A58,'Player List'!$A$2:$A$177,'Player List'!$B$2:$C$177)</f>
        <v/>
      </c>
      <c r="C58" s="34" t="inlineStr">
        <is>
          <t>Back Three</t>
        </is>
      </c>
      <c r="D58" s="34">
        <f>_xlfn.XLOOKUP(B58,$B$2:$B$7,$C$2:$C$7)</f>
        <v/>
      </c>
      <c r="E58" s="2" t="n">
        <v>80</v>
      </c>
      <c r="F58" s="2" t="n">
        <v>2</v>
      </c>
      <c r="G58" s="2" t="n">
        <v>1</v>
      </c>
      <c r="H58" s="2" t="n"/>
      <c r="I58" s="2" t="n">
        <v>163</v>
      </c>
      <c r="J58" s="2" t="n"/>
      <c r="K58" s="2" t="n"/>
      <c r="L58" s="2" t="n"/>
      <c r="M58" s="2" t="n">
        <v>1</v>
      </c>
      <c r="N58" s="2" t="n"/>
      <c r="O58" s="2" t="n"/>
      <c r="P58" s="2" t="n"/>
      <c r="Q58" s="2" t="n"/>
      <c r="R58" s="2" t="n"/>
      <c r="S58" s="2" t="n"/>
      <c r="T58" s="3" t="n">
        <v>56.6</v>
      </c>
      <c r="U58" s="2" t="n"/>
    </row>
    <row r="59" ht="16" customHeight="1" thickBot="1">
      <c r="A59" s="4" t="inlineStr">
        <is>
          <t>A. Watson</t>
        </is>
      </c>
      <c r="B59" s="34">
        <f t="array" ref="B59:C59">_xlfn.XLOOKUP(A59,'Player List'!$A$2:$A$177,'Player List'!$B$2:$C$177)</f>
        <v/>
      </c>
      <c r="C59" s="34" t="inlineStr">
        <is>
          <t>Back Three</t>
        </is>
      </c>
      <c r="D59" s="34">
        <f>_xlfn.XLOOKUP(B59,$B$2:$B$7,$C$2:$C$7)</f>
        <v/>
      </c>
      <c r="E59" s="5" t="n">
        <v>80</v>
      </c>
      <c r="F59" s="5" t="n">
        <v>3</v>
      </c>
      <c r="G59" s="5" t="n">
        <v>2</v>
      </c>
      <c r="H59" s="5" t="n"/>
      <c r="I59" s="5" t="n">
        <v>48</v>
      </c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6" t="n">
        <v>26.6</v>
      </c>
      <c r="U59" s="5" t="n"/>
    </row>
    <row r="60" ht="16" customHeight="1" thickBot="1">
      <c r="A60" s="7" t="inlineStr">
        <is>
          <t>O. Farrell</t>
        </is>
      </c>
      <c r="B60" s="34">
        <f t="array" ref="B60:C60">_xlfn.XLOOKUP(A60,'Player List'!$A$2:$A$177,'Player List'!$B$2:$C$177)</f>
        <v/>
      </c>
      <c r="C60" s="34" t="inlineStr">
        <is>
          <t>Centre</t>
        </is>
      </c>
      <c r="D60" s="34">
        <f>_xlfn.XLOOKUP(B60,$B$2:$B$7,$C$2:$C$7)</f>
        <v/>
      </c>
      <c r="E60" s="2" t="n">
        <v>34</v>
      </c>
      <c r="F60" s="2" t="n">
        <v>4</v>
      </c>
      <c r="G60" s="2" t="n"/>
      <c r="H60" s="2" t="n"/>
      <c r="I60" s="2" t="n">
        <v>44</v>
      </c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3" t="n">
        <v>12.8</v>
      </c>
      <c r="U60" s="2" t="n"/>
    </row>
    <row r="61" ht="16" customHeight="1" thickBot="1">
      <c r="A61" s="8" t="inlineStr">
        <is>
          <t>O. Lawrence</t>
        </is>
      </c>
      <c r="B61" s="34">
        <f t="array" ref="B61:C61">_xlfn.XLOOKUP(A61,'Player List'!$A$2:$A$177,'Player List'!$B$2:$C$177)</f>
        <v/>
      </c>
      <c r="C61" s="34" t="inlineStr">
        <is>
          <t>Centre</t>
        </is>
      </c>
      <c r="D61" s="34">
        <f>_xlfn.XLOOKUP(B61,$B$2:$B$7,$C$2:$C$7)</f>
        <v/>
      </c>
      <c r="E61" s="5" t="n">
        <v>61</v>
      </c>
      <c r="F61" s="5" t="n">
        <v>3</v>
      </c>
      <c r="G61" s="5" t="n"/>
      <c r="H61" s="5" t="n"/>
      <c r="I61" s="5" t="n">
        <v>24</v>
      </c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6" t="n">
        <v>7.8</v>
      </c>
      <c r="U61" s="5" t="n"/>
    </row>
    <row r="62" ht="16" customHeight="1" thickBot="1">
      <c r="A62" s="7" t="inlineStr">
        <is>
          <t>H. Slade</t>
        </is>
      </c>
      <c r="B62" s="34">
        <f t="array" ref="B62:C62">_xlfn.XLOOKUP(A62,'Player List'!$A$2:$A$177,'Player List'!$B$2:$C$177)</f>
        <v/>
      </c>
      <c r="C62" s="34" t="inlineStr">
        <is>
          <t>Centre</t>
        </is>
      </c>
      <c r="D62" s="34">
        <f>_xlfn.XLOOKUP(B62,$B$2:$B$7,$C$2:$C$7)</f>
        <v/>
      </c>
      <c r="E62" s="2" t="n">
        <v>46</v>
      </c>
      <c r="F62" s="2" t="n">
        <v>1</v>
      </c>
      <c r="G62" s="2" t="n"/>
      <c r="H62" s="2" t="n"/>
      <c r="I62" s="2" t="n">
        <v>15</v>
      </c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3" t="n">
        <v>4</v>
      </c>
      <c r="U62" s="2" t="n"/>
    </row>
    <row r="63" ht="16" customHeight="1" thickBot="1">
      <c r="A63" s="10" t="inlineStr">
        <is>
          <t>M. Smith</t>
        </is>
      </c>
      <c r="B63" s="34">
        <f t="array" ref="B63:C63">_xlfn.XLOOKUP(A63,'Player List'!$A$2:$A$177,'Player List'!$B$2:$C$177)</f>
        <v/>
      </c>
      <c r="C63" s="34" t="inlineStr">
        <is>
          <t>Fly Half</t>
        </is>
      </c>
      <c r="D63" s="34">
        <f>_xlfn.XLOOKUP(B63,$B$2:$B$7,$C$2:$C$7)</f>
        <v/>
      </c>
      <c r="E63" s="5" t="n">
        <v>80</v>
      </c>
      <c r="F63" s="5" t="n">
        <v>10</v>
      </c>
      <c r="G63" s="5" t="n"/>
      <c r="H63" s="5" t="n">
        <v>1</v>
      </c>
      <c r="I63" s="5" t="n">
        <v>115</v>
      </c>
      <c r="J63" s="5" t="n"/>
      <c r="K63" s="5" t="n"/>
      <c r="L63" s="5" t="n"/>
      <c r="M63" s="5" t="n"/>
      <c r="N63" s="5" t="n"/>
      <c r="O63" s="5" t="n">
        <v>1</v>
      </c>
      <c r="P63" s="5" t="n">
        <v>1</v>
      </c>
      <c r="Q63" s="5" t="n"/>
      <c r="R63" s="5" t="n"/>
      <c r="S63" s="5" t="n"/>
      <c r="T63" s="6" t="n">
        <v>47</v>
      </c>
      <c r="U63" s="5" t="n"/>
    </row>
    <row r="64" ht="16" customHeight="1" thickBot="1">
      <c r="A64" s="11" t="inlineStr">
        <is>
          <t>A. Mitchell</t>
        </is>
      </c>
      <c r="B64" s="34">
        <f t="array" ref="B64:C64">_xlfn.XLOOKUP(A64,'Player List'!$A$2:$A$177,'Player List'!$B$2:$C$177)</f>
        <v/>
      </c>
      <c r="C64" s="34" t="inlineStr">
        <is>
          <t>Scrum Half</t>
        </is>
      </c>
      <c r="D64" s="34">
        <f>_xlfn.XLOOKUP(B64,$B$2:$B$7,$C$2:$C$7)</f>
        <v/>
      </c>
      <c r="E64" s="2" t="n">
        <v>34</v>
      </c>
      <c r="F64" s="2" t="n"/>
      <c r="G64" s="2" t="n"/>
      <c r="H64" s="2" t="n"/>
      <c r="I64" s="2" t="n">
        <v>8</v>
      </c>
      <c r="J64" s="2" t="n"/>
      <c r="K64" s="2" t="n"/>
      <c r="L64" s="2" t="n"/>
      <c r="M64" s="2" t="n"/>
      <c r="N64" s="2" t="n">
        <v>1</v>
      </c>
      <c r="O64" s="2" t="n"/>
      <c r="P64" s="2" t="n"/>
      <c r="Q64" s="2" t="n"/>
      <c r="R64" s="2" t="n"/>
      <c r="S64" s="2" t="n"/>
      <c r="T64" s="3" t="n">
        <v>8.6</v>
      </c>
      <c r="U64" s="2" t="n"/>
    </row>
    <row r="65" ht="16" customHeight="1" thickBot="1">
      <c r="A65" s="12" t="inlineStr">
        <is>
          <t>J. van Poortvliet</t>
        </is>
      </c>
      <c r="B65" s="34">
        <f t="array" ref="B65:C65">_xlfn.XLOOKUP(A65,'Player List'!$A$2:$A$177,'Player List'!$B$2:$C$177)</f>
        <v/>
      </c>
      <c r="C65" s="34" t="inlineStr">
        <is>
          <t>Scrum Half</t>
        </is>
      </c>
      <c r="D65" s="34">
        <f>_xlfn.XLOOKUP(B65,$B$2:$B$7,$C$2:$C$7)</f>
        <v/>
      </c>
      <c r="E65" s="5" t="n">
        <v>46</v>
      </c>
      <c r="F65" s="5" t="n">
        <v>3</v>
      </c>
      <c r="G65" s="5" t="n"/>
      <c r="H65" s="5" t="n"/>
      <c r="I65" s="5" t="n">
        <v>4</v>
      </c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6" t="n">
        <v>3.8</v>
      </c>
      <c r="U65" s="5" t="n"/>
    </row>
    <row r="66" ht="16" customHeight="1" thickBot="1">
      <c r="A66" s="13" t="inlineStr">
        <is>
          <t>B. Curry</t>
        </is>
      </c>
      <c r="B66" s="34">
        <f t="array" ref="B66:C66">_xlfn.XLOOKUP(A66,'Player List'!$A$2:$A$177,'Player List'!$B$2:$C$177)</f>
        <v/>
      </c>
      <c r="C66" s="34" t="inlineStr">
        <is>
          <t>Back Row</t>
        </is>
      </c>
      <c r="D66" s="34">
        <f>_xlfn.XLOOKUP(B66,$B$2:$B$7,$C$2:$C$7)</f>
        <v/>
      </c>
      <c r="E66" s="2" t="n">
        <v>27</v>
      </c>
      <c r="F66" s="2" t="n">
        <v>5</v>
      </c>
      <c r="G66" s="2" t="n"/>
      <c r="H66" s="2" t="n"/>
      <c r="I66" s="2" t="n">
        <v>11</v>
      </c>
      <c r="J66" s="2" t="n"/>
      <c r="K66" s="2" t="n"/>
      <c r="L66" s="2" t="n">
        <v>1</v>
      </c>
      <c r="M66" s="2" t="n"/>
      <c r="N66" s="2" t="n"/>
      <c r="O66" s="2" t="n"/>
      <c r="P66" s="2" t="n"/>
      <c r="Q66" s="2" t="n"/>
      <c r="R66" s="2" t="n"/>
      <c r="S66" s="2" t="n"/>
      <c r="T66" s="3" t="n">
        <v>14.2</v>
      </c>
      <c r="U66" s="2" t="n"/>
    </row>
    <row r="67" ht="16" customHeight="1" thickBot="1">
      <c r="A67" s="14" t="inlineStr">
        <is>
          <t>A. Dombrandt</t>
        </is>
      </c>
      <c r="B67" s="34">
        <f t="array" ref="B67:C67">_xlfn.XLOOKUP(A67,'Player List'!$A$2:$A$177,'Player List'!$B$2:$C$177)</f>
        <v/>
      </c>
      <c r="C67" s="34" t="inlineStr">
        <is>
          <t>Back Row</t>
        </is>
      </c>
      <c r="D67" s="34">
        <f>_xlfn.XLOOKUP(B67,$B$2:$B$7,$C$2:$C$7)</f>
        <v/>
      </c>
      <c r="E67" s="5" t="n">
        <v>75</v>
      </c>
      <c r="F67" s="5" t="n">
        <v>12</v>
      </c>
      <c r="G67" s="5" t="n">
        <v>1</v>
      </c>
      <c r="H67" s="5" t="n"/>
      <c r="I67" s="5" t="n">
        <v>44</v>
      </c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6" t="n">
        <v>27.8</v>
      </c>
      <c r="U67" s="5" t="n"/>
    </row>
    <row r="68" ht="16" customHeight="1" thickBot="1">
      <c r="A68" s="13" t="inlineStr">
        <is>
          <t>L. Ludlam</t>
        </is>
      </c>
      <c r="B68" s="34">
        <f t="array" ref="B68:C68">_xlfn.XLOOKUP(A68,'Player List'!$A$2:$A$177,'Player List'!$B$2:$C$177)</f>
        <v/>
      </c>
      <c r="C68" s="34" t="inlineStr">
        <is>
          <t>Back Row</t>
        </is>
      </c>
      <c r="D68" s="34">
        <f>_xlfn.XLOOKUP(B68,$B$2:$B$7,$C$2:$C$7)</f>
        <v/>
      </c>
      <c r="E68" s="2" t="n">
        <v>80</v>
      </c>
      <c r="F68" s="2" t="n">
        <v>11</v>
      </c>
      <c r="G68" s="2" t="n">
        <v>1</v>
      </c>
      <c r="H68" s="2" t="n"/>
      <c r="I68" s="2" t="n">
        <v>27</v>
      </c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3" t="n">
        <v>23.4</v>
      </c>
      <c r="U68" s="2" t="n"/>
    </row>
    <row r="69" ht="16" customHeight="1" thickBot="1">
      <c r="A69" s="14" t="inlineStr">
        <is>
          <t>J. Willis</t>
        </is>
      </c>
      <c r="B69" s="34">
        <f t="array" ref="B69:C69">_xlfn.XLOOKUP(A69,'Player List'!$A$2:$A$177,'Player List'!$B$2:$C$177)</f>
        <v/>
      </c>
      <c r="C69" s="34" t="inlineStr">
        <is>
          <t>Back Row</t>
        </is>
      </c>
      <c r="D69" s="34">
        <f>_xlfn.XLOOKUP(B69,$B$2:$B$7,$C$2:$C$7)</f>
        <v/>
      </c>
      <c r="E69" s="5" t="n">
        <v>53</v>
      </c>
      <c r="F69" s="5" t="n">
        <v>7</v>
      </c>
      <c r="G69" s="5" t="n"/>
      <c r="H69" s="5" t="n"/>
      <c r="I69" s="5" t="n">
        <v>17</v>
      </c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6" t="n">
        <v>10.4</v>
      </c>
      <c r="U69" s="5" t="n"/>
    </row>
    <row r="70" ht="16" customHeight="1" thickBot="1">
      <c r="A70" s="15" t="inlineStr">
        <is>
          <t>O. Chessum</t>
        </is>
      </c>
      <c r="B70" s="34">
        <f t="array" ref="B70:C70">_xlfn.XLOOKUP(A70,'Player List'!$A$2:$A$177,'Player List'!$B$2:$C$177)</f>
        <v/>
      </c>
      <c r="C70" s="34" t="inlineStr">
        <is>
          <t>Second Row</t>
        </is>
      </c>
      <c r="D70" s="34">
        <f>_xlfn.XLOOKUP(B70,$B$2:$B$7,$C$2:$C$7)</f>
        <v/>
      </c>
      <c r="E70" s="2" t="n">
        <v>80</v>
      </c>
      <c r="F70" s="2" t="n">
        <v>4</v>
      </c>
      <c r="G70" s="2" t="n"/>
      <c r="H70" s="2" t="n"/>
      <c r="I70" s="2" t="n">
        <v>25</v>
      </c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3" t="n">
        <v>9</v>
      </c>
      <c r="U70" s="2" t="n"/>
    </row>
    <row r="71" ht="16" customHeight="1" thickBot="1">
      <c r="A71" s="16" t="inlineStr">
        <is>
          <t>M. Itoje</t>
        </is>
      </c>
      <c r="B71" s="34">
        <f t="array" ref="B71:C71">_xlfn.XLOOKUP(A71,'Player List'!$A$2:$A$177,'Player List'!$B$2:$C$177)</f>
        <v/>
      </c>
      <c r="C71" s="34" t="inlineStr">
        <is>
          <t>Second Row</t>
        </is>
      </c>
      <c r="D71" s="34">
        <f>_xlfn.XLOOKUP(B71,$B$2:$B$7,$C$2:$C$7)</f>
        <v/>
      </c>
      <c r="E71" s="5" t="n">
        <v>80</v>
      </c>
      <c r="F71" s="5" t="n">
        <v>8</v>
      </c>
      <c r="G71" s="5" t="n">
        <v>1</v>
      </c>
      <c r="H71" s="5" t="n"/>
      <c r="I71" s="5" t="n">
        <v>23</v>
      </c>
      <c r="J71" s="5" t="n"/>
      <c r="K71" s="5" t="n"/>
      <c r="L71" s="5" t="n">
        <v>2</v>
      </c>
      <c r="M71" s="5" t="n"/>
      <c r="N71" s="5" t="n"/>
      <c r="O71" s="5" t="n"/>
      <c r="P71" s="5" t="n"/>
      <c r="Q71" s="5" t="n"/>
      <c r="R71" s="5" t="n"/>
      <c r="S71" s="5" t="n"/>
      <c r="T71" s="6" t="n">
        <v>33.6</v>
      </c>
      <c r="U71" s="5" t="n"/>
    </row>
    <row r="72" ht="16" customHeight="1" thickBot="1">
      <c r="A72" s="15" t="inlineStr">
        <is>
          <t>D. Ribbans</t>
        </is>
      </c>
      <c r="B72" s="34">
        <f t="array" ref="B72:C72">_xlfn.XLOOKUP(A72,'Player List'!$A$2:$A$177,'Player List'!$B$2:$C$177)</f>
        <v/>
      </c>
      <c r="C72" s="34" t="inlineStr">
        <is>
          <t>Second Row</t>
        </is>
      </c>
      <c r="D72" s="34">
        <f>_xlfn.XLOOKUP(B72,$B$2:$B$7,$C$2:$C$7)</f>
        <v/>
      </c>
      <c r="E72" s="2" t="n">
        <v>5</v>
      </c>
      <c r="F72" s="2" t="n"/>
      <c r="G72" s="2" t="n"/>
      <c r="H72" s="2" t="n"/>
      <c r="I72" s="2" t="n">
        <v>3</v>
      </c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3" t="n">
        <v>0.6</v>
      </c>
      <c r="U72" s="2" t="n"/>
    </row>
    <row r="73" ht="16" customHeight="1" thickBot="1">
      <c r="A73" s="17" t="inlineStr">
        <is>
          <t>D. Cole</t>
        </is>
      </c>
      <c r="B73" s="34">
        <f t="array" ref="B73:C73">_xlfn.XLOOKUP(A73,'Player List'!$A$2:$A$177,'Player List'!$B$2:$C$177)</f>
        <v/>
      </c>
      <c r="C73" s="34" t="inlineStr">
        <is>
          <t>Prop</t>
        </is>
      </c>
      <c r="D73" s="34">
        <f>_xlfn.XLOOKUP(B73,$B$2:$B$7,$C$2:$C$7)</f>
        <v/>
      </c>
      <c r="E73" s="5" t="n">
        <v>15</v>
      </c>
      <c r="F73" s="5" t="n">
        <v>1</v>
      </c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6" t="n">
        <v>1</v>
      </c>
      <c r="U73" s="5" t="n"/>
    </row>
    <row r="74" ht="16" customHeight="1" thickBot="1">
      <c r="A74" s="18" t="inlineStr">
        <is>
          <t>E. Genge</t>
        </is>
      </c>
      <c r="B74" s="34">
        <f t="array" ref="B74:C74">_xlfn.XLOOKUP(A74,'Player List'!$A$2:$A$177,'Player List'!$B$2:$C$177)</f>
        <v/>
      </c>
      <c r="C74" s="34" t="inlineStr">
        <is>
          <t>Prop</t>
        </is>
      </c>
      <c r="D74" s="34">
        <f>_xlfn.XLOOKUP(B74,$B$2:$B$7,$C$2:$C$7)</f>
        <v/>
      </c>
      <c r="E74" s="2" t="n">
        <v>65</v>
      </c>
      <c r="F74" s="2" t="n">
        <v>4</v>
      </c>
      <c r="G74" s="2" t="n">
        <v>1</v>
      </c>
      <c r="H74" s="2" t="n"/>
      <c r="I74" s="2" t="n">
        <v>17</v>
      </c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3" t="n">
        <v>14.4</v>
      </c>
      <c r="U74" s="2" t="n"/>
    </row>
    <row r="75" ht="16" customHeight="1" thickBot="1">
      <c r="A75" s="17" t="inlineStr">
        <is>
          <t>K. Sinckler</t>
        </is>
      </c>
      <c r="B75" s="34">
        <f t="array" ref="B75:C75">_xlfn.XLOOKUP(A75,'Player List'!$A$2:$A$177,'Player List'!$B$2:$C$177)</f>
        <v/>
      </c>
      <c r="C75" s="34" t="inlineStr">
        <is>
          <t>Prop</t>
        </is>
      </c>
      <c r="D75" s="34">
        <f>_xlfn.XLOOKUP(B75,$B$2:$B$7,$C$2:$C$7)</f>
        <v/>
      </c>
      <c r="E75" s="5" t="n">
        <v>65</v>
      </c>
      <c r="F75" s="5" t="n">
        <v>8</v>
      </c>
      <c r="G75" s="5" t="n">
        <v>1</v>
      </c>
      <c r="H75" s="5" t="n"/>
      <c r="I75" s="5" t="n">
        <v>24</v>
      </c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6" t="n">
        <v>19.8</v>
      </c>
      <c r="U75" s="5" t="n"/>
    </row>
    <row r="76" ht="16" customHeight="1" thickBot="1">
      <c r="A76" s="18" t="inlineStr">
        <is>
          <t>M. Vunipola</t>
        </is>
      </c>
      <c r="B76" s="34">
        <f t="array" ref="B76:C76">_xlfn.XLOOKUP(A76,'Player List'!$A$2:$A$177,'Player List'!$B$2:$C$177)</f>
        <v/>
      </c>
      <c r="C76" s="34" t="inlineStr">
        <is>
          <t>Prop</t>
        </is>
      </c>
      <c r="D76" s="34">
        <f>_xlfn.XLOOKUP(B76,$B$2:$B$7,$C$2:$C$7)</f>
        <v/>
      </c>
      <c r="E76" s="2" t="n">
        <v>15</v>
      </c>
      <c r="F76" s="2" t="n"/>
      <c r="G76" s="2" t="n"/>
      <c r="H76" s="2" t="n"/>
      <c r="I76" s="2" t="n">
        <v>14</v>
      </c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3" t="n">
        <v>2.8</v>
      </c>
      <c r="U76" s="2" t="n"/>
    </row>
    <row r="77" ht="16" customHeight="1" thickBot="1">
      <c r="A77" s="19" t="inlineStr">
        <is>
          <t>J. George</t>
        </is>
      </c>
      <c r="B77" s="34">
        <f t="array" ref="B77:C77">_xlfn.XLOOKUP(A77,'Player List'!$A$2:$A$177,'Player List'!$B$2:$C$177)</f>
        <v/>
      </c>
      <c r="C77" s="34" t="inlineStr">
        <is>
          <t>Hooker</t>
        </is>
      </c>
      <c r="D77" s="34">
        <f>_xlfn.XLOOKUP(B77,$B$2:$B$7,$C$2:$C$7)</f>
        <v/>
      </c>
      <c r="E77" s="5" t="n">
        <v>80</v>
      </c>
      <c r="F77" s="5" t="n">
        <v>6</v>
      </c>
      <c r="G77" s="5" t="n"/>
      <c r="H77" s="5" t="n"/>
      <c r="I77" s="5" t="n">
        <v>14</v>
      </c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6" t="n">
        <v>8.800000000000001</v>
      </c>
      <c r="U77" s="5" t="n"/>
    </row>
    <row r="78" ht="16" customHeight="1" thickBot="1">
      <c r="A78" s="20" t="inlineStr">
        <is>
          <t>J. Walker</t>
        </is>
      </c>
      <c r="B78" s="34">
        <f t="array" ref="B78:C78">_xlfn.XLOOKUP(A78,'Player List'!$A$2:$A$177,'Player List'!$B$2:$C$177)</f>
        <v/>
      </c>
      <c r="C78" s="34" t="inlineStr">
        <is>
          <t>Hooker</t>
        </is>
      </c>
      <c r="D78" s="34">
        <f>_xlfn.XLOOKUP(B78,$B$2:$B$7,$C$2:$C$7)</f>
        <v/>
      </c>
      <c r="E78" s="2" t="n">
        <v>19</v>
      </c>
      <c r="F78" s="2" t="n">
        <v>3</v>
      </c>
      <c r="G78" s="2" t="n"/>
      <c r="H78" s="2" t="n"/>
      <c r="I78" s="2" t="n">
        <v>21</v>
      </c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3" t="n">
        <v>7.2</v>
      </c>
      <c r="U78" s="2" t="n"/>
    </row>
    <row r="79" ht="16" customHeight="1" thickBot="1">
      <c r="A79" s="1" t="inlineStr">
        <is>
          <t>M. Jaminet</t>
        </is>
      </c>
      <c r="B79" s="34">
        <f t="array" ref="B79:C79">_xlfn.XLOOKUP(A79,'Player List'!$A$2:$A$177,'Player List'!$B$2:$C$177)</f>
        <v/>
      </c>
      <c r="C79" s="34" t="inlineStr">
        <is>
          <t>Back Three</t>
        </is>
      </c>
      <c r="D79" s="34">
        <f>_xlfn.XLOOKUP(B79,$B$2:$B$7,$C$2:$C$7)</f>
        <v/>
      </c>
      <c r="E79" s="2" t="n">
        <v>7</v>
      </c>
      <c r="F79" s="2" t="n">
        <v>2</v>
      </c>
      <c r="G79" s="2" t="n"/>
      <c r="H79" s="2" t="n"/>
      <c r="I79" s="2" t="n">
        <v>11</v>
      </c>
      <c r="J79" s="2" t="n"/>
      <c r="K79" s="2" t="n"/>
      <c r="L79" s="2" t="n"/>
      <c r="M79" s="2" t="n"/>
      <c r="N79" s="2" t="n">
        <v>1</v>
      </c>
      <c r="O79" s="2" t="n"/>
      <c r="P79" s="2" t="n"/>
      <c r="Q79" s="2" t="n"/>
      <c r="R79" s="2" t="n"/>
      <c r="S79" s="2" t="n"/>
      <c r="T79" s="3" t="n">
        <v>11.9</v>
      </c>
      <c r="U79" s="2" t="n"/>
    </row>
    <row r="80" ht="16" customHeight="1" thickBot="1">
      <c r="A80" s="4" t="inlineStr">
        <is>
          <t>D. Penaud</t>
        </is>
      </c>
      <c r="B80" s="34">
        <f t="array" ref="B80:C80">_xlfn.XLOOKUP(A80,'Player List'!$A$2:$A$177,'Player List'!$B$2:$C$177)</f>
        <v/>
      </c>
      <c r="C80" s="34" t="inlineStr">
        <is>
          <t>Back Three</t>
        </is>
      </c>
      <c r="D80" s="34">
        <f>_xlfn.XLOOKUP(B80,$B$2:$B$7,$C$2:$C$7)</f>
        <v/>
      </c>
      <c r="E80" s="5" t="n">
        <v>80</v>
      </c>
      <c r="F80" s="5" t="n">
        <v>4</v>
      </c>
      <c r="G80" s="5" t="n"/>
      <c r="H80" s="5" t="n">
        <v>2</v>
      </c>
      <c r="I80" s="5" t="n">
        <v>86</v>
      </c>
      <c r="J80" s="5" t="n"/>
      <c r="K80" s="5" t="n"/>
      <c r="L80" s="5" t="n"/>
      <c r="M80" s="5" t="n">
        <v>2</v>
      </c>
      <c r="N80" s="5" t="n"/>
      <c r="O80" s="5" t="n"/>
      <c r="P80" s="5" t="n"/>
      <c r="Q80" s="5" t="n"/>
      <c r="R80" s="5" t="n"/>
      <c r="S80" s="5" t="n"/>
      <c r="T80" s="6" t="n">
        <v>73.2</v>
      </c>
      <c r="U80" s="5" t="n"/>
    </row>
    <row r="81" ht="16" customHeight="1" thickBot="1">
      <c r="A81" s="1" t="inlineStr">
        <is>
          <t>T. Ramos</t>
        </is>
      </c>
      <c r="B81" s="34">
        <f t="array" ref="B81:C81">_xlfn.XLOOKUP(A81,'Player List'!$A$2:$A$177,'Player List'!$B$2:$C$177)</f>
        <v/>
      </c>
      <c r="C81" s="34" t="inlineStr">
        <is>
          <t>Back Three</t>
        </is>
      </c>
      <c r="D81" s="34">
        <f>_xlfn.XLOOKUP(B81,$B$2:$B$7,$C$2:$C$7)</f>
        <v/>
      </c>
      <c r="E81" s="2" t="n">
        <v>80</v>
      </c>
      <c r="F81" s="2" t="n"/>
      <c r="G81" s="2" t="n">
        <v>1</v>
      </c>
      <c r="H81" s="2" t="n">
        <v>1</v>
      </c>
      <c r="I81" s="2" t="n">
        <v>96</v>
      </c>
      <c r="J81" s="2" t="n"/>
      <c r="K81" s="2" t="n"/>
      <c r="L81" s="2" t="n"/>
      <c r="M81" s="2" t="n">
        <v>1</v>
      </c>
      <c r="N81" s="2" t="n"/>
      <c r="O81" s="2" t="n">
        <v>6</v>
      </c>
      <c r="P81" s="2" t="n">
        <v>2</v>
      </c>
      <c r="Q81" s="2" t="n"/>
      <c r="R81" s="2" t="n"/>
      <c r="S81" s="2" t="n"/>
      <c r="T81" s="3" t="n">
        <v>93.2</v>
      </c>
      <c r="U81" s="2" t="n">
        <v>1</v>
      </c>
    </row>
    <row r="82" ht="16" customHeight="1" thickBot="1">
      <c r="A82" s="8" t="inlineStr">
        <is>
          <t>J. Danty</t>
        </is>
      </c>
      <c r="B82" s="34">
        <f t="array" ref="B82:C82">_xlfn.XLOOKUP(A82,'Player List'!$A$2:$A$177,'Player List'!$B$2:$C$177)</f>
        <v/>
      </c>
      <c r="C82" s="34" t="inlineStr">
        <is>
          <t>Centre</t>
        </is>
      </c>
      <c r="D82" s="34">
        <f>_xlfn.XLOOKUP(B82,$B$2:$B$7,$C$2:$C$7)</f>
        <v/>
      </c>
      <c r="E82" s="5" t="n">
        <v>65</v>
      </c>
      <c r="F82" s="5" t="n">
        <v>8</v>
      </c>
      <c r="G82" s="5" t="n">
        <v>1</v>
      </c>
      <c r="H82" s="5" t="n"/>
      <c r="I82" s="5" t="n">
        <v>26</v>
      </c>
      <c r="J82" s="5" t="n"/>
      <c r="K82" s="5" t="n"/>
      <c r="L82" s="5" t="n">
        <v>1</v>
      </c>
      <c r="M82" s="5" t="n"/>
      <c r="N82" s="5" t="n"/>
      <c r="O82" s="5" t="n"/>
      <c r="P82" s="5" t="n"/>
      <c r="Q82" s="5" t="n"/>
      <c r="R82" s="5" t="n"/>
      <c r="S82" s="5" t="n"/>
      <c r="T82" s="6" t="n">
        <v>33.7</v>
      </c>
      <c r="U82" s="5" t="n"/>
    </row>
    <row r="83" ht="16" customHeight="1" thickBot="1">
      <c r="A83" s="7" t="inlineStr">
        <is>
          <t>E. Dumortier</t>
        </is>
      </c>
      <c r="B83" s="34">
        <f t="array" ref="B83:C83">_xlfn.XLOOKUP(A83,'Player List'!$A$2:$A$177,'Player List'!$B$2:$C$177)</f>
        <v/>
      </c>
      <c r="C83" s="34" t="inlineStr">
        <is>
          <t>Centre</t>
        </is>
      </c>
      <c r="D83" s="34">
        <f>_xlfn.XLOOKUP(B83,$B$2:$B$7,$C$2:$C$7)</f>
        <v/>
      </c>
      <c r="E83" s="2" t="n">
        <v>80</v>
      </c>
      <c r="F83" s="2" t="n"/>
      <c r="G83" s="2" t="n"/>
      <c r="H83" s="2" t="n">
        <v>1</v>
      </c>
      <c r="I83" s="2" t="n">
        <v>50</v>
      </c>
      <c r="J83" s="2" t="n"/>
      <c r="K83" s="2" t="n"/>
      <c r="L83" s="2" t="n"/>
      <c r="M83" s="2" t="n"/>
      <c r="N83" s="2" t="n">
        <v>1</v>
      </c>
      <c r="O83" s="2" t="n"/>
      <c r="P83" s="2" t="n"/>
      <c r="Q83" s="2" t="n"/>
      <c r="R83" s="2" t="n"/>
      <c r="S83" s="2" t="n"/>
      <c r="T83" s="3" t="n">
        <v>32</v>
      </c>
      <c r="U83" s="2" t="n"/>
    </row>
    <row r="84" ht="16" customHeight="1" thickBot="1">
      <c r="A84" s="8" t="inlineStr">
        <is>
          <t>G. Fickou</t>
        </is>
      </c>
      <c r="B84" s="34">
        <f t="array" ref="B84:C84">_xlfn.XLOOKUP(A84,'Player List'!$A$2:$A$177,'Player List'!$B$2:$C$177)</f>
        <v/>
      </c>
      <c r="C84" s="34" t="inlineStr">
        <is>
          <t>Centre</t>
        </is>
      </c>
      <c r="D84" s="34">
        <f>_xlfn.XLOOKUP(B84,$B$2:$B$7,$C$2:$C$7)</f>
        <v/>
      </c>
      <c r="E84" s="5" t="n">
        <v>80</v>
      </c>
      <c r="F84" s="5" t="n">
        <v>12</v>
      </c>
      <c r="G84" s="5" t="n">
        <v>1</v>
      </c>
      <c r="H84" s="5" t="n"/>
      <c r="I84" s="5" t="n">
        <v>54</v>
      </c>
      <c r="J84" s="5" t="n"/>
      <c r="K84" s="5" t="n"/>
      <c r="L84" s="5" t="n"/>
      <c r="M84" s="5" t="n"/>
      <c r="N84" s="5" t="n">
        <v>1</v>
      </c>
      <c r="O84" s="5" t="n"/>
      <c r="P84" s="5" t="n"/>
      <c r="Q84" s="5" t="n"/>
      <c r="R84" s="5" t="n"/>
      <c r="S84" s="5" t="n"/>
      <c r="T84" s="6" t="n">
        <v>44.8</v>
      </c>
      <c r="U84" s="5" t="n"/>
    </row>
    <row r="85" ht="16" customHeight="1" thickBot="1">
      <c r="A85" s="7" t="inlineStr">
        <is>
          <t>Y. Moefana</t>
        </is>
      </c>
      <c r="B85" s="34">
        <f t="array" ref="B85:C85">_xlfn.XLOOKUP(A85,'Player List'!$A$2:$A$177,'Player List'!$B$2:$C$177)</f>
        <v/>
      </c>
      <c r="C85" s="34" t="inlineStr">
        <is>
          <t>Centre</t>
        </is>
      </c>
      <c r="D85" s="34">
        <f>_xlfn.XLOOKUP(B85,$B$2:$B$7,$C$2:$C$7)</f>
        <v/>
      </c>
      <c r="E85" s="2" t="n">
        <v>15</v>
      </c>
      <c r="F85" s="2" t="n">
        <v>2</v>
      </c>
      <c r="G85" s="2" t="n"/>
      <c r="H85" s="2" t="n"/>
      <c r="I85" s="2" t="n">
        <v>11</v>
      </c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3" t="n">
        <v>5.7</v>
      </c>
      <c r="U85" s="2" t="n"/>
    </row>
    <row r="86" ht="16" customHeight="1" thickBot="1">
      <c r="A86" s="10" t="inlineStr">
        <is>
          <t>R. Ntamack</t>
        </is>
      </c>
      <c r="B86" s="34">
        <f t="array" ref="B86:C86">_xlfn.XLOOKUP(A86,'Player List'!$A$2:$A$177,'Player List'!$B$2:$C$177)</f>
        <v/>
      </c>
      <c r="C86" s="34" t="inlineStr">
        <is>
          <t>Fly Half</t>
        </is>
      </c>
      <c r="D86" s="34">
        <f>_xlfn.XLOOKUP(B86,$B$2:$B$7,$C$2:$C$7)</f>
        <v/>
      </c>
      <c r="E86" s="5" t="n">
        <v>73</v>
      </c>
      <c r="F86" s="5" t="n">
        <v>6</v>
      </c>
      <c r="G86" s="5" t="n"/>
      <c r="H86" s="5" t="n"/>
      <c r="I86" s="5" t="n">
        <v>16</v>
      </c>
      <c r="J86" s="5" t="n"/>
      <c r="K86" s="5" t="n"/>
      <c r="L86" s="5" t="n"/>
      <c r="M86" s="5" t="n"/>
      <c r="N86" s="5" t="n">
        <v>1</v>
      </c>
      <c r="O86" s="5" t="n"/>
      <c r="P86" s="5" t="n"/>
      <c r="Q86" s="5" t="n"/>
      <c r="R86" s="5" t="n"/>
      <c r="S86" s="5" t="n"/>
      <c r="T86" s="6" t="n">
        <v>23.5</v>
      </c>
      <c r="U86" s="5" t="n"/>
    </row>
    <row r="87" ht="16" customHeight="1" thickBot="1">
      <c r="A87" s="11" t="inlineStr">
        <is>
          <t>A. Dupont</t>
        </is>
      </c>
      <c r="B87" s="34">
        <f t="array" ref="B87:C87">_xlfn.XLOOKUP(A87,'Player List'!$A$2:$A$177,'Player List'!$B$2:$C$177)</f>
        <v/>
      </c>
      <c r="C87" s="34" t="inlineStr">
        <is>
          <t>Scrum Half</t>
        </is>
      </c>
      <c r="D87" s="34">
        <f>_xlfn.XLOOKUP(B87,$B$2:$B$7,$C$2:$C$7)</f>
        <v/>
      </c>
      <c r="E87" s="2" t="n">
        <v>69</v>
      </c>
      <c r="F87" s="2" t="n">
        <v>9</v>
      </c>
      <c r="G87" s="2" t="n">
        <v>1</v>
      </c>
      <c r="H87" s="2" t="n">
        <v>1</v>
      </c>
      <c r="I87" s="2" t="n">
        <v>45</v>
      </c>
      <c r="J87" s="2" t="n">
        <v>1</v>
      </c>
      <c r="K87" s="2" t="n"/>
      <c r="L87" s="2" t="n"/>
      <c r="M87" s="2" t="n"/>
      <c r="N87" s="2" t="n">
        <v>1</v>
      </c>
      <c r="O87" s="2" t="n"/>
      <c r="P87" s="2" t="n"/>
      <c r="Q87" s="2" t="n"/>
      <c r="R87" s="2" t="n"/>
      <c r="S87" s="2" t="n"/>
      <c r="T87" s="3" t="n">
        <v>55.9</v>
      </c>
      <c r="U87" s="2" t="n"/>
    </row>
    <row r="88" ht="16" customHeight="1" thickBot="1">
      <c r="A88" s="12" t="inlineStr">
        <is>
          <t>M. Lucu</t>
        </is>
      </c>
      <c r="B88" s="34">
        <f t="array" ref="B88:C88">_xlfn.XLOOKUP(A88,'Player List'!$A$2:$A$177,'Player List'!$B$2:$C$177)</f>
        <v/>
      </c>
      <c r="C88" s="34" t="inlineStr">
        <is>
          <t>Scrum Half</t>
        </is>
      </c>
      <c r="D88" s="34">
        <f>_xlfn.XLOOKUP(B88,$B$2:$B$7,$C$2:$C$7)</f>
        <v/>
      </c>
      <c r="E88" s="5" t="n">
        <v>11</v>
      </c>
      <c r="F88" s="5" t="n"/>
      <c r="G88" s="5" t="n"/>
      <c r="H88" s="5" t="n"/>
      <c r="I88" s="5" t="n">
        <v>2</v>
      </c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6" t="n">
        <v>1.5</v>
      </c>
      <c r="U88" s="5" t="n"/>
    </row>
    <row r="89" ht="16" customHeight="1" thickBot="1">
      <c r="A89" s="13" t="inlineStr">
        <is>
          <t>G. Alldritt</t>
        </is>
      </c>
      <c r="B89" s="34">
        <f t="array" ref="B89:C89">_xlfn.XLOOKUP(A89,'Player List'!$A$2:$A$177,'Player List'!$B$2:$C$177)</f>
        <v/>
      </c>
      <c r="C89" s="34" t="inlineStr">
        <is>
          <t>Back Row</t>
        </is>
      </c>
      <c r="D89" s="34">
        <f>_xlfn.XLOOKUP(B89,$B$2:$B$7,$C$2:$C$7)</f>
        <v/>
      </c>
      <c r="E89" s="2" t="n">
        <v>80</v>
      </c>
      <c r="F89" s="2" t="n">
        <v>7</v>
      </c>
      <c r="G89" s="2" t="n">
        <v>1</v>
      </c>
      <c r="H89" s="2" t="n">
        <v>1</v>
      </c>
      <c r="I89" s="2" t="n">
        <v>93</v>
      </c>
      <c r="J89" s="2" t="n"/>
      <c r="K89" s="2" t="n"/>
      <c r="L89" s="2" t="n">
        <v>2</v>
      </c>
      <c r="M89" s="2" t="n"/>
      <c r="N89" s="2" t="n">
        <v>1</v>
      </c>
      <c r="O89" s="2" t="n"/>
      <c r="P89" s="2" t="n"/>
      <c r="Q89" s="2" t="n"/>
      <c r="R89" s="2" t="n"/>
      <c r="S89" s="2" t="n"/>
      <c r="T89" s="3" t="n">
        <v>68.59999999999999</v>
      </c>
      <c r="U89" s="2" t="n"/>
    </row>
    <row r="90" ht="16" customHeight="1" thickBot="1">
      <c r="A90" s="14" t="inlineStr">
        <is>
          <t>F. Cros</t>
        </is>
      </c>
      <c r="B90" s="34">
        <f t="array" ref="B90:C90">_xlfn.XLOOKUP(A90,'Player List'!$A$2:$A$177,'Player List'!$B$2:$C$177)</f>
        <v/>
      </c>
      <c r="C90" s="34" t="inlineStr">
        <is>
          <t>Back Row</t>
        </is>
      </c>
      <c r="D90" s="34">
        <f>_xlfn.XLOOKUP(B90,$B$2:$B$7,$C$2:$C$7)</f>
        <v/>
      </c>
      <c r="E90" s="5" t="n">
        <v>80</v>
      </c>
      <c r="F90" s="5" t="n">
        <v>12</v>
      </c>
      <c r="G90" s="5" t="n">
        <v>1</v>
      </c>
      <c r="H90" s="5" t="n"/>
      <c r="I90" s="5" t="n">
        <v>33</v>
      </c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6" t="n">
        <v>33.6</v>
      </c>
      <c r="U90" s="5" t="n"/>
    </row>
    <row r="91" ht="16" customHeight="1" thickBot="1">
      <c r="A91" s="13" t="inlineStr">
        <is>
          <t>S. Macalou</t>
        </is>
      </c>
      <c r="B91" s="34">
        <f t="array" ref="B91:C91">_xlfn.XLOOKUP(A91,'Player List'!$A$2:$A$177,'Player List'!$B$2:$C$177)</f>
        <v/>
      </c>
      <c r="C91" s="34" t="inlineStr">
        <is>
          <t>Back Row</t>
        </is>
      </c>
      <c r="D91" s="34">
        <f>_xlfn.XLOOKUP(B91,$B$2:$B$7,$C$2:$C$7)</f>
        <v/>
      </c>
      <c r="E91" s="2" t="n">
        <v>18</v>
      </c>
      <c r="F91" s="2" t="n">
        <v>2</v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3" t="n">
        <v>3.8</v>
      </c>
      <c r="U91" s="2" t="n"/>
    </row>
    <row r="92" ht="16" customHeight="1" thickBot="1">
      <c r="A92" s="14" t="inlineStr">
        <is>
          <t>C. Ollivon</t>
        </is>
      </c>
      <c r="B92" s="34">
        <f t="array" ref="B92:C92">_xlfn.XLOOKUP(A92,'Player List'!$A$2:$A$177,'Player List'!$B$2:$C$177)</f>
        <v/>
      </c>
      <c r="C92" s="34" t="inlineStr">
        <is>
          <t>Back Row</t>
        </is>
      </c>
      <c r="D92" s="34">
        <f>_xlfn.XLOOKUP(B92,$B$2:$B$7,$C$2:$C$7)</f>
        <v/>
      </c>
      <c r="E92" s="5" t="n">
        <v>62</v>
      </c>
      <c r="F92" s="5" t="n">
        <v>5</v>
      </c>
      <c r="G92" s="5" t="n">
        <v>1</v>
      </c>
      <c r="H92" s="5" t="n">
        <v>1</v>
      </c>
      <c r="I92" s="5" t="n">
        <v>59</v>
      </c>
      <c r="J92" s="5" t="n"/>
      <c r="K92" s="5" t="n"/>
      <c r="L92" s="5" t="n"/>
      <c r="M92" s="5" t="n">
        <v>2</v>
      </c>
      <c r="N92" s="5" t="n"/>
      <c r="O92" s="5" t="n"/>
      <c r="P92" s="5" t="n"/>
      <c r="Q92" s="5" t="n"/>
      <c r="R92" s="5" t="n"/>
      <c r="S92" s="5" t="n"/>
      <c r="T92" s="6" t="n">
        <v>67</v>
      </c>
      <c r="U92" s="5" t="n"/>
    </row>
    <row r="93" ht="16" customHeight="1" thickBot="1">
      <c r="A93" s="15" t="inlineStr">
        <is>
          <t>T. Flament</t>
        </is>
      </c>
      <c r="B93" s="34">
        <f t="array" ref="B93:C93">_xlfn.XLOOKUP(A93,'Player List'!$A$2:$A$177,'Player List'!$B$2:$C$177)</f>
        <v/>
      </c>
      <c r="C93" s="34" t="inlineStr">
        <is>
          <t>Second Row</t>
        </is>
      </c>
      <c r="D93" s="34">
        <f>_xlfn.XLOOKUP(B93,$B$2:$B$7,$C$2:$C$7)</f>
        <v/>
      </c>
      <c r="E93" s="2" t="n">
        <v>80</v>
      </c>
      <c r="F93" s="2" t="n">
        <v>9</v>
      </c>
      <c r="G93" s="2" t="n"/>
      <c r="H93" s="2" t="n">
        <v>2</v>
      </c>
      <c r="I93" s="2" t="n">
        <v>48</v>
      </c>
      <c r="J93" s="2" t="n"/>
      <c r="K93" s="2" t="n"/>
      <c r="L93" s="2" t="n"/>
      <c r="M93" s="2" t="n">
        <v>2</v>
      </c>
      <c r="N93" s="2" t="n"/>
      <c r="O93" s="2" t="n"/>
      <c r="P93" s="2" t="n"/>
      <c r="Q93" s="2" t="n"/>
      <c r="R93" s="2" t="n"/>
      <c r="S93" s="2" t="n"/>
      <c r="T93" s="3" t="n">
        <v>70.59999999999999</v>
      </c>
      <c r="U93" s="2" t="n"/>
    </row>
    <row r="94" ht="16" customHeight="1" thickBot="1">
      <c r="A94" s="16" t="inlineStr">
        <is>
          <t>R. Taofifenua</t>
        </is>
      </c>
      <c r="B94" s="34">
        <f t="array" ref="B94:C94">_xlfn.XLOOKUP(A94,'Player List'!$A$2:$A$177,'Player List'!$B$2:$C$177)</f>
        <v/>
      </c>
      <c r="C94" s="34" t="inlineStr">
        <is>
          <t>Second Row</t>
        </is>
      </c>
      <c r="D94" s="34">
        <f>_xlfn.XLOOKUP(B94,$B$2:$B$7,$C$2:$C$7)</f>
        <v/>
      </c>
      <c r="E94" s="5" t="n">
        <v>30</v>
      </c>
      <c r="F94" s="5" t="n">
        <v>7</v>
      </c>
      <c r="G94" s="5" t="n"/>
      <c r="H94" s="5" t="n"/>
      <c r="I94" s="5" t="n">
        <v>13</v>
      </c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6" t="n">
        <v>12.6</v>
      </c>
      <c r="U94" s="5" t="n"/>
    </row>
    <row r="95" ht="16" customHeight="1" thickBot="1">
      <c r="A95" s="15" t="inlineStr">
        <is>
          <t>P. Willemse</t>
        </is>
      </c>
      <c r="B95" s="34">
        <f t="array" ref="B95:C95">_xlfn.XLOOKUP(A95,'Player List'!$A$2:$A$177,'Player List'!$B$2:$C$177)</f>
        <v/>
      </c>
      <c r="C95" s="34" t="inlineStr">
        <is>
          <t>Second Row</t>
        </is>
      </c>
      <c r="D95" s="34">
        <f>_xlfn.XLOOKUP(B95,$B$2:$B$7,$C$2:$C$7)</f>
        <v/>
      </c>
      <c r="E95" s="2" t="n">
        <v>50</v>
      </c>
      <c r="F95" s="2" t="n">
        <v>8</v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3" t="n">
        <v>13</v>
      </c>
      <c r="U95" s="2" t="n"/>
    </row>
    <row r="96" ht="16" customHeight="1" thickBot="1">
      <c r="A96" s="17" t="inlineStr">
        <is>
          <t>D. Aldegheri</t>
        </is>
      </c>
      <c r="B96" s="34">
        <f t="array" ref="B96:C96">_xlfn.XLOOKUP(A96,'Player List'!$A$2:$A$177,'Player List'!$B$2:$C$177)</f>
        <v/>
      </c>
      <c r="C96" s="34" t="inlineStr">
        <is>
          <t>Prop</t>
        </is>
      </c>
      <c r="D96" s="34">
        <f>_xlfn.XLOOKUP(B96,$B$2:$B$7,$C$2:$C$7)</f>
        <v/>
      </c>
      <c r="E96" s="5" t="n">
        <v>50</v>
      </c>
      <c r="F96" s="5" t="n">
        <v>6</v>
      </c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6" t="n">
        <v>11</v>
      </c>
      <c r="U96" s="5" t="n"/>
    </row>
    <row r="97" ht="16" customHeight="1" thickBot="1">
      <c r="A97" s="18" t="inlineStr">
        <is>
          <t>C. Baille</t>
        </is>
      </c>
      <c r="B97" s="34">
        <f t="array" ref="B97:C97">_xlfn.XLOOKUP(A97,'Player List'!$A$2:$A$177,'Player List'!$B$2:$C$177)</f>
        <v/>
      </c>
      <c r="C97" s="34" t="inlineStr">
        <is>
          <t>Prop</t>
        </is>
      </c>
      <c r="D97" s="34">
        <f>_xlfn.XLOOKUP(B97,$B$2:$B$7,$C$2:$C$7)</f>
        <v/>
      </c>
      <c r="E97" s="2" t="n">
        <v>61</v>
      </c>
      <c r="F97" s="2" t="n">
        <v>5</v>
      </c>
      <c r="G97" s="2" t="n"/>
      <c r="H97" s="2" t="n"/>
      <c r="I97" s="2" t="n">
        <v>38</v>
      </c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3" t="n">
        <v>18.7</v>
      </c>
      <c r="U97" s="2" t="n"/>
    </row>
    <row r="98" ht="16" customHeight="1" thickBot="1">
      <c r="A98" s="17" t="inlineStr">
        <is>
          <t>S. Falatea</t>
        </is>
      </c>
      <c r="B98" s="34">
        <f t="array" ref="B98:C98">_xlfn.XLOOKUP(A98,'Player List'!$A$2:$A$177,'Player List'!$B$2:$C$177)</f>
        <v/>
      </c>
      <c r="C98" s="34" t="inlineStr">
        <is>
          <t>Prop</t>
        </is>
      </c>
      <c r="D98" s="34">
        <f>_xlfn.XLOOKUP(B98,$B$2:$B$7,$C$2:$C$7)</f>
        <v/>
      </c>
      <c r="E98" s="5" t="n">
        <v>30</v>
      </c>
      <c r="F98" s="5" t="n">
        <v>2</v>
      </c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6" t="n">
        <v>5</v>
      </c>
      <c r="U98" s="5" t="n"/>
    </row>
    <row r="99" ht="16" customHeight="1" thickBot="1">
      <c r="A99" s="18" t="inlineStr">
        <is>
          <t>R. Wardi</t>
        </is>
      </c>
      <c r="B99" s="34">
        <f t="array" ref="B99:C99">_xlfn.XLOOKUP(A99,'Player List'!$A$2:$A$177,'Player List'!$B$2:$C$177)</f>
        <v/>
      </c>
      <c r="C99" s="34" t="inlineStr">
        <is>
          <t>Prop</t>
        </is>
      </c>
      <c r="D99" s="34">
        <f>_xlfn.XLOOKUP(B99,$B$2:$B$7,$C$2:$C$7)</f>
        <v/>
      </c>
      <c r="E99" s="2" t="n">
        <v>19</v>
      </c>
      <c r="F99" s="2" t="n">
        <v>5</v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3" t="n">
        <v>6.9</v>
      </c>
      <c r="U99" s="2" t="n"/>
    </row>
    <row r="100" ht="16" customHeight="1" thickBot="1">
      <c r="A100" s="19" t="inlineStr">
        <is>
          <t>J. Marchand</t>
        </is>
      </c>
      <c r="B100" s="34">
        <f t="array" ref="B100:C100">_xlfn.XLOOKUP(A100,'Player List'!$A$2:$A$177,'Player List'!$B$2:$C$177)</f>
        <v/>
      </c>
      <c r="C100" s="34" t="inlineStr">
        <is>
          <t>Hooker</t>
        </is>
      </c>
      <c r="D100" s="34">
        <f>_xlfn.XLOOKUP(B100,$B$2:$B$7,$C$2:$C$7)</f>
        <v/>
      </c>
      <c r="E100" s="5" t="n">
        <v>61</v>
      </c>
      <c r="F100" s="5" t="n">
        <v>2</v>
      </c>
      <c r="G100" s="5" t="n"/>
      <c r="H100" s="5" t="n"/>
      <c r="I100" s="5" t="n">
        <v>16</v>
      </c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6" t="n">
        <v>11.3</v>
      </c>
      <c r="U100" s="5" t="n"/>
    </row>
    <row r="101" ht="16" customHeight="1" thickBot="1">
      <c r="A101" s="20" t="inlineStr">
        <is>
          <t>P. Mauvaka</t>
        </is>
      </c>
      <c r="B101" s="34">
        <f t="array" ref="B101:C101">_xlfn.XLOOKUP(A101,'Player List'!$A$2:$A$177,'Player List'!$B$2:$C$177)</f>
        <v/>
      </c>
      <c r="C101" s="34" t="inlineStr">
        <is>
          <t>Hooker</t>
        </is>
      </c>
      <c r="D101" s="34">
        <f>_xlfn.XLOOKUP(B101,$B$2:$B$7,$C$2:$C$7)</f>
        <v/>
      </c>
      <c r="E101" s="2" t="n">
        <v>19</v>
      </c>
      <c r="F101" s="2" t="n">
        <v>4</v>
      </c>
      <c r="G101" s="2" t="n"/>
      <c r="H101" s="2" t="n"/>
      <c r="I101" s="2" t="n">
        <v>1</v>
      </c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3" t="n">
        <v>6.1</v>
      </c>
      <c r="U101" s="2" t="n"/>
    </row>
    <row r="102" ht="16" customHeight="1" thickBot="1">
      <c r="A102" s="1" t="inlineStr">
        <is>
          <t>S. Hogg</t>
        </is>
      </c>
      <c r="B102" s="34">
        <f t="array" ref="B102:C102">_xlfn.XLOOKUP(A102,'Player List'!$A$2:$A$177,'Player List'!$B$2:$C$177)</f>
        <v/>
      </c>
      <c r="C102" s="34" t="inlineStr">
        <is>
          <t>Back Three</t>
        </is>
      </c>
      <c r="D102" s="34">
        <f>_xlfn.XLOOKUP(B102,$B$2:$B$7,$C$2:$C$7)</f>
        <v/>
      </c>
      <c r="E102" s="2" t="n">
        <v>65</v>
      </c>
      <c r="F102" s="2" t="n">
        <v>4</v>
      </c>
      <c r="G102" s="2" t="n"/>
      <c r="H102" s="2" t="n"/>
      <c r="I102" s="2" t="n">
        <v>65</v>
      </c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3" t="n">
        <v>17</v>
      </c>
      <c r="U102" s="2" t="n"/>
    </row>
    <row r="103" ht="16" customHeight="1" thickBot="1">
      <c r="A103" s="4" t="inlineStr">
        <is>
          <t>B. Kinghorn</t>
        </is>
      </c>
      <c r="B103" s="34">
        <f t="array" ref="B103:C103">_xlfn.XLOOKUP(A103,'Player List'!$A$2:$A$177,'Player List'!$B$2:$C$177)</f>
        <v/>
      </c>
      <c r="C103" s="34" t="inlineStr">
        <is>
          <t>Back Three</t>
        </is>
      </c>
      <c r="D103" s="34">
        <f>_xlfn.XLOOKUP(B103,$B$2:$B$7,$C$2:$C$7)</f>
        <v/>
      </c>
      <c r="E103" s="5" t="n">
        <v>15</v>
      </c>
      <c r="F103" s="5" t="n">
        <v>1</v>
      </c>
      <c r="G103" s="5" t="n"/>
      <c r="H103" s="5" t="n"/>
      <c r="I103" s="5" t="n">
        <v>59</v>
      </c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6" t="n">
        <v>12.8</v>
      </c>
      <c r="U103" s="5" t="n"/>
    </row>
    <row r="104" ht="16" customHeight="1" thickBot="1">
      <c r="A104" s="1" t="inlineStr">
        <is>
          <t>K. Steyn</t>
        </is>
      </c>
      <c r="B104" s="34">
        <f t="array" ref="B104:C104">_xlfn.XLOOKUP(A104,'Player List'!$A$2:$A$177,'Player List'!$B$2:$C$177)</f>
        <v/>
      </c>
      <c r="C104" s="34" t="inlineStr">
        <is>
          <t>Back Three</t>
        </is>
      </c>
      <c r="D104" s="34">
        <f>_xlfn.XLOOKUP(B104,$B$2:$B$7,$C$2:$C$7)</f>
        <v/>
      </c>
      <c r="E104" s="2" t="n">
        <v>80</v>
      </c>
      <c r="F104" s="2" t="n">
        <v>2</v>
      </c>
      <c r="G104" s="2" t="n"/>
      <c r="H104" s="2" t="n"/>
      <c r="I104" s="2" t="n">
        <v>32</v>
      </c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3" t="n">
        <v>8.4</v>
      </c>
      <c r="U104" s="2" t="n"/>
    </row>
    <row r="105" ht="16" customHeight="1" thickBot="1">
      <c r="A105" s="4" t="inlineStr">
        <is>
          <t>D. van der Merwe</t>
        </is>
      </c>
      <c r="B105" s="34">
        <f t="array" ref="B105:C105">_xlfn.XLOOKUP(A105,'Player List'!$A$2:$A$177,'Player List'!$B$2:$C$177)</f>
        <v/>
      </c>
      <c r="C105" s="34" t="inlineStr">
        <is>
          <t>Back Three</t>
        </is>
      </c>
      <c r="D105" s="34">
        <f>_xlfn.XLOOKUP(B105,$B$2:$B$7,$C$2:$C$7)</f>
        <v/>
      </c>
      <c r="E105" s="5" t="n">
        <v>80</v>
      </c>
      <c r="F105" s="5" t="n">
        <v>2</v>
      </c>
      <c r="G105" s="5" t="n"/>
      <c r="H105" s="5" t="n">
        <v>1</v>
      </c>
      <c r="I105" s="5" t="n">
        <v>98</v>
      </c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6" t="n">
        <v>28.6</v>
      </c>
      <c r="U105" s="5" t="n"/>
    </row>
    <row r="106" ht="16" customHeight="1" thickBot="1">
      <c r="A106" s="7" t="inlineStr">
        <is>
          <t>C. Harris</t>
        </is>
      </c>
      <c r="B106" s="34">
        <f t="array" ref="B106:C106">_xlfn.XLOOKUP(A106,'Player List'!$A$2:$A$177,'Player List'!$B$2:$C$177)</f>
        <v/>
      </c>
      <c r="C106" s="34" t="inlineStr">
        <is>
          <t>Centre</t>
        </is>
      </c>
      <c r="D106" s="34">
        <f>_xlfn.XLOOKUP(B106,$B$2:$B$7,$C$2:$C$7)</f>
        <v/>
      </c>
      <c r="E106" s="2" t="n">
        <v>1</v>
      </c>
      <c r="F106" s="2" t="n">
        <v>1</v>
      </c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3" t="n">
        <v>1</v>
      </c>
      <c r="U106" s="2" t="n"/>
    </row>
    <row r="107" ht="16" customHeight="1" thickBot="1">
      <c r="A107" s="8" t="inlineStr">
        <is>
          <t>H. Jones</t>
        </is>
      </c>
      <c r="B107" s="34">
        <f t="array" ref="B107:C107">_xlfn.XLOOKUP(A107,'Player List'!$A$2:$A$177,'Player List'!$B$2:$C$177)</f>
        <v/>
      </c>
      <c r="C107" s="34" t="inlineStr">
        <is>
          <t>Centre</t>
        </is>
      </c>
      <c r="D107" s="34">
        <f>_xlfn.XLOOKUP(B107,$B$2:$B$7,$C$2:$C$7)</f>
        <v/>
      </c>
      <c r="E107" s="5" t="n">
        <v>80</v>
      </c>
      <c r="F107" s="5" t="n">
        <v>6</v>
      </c>
      <c r="G107" s="5" t="n"/>
      <c r="H107" s="5" t="n">
        <v>1</v>
      </c>
      <c r="I107" s="5" t="n">
        <v>117</v>
      </c>
      <c r="J107" s="5" t="n"/>
      <c r="K107" s="5" t="n"/>
      <c r="L107" s="5" t="n"/>
      <c r="M107" s="5" t="n">
        <v>1</v>
      </c>
      <c r="N107" s="5" t="n"/>
      <c r="O107" s="5" t="n"/>
      <c r="P107" s="5" t="n"/>
      <c r="Q107" s="5" t="n"/>
      <c r="R107" s="5" t="n"/>
      <c r="S107" s="5" t="n"/>
      <c r="T107" s="6" t="n">
        <v>51.4</v>
      </c>
      <c r="U107" s="5" t="n"/>
    </row>
    <row r="108" ht="16" customHeight="1" thickBot="1">
      <c r="A108" s="7" t="inlineStr">
        <is>
          <t>S. Tuipulotu</t>
        </is>
      </c>
      <c r="B108" s="34">
        <f t="array" ref="B108:C108">_xlfn.XLOOKUP(A108,'Player List'!$A$2:$A$177,'Player List'!$B$2:$C$177)</f>
        <v/>
      </c>
      <c r="C108" s="34" t="inlineStr">
        <is>
          <t>Centre</t>
        </is>
      </c>
      <c r="D108" s="34">
        <f>_xlfn.XLOOKUP(B108,$B$2:$B$7,$C$2:$C$7)</f>
        <v/>
      </c>
      <c r="E108" s="2" t="n">
        <v>80</v>
      </c>
      <c r="F108" s="2" t="n">
        <v>11</v>
      </c>
      <c r="G108" s="2" t="n"/>
      <c r="H108" s="2" t="n"/>
      <c r="I108" s="2" t="n">
        <v>90</v>
      </c>
      <c r="J108" s="2" t="n"/>
      <c r="K108" s="2" t="n"/>
      <c r="L108" s="2" t="n">
        <v>1</v>
      </c>
      <c r="M108" s="2" t="n"/>
      <c r="N108" s="2" t="n">
        <v>1</v>
      </c>
      <c r="O108" s="2" t="n"/>
      <c r="P108" s="2" t="n"/>
      <c r="Q108" s="2" t="n"/>
      <c r="R108" s="2" t="n"/>
      <c r="S108" s="2" t="n"/>
      <c r="T108" s="3" t="n">
        <v>43</v>
      </c>
      <c r="U108" s="2" t="n"/>
    </row>
    <row r="109" ht="16" customHeight="1" thickBot="1">
      <c r="A109" s="10" t="inlineStr">
        <is>
          <t>F. Russell</t>
        </is>
      </c>
      <c r="B109" s="34">
        <f t="array" ref="B109:C109">_xlfn.XLOOKUP(A109,'Player List'!$A$2:$A$177,'Player List'!$B$2:$C$177)</f>
        <v/>
      </c>
      <c r="C109" s="34" t="inlineStr">
        <is>
          <t>Fly Half</t>
        </is>
      </c>
      <c r="D109" s="34">
        <f>_xlfn.XLOOKUP(B109,$B$2:$B$7,$C$2:$C$7)</f>
        <v/>
      </c>
      <c r="E109" s="5" t="n">
        <v>80</v>
      </c>
      <c r="F109" s="5" t="n">
        <v>5</v>
      </c>
      <c r="G109" s="5" t="n"/>
      <c r="H109" s="5" t="n"/>
      <c r="I109" s="5" t="n">
        <v>63</v>
      </c>
      <c r="J109" s="5" t="n"/>
      <c r="K109" s="5" t="n"/>
      <c r="L109" s="5" t="n"/>
      <c r="M109" s="5" t="n"/>
      <c r="N109" s="5" t="n"/>
      <c r="O109" s="5" t="n">
        <v>1</v>
      </c>
      <c r="P109" s="5" t="n"/>
      <c r="Q109" s="5" t="n"/>
      <c r="R109" s="5" t="n"/>
      <c r="S109" s="5" t="n"/>
      <c r="T109" s="6" t="n">
        <v>19.6</v>
      </c>
      <c r="U109" s="5" t="n"/>
    </row>
    <row r="110" ht="16" customHeight="1" thickBot="1">
      <c r="A110" s="11" t="inlineStr">
        <is>
          <t>A. Price</t>
        </is>
      </c>
      <c r="B110" s="34">
        <f t="array" ref="B110:C110">_xlfn.XLOOKUP(A110,'Player List'!$A$2:$A$177,'Player List'!$B$2:$C$177)</f>
        <v/>
      </c>
      <c r="C110" s="34" t="inlineStr">
        <is>
          <t>Scrum Half</t>
        </is>
      </c>
      <c r="D110" s="34">
        <f>_xlfn.XLOOKUP(B110,$B$2:$B$7,$C$2:$C$7)</f>
        <v/>
      </c>
      <c r="E110" s="2" t="n">
        <v>22</v>
      </c>
      <c r="F110" s="2" t="n">
        <v>2</v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3" t="n">
        <v>2</v>
      </c>
      <c r="U110" s="2" t="n"/>
    </row>
    <row r="111" ht="16" customHeight="1" thickBot="1">
      <c r="A111" s="12" t="inlineStr">
        <is>
          <t>B. White</t>
        </is>
      </c>
      <c r="B111" s="34">
        <f t="array" ref="B111:C111">_xlfn.XLOOKUP(A111,'Player List'!$A$2:$A$177,'Player List'!$B$2:$C$177)</f>
        <v/>
      </c>
      <c r="C111" s="34" t="inlineStr">
        <is>
          <t>Scrum Half</t>
        </is>
      </c>
      <c r="D111" s="34">
        <f>_xlfn.XLOOKUP(B111,$B$2:$B$7,$C$2:$C$7)</f>
        <v/>
      </c>
      <c r="E111" s="5" t="n">
        <v>58</v>
      </c>
      <c r="F111" s="5" t="n">
        <v>5</v>
      </c>
      <c r="G111" s="5" t="n"/>
      <c r="H111" s="5" t="n"/>
      <c r="I111" s="5" t="n">
        <v>10</v>
      </c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6" t="n">
        <v>7</v>
      </c>
      <c r="U111" s="5" t="n"/>
    </row>
    <row r="112" ht="16" customHeight="1" thickBot="1">
      <c r="A112" s="13" t="inlineStr">
        <is>
          <t>J. Dempsey</t>
        </is>
      </c>
      <c r="B112" s="34">
        <f t="array" ref="B112:C112">_xlfn.XLOOKUP(A112,'Player List'!$A$2:$A$177,'Player List'!$B$2:$C$177)</f>
        <v/>
      </c>
      <c r="C112" s="34" t="inlineStr">
        <is>
          <t>Back Row</t>
        </is>
      </c>
      <c r="D112" s="34">
        <f>_xlfn.XLOOKUP(B112,$B$2:$B$7,$C$2:$C$7)</f>
        <v/>
      </c>
      <c r="E112" s="2" t="n">
        <v>80</v>
      </c>
      <c r="F112" s="2" t="n">
        <v>20</v>
      </c>
      <c r="G112" s="2" t="n">
        <v>1</v>
      </c>
      <c r="H112" s="2" t="n"/>
      <c r="I112" s="2" t="n">
        <v>70</v>
      </c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3" t="n">
        <v>41</v>
      </c>
      <c r="U112" s="2" t="n"/>
    </row>
    <row r="113" ht="16" customHeight="1" thickBot="1">
      <c r="A113" s="14" t="inlineStr">
        <is>
          <t>M. Fagerson</t>
        </is>
      </c>
      <c r="B113" s="34">
        <f t="array" ref="B113:C113">_xlfn.XLOOKUP(A113,'Player List'!$A$2:$A$177,'Player List'!$B$2:$C$177)</f>
        <v/>
      </c>
      <c r="C113" s="34" t="inlineStr">
        <is>
          <t>Back Row</t>
        </is>
      </c>
      <c r="D113" s="34">
        <f>_xlfn.XLOOKUP(B113,$B$2:$B$7,$C$2:$C$7)</f>
        <v/>
      </c>
      <c r="E113" s="5" t="n">
        <v>66</v>
      </c>
      <c r="F113" s="5" t="n">
        <v>14</v>
      </c>
      <c r="G113" s="5" t="n"/>
      <c r="H113" s="5" t="n"/>
      <c r="I113" s="5" t="n">
        <v>33</v>
      </c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6" t="n">
        <v>20.6</v>
      </c>
      <c r="U113" s="5" t="n"/>
    </row>
    <row r="114" ht="16" customHeight="1" thickBot="1">
      <c r="A114" s="13" t="inlineStr">
        <is>
          <t>J. Ritchie</t>
        </is>
      </c>
      <c r="B114" s="34">
        <f t="array" ref="B114:C114">_xlfn.XLOOKUP(A114,'Player List'!$A$2:$A$177,'Player List'!$B$2:$C$177)</f>
        <v/>
      </c>
      <c r="C114" s="34" t="inlineStr">
        <is>
          <t>Back Row</t>
        </is>
      </c>
      <c r="D114" s="34">
        <f>_xlfn.XLOOKUP(B114,$B$2:$B$7,$C$2:$C$7)</f>
        <v/>
      </c>
      <c r="E114" s="2" t="n">
        <v>80</v>
      </c>
      <c r="F114" s="2" t="n">
        <v>15</v>
      </c>
      <c r="G114" s="2" t="n">
        <v>2</v>
      </c>
      <c r="H114" s="2" t="n"/>
      <c r="I114" s="2" t="n">
        <v>25</v>
      </c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3" t="n">
        <v>34</v>
      </c>
      <c r="U114" s="2" t="n"/>
    </row>
    <row r="115" ht="16" customHeight="1" thickBot="1">
      <c r="A115" s="14" t="inlineStr">
        <is>
          <t>H. Watson</t>
        </is>
      </c>
      <c r="B115" s="34">
        <f t="array" ref="B115:C115">_xlfn.XLOOKUP(A115,'Player List'!$A$2:$A$177,'Player List'!$B$2:$C$177)</f>
        <v/>
      </c>
      <c r="C115" s="34" t="inlineStr">
        <is>
          <t>Back Row</t>
        </is>
      </c>
      <c r="D115" s="34">
        <f>_xlfn.XLOOKUP(B115,$B$2:$B$7,$C$2:$C$7)</f>
        <v/>
      </c>
      <c r="E115" s="5" t="n">
        <v>14</v>
      </c>
      <c r="F115" s="5" t="n">
        <v>1</v>
      </c>
      <c r="G115" s="5" t="n"/>
      <c r="H115" s="5" t="n"/>
      <c r="I115" s="5" t="n">
        <v>8</v>
      </c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6" t="n">
        <v>2.6</v>
      </c>
      <c r="U115" s="5" t="n"/>
    </row>
    <row r="116" ht="16" customHeight="1" thickBot="1">
      <c r="A116" s="15" t="inlineStr">
        <is>
          <t>S. Cummings</t>
        </is>
      </c>
      <c r="B116" s="34">
        <f t="array" ref="B116:C116">_xlfn.XLOOKUP(A116,'Player List'!$A$2:$A$177,'Player List'!$B$2:$C$177)</f>
        <v/>
      </c>
      <c r="C116" s="34" t="inlineStr">
        <is>
          <t>Second Row</t>
        </is>
      </c>
      <c r="D116" s="34">
        <f>_xlfn.XLOOKUP(B116,$B$2:$B$7,$C$2:$C$7)</f>
        <v/>
      </c>
      <c r="E116" s="2" t="n">
        <v>75</v>
      </c>
      <c r="F116" s="2" t="n">
        <v>9</v>
      </c>
      <c r="G116" s="2" t="n"/>
      <c r="H116" s="2" t="n"/>
      <c r="I116" s="2" t="n">
        <v>9</v>
      </c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3" t="n">
        <v>10.8</v>
      </c>
      <c r="U116" s="2" t="n"/>
    </row>
    <row r="117" ht="16" customHeight="1" thickBot="1">
      <c r="A117" s="16" t="inlineStr">
        <is>
          <t>J. Gray</t>
        </is>
      </c>
      <c r="B117" s="34">
        <f t="array" ref="B117:C117">_xlfn.XLOOKUP(A117,'Player List'!$A$2:$A$177,'Player List'!$B$2:$C$177)</f>
        <v/>
      </c>
      <c r="C117" s="34" t="inlineStr">
        <is>
          <t>Second Row</t>
        </is>
      </c>
      <c r="D117" s="34">
        <f>_xlfn.XLOOKUP(B117,$B$2:$B$7,$C$2:$C$7)</f>
        <v/>
      </c>
      <c r="E117" s="5" t="n">
        <v>80</v>
      </c>
      <c r="F117" s="5" t="n">
        <v>18</v>
      </c>
      <c r="G117" s="5" t="n">
        <v>2</v>
      </c>
      <c r="H117" s="5" t="n"/>
      <c r="I117" s="5" t="n">
        <v>19</v>
      </c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6" t="n">
        <v>35.8</v>
      </c>
      <c r="U117" s="5" t="n"/>
    </row>
    <row r="118" ht="16" customHeight="1" thickBot="1">
      <c r="A118" s="15" t="inlineStr">
        <is>
          <t>R. Gray</t>
        </is>
      </c>
      <c r="B118" s="34">
        <f t="array" ref="B118:C118">_xlfn.XLOOKUP(A118,'Player List'!$A$2:$A$177,'Player List'!$B$2:$C$177)</f>
        <v/>
      </c>
      <c r="C118" s="34" t="inlineStr">
        <is>
          <t>Second Row</t>
        </is>
      </c>
      <c r="D118" s="34">
        <f>_xlfn.XLOOKUP(B118,$B$2:$B$7,$C$2:$C$7)</f>
        <v/>
      </c>
      <c r="E118" s="2" t="n">
        <v>5</v>
      </c>
      <c r="F118" s="2" t="n">
        <v>2</v>
      </c>
      <c r="G118" s="2" t="n"/>
      <c r="H118" s="2" t="n"/>
      <c r="I118" s="2" t="n">
        <v>3</v>
      </c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3" t="n">
        <v>2.6</v>
      </c>
      <c r="U118" s="2" t="n"/>
    </row>
    <row r="119" ht="16" customHeight="1" thickBot="1">
      <c r="A119" s="17" t="inlineStr">
        <is>
          <t>S. Berghan</t>
        </is>
      </c>
      <c r="B119" s="34">
        <f t="array" ref="B119:C119">_xlfn.XLOOKUP(A119,'Player List'!$A$2:$A$177,'Player List'!$B$2:$C$177)</f>
        <v/>
      </c>
      <c r="C119" s="34" t="inlineStr">
        <is>
          <t>Prop</t>
        </is>
      </c>
      <c r="D119" s="34">
        <f>_xlfn.XLOOKUP(B119,$B$2:$B$7,$C$2:$C$7)</f>
        <v/>
      </c>
      <c r="E119" s="5" t="n">
        <v>27</v>
      </c>
      <c r="F119" s="5" t="n">
        <v>5</v>
      </c>
      <c r="G119" s="5" t="n"/>
      <c r="H119" s="5" t="n"/>
      <c r="I119" s="5" t="n">
        <v>14</v>
      </c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6" t="n">
        <v>7.8</v>
      </c>
      <c r="U119" s="5" t="n"/>
    </row>
    <row r="120" ht="16" customHeight="1" thickBot="1">
      <c r="A120" s="18" t="inlineStr">
        <is>
          <t>J. Bhatti</t>
        </is>
      </c>
      <c r="B120" s="34">
        <f t="array" ref="B120:C120">_xlfn.XLOOKUP(A120,'Player List'!$A$2:$A$177,'Player List'!$B$2:$C$177)</f>
        <v/>
      </c>
      <c r="C120" s="34" t="inlineStr">
        <is>
          <t>Prop</t>
        </is>
      </c>
      <c r="D120" s="34">
        <f>_xlfn.XLOOKUP(B120,$B$2:$B$7,$C$2:$C$7)</f>
        <v/>
      </c>
      <c r="E120" s="2" t="n">
        <v>27</v>
      </c>
      <c r="F120" s="2" t="n">
        <v>6</v>
      </c>
      <c r="G120" s="2" t="n"/>
      <c r="H120" s="2" t="n"/>
      <c r="I120" s="2" t="n">
        <v>5</v>
      </c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3" t="n">
        <v>7</v>
      </c>
      <c r="U120" s="2" t="n"/>
    </row>
    <row r="121" ht="16" customHeight="1" thickBot="1">
      <c r="A121" s="17" t="inlineStr">
        <is>
          <t>Z. Fagerson</t>
        </is>
      </c>
      <c r="B121" s="34">
        <f t="array" ref="B121:C121">_xlfn.XLOOKUP(A121,'Player List'!$A$2:$A$177,'Player List'!$B$2:$C$177)</f>
        <v/>
      </c>
      <c r="C121" s="34" t="inlineStr">
        <is>
          <t>Prop</t>
        </is>
      </c>
      <c r="D121" s="34">
        <f>_xlfn.XLOOKUP(B121,$B$2:$B$7,$C$2:$C$7)</f>
        <v/>
      </c>
      <c r="E121" s="5" t="n">
        <v>53</v>
      </c>
      <c r="F121" s="5" t="n">
        <v>7</v>
      </c>
      <c r="G121" s="5" t="n"/>
      <c r="H121" s="5" t="n"/>
      <c r="I121" s="5" t="n">
        <v>23</v>
      </c>
      <c r="J121" s="5" t="n"/>
      <c r="K121" s="5" t="n"/>
      <c r="L121" s="5" t="n">
        <v>1</v>
      </c>
      <c r="M121" s="5" t="n"/>
      <c r="N121" s="5" t="n"/>
      <c r="O121" s="5" t="n"/>
      <c r="P121" s="5" t="n"/>
      <c r="Q121" s="5" t="n"/>
      <c r="R121" s="5" t="n"/>
      <c r="S121" s="5" t="n"/>
      <c r="T121" s="6" t="n">
        <v>18.6</v>
      </c>
      <c r="U121" s="5" t="n"/>
    </row>
    <row r="122" ht="16" customHeight="1" thickBot="1">
      <c r="A122" s="18" t="inlineStr">
        <is>
          <t>P. Schoeman</t>
        </is>
      </c>
      <c r="B122" s="34">
        <f t="array" ref="B122:C122">_xlfn.XLOOKUP(A122,'Player List'!$A$2:$A$177,'Player List'!$B$2:$C$177)</f>
        <v/>
      </c>
      <c r="C122" s="34" t="inlineStr">
        <is>
          <t>Prop</t>
        </is>
      </c>
      <c r="D122" s="34">
        <f>_xlfn.XLOOKUP(B122,$B$2:$B$7,$C$2:$C$7)</f>
        <v/>
      </c>
      <c r="E122" s="2" t="n">
        <v>53</v>
      </c>
      <c r="F122" s="2" t="n">
        <v>5</v>
      </c>
      <c r="G122" s="2" t="n"/>
      <c r="H122" s="2" t="n"/>
      <c r="I122" s="2" t="n">
        <v>65</v>
      </c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3" t="n">
        <v>18</v>
      </c>
      <c r="U122" s="2" t="n"/>
    </row>
    <row r="123" ht="16" customHeight="1" thickBot="1">
      <c r="A123" s="19" t="inlineStr">
        <is>
          <t>F. Brown</t>
        </is>
      </c>
      <c r="B123" s="34">
        <f t="array" ref="B123:C123">_xlfn.XLOOKUP(A123,'Player List'!$A$2:$A$177,'Player List'!$B$2:$C$177)</f>
        <v/>
      </c>
      <c r="C123" s="34" t="inlineStr">
        <is>
          <t>Hooker</t>
        </is>
      </c>
      <c r="D123" s="34">
        <f>_xlfn.XLOOKUP(B123,$B$2:$B$7,$C$2:$C$7)</f>
        <v/>
      </c>
      <c r="E123" s="5" t="n">
        <v>22</v>
      </c>
      <c r="F123" s="5" t="n">
        <v>3</v>
      </c>
      <c r="G123" s="5" t="n"/>
      <c r="H123" s="5" t="n"/>
      <c r="I123" s="5" t="n"/>
      <c r="J123" s="5" t="n"/>
      <c r="K123" s="5" t="n">
        <v>1</v>
      </c>
      <c r="L123" s="5" t="n"/>
      <c r="M123" s="5" t="n"/>
      <c r="N123" s="5" t="n"/>
      <c r="O123" s="5" t="n"/>
      <c r="P123" s="5" t="n"/>
      <c r="Q123" s="5" t="n"/>
      <c r="R123" s="5" t="n"/>
      <c r="S123" s="5" t="n"/>
      <c r="T123" s="6" t="n">
        <v>10</v>
      </c>
      <c r="U123" s="5" t="n"/>
    </row>
    <row r="124" ht="16" customHeight="1" thickBot="1">
      <c r="A124" s="20" t="inlineStr">
        <is>
          <t>G. Turner</t>
        </is>
      </c>
      <c r="B124" s="34">
        <f t="array" ref="B124:C124">_xlfn.XLOOKUP(A124,'Player List'!$A$2:$A$177,'Player List'!$B$2:$C$177)</f>
        <v/>
      </c>
      <c r="C124" s="34" t="inlineStr">
        <is>
          <t>Hooker</t>
        </is>
      </c>
      <c r="D124" s="34">
        <f>_xlfn.XLOOKUP(B124,$B$2:$B$7,$C$2:$C$7)</f>
        <v/>
      </c>
      <c r="E124" s="2" t="n">
        <v>58</v>
      </c>
      <c r="F124" s="2" t="n">
        <v>10</v>
      </c>
      <c r="G124" s="2" t="n">
        <v>1</v>
      </c>
      <c r="H124" s="2" t="n"/>
      <c r="I124" s="2" t="n">
        <v>34</v>
      </c>
      <c r="J124" s="2" t="n"/>
      <c r="K124" s="2" t="n">
        <v>1</v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3" t="n">
        <v>30.8</v>
      </c>
      <c r="U124" s="2" t="n"/>
    </row>
    <row r="125" ht="16" customHeight="1" thickBot="1">
      <c r="A125" s="1" t="inlineStr">
        <is>
          <t>M. Hansen</t>
        </is>
      </c>
      <c r="B125" s="34">
        <f t="array" ref="B125:C125">_xlfn.XLOOKUP(A125,'Player List'!$A$2:$A$177,'Player List'!$B$2:$C$177)</f>
        <v/>
      </c>
      <c r="C125" s="34" t="inlineStr">
        <is>
          <t>Back Three</t>
        </is>
      </c>
      <c r="D125" s="34">
        <f>_xlfn.XLOOKUP(B125,$B$2:$B$7,$C$2:$C$7)</f>
        <v/>
      </c>
      <c r="E125" s="2" t="n">
        <v>80</v>
      </c>
      <c r="F125" s="2" t="n">
        <v>4</v>
      </c>
      <c r="G125" s="2" t="n"/>
      <c r="H125" s="2" t="n">
        <v>2</v>
      </c>
      <c r="I125" s="2" t="n">
        <v>94</v>
      </c>
      <c r="J125" s="2" t="n"/>
      <c r="K125" s="2" t="n"/>
      <c r="L125" s="2" t="n">
        <v>2</v>
      </c>
      <c r="M125" s="2" t="n">
        <v>1</v>
      </c>
      <c r="N125" s="2" t="n">
        <v>1</v>
      </c>
      <c r="O125" s="2" t="n"/>
      <c r="P125" s="2" t="n"/>
      <c r="Q125" s="2" t="n"/>
      <c r="R125" s="2" t="n"/>
      <c r="S125" s="2" t="n"/>
      <c r="T125" s="3" t="n">
        <v>95.8</v>
      </c>
      <c r="U125" s="2" t="n">
        <v>1</v>
      </c>
    </row>
    <row r="126" ht="16" customHeight="1" thickBot="1">
      <c r="A126" s="4" t="inlineStr">
        <is>
          <t>H. Keenan</t>
        </is>
      </c>
      <c r="B126" s="34">
        <f t="array" ref="B126:C126">_xlfn.XLOOKUP(A126,'Player List'!$A$2:$A$177,'Player List'!$B$2:$C$177)</f>
        <v/>
      </c>
      <c r="C126" s="34" t="inlineStr">
        <is>
          <t>Back Three</t>
        </is>
      </c>
      <c r="D126" s="34">
        <f>_xlfn.XLOOKUP(B126,$B$2:$B$7,$C$2:$C$7)</f>
        <v/>
      </c>
      <c r="E126" s="5" t="n">
        <v>80</v>
      </c>
      <c r="F126" s="5" t="n">
        <v>6</v>
      </c>
      <c r="G126" s="5" t="n"/>
      <c r="H126" s="5" t="n">
        <v>1</v>
      </c>
      <c r="I126" s="5" t="n">
        <v>82</v>
      </c>
      <c r="J126" s="5" t="n"/>
      <c r="K126" s="5" t="n"/>
      <c r="L126" s="5" t="n"/>
      <c r="M126" s="5" t="n"/>
      <c r="N126" s="5" t="n">
        <v>1</v>
      </c>
      <c r="O126" s="5" t="n"/>
      <c r="P126" s="5" t="n"/>
      <c r="Q126" s="5" t="n"/>
      <c r="R126" s="5" t="n"/>
      <c r="S126" s="5" t="n"/>
      <c r="T126" s="6" t="n">
        <v>44.4</v>
      </c>
      <c r="U126" s="5" t="n"/>
    </row>
    <row r="127" ht="16" customHeight="1" thickBot="1">
      <c r="A127" s="1" t="inlineStr">
        <is>
          <t>J. Lowe</t>
        </is>
      </c>
      <c r="B127" s="34">
        <f t="array" ref="B127:C127">_xlfn.XLOOKUP(A127,'Player List'!$A$2:$A$177,'Player List'!$B$2:$C$177)</f>
        <v/>
      </c>
      <c r="C127" s="34" t="inlineStr">
        <is>
          <t>Back Three</t>
        </is>
      </c>
      <c r="D127" s="34">
        <f>_xlfn.XLOOKUP(B127,$B$2:$B$7,$C$2:$C$7)</f>
        <v/>
      </c>
      <c r="E127" s="2" t="n">
        <v>80</v>
      </c>
      <c r="F127" s="2" t="n">
        <v>4</v>
      </c>
      <c r="G127" s="2" t="n"/>
      <c r="H127" s="2" t="n">
        <v>2</v>
      </c>
      <c r="I127" s="2" t="n">
        <v>150</v>
      </c>
      <c r="J127" s="2" t="n"/>
      <c r="K127" s="2" t="n"/>
      <c r="L127" s="2" t="n"/>
      <c r="M127" s="2" t="n">
        <v>1</v>
      </c>
      <c r="N127" s="2" t="n"/>
      <c r="O127" s="2" t="n"/>
      <c r="P127" s="2" t="n"/>
      <c r="Q127" s="2" t="n"/>
      <c r="R127" s="2" t="n"/>
      <c r="S127" s="2" t="n"/>
      <c r="T127" s="3" t="n">
        <v>71</v>
      </c>
      <c r="U127" s="2" t="n"/>
    </row>
    <row r="128" ht="16" customHeight="1" thickBot="1">
      <c r="A128" s="8" t="inlineStr">
        <is>
          <t>B. Aki</t>
        </is>
      </c>
      <c r="B128" s="34">
        <f t="array" ref="B128:C128">_xlfn.XLOOKUP(A128,'Player List'!$A$2:$A$177,'Player List'!$B$2:$C$177)</f>
        <v/>
      </c>
      <c r="C128" s="34" t="inlineStr">
        <is>
          <t>Centre</t>
        </is>
      </c>
      <c r="D128" s="34">
        <f>_xlfn.XLOOKUP(B128,$B$2:$B$7,$C$2:$C$7)</f>
        <v/>
      </c>
      <c r="E128" s="5" t="n">
        <v>74</v>
      </c>
      <c r="F128" s="5" t="n">
        <v>9</v>
      </c>
      <c r="G128" s="5" t="n">
        <v>1</v>
      </c>
      <c r="H128" s="5" t="n"/>
      <c r="I128" s="5" t="n">
        <v>49</v>
      </c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6" t="n">
        <v>33.2</v>
      </c>
      <c r="U128" s="5" t="n"/>
    </row>
    <row r="129" ht="16" customHeight="1" thickBot="1">
      <c r="A129" s="7" t="inlineStr">
        <is>
          <t>R. Henshaw</t>
        </is>
      </c>
      <c r="B129" s="34">
        <f t="array" ref="B129:C129">_xlfn.XLOOKUP(A129,'Player List'!$A$2:$A$177,'Player List'!$B$2:$C$177)</f>
        <v/>
      </c>
      <c r="C129" s="34" t="inlineStr">
        <is>
          <t>Centre</t>
        </is>
      </c>
      <c r="D129" s="34">
        <f>_xlfn.XLOOKUP(B129,$B$2:$B$7,$C$2:$C$7)</f>
        <v/>
      </c>
      <c r="E129" s="2" t="n">
        <v>14</v>
      </c>
      <c r="F129" s="2" t="n">
        <v>6</v>
      </c>
      <c r="G129" s="2" t="n"/>
      <c r="H129" s="2" t="n"/>
      <c r="I129" s="2" t="n">
        <v>4</v>
      </c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3" t="n">
        <v>8.199999999999999</v>
      </c>
      <c r="U129" s="2" t="n"/>
    </row>
    <row r="130" ht="16" customHeight="1" thickBot="1">
      <c r="A130" s="8" t="inlineStr">
        <is>
          <t>G. Ringrose</t>
        </is>
      </c>
      <c r="B130" s="34">
        <f t="array" ref="B130:C130">_xlfn.XLOOKUP(A130,'Player List'!$A$2:$A$177,'Player List'!$B$2:$C$177)</f>
        <v/>
      </c>
      <c r="C130" s="34" t="inlineStr">
        <is>
          <t>Centre</t>
        </is>
      </c>
      <c r="D130" s="34">
        <f>_xlfn.XLOOKUP(B130,$B$2:$B$7,$C$2:$C$7)</f>
        <v/>
      </c>
      <c r="E130" s="5" t="n">
        <v>72</v>
      </c>
      <c r="F130" s="5" t="n">
        <v>2</v>
      </c>
      <c r="G130" s="5" t="n"/>
      <c r="H130" s="5" t="n">
        <v>1</v>
      </c>
      <c r="I130" s="5" t="n">
        <v>54</v>
      </c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6" t="n">
        <v>27</v>
      </c>
      <c r="U130" s="5" t="n"/>
    </row>
    <row r="131" ht="16" customHeight="1" thickBot="1">
      <c r="A131" s="9" t="inlineStr">
        <is>
          <t>R. Byrne</t>
        </is>
      </c>
      <c r="B131" s="34">
        <f t="array" ref="B131:C131">_xlfn.XLOOKUP(A131,'Player List'!$A$2:$A$177,'Player List'!$B$2:$C$177)</f>
        <v/>
      </c>
      <c r="C131" s="34" t="inlineStr">
        <is>
          <t>Fly Half</t>
        </is>
      </c>
      <c r="D131" s="34">
        <f>_xlfn.XLOOKUP(B131,$B$2:$B$7,$C$2:$C$7)</f>
        <v/>
      </c>
      <c r="E131" s="2" t="n">
        <v>10</v>
      </c>
      <c r="F131" s="2" t="n">
        <v>2</v>
      </c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3" t="n">
        <v>3</v>
      </c>
      <c r="U131" s="2" t="n"/>
    </row>
    <row r="132" ht="16" customHeight="1" thickBot="1">
      <c r="A132" s="10" t="inlineStr">
        <is>
          <t>J. Sexton</t>
        </is>
      </c>
      <c r="B132" s="34">
        <f t="array" ref="B132:C132">_xlfn.XLOOKUP(A132,'Player List'!$A$2:$A$177,'Player List'!$B$2:$C$177)</f>
        <v/>
      </c>
      <c r="C132" s="34" t="inlineStr">
        <is>
          <t>Fly Half</t>
        </is>
      </c>
      <c r="D132" s="34">
        <f>_xlfn.XLOOKUP(B132,$B$2:$B$7,$C$2:$C$7)</f>
        <v/>
      </c>
      <c r="E132" s="5" t="n">
        <v>70</v>
      </c>
      <c r="F132" s="5" t="n">
        <v>9</v>
      </c>
      <c r="G132" s="5" t="n"/>
      <c r="H132" s="5" t="n"/>
      <c r="I132" s="5" t="n">
        <v>32</v>
      </c>
      <c r="J132" s="5" t="n"/>
      <c r="K132" s="5" t="n"/>
      <c r="L132" s="5" t="n"/>
      <c r="M132" s="5" t="n"/>
      <c r="N132" s="5" t="n"/>
      <c r="O132" s="5" t="n">
        <v>2</v>
      </c>
      <c r="P132" s="5" t="n">
        <v>1</v>
      </c>
      <c r="Q132" s="5" t="n"/>
      <c r="R132" s="5" t="n"/>
      <c r="S132" s="5" t="n"/>
      <c r="T132" s="6" t="n">
        <v>31.4</v>
      </c>
      <c r="U132" s="5" t="n"/>
    </row>
    <row r="133" ht="16" customHeight="1" thickBot="1">
      <c r="A133" s="11" t="inlineStr">
        <is>
          <t>J. Gibson-Park</t>
        </is>
      </c>
      <c r="B133" s="34">
        <f t="array" ref="B133:C133">_xlfn.XLOOKUP(A133,'Player List'!$A$2:$A$177,'Player List'!$B$2:$C$177)</f>
        <v/>
      </c>
      <c r="C133" s="34" t="inlineStr">
        <is>
          <t>Scrum Half</t>
        </is>
      </c>
      <c r="D133" s="34">
        <f>_xlfn.XLOOKUP(B133,$B$2:$B$7,$C$2:$C$7)</f>
        <v/>
      </c>
      <c r="E133" s="2" t="n">
        <v>27</v>
      </c>
      <c r="F133" s="2" t="n">
        <v>2</v>
      </c>
      <c r="G133" s="2" t="n"/>
      <c r="H133" s="2" t="n">
        <v>1</v>
      </c>
      <c r="I133" s="2" t="n">
        <v>34</v>
      </c>
      <c r="J133" s="2" t="n"/>
      <c r="K133" s="2" t="n"/>
      <c r="L133" s="2" t="n"/>
      <c r="M133" s="2" t="n"/>
      <c r="N133" s="2" t="n">
        <v>1</v>
      </c>
      <c r="O133" s="2" t="n"/>
      <c r="P133" s="2" t="n"/>
      <c r="Q133" s="2" t="n"/>
      <c r="R133" s="2" t="n"/>
      <c r="S133" s="2" t="n"/>
      <c r="T133" s="3" t="n">
        <v>25.5</v>
      </c>
      <c r="U133" s="2" t="n"/>
    </row>
    <row r="134" ht="16" customHeight="1" thickBot="1">
      <c r="A134" s="12" t="inlineStr">
        <is>
          <t>C. Murray</t>
        </is>
      </c>
      <c r="B134" s="34">
        <f t="array" ref="B134:C134">_xlfn.XLOOKUP(A134,'Player List'!$A$2:$A$177,'Player List'!$B$2:$C$177)</f>
        <v/>
      </c>
      <c r="C134" s="34" t="inlineStr">
        <is>
          <t>Scrum Half</t>
        </is>
      </c>
      <c r="D134" s="34">
        <f>_xlfn.XLOOKUP(B134,$B$2:$B$7,$C$2:$C$7)</f>
        <v/>
      </c>
      <c r="E134" s="5" t="n">
        <v>53</v>
      </c>
      <c r="F134" s="5" t="n">
        <v>9</v>
      </c>
      <c r="G134" s="5" t="n"/>
      <c r="H134" s="5" t="n"/>
      <c r="I134" s="5" t="n">
        <v>5</v>
      </c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6" t="n">
        <v>15.3</v>
      </c>
      <c r="U134" s="5" t="n"/>
    </row>
    <row r="135" ht="16" customHeight="1" thickBot="1">
      <c r="A135" s="13" t="inlineStr">
        <is>
          <t>J. Conan</t>
        </is>
      </c>
      <c r="B135" s="34">
        <f t="array" ref="B135:C135">_xlfn.XLOOKUP(A135,'Player List'!$A$2:$A$177,'Player List'!$B$2:$C$177)</f>
        <v/>
      </c>
      <c r="C135" s="34" t="inlineStr">
        <is>
          <t>Back Row</t>
        </is>
      </c>
      <c r="D135" s="34">
        <f>_xlfn.XLOOKUP(B135,$B$2:$B$7,$C$2:$C$7)</f>
        <v/>
      </c>
      <c r="E135" s="2" t="n">
        <v>68</v>
      </c>
      <c r="F135" s="2" t="n">
        <v>10</v>
      </c>
      <c r="G135" s="2" t="n"/>
      <c r="H135" s="2" t="n"/>
      <c r="I135" s="2" t="n">
        <v>106</v>
      </c>
      <c r="J135" s="2" t="n"/>
      <c r="K135" s="2" t="n"/>
      <c r="L135" s="2" t="n"/>
      <c r="M135" s="2" t="n">
        <v>1</v>
      </c>
      <c r="N135" s="2" t="n"/>
      <c r="O135" s="2" t="n"/>
      <c r="P135" s="2" t="n"/>
      <c r="Q135" s="2" t="n"/>
      <c r="R135" s="2" t="n"/>
      <c r="S135" s="2" t="n"/>
      <c r="T135" s="3" t="n">
        <v>53</v>
      </c>
      <c r="U135" s="2" t="n"/>
    </row>
    <row r="136" ht="16" customHeight="1" thickBot="1">
      <c r="A136" s="14" t="inlineStr">
        <is>
          <t>C. Doris</t>
        </is>
      </c>
      <c r="B136" s="34">
        <f t="array" ref="B136:C136">_xlfn.XLOOKUP(A136,'Player List'!$A$2:$A$177,'Player List'!$B$2:$C$177)</f>
        <v/>
      </c>
      <c r="C136" s="34" t="inlineStr">
        <is>
          <t>Back Row</t>
        </is>
      </c>
      <c r="D136" s="34">
        <f>_xlfn.XLOOKUP(B136,$B$2:$B$7,$C$2:$C$7)</f>
        <v/>
      </c>
      <c r="E136" s="5" t="n">
        <v>12</v>
      </c>
      <c r="F136" s="5" t="n">
        <v>4</v>
      </c>
      <c r="G136" s="5" t="n"/>
      <c r="H136" s="5" t="n"/>
      <c r="I136" s="5" t="n">
        <v>23</v>
      </c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6" t="n">
        <v>9.800000000000001</v>
      </c>
      <c r="U136" s="5" t="n"/>
    </row>
    <row r="137" ht="16" customHeight="1" thickBot="1">
      <c r="A137" s="13" t="inlineStr">
        <is>
          <t>P. O'Mahony</t>
        </is>
      </c>
      <c r="B137" s="34">
        <f t="array" ref="B137:C137">_xlfn.XLOOKUP(A137,'Player List'!$A$2:$A$177,'Player List'!$B$2:$C$177)</f>
        <v/>
      </c>
      <c r="C137" s="34" t="inlineStr">
        <is>
          <t>Back Row</t>
        </is>
      </c>
      <c r="D137" s="34">
        <f>_xlfn.XLOOKUP(B137,$B$2:$B$7,$C$2:$C$7)</f>
        <v/>
      </c>
      <c r="E137" s="2" t="n">
        <v>80</v>
      </c>
      <c r="F137" s="2" t="n">
        <v>12</v>
      </c>
      <c r="G137" s="2" t="n"/>
      <c r="H137" s="2" t="n"/>
      <c r="I137" s="2" t="n">
        <v>31</v>
      </c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3" t="n">
        <v>26.2</v>
      </c>
      <c r="U137" s="2" t="n"/>
    </row>
    <row r="138" ht="16" customHeight="1" thickBot="1">
      <c r="A138" s="14" t="inlineStr">
        <is>
          <t>J. van der Flier</t>
        </is>
      </c>
      <c r="B138" s="34">
        <f t="array" ref="B138:C138">_xlfn.XLOOKUP(A138,'Player List'!$A$2:$A$177,'Player List'!$B$2:$C$177)</f>
        <v/>
      </c>
      <c r="C138" s="34" t="inlineStr">
        <is>
          <t>Back Row</t>
        </is>
      </c>
      <c r="D138" s="34">
        <f>_xlfn.XLOOKUP(B138,$B$2:$B$7,$C$2:$C$7)</f>
        <v/>
      </c>
      <c r="E138" s="5" t="n">
        <v>80</v>
      </c>
      <c r="F138" s="5" t="n">
        <v>15</v>
      </c>
      <c r="G138" s="5" t="n">
        <v>2</v>
      </c>
      <c r="H138" s="5" t="n"/>
      <c r="I138" s="5" t="n">
        <v>26</v>
      </c>
      <c r="J138" s="5" t="n"/>
      <c r="K138" s="5" t="n"/>
      <c r="L138" s="5" t="n">
        <v>1</v>
      </c>
      <c r="M138" s="5" t="n"/>
      <c r="N138" s="5" t="n"/>
      <c r="O138" s="5" t="n"/>
      <c r="P138" s="5" t="n"/>
      <c r="Q138" s="5" t="n"/>
      <c r="R138" s="5" t="n"/>
      <c r="S138" s="5" t="n"/>
      <c r="T138" s="6" t="n">
        <v>49.2</v>
      </c>
      <c r="U138" s="5" t="n"/>
    </row>
    <row r="139" ht="16" customHeight="1" thickBot="1">
      <c r="A139" s="15" t="inlineStr">
        <is>
          <t>R. Baird</t>
        </is>
      </c>
      <c r="B139" s="34">
        <f t="array" ref="B139:C139">_xlfn.XLOOKUP(A139,'Player List'!$A$2:$A$177,'Player List'!$B$2:$C$177)</f>
        <v/>
      </c>
      <c r="C139" s="34" t="inlineStr">
        <is>
          <t>Second Row</t>
        </is>
      </c>
      <c r="D139" s="34">
        <f>_xlfn.XLOOKUP(B139,$B$2:$B$7,$C$2:$C$7)</f>
        <v/>
      </c>
      <c r="E139" s="2" t="n">
        <v>56</v>
      </c>
      <c r="F139" s="2" t="n">
        <v>4</v>
      </c>
      <c r="G139" s="2" t="n"/>
      <c r="H139" s="2" t="n"/>
      <c r="I139" s="2" t="n">
        <v>21</v>
      </c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3" t="n">
        <v>13.8</v>
      </c>
      <c r="U139" s="2" t="n"/>
    </row>
    <row r="140" ht="16" customHeight="1" thickBot="1">
      <c r="A140" s="16" t="inlineStr">
        <is>
          <t>I. Henderson</t>
        </is>
      </c>
      <c r="B140" s="34">
        <f t="array" ref="B140:C140">_xlfn.XLOOKUP(A140,'Player List'!$A$2:$A$177,'Player List'!$B$2:$C$177)</f>
        <v/>
      </c>
      <c r="C140" s="34" t="inlineStr">
        <is>
          <t>Second Row</t>
        </is>
      </c>
      <c r="D140" s="34">
        <f>_xlfn.XLOOKUP(B140,$B$2:$B$7,$C$2:$C$7)</f>
        <v/>
      </c>
      <c r="E140" s="5" t="n">
        <v>24</v>
      </c>
      <c r="F140" s="5" t="n">
        <v>7</v>
      </c>
      <c r="G140" s="5" t="n"/>
      <c r="H140" s="5" t="n"/>
      <c r="I140" s="5" t="n">
        <v>9</v>
      </c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6" t="n">
        <v>11.2</v>
      </c>
      <c r="U140" s="5" t="n"/>
    </row>
    <row r="141" ht="16" customHeight="1" thickBot="1">
      <c r="A141" s="15" t="inlineStr">
        <is>
          <t>J. Ryan</t>
        </is>
      </c>
      <c r="B141" s="34">
        <f t="array" ref="B141:C141">_xlfn.XLOOKUP(A141,'Player List'!$A$2:$A$177,'Player List'!$B$2:$C$177)</f>
        <v/>
      </c>
      <c r="C141" s="34" t="inlineStr">
        <is>
          <t>Second Row</t>
        </is>
      </c>
      <c r="D141" s="34">
        <f>_xlfn.XLOOKUP(B141,$B$2:$B$7,$C$2:$C$7)</f>
        <v/>
      </c>
      <c r="E141" s="2" t="n">
        <v>80</v>
      </c>
      <c r="F141" s="2" t="n">
        <v>9</v>
      </c>
      <c r="G141" s="2" t="n">
        <v>2</v>
      </c>
      <c r="H141" s="2" t="n"/>
      <c r="I141" s="2" t="n">
        <v>90</v>
      </c>
      <c r="J141" s="2" t="n"/>
      <c r="K141" s="2" t="n">
        <v>3</v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3" t="n">
        <v>70</v>
      </c>
      <c r="U141" s="2" t="n"/>
    </row>
    <row r="142" ht="16" customHeight="1" thickBot="1">
      <c r="A142" s="17" t="inlineStr">
        <is>
          <t>T. Furlong</t>
        </is>
      </c>
      <c r="B142" s="34">
        <f t="array" ref="B142:C142">_xlfn.XLOOKUP(A142,'Player List'!$A$2:$A$177,'Player List'!$B$2:$C$177)</f>
        <v/>
      </c>
      <c r="C142" s="34" t="inlineStr">
        <is>
          <t>Prop</t>
        </is>
      </c>
      <c r="D142" s="34">
        <f>_xlfn.XLOOKUP(B142,$B$2:$B$7,$C$2:$C$7)</f>
        <v/>
      </c>
      <c r="E142" s="5" t="n">
        <v>65</v>
      </c>
      <c r="F142" s="5" t="n">
        <v>11</v>
      </c>
      <c r="G142" s="5" t="n"/>
      <c r="H142" s="5" t="n"/>
      <c r="I142" s="5" t="n">
        <v>41</v>
      </c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6" t="n">
        <v>25.7</v>
      </c>
      <c r="U142" s="5" t="n"/>
    </row>
    <row r="143" ht="16" customHeight="1" thickBot="1">
      <c r="A143" s="18" t="inlineStr">
        <is>
          <t>C. Healy</t>
        </is>
      </c>
      <c r="B143" s="34">
        <f t="array" ref="B143:C143">_xlfn.XLOOKUP(A143,'Player List'!$A$2:$A$177,'Player List'!$B$2:$C$177)</f>
        <v/>
      </c>
      <c r="C143" s="34" t="inlineStr">
        <is>
          <t>Prop</t>
        </is>
      </c>
      <c r="D143" s="34">
        <f>_xlfn.XLOOKUP(B143,$B$2:$B$7,$C$2:$C$7)</f>
        <v/>
      </c>
      <c r="E143" s="2" t="n">
        <v>32</v>
      </c>
      <c r="F143" s="2" t="n">
        <v>1</v>
      </c>
      <c r="G143" s="2" t="n"/>
      <c r="H143" s="2" t="n"/>
      <c r="I143" s="2" t="n">
        <v>15</v>
      </c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3" t="n">
        <v>7.2</v>
      </c>
      <c r="U143" s="2" t="n"/>
    </row>
    <row r="144" ht="16" customHeight="1" thickBot="1">
      <c r="A144" s="17" t="inlineStr">
        <is>
          <t>T. O'Toole</t>
        </is>
      </c>
      <c r="B144" s="34">
        <f t="array" ref="B144:C144">_xlfn.XLOOKUP(A144,'Player List'!$A$2:$A$177,'Player List'!$B$2:$C$177)</f>
        <v/>
      </c>
      <c r="C144" s="34" t="inlineStr">
        <is>
          <t>Prop</t>
        </is>
      </c>
      <c r="D144" s="34">
        <f>_xlfn.XLOOKUP(B144,$B$2:$B$7,$C$2:$C$7)</f>
        <v/>
      </c>
      <c r="E144" s="5" t="n">
        <v>15</v>
      </c>
      <c r="F144" s="5" t="n">
        <v>1</v>
      </c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6" t="n">
        <v>2.5</v>
      </c>
      <c r="U144" s="5" t="n"/>
    </row>
    <row r="145" ht="16" customHeight="1" thickBot="1">
      <c r="A145" s="18" t="inlineStr">
        <is>
          <t>A. Porter</t>
        </is>
      </c>
      <c r="B145" s="34">
        <f t="array" ref="B145:C145">_xlfn.XLOOKUP(A145,'Player List'!$A$2:$A$177,'Player List'!$B$2:$C$177)</f>
        <v/>
      </c>
      <c r="C145" s="34" t="inlineStr">
        <is>
          <t>Prop</t>
        </is>
      </c>
      <c r="D145" s="34">
        <f>_xlfn.XLOOKUP(B145,$B$2:$B$7,$C$2:$C$7)</f>
        <v/>
      </c>
      <c r="E145" s="2" t="n">
        <v>80</v>
      </c>
      <c r="F145" s="2" t="n">
        <v>10</v>
      </c>
      <c r="G145" s="2" t="n"/>
      <c r="H145" s="2" t="n"/>
      <c r="I145" s="2" t="n">
        <v>24</v>
      </c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3" t="n">
        <v>22.8</v>
      </c>
      <c r="U145" s="2" t="n"/>
    </row>
    <row r="146" ht="16" customHeight="1" thickBot="1">
      <c r="A146" s="19" t="inlineStr">
        <is>
          <t>R. Kelleher</t>
        </is>
      </c>
      <c r="B146" s="34">
        <f t="array" ref="B146:C146">_xlfn.XLOOKUP(A146,'Player List'!$A$2:$A$177,'Player List'!$B$2:$C$177)</f>
        <v/>
      </c>
      <c r="C146" s="34" t="inlineStr">
        <is>
          <t>Hooker</t>
        </is>
      </c>
      <c r="D146" s="34">
        <f>_xlfn.XLOOKUP(B146,$B$2:$B$7,$C$2:$C$7)</f>
        <v/>
      </c>
      <c r="E146" s="5" t="n">
        <v>30</v>
      </c>
      <c r="F146" s="5" t="n">
        <v>2</v>
      </c>
      <c r="G146" s="5" t="n"/>
      <c r="H146" s="5" t="n"/>
      <c r="I146" s="5" t="n">
        <v>23</v>
      </c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6" t="n">
        <v>9.6</v>
      </c>
      <c r="U146" s="5" t="n"/>
    </row>
    <row r="147" ht="16" customHeight="1" thickBot="1">
      <c r="A147" s="20" t="inlineStr">
        <is>
          <t>D. Sheehan</t>
        </is>
      </c>
      <c r="B147" s="34">
        <f t="array" ref="B147:C147">_xlfn.XLOOKUP(A147,'Player List'!$A$2:$A$177,'Player List'!$B$2:$C$177)</f>
        <v/>
      </c>
      <c r="C147" s="34" t="inlineStr">
        <is>
          <t>Hooker</t>
        </is>
      </c>
      <c r="D147" s="34">
        <f>_xlfn.XLOOKUP(B147,$B$2:$B$7,$C$2:$C$7)</f>
        <v/>
      </c>
      <c r="E147" s="2" t="n">
        <v>18</v>
      </c>
      <c r="F147" s="2" t="n">
        <v>4</v>
      </c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3" t="n">
        <v>5.8</v>
      </c>
      <c r="U147" s="2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2:U179"/>
  <sheetViews>
    <sheetView workbookViewId="0">
      <selection activeCell="E4" sqref="E4"/>
    </sheetView>
  </sheetViews>
  <sheetFormatPr baseColWidth="10" defaultColWidth="8.83203125" defaultRowHeight="15"/>
  <cols>
    <col width="12.83203125" customWidth="1" min="1" max="1"/>
    <col width="11.1640625" customWidth="1" min="3" max="3"/>
    <col width="13.1640625" customWidth="1" min="4" max="4"/>
    <col width="14.1640625" customWidth="1" min="5" max="6"/>
  </cols>
  <sheetData>
    <row r="1" ht="16" customHeight="1" thickBot="1"/>
    <row r="2" ht="16" customHeight="1" thickBot="1">
      <c r="E2" s="104" t="inlineStr">
        <is>
          <t>Average</t>
        </is>
      </c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59" t="n"/>
    </row>
    <row r="3" ht="31" customHeight="1" thickBot="1">
      <c r="A3" s="39" t="inlineStr">
        <is>
          <t>Name</t>
        </is>
      </c>
      <c r="B3" s="40" t="inlineStr">
        <is>
          <t>Nation</t>
        </is>
      </c>
      <c r="C3" s="40" t="inlineStr">
        <is>
          <t>Position</t>
        </is>
      </c>
      <c r="D3" s="59" t="inlineStr">
        <is>
          <t>Games Played</t>
        </is>
      </c>
      <c r="E3" s="58" t="inlineStr">
        <is>
          <t>Time Played</t>
        </is>
      </c>
      <c r="F3" s="41" t="inlineStr">
        <is>
          <t>Tackles</t>
        </is>
      </c>
      <c r="G3" s="41" t="inlineStr">
        <is>
          <t>Dominant Tackles</t>
        </is>
      </c>
      <c r="H3" s="41" t="inlineStr">
        <is>
          <t>Line Breaks</t>
        </is>
      </c>
      <c r="I3" s="41" t="inlineStr">
        <is>
          <t>Metres Carried</t>
        </is>
      </c>
      <c r="J3" s="41" t="inlineStr">
        <is>
          <t>50-22</t>
        </is>
      </c>
      <c r="K3" s="41" t="inlineStr">
        <is>
          <t>Lineout Steal</t>
        </is>
      </c>
      <c r="L3" s="41" t="inlineStr">
        <is>
          <t>Breakdown Steal</t>
        </is>
      </c>
      <c r="M3" s="41" t="inlineStr">
        <is>
          <t>Try</t>
        </is>
      </c>
      <c r="N3" s="41" t="inlineStr">
        <is>
          <t>Assists</t>
        </is>
      </c>
      <c r="O3" s="41" t="inlineStr">
        <is>
          <t>Conversion</t>
        </is>
      </c>
      <c r="P3" s="41" t="inlineStr">
        <is>
          <t>Penalty</t>
        </is>
      </c>
      <c r="Q3" s="41" t="inlineStr">
        <is>
          <t>Drop Goal</t>
        </is>
      </c>
      <c r="R3" s="41" t="inlineStr">
        <is>
          <t>Yellow Card</t>
        </is>
      </c>
      <c r="S3" s="41" t="inlineStr">
        <is>
          <t>Red Card</t>
        </is>
      </c>
      <c r="T3" s="60" t="inlineStr">
        <is>
          <t>Total MoM</t>
        </is>
      </c>
      <c r="U3" s="35" t="n"/>
    </row>
    <row r="4" ht="16" customHeight="1" thickBot="1">
      <c r="A4" s="69" t="inlineStr">
        <is>
          <t>J. Adams</t>
        </is>
      </c>
      <c r="B4" t="inlineStr">
        <is>
          <t>Wales</t>
        </is>
      </c>
      <c r="C4" t="inlineStr">
        <is>
          <t>Back Three</t>
        </is>
      </c>
      <c r="D4" t="n">
        <v>4</v>
      </c>
      <c r="E4" s="57" t="n">
        <v>61</v>
      </c>
      <c r="F4" s="57" t="n">
        <v>3.75</v>
      </c>
      <c r="G4" s="57" t="n">
        <v>1.25</v>
      </c>
      <c r="H4" s="57" t="n">
        <v>0.25</v>
      </c>
      <c r="I4" s="57" t="n">
        <v>26.25</v>
      </c>
      <c r="J4" s="57" t="n">
        <v>0</v>
      </c>
      <c r="K4" s="57" t="n">
        <v>0</v>
      </c>
      <c r="L4" s="57" t="n">
        <v>0.25</v>
      </c>
      <c r="M4" s="57" t="n">
        <v>0</v>
      </c>
      <c r="N4" s="57" t="n">
        <v>0</v>
      </c>
      <c r="O4" s="57" t="n">
        <v>0</v>
      </c>
      <c r="P4" s="57" t="n">
        <v>0</v>
      </c>
      <c r="Q4" s="57" t="n">
        <v>0</v>
      </c>
      <c r="R4" s="57" t="n">
        <v>0</v>
      </c>
      <c r="S4" s="57" t="n">
        <v>0</v>
      </c>
      <c r="T4" s="62" t="n">
        <v>0</v>
      </c>
    </row>
    <row r="5" ht="16" customHeight="1" thickBot="1">
      <c r="A5" s="63" t="inlineStr">
        <is>
          <t>A. Cuthbert</t>
        </is>
      </c>
      <c r="B5" t="inlineStr">
        <is>
          <t>Wales</t>
        </is>
      </c>
      <c r="C5" t="inlineStr">
        <is>
          <t>Back Three</t>
        </is>
      </c>
      <c r="D5" t="n">
        <v>2</v>
      </c>
      <c r="E5" s="57" t="n">
        <v>20</v>
      </c>
      <c r="F5" s="57" t="n">
        <v>1</v>
      </c>
      <c r="G5" s="57" t="n">
        <v>0</v>
      </c>
      <c r="H5" s="57" t="n">
        <v>0</v>
      </c>
      <c r="I5" s="57" t="n">
        <v>37.5</v>
      </c>
      <c r="J5" s="57" t="n">
        <v>0</v>
      </c>
      <c r="K5" s="57" t="n">
        <v>0</v>
      </c>
      <c r="L5" s="57" t="n">
        <v>0</v>
      </c>
      <c r="M5" s="57" t="n">
        <v>0</v>
      </c>
      <c r="N5" s="57" t="n">
        <v>0</v>
      </c>
      <c r="O5" s="57" t="n">
        <v>0</v>
      </c>
      <c r="P5" s="57" t="n">
        <v>0</v>
      </c>
      <c r="Q5" s="57" t="n">
        <v>0</v>
      </c>
      <c r="R5" s="57" t="n">
        <v>0</v>
      </c>
      <c r="S5" s="57" t="n">
        <v>0</v>
      </c>
      <c r="T5" s="62" t="n">
        <v>0</v>
      </c>
    </row>
    <row r="6" ht="16" customHeight="1" thickBot="1">
      <c r="A6" s="61" t="inlineStr">
        <is>
          <t>R. Dyer</t>
        </is>
      </c>
      <c r="B6" t="inlineStr">
        <is>
          <t>Wales</t>
        </is>
      </c>
      <c r="C6" t="inlineStr">
        <is>
          <t>Back Three</t>
        </is>
      </c>
      <c r="D6" t="n">
        <v>3</v>
      </c>
      <c r="E6" s="57" t="n">
        <v>76</v>
      </c>
      <c r="F6" s="57" t="n">
        <v>4.3333</v>
      </c>
      <c r="G6" s="57" t="n">
        <v>0.3333</v>
      </c>
      <c r="H6" s="57" t="n">
        <v>1.3333</v>
      </c>
      <c r="I6" s="57" t="n">
        <v>72</v>
      </c>
      <c r="J6" s="57" t="n">
        <v>0</v>
      </c>
      <c r="K6" s="57" t="n">
        <v>0</v>
      </c>
      <c r="L6" s="57" t="n">
        <v>0</v>
      </c>
      <c r="M6" s="57" t="n">
        <v>0.3333</v>
      </c>
      <c r="N6" s="57" t="n">
        <v>0</v>
      </c>
      <c r="O6" s="57" t="n">
        <v>0</v>
      </c>
      <c r="P6" s="57" t="n">
        <v>0</v>
      </c>
      <c r="Q6" s="57" t="n">
        <v>0</v>
      </c>
      <c r="R6" s="57" t="n">
        <v>0</v>
      </c>
      <c r="S6" s="57" t="n">
        <v>0</v>
      </c>
      <c r="T6" s="62" t="n">
        <v>0</v>
      </c>
    </row>
    <row r="7" ht="16" customHeight="1" thickBot="1">
      <c r="A7" s="63" t="inlineStr">
        <is>
          <t>L. Williams</t>
        </is>
      </c>
      <c r="B7" t="inlineStr">
        <is>
          <t>Wales</t>
        </is>
      </c>
      <c r="C7" t="inlineStr">
        <is>
          <t>Back Three</t>
        </is>
      </c>
      <c r="D7" t="n">
        <v>3</v>
      </c>
      <c r="E7" s="57" t="n">
        <v>67</v>
      </c>
      <c r="F7" s="57" t="n">
        <v>4</v>
      </c>
      <c r="G7" s="57" t="n">
        <v>0</v>
      </c>
      <c r="H7" s="57" t="n">
        <v>1</v>
      </c>
      <c r="I7" s="57" t="n">
        <v>79.66670000000001</v>
      </c>
      <c r="J7" s="57" t="n">
        <v>0</v>
      </c>
      <c r="K7" s="57" t="n">
        <v>0</v>
      </c>
      <c r="L7" s="57" t="n">
        <v>0.6667</v>
      </c>
      <c r="M7" s="57" t="n">
        <v>0.6667</v>
      </c>
      <c r="N7" s="57" t="n">
        <v>0</v>
      </c>
      <c r="O7" s="57" t="n">
        <v>0</v>
      </c>
      <c r="P7" s="57" t="n">
        <v>0</v>
      </c>
      <c r="Q7" s="57" t="n">
        <v>0</v>
      </c>
      <c r="R7" s="57" t="n">
        <v>0.6667</v>
      </c>
      <c r="S7" s="57" t="n">
        <v>0</v>
      </c>
      <c r="T7" s="62" t="n">
        <v>0</v>
      </c>
    </row>
    <row r="8" ht="16" customHeight="1" thickBot="1">
      <c r="A8" s="61" t="inlineStr">
        <is>
          <t>J. Hawkins</t>
        </is>
      </c>
      <c r="B8" t="inlineStr">
        <is>
          <t>Wales</t>
        </is>
      </c>
      <c r="C8" t="inlineStr">
        <is>
          <t>Centre</t>
        </is>
      </c>
      <c r="D8" t="n">
        <v>4</v>
      </c>
      <c r="E8" s="57" t="n">
        <v>80</v>
      </c>
      <c r="F8" s="57" t="n">
        <v>5.5</v>
      </c>
      <c r="G8" s="57" t="n">
        <v>0.5</v>
      </c>
      <c r="H8" s="57" t="n">
        <v>0.25</v>
      </c>
      <c r="I8" s="57" t="n">
        <v>69.25</v>
      </c>
      <c r="J8" s="57" t="n">
        <v>0</v>
      </c>
      <c r="K8" s="57" t="n">
        <v>0</v>
      </c>
      <c r="L8" s="57" t="n">
        <v>0</v>
      </c>
      <c r="M8" s="57" t="n">
        <v>0</v>
      </c>
      <c r="N8" s="57" t="n">
        <v>0</v>
      </c>
      <c r="O8" s="57" t="n">
        <v>0</v>
      </c>
      <c r="P8" s="57" t="n">
        <v>0</v>
      </c>
      <c r="Q8" s="57" t="n">
        <v>0</v>
      </c>
      <c r="R8" s="57" t="n">
        <v>0</v>
      </c>
      <c r="S8" s="57" t="n">
        <v>0</v>
      </c>
      <c r="T8" s="62" t="n">
        <v>0</v>
      </c>
    </row>
    <row r="9" ht="16" customHeight="1" thickBot="1">
      <c r="A9" s="63" t="inlineStr">
        <is>
          <t>G. North</t>
        </is>
      </c>
      <c r="B9" t="inlineStr">
        <is>
          <t>Wales</t>
        </is>
      </c>
      <c r="C9" t="inlineStr">
        <is>
          <t>Centre</t>
        </is>
      </c>
      <c r="D9" t="n">
        <v>3</v>
      </c>
      <c r="E9" s="57" t="n">
        <v>57</v>
      </c>
      <c r="F9" s="57" t="n">
        <v>2.3333</v>
      </c>
      <c r="G9" s="57" t="n">
        <v>0.3333</v>
      </c>
      <c r="H9" s="57" t="n">
        <v>0</v>
      </c>
      <c r="I9" s="57" t="n">
        <v>36.3333</v>
      </c>
      <c r="J9" s="57" t="n">
        <v>0</v>
      </c>
      <c r="K9" s="57" t="n">
        <v>0</v>
      </c>
      <c r="L9" s="57" t="n">
        <v>0</v>
      </c>
      <c r="M9" s="57" t="n">
        <v>0</v>
      </c>
      <c r="N9" s="57" t="n">
        <v>0</v>
      </c>
      <c r="O9" s="57" t="n">
        <v>0</v>
      </c>
      <c r="P9" s="57" t="n">
        <v>0</v>
      </c>
      <c r="Q9" s="57" t="n">
        <v>0</v>
      </c>
      <c r="R9" s="57" t="n">
        <v>0</v>
      </c>
      <c r="S9" s="57" t="n">
        <v>0</v>
      </c>
      <c r="T9" s="62" t="n">
        <v>0</v>
      </c>
    </row>
    <row r="10" ht="16" customHeight="1" thickBot="1">
      <c r="A10" s="61" t="inlineStr">
        <is>
          <t>D. Biggar</t>
        </is>
      </c>
      <c r="B10" t="inlineStr">
        <is>
          <t>Wales</t>
        </is>
      </c>
      <c r="C10" t="inlineStr">
        <is>
          <t>Fly Half</t>
        </is>
      </c>
      <c r="D10" t="n">
        <v>3</v>
      </c>
      <c r="E10" s="57" t="n">
        <v>50</v>
      </c>
      <c r="F10" s="57" t="n">
        <v>6.3333</v>
      </c>
      <c r="G10" s="57" t="n">
        <v>0</v>
      </c>
      <c r="H10" s="57" t="n">
        <v>0.3333</v>
      </c>
      <c r="I10" s="57" t="n">
        <v>17</v>
      </c>
      <c r="J10" s="57" t="n">
        <v>0</v>
      </c>
      <c r="K10" s="57" t="n">
        <v>0</v>
      </c>
      <c r="L10" s="57" t="n">
        <v>0.3333</v>
      </c>
      <c r="M10" s="57" t="n">
        <v>0</v>
      </c>
      <c r="N10" s="57" t="n">
        <v>0.3333</v>
      </c>
      <c r="O10" s="57" t="n">
        <v>0.6667</v>
      </c>
      <c r="P10" s="57" t="n">
        <v>0.3333</v>
      </c>
      <c r="Q10" s="57" t="n">
        <v>0</v>
      </c>
      <c r="R10" s="57" t="n">
        <v>0</v>
      </c>
      <c r="S10" s="57" t="n">
        <v>0</v>
      </c>
      <c r="T10" s="62" t="n">
        <v>0</v>
      </c>
    </row>
    <row r="11" ht="16" customHeight="1" thickBot="1">
      <c r="A11" s="63" t="inlineStr">
        <is>
          <t>O. Williams</t>
        </is>
      </c>
      <c r="B11" t="inlineStr">
        <is>
          <t>Wales</t>
        </is>
      </c>
      <c r="C11" t="inlineStr">
        <is>
          <t>Fly Half</t>
        </is>
      </c>
      <c r="D11" t="n">
        <v>3</v>
      </c>
      <c r="E11" s="57" t="n">
        <v>49</v>
      </c>
      <c r="F11" s="57" t="n">
        <v>5</v>
      </c>
      <c r="G11" s="57" t="n">
        <v>0</v>
      </c>
      <c r="H11" s="57" t="n">
        <v>0</v>
      </c>
      <c r="I11" s="57" t="n">
        <v>15.6667</v>
      </c>
      <c r="J11" s="57" t="n">
        <v>0</v>
      </c>
      <c r="K11" s="57" t="n">
        <v>0</v>
      </c>
      <c r="L11" s="57" t="n">
        <v>0</v>
      </c>
      <c r="M11" s="57" t="n">
        <v>0</v>
      </c>
      <c r="N11" s="57" t="n">
        <v>0</v>
      </c>
      <c r="O11" s="57" t="n">
        <v>0.6667</v>
      </c>
      <c r="P11" s="57" t="n">
        <v>0.3333</v>
      </c>
      <c r="Q11" s="57" t="n">
        <v>0</v>
      </c>
      <c r="R11" s="57" t="n">
        <v>0</v>
      </c>
      <c r="S11" s="57" t="n">
        <v>0</v>
      </c>
      <c r="T11" s="62" t="n">
        <v>0</v>
      </c>
    </row>
    <row r="12" ht="16" customHeight="1" thickBot="1">
      <c r="A12" s="61" t="inlineStr">
        <is>
          <t>R. Webb</t>
        </is>
      </c>
      <c r="B12" t="inlineStr">
        <is>
          <t>Wales</t>
        </is>
      </c>
      <c r="C12" t="inlineStr">
        <is>
          <t>Scrum Half</t>
        </is>
      </c>
      <c r="D12" t="n">
        <v>3</v>
      </c>
      <c r="E12" s="57" t="n">
        <v>31.3333</v>
      </c>
      <c r="F12" s="57" t="n">
        <v>3</v>
      </c>
      <c r="G12" s="57" t="n">
        <v>0.6667</v>
      </c>
      <c r="H12" s="57" t="n">
        <v>0.3333</v>
      </c>
      <c r="I12" s="57" t="n">
        <v>9.666700000000001</v>
      </c>
      <c r="J12" s="57" t="n">
        <v>0.3333</v>
      </c>
      <c r="K12" s="57" t="n">
        <v>0</v>
      </c>
      <c r="L12" s="57" t="n">
        <v>0</v>
      </c>
      <c r="M12" s="57" t="n">
        <v>0</v>
      </c>
      <c r="N12" s="57" t="n">
        <v>0.6667</v>
      </c>
      <c r="O12" s="57" t="n">
        <v>0</v>
      </c>
      <c r="P12" s="57" t="n">
        <v>0</v>
      </c>
      <c r="Q12" s="57" t="n">
        <v>0</v>
      </c>
      <c r="R12" s="57" t="n">
        <v>0.3333</v>
      </c>
      <c r="S12" s="57" t="n">
        <v>0</v>
      </c>
      <c r="T12" s="62" t="n">
        <v>1</v>
      </c>
    </row>
    <row r="13" ht="16" customHeight="1" thickBot="1">
      <c r="A13" s="63" t="inlineStr">
        <is>
          <t>T. Williams</t>
        </is>
      </c>
      <c r="B13" t="inlineStr">
        <is>
          <t>Wales</t>
        </is>
      </c>
      <c r="C13" t="inlineStr">
        <is>
          <t>Scrum Half</t>
        </is>
      </c>
      <c r="D13" t="n">
        <v>4</v>
      </c>
      <c r="E13" s="57" t="n">
        <v>53.75</v>
      </c>
      <c r="F13" s="57" t="n">
        <v>3.5</v>
      </c>
      <c r="G13" s="57" t="n">
        <v>0.25</v>
      </c>
      <c r="H13" s="57" t="n">
        <v>0</v>
      </c>
      <c r="I13" s="57" t="n">
        <v>14.5</v>
      </c>
      <c r="J13" s="57" t="n">
        <v>0</v>
      </c>
      <c r="K13" s="57" t="n">
        <v>0</v>
      </c>
      <c r="L13" s="57" t="n">
        <v>0</v>
      </c>
      <c r="M13" s="57" t="n">
        <v>0</v>
      </c>
      <c r="N13" s="57" t="n">
        <v>0</v>
      </c>
      <c r="O13" s="57" t="n">
        <v>0</v>
      </c>
      <c r="P13" s="57" t="n">
        <v>0</v>
      </c>
      <c r="Q13" s="57" t="n">
        <v>0</v>
      </c>
      <c r="R13" s="57" t="n">
        <v>0</v>
      </c>
      <c r="S13" s="57" t="n">
        <v>0</v>
      </c>
      <c r="T13" s="62" t="n">
        <v>0</v>
      </c>
    </row>
    <row r="14" ht="16" customHeight="1" thickBot="1">
      <c r="A14" s="61" t="inlineStr">
        <is>
          <t>T. Faletau</t>
        </is>
      </c>
      <c r="B14" t="inlineStr">
        <is>
          <t>Wales</t>
        </is>
      </c>
      <c r="C14" t="inlineStr">
        <is>
          <t>Back Row</t>
        </is>
      </c>
      <c r="D14" t="n">
        <v>4</v>
      </c>
      <c r="E14" s="57" t="n">
        <v>67</v>
      </c>
      <c r="F14" s="57" t="n">
        <v>12.75</v>
      </c>
      <c r="G14" s="57" t="n">
        <v>0.25</v>
      </c>
      <c r="H14" s="57" t="n">
        <v>0</v>
      </c>
      <c r="I14" s="57" t="n">
        <v>45.75</v>
      </c>
      <c r="J14" s="57" t="n">
        <v>0</v>
      </c>
      <c r="K14" s="57" t="n">
        <v>0</v>
      </c>
      <c r="L14" s="57" t="n">
        <v>0.5</v>
      </c>
      <c r="M14" s="57" t="n">
        <v>0.25</v>
      </c>
      <c r="N14" s="57" t="n">
        <v>0</v>
      </c>
      <c r="O14" s="57" t="n">
        <v>0</v>
      </c>
      <c r="P14" s="57" t="n">
        <v>0</v>
      </c>
      <c r="Q14" s="57" t="n">
        <v>0</v>
      </c>
      <c r="R14" s="57" t="n">
        <v>0</v>
      </c>
      <c r="S14" s="57" t="n">
        <v>0</v>
      </c>
      <c r="T14" s="62" t="n">
        <v>0</v>
      </c>
    </row>
    <row r="15" ht="16" customHeight="1" thickBot="1">
      <c r="A15" s="63" t="inlineStr">
        <is>
          <t>J. Morgan</t>
        </is>
      </c>
      <c r="B15" t="inlineStr">
        <is>
          <t>Wales</t>
        </is>
      </c>
      <c r="C15" t="inlineStr">
        <is>
          <t>Back Row</t>
        </is>
      </c>
      <c r="D15" t="n">
        <v>3</v>
      </c>
      <c r="E15" s="57" t="n">
        <v>64</v>
      </c>
      <c r="F15" s="57" t="n">
        <v>13</v>
      </c>
      <c r="G15" s="57" t="n">
        <v>1</v>
      </c>
      <c r="H15" s="57" t="n">
        <v>0</v>
      </c>
      <c r="I15" s="57" t="n">
        <v>31.3333</v>
      </c>
      <c r="J15" s="57" t="n">
        <v>0</v>
      </c>
      <c r="K15" s="57" t="n">
        <v>0</v>
      </c>
      <c r="L15" s="57" t="n">
        <v>1</v>
      </c>
      <c r="M15" s="57" t="n">
        <v>0</v>
      </c>
      <c r="N15" s="57" t="n">
        <v>0</v>
      </c>
      <c r="O15" s="57" t="n">
        <v>0</v>
      </c>
      <c r="P15" s="57" t="n">
        <v>0</v>
      </c>
      <c r="Q15" s="57" t="n">
        <v>0</v>
      </c>
      <c r="R15" s="57" t="n">
        <v>0</v>
      </c>
      <c r="S15" s="57" t="n">
        <v>0</v>
      </c>
      <c r="T15" s="62" t="n">
        <v>0</v>
      </c>
    </row>
    <row r="16" ht="16" customHeight="1" thickBot="1">
      <c r="A16" s="61" t="inlineStr">
        <is>
          <t>T. Reffell</t>
        </is>
      </c>
      <c r="B16" t="inlineStr">
        <is>
          <t>Wales</t>
        </is>
      </c>
      <c r="C16" t="inlineStr">
        <is>
          <t>Back Row</t>
        </is>
      </c>
      <c r="D16" t="n">
        <v>4</v>
      </c>
      <c r="E16" s="57" t="n">
        <v>35.75</v>
      </c>
      <c r="F16" s="57" t="n">
        <v>6.25</v>
      </c>
      <c r="G16" s="57" t="n">
        <v>0.25</v>
      </c>
      <c r="H16" s="57" t="n">
        <v>0</v>
      </c>
      <c r="I16" s="57" t="n">
        <v>11.25</v>
      </c>
      <c r="J16" s="57" t="n">
        <v>0</v>
      </c>
      <c r="K16" s="57" t="n">
        <v>0</v>
      </c>
      <c r="L16" s="57" t="n">
        <v>0</v>
      </c>
      <c r="M16" s="57" t="n">
        <v>0</v>
      </c>
      <c r="N16" s="57" t="n">
        <v>0</v>
      </c>
      <c r="O16" s="57" t="n">
        <v>0</v>
      </c>
      <c r="P16" s="57" t="n">
        <v>0</v>
      </c>
      <c r="Q16" s="57" t="n">
        <v>0</v>
      </c>
      <c r="R16" s="57" t="n">
        <v>0</v>
      </c>
      <c r="S16" s="57" t="n">
        <v>0</v>
      </c>
      <c r="T16" s="62" t="n">
        <v>0</v>
      </c>
    </row>
    <row r="17" ht="16" customHeight="1" thickBot="1">
      <c r="A17" s="63" t="inlineStr">
        <is>
          <t>J. Tipuric</t>
        </is>
      </c>
      <c r="B17" t="inlineStr">
        <is>
          <t>Wales</t>
        </is>
      </c>
      <c r="C17" t="inlineStr">
        <is>
          <t>Back Row</t>
        </is>
      </c>
      <c r="D17" t="n">
        <v>3</v>
      </c>
      <c r="E17" s="57" t="n">
        <v>71.33329999999999</v>
      </c>
      <c r="F17" s="57" t="n">
        <v>11.3333</v>
      </c>
      <c r="G17" s="57" t="n">
        <v>2</v>
      </c>
      <c r="H17" s="57" t="n">
        <v>0</v>
      </c>
      <c r="I17" s="57" t="n">
        <v>17</v>
      </c>
      <c r="J17" s="57" t="n">
        <v>0</v>
      </c>
      <c r="K17" s="57" t="n">
        <v>0.6667</v>
      </c>
      <c r="L17" s="57" t="n">
        <v>0.3333</v>
      </c>
      <c r="M17" s="57" t="n">
        <v>0</v>
      </c>
      <c r="N17" s="57" t="n">
        <v>0</v>
      </c>
      <c r="O17" s="57" t="n">
        <v>0</v>
      </c>
      <c r="P17" s="57" t="n">
        <v>0</v>
      </c>
      <c r="Q17" s="57" t="n">
        <v>0</v>
      </c>
      <c r="R17" s="57" t="n">
        <v>0</v>
      </c>
      <c r="S17" s="57" t="n">
        <v>0</v>
      </c>
      <c r="T17" s="62" t="n">
        <v>0</v>
      </c>
    </row>
    <row r="18" ht="16" customHeight="1" thickBot="1">
      <c r="A18" s="61" t="inlineStr">
        <is>
          <t>A. Beard</t>
        </is>
      </c>
      <c r="B18" t="inlineStr">
        <is>
          <t>Wales</t>
        </is>
      </c>
      <c r="C18" t="inlineStr">
        <is>
          <t>Second Row</t>
        </is>
      </c>
      <c r="D18" t="n">
        <v>4</v>
      </c>
      <c r="E18" s="57" t="n">
        <v>80</v>
      </c>
      <c r="F18" s="57" t="n">
        <v>9.5</v>
      </c>
      <c r="G18" s="57" t="n">
        <v>0.75</v>
      </c>
      <c r="H18" s="57" t="n">
        <v>0</v>
      </c>
      <c r="I18" s="57" t="n">
        <v>13.75</v>
      </c>
      <c r="J18" s="57" t="n">
        <v>0</v>
      </c>
      <c r="K18" s="57" t="n">
        <v>0.25</v>
      </c>
      <c r="L18" s="57" t="n">
        <v>0.5</v>
      </c>
      <c r="M18" s="57" t="n">
        <v>0</v>
      </c>
      <c r="N18" s="57" t="n">
        <v>0</v>
      </c>
      <c r="O18" s="57" t="n">
        <v>0</v>
      </c>
      <c r="P18" s="57" t="n">
        <v>0</v>
      </c>
      <c r="Q18" s="57" t="n">
        <v>0</v>
      </c>
      <c r="R18" s="57" t="n">
        <v>0</v>
      </c>
      <c r="S18" s="57" t="n">
        <v>0</v>
      </c>
      <c r="T18" s="62" t="n">
        <v>0</v>
      </c>
    </row>
    <row r="19" ht="16" customHeight="1" thickBot="1">
      <c r="A19" s="63" t="inlineStr">
        <is>
          <t>D. Jenkins</t>
        </is>
      </c>
      <c r="B19" t="inlineStr">
        <is>
          <t>Wales</t>
        </is>
      </c>
      <c r="C19" t="inlineStr">
        <is>
          <t>Second Row</t>
        </is>
      </c>
      <c r="D19" t="n">
        <v>4</v>
      </c>
      <c r="E19" s="57" t="n">
        <v>42.75</v>
      </c>
      <c r="F19" s="57" t="n">
        <v>7</v>
      </c>
      <c r="G19" s="57" t="n">
        <v>0.25</v>
      </c>
      <c r="H19" s="57" t="n">
        <v>0</v>
      </c>
      <c r="I19" s="57" t="n">
        <v>18.5</v>
      </c>
      <c r="J19" s="57" t="n">
        <v>0</v>
      </c>
      <c r="K19" s="57" t="n">
        <v>0</v>
      </c>
      <c r="L19" s="57" t="n">
        <v>0</v>
      </c>
      <c r="M19" s="57" t="n">
        <v>0</v>
      </c>
      <c r="N19" s="57" t="n">
        <v>0</v>
      </c>
      <c r="O19" s="57" t="n">
        <v>0</v>
      </c>
      <c r="P19" s="57" t="n">
        <v>0</v>
      </c>
      <c r="Q19" s="57" t="n">
        <v>0</v>
      </c>
      <c r="R19" s="57" t="n">
        <v>0</v>
      </c>
      <c r="S19" s="57" t="n">
        <v>0</v>
      </c>
      <c r="T19" s="62" t="n">
        <v>0</v>
      </c>
    </row>
    <row r="20" ht="16" customHeight="1" thickBot="1">
      <c r="A20" s="61" t="inlineStr">
        <is>
          <t>A. Jones</t>
        </is>
      </c>
      <c r="B20" t="inlineStr">
        <is>
          <t>Wales</t>
        </is>
      </c>
      <c r="C20" t="inlineStr">
        <is>
          <t>Second Row</t>
        </is>
      </c>
      <c r="D20" t="n">
        <v>2</v>
      </c>
      <c r="E20" s="57" t="n">
        <v>62</v>
      </c>
      <c r="F20" s="57" t="n">
        <v>9.5</v>
      </c>
      <c r="G20" s="57" t="n">
        <v>1</v>
      </c>
      <c r="H20" s="57" t="n">
        <v>0</v>
      </c>
      <c r="I20" s="57" t="n">
        <v>20.5</v>
      </c>
      <c r="J20" s="57" t="n">
        <v>0</v>
      </c>
      <c r="K20" s="57" t="n">
        <v>0.5</v>
      </c>
      <c r="L20" s="57" t="n">
        <v>0.5</v>
      </c>
      <c r="M20" s="57" t="n">
        <v>0</v>
      </c>
      <c r="N20" s="57" t="n">
        <v>0</v>
      </c>
      <c r="O20" s="57" t="n">
        <v>0</v>
      </c>
      <c r="P20" s="57" t="n">
        <v>0</v>
      </c>
      <c r="Q20" s="57" t="n">
        <v>0</v>
      </c>
      <c r="R20" s="57" t="n">
        <v>0</v>
      </c>
      <c r="S20" s="57" t="n">
        <v>0</v>
      </c>
      <c r="T20" s="62" t="n">
        <v>0</v>
      </c>
    </row>
    <row r="21" ht="16" customHeight="1" thickBot="1">
      <c r="A21" s="63" t="inlineStr">
        <is>
          <t>R. Carre</t>
        </is>
      </c>
      <c r="B21" t="inlineStr">
        <is>
          <t>Wales</t>
        </is>
      </c>
      <c r="C21" t="inlineStr">
        <is>
          <t>Prop</t>
        </is>
      </c>
      <c r="D21" t="n">
        <v>3</v>
      </c>
      <c r="E21" s="57" t="n">
        <v>26</v>
      </c>
      <c r="F21" s="57" t="n">
        <v>2.6667</v>
      </c>
      <c r="G21" s="57" t="n">
        <v>0</v>
      </c>
      <c r="H21" s="57" t="n">
        <v>0</v>
      </c>
      <c r="I21" s="57" t="n">
        <v>15.6667</v>
      </c>
      <c r="J21" s="57" t="n">
        <v>0</v>
      </c>
      <c r="K21" s="57" t="n">
        <v>0</v>
      </c>
      <c r="L21" s="57" t="n">
        <v>0.3333</v>
      </c>
      <c r="M21" s="57" t="n">
        <v>0</v>
      </c>
      <c r="N21" s="57" t="n">
        <v>0</v>
      </c>
      <c r="O21" s="57" t="n">
        <v>0</v>
      </c>
      <c r="P21" s="57" t="n">
        <v>0</v>
      </c>
      <c r="Q21" s="57" t="n">
        <v>0</v>
      </c>
      <c r="R21" s="57" t="n">
        <v>0</v>
      </c>
      <c r="S21" s="57" t="n">
        <v>0</v>
      </c>
      <c r="T21" s="62" t="n">
        <v>0</v>
      </c>
    </row>
    <row r="22" ht="16" customHeight="1" thickBot="1">
      <c r="A22" s="61" t="inlineStr">
        <is>
          <t>T. Francis</t>
        </is>
      </c>
      <c r="B22" t="inlineStr">
        <is>
          <t>Wales</t>
        </is>
      </c>
      <c r="C22" t="inlineStr">
        <is>
          <t>Prop</t>
        </is>
      </c>
      <c r="D22" t="n">
        <v>3</v>
      </c>
      <c r="E22" s="57" t="n">
        <v>49.6667</v>
      </c>
      <c r="F22" s="57" t="n">
        <v>9</v>
      </c>
      <c r="G22" s="57" t="n">
        <v>1</v>
      </c>
      <c r="H22" s="57" t="n">
        <v>0</v>
      </c>
      <c r="I22" s="57" t="n">
        <v>4</v>
      </c>
      <c r="J22" s="57" t="n">
        <v>0</v>
      </c>
      <c r="K22" s="57" t="n">
        <v>0</v>
      </c>
      <c r="L22" s="57" t="n">
        <v>0</v>
      </c>
      <c r="M22" s="57" t="n">
        <v>0</v>
      </c>
      <c r="N22" s="57" t="n">
        <v>0</v>
      </c>
      <c r="O22" s="57" t="n">
        <v>0</v>
      </c>
      <c r="P22" s="57" t="n">
        <v>0</v>
      </c>
      <c r="Q22" s="57" t="n">
        <v>0</v>
      </c>
      <c r="R22" s="57" t="n">
        <v>0</v>
      </c>
      <c r="S22" s="57" t="n">
        <v>0</v>
      </c>
      <c r="T22" s="62" t="n">
        <v>0</v>
      </c>
    </row>
    <row r="23" ht="16" customHeight="1" thickBot="1">
      <c r="A23" s="63" t="inlineStr">
        <is>
          <t>D. Lewis</t>
        </is>
      </c>
      <c r="B23" t="inlineStr">
        <is>
          <t>Wales</t>
        </is>
      </c>
      <c r="C23" t="inlineStr">
        <is>
          <t>Prop</t>
        </is>
      </c>
      <c r="D23" t="n">
        <v>4</v>
      </c>
      <c r="E23" s="57" t="n">
        <v>38.75</v>
      </c>
      <c r="F23" s="57" t="n">
        <v>4.75</v>
      </c>
      <c r="G23" s="57" t="n">
        <v>0</v>
      </c>
      <c r="H23" s="57" t="n">
        <v>0</v>
      </c>
      <c r="I23" s="57" t="n">
        <v>8</v>
      </c>
      <c r="J23" s="57" t="n">
        <v>0</v>
      </c>
      <c r="K23" s="57" t="n">
        <v>0</v>
      </c>
      <c r="L23" s="57" t="n">
        <v>0</v>
      </c>
      <c r="M23" s="57" t="n">
        <v>0</v>
      </c>
      <c r="N23" s="57" t="n">
        <v>0</v>
      </c>
      <c r="O23" s="57" t="n">
        <v>0</v>
      </c>
      <c r="P23" s="57" t="n">
        <v>0</v>
      </c>
      <c r="Q23" s="57" t="n">
        <v>0</v>
      </c>
      <c r="R23" s="57" t="n">
        <v>0</v>
      </c>
      <c r="S23" s="57" t="n">
        <v>0</v>
      </c>
      <c r="T23" s="62" t="n">
        <v>0</v>
      </c>
    </row>
    <row r="24" ht="16" customHeight="1" thickBot="1">
      <c r="A24" s="61" t="inlineStr">
        <is>
          <t>G. Thomas</t>
        </is>
      </c>
      <c r="B24" t="inlineStr">
        <is>
          <t>Wales</t>
        </is>
      </c>
      <c r="C24" t="inlineStr">
        <is>
          <t>Prop</t>
        </is>
      </c>
      <c r="D24" t="n">
        <v>3</v>
      </c>
      <c r="E24" s="57" t="n">
        <v>48.3333</v>
      </c>
      <c r="F24" s="57" t="n">
        <v>8.333299999999999</v>
      </c>
      <c r="G24" s="57" t="n">
        <v>0.6667</v>
      </c>
      <c r="H24" s="57" t="n">
        <v>0.3333</v>
      </c>
      <c r="I24" s="57" t="n">
        <v>18.3333</v>
      </c>
      <c r="J24" s="57" t="n">
        <v>0</v>
      </c>
      <c r="K24" s="57" t="n">
        <v>0</v>
      </c>
      <c r="L24" s="57" t="n">
        <v>0</v>
      </c>
      <c r="M24" s="57" t="n">
        <v>0</v>
      </c>
      <c r="N24" s="57" t="n">
        <v>0</v>
      </c>
      <c r="O24" s="57" t="n">
        <v>0</v>
      </c>
      <c r="P24" s="57" t="n">
        <v>0</v>
      </c>
      <c r="Q24" s="57" t="n">
        <v>0</v>
      </c>
      <c r="R24" s="57" t="n">
        <v>0</v>
      </c>
      <c r="S24" s="57" t="n">
        <v>0</v>
      </c>
      <c r="T24" s="62" t="n">
        <v>0</v>
      </c>
    </row>
    <row r="25" ht="16" customHeight="1" thickBot="1">
      <c r="A25" s="63" t="inlineStr">
        <is>
          <t>S. Baldwin</t>
        </is>
      </c>
      <c r="B25" t="inlineStr">
        <is>
          <t>Wales</t>
        </is>
      </c>
      <c r="C25" t="inlineStr">
        <is>
          <t>Hooker</t>
        </is>
      </c>
      <c r="D25" t="n">
        <v>3</v>
      </c>
      <c r="E25" s="57" t="n">
        <v>13.6667</v>
      </c>
      <c r="F25" s="57" t="n">
        <v>2.6667</v>
      </c>
      <c r="G25" s="57" t="n">
        <v>0</v>
      </c>
      <c r="H25" s="57" t="n">
        <v>0</v>
      </c>
      <c r="I25" s="57" t="n">
        <v>9</v>
      </c>
      <c r="J25" s="57" t="n">
        <v>0</v>
      </c>
      <c r="K25" s="57" t="n">
        <v>0</v>
      </c>
      <c r="L25" s="57" t="n">
        <v>0</v>
      </c>
      <c r="M25" s="57" t="n">
        <v>0</v>
      </c>
      <c r="N25" s="57" t="n">
        <v>0</v>
      </c>
      <c r="O25" s="57" t="n">
        <v>0</v>
      </c>
      <c r="P25" s="57" t="n">
        <v>0</v>
      </c>
      <c r="Q25" s="57" t="n">
        <v>0</v>
      </c>
      <c r="R25" s="57" t="n">
        <v>0</v>
      </c>
      <c r="S25" s="57" t="n">
        <v>0</v>
      </c>
      <c r="T25" s="62" t="n">
        <v>0</v>
      </c>
    </row>
    <row r="26" ht="16" customHeight="1" thickBot="1">
      <c r="A26" s="61" t="inlineStr">
        <is>
          <t>K. Owens</t>
        </is>
      </c>
      <c r="B26" t="inlineStr">
        <is>
          <t>Wales</t>
        </is>
      </c>
      <c r="C26" t="inlineStr">
        <is>
          <t>Hooker</t>
        </is>
      </c>
      <c r="D26" t="n">
        <v>4</v>
      </c>
      <c r="E26" s="57" t="n">
        <v>67</v>
      </c>
      <c r="F26" s="57" t="n">
        <v>10.25</v>
      </c>
      <c r="G26" s="57" t="n">
        <v>1.25</v>
      </c>
      <c r="H26" s="57" t="n">
        <v>0</v>
      </c>
      <c r="I26" s="57" t="n">
        <v>28.5</v>
      </c>
      <c r="J26" s="57" t="n">
        <v>0</v>
      </c>
      <c r="K26" s="57" t="n">
        <v>0</v>
      </c>
      <c r="L26" s="57" t="n">
        <v>0</v>
      </c>
      <c r="M26" s="57" t="n">
        <v>0.25</v>
      </c>
      <c r="N26" s="57" t="n">
        <v>0</v>
      </c>
      <c r="O26" s="57" t="n">
        <v>0</v>
      </c>
      <c r="P26" s="57" t="n">
        <v>0</v>
      </c>
      <c r="Q26" s="57" t="n">
        <v>0</v>
      </c>
      <c r="R26" s="57" t="n">
        <v>0</v>
      </c>
      <c r="S26" s="57" t="n">
        <v>0</v>
      </c>
      <c r="T26" s="62" t="n">
        <v>0</v>
      </c>
    </row>
    <row r="27" ht="16" customHeight="1" thickBot="1">
      <c r="A27" s="61" t="inlineStr">
        <is>
          <t>M. Hansen</t>
        </is>
      </c>
      <c r="B27" t="inlineStr">
        <is>
          <t>Ireland</t>
        </is>
      </c>
      <c r="C27" t="inlineStr">
        <is>
          <t>Back Three</t>
        </is>
      </c>
      <c r="D27" t="n">
        <v>4</v>
      </c>
      <c r="E27" s="57" t="n">
        <v>80</v>
      </c>
      <c r="F27" s="57" t="n">
        <v>4</v>
      </c>
      <c r="G27" s="57" t="n">
        <v>0.5</v>
      </c>
      <c r="H27" s="57" t="n">
        <v>1.5</v>
      </c>
      <c r="I27" s="57" t="n">
        <v>66.5</v>
      </c>
      <c r="J27" s="57" t="n">
        <v>0</v>
      </c>
      <c r="K27" s="57" t="n">
        <v>0</v>
      </c>
      <c r="L27" s="57" t="n">
        <v>0.75</v>
      </c>
      <c r="M27" s="57" t="n">
        <v>0.75</v>
      </c>
      <c r="N27" s="57" t="n">
        <v>0.25</v>
      </c>
      <c r="O27" s="57" t="n">
        <v>0</v>
      </c>
      <c r="P27" s="57" t="n">
        <v>0</v>
      </c>
      <c r="Q27" s="57" t="n">
        <v>0</v>
      </c>
      <c r="R27" s="57" t="n">
        <v>0</v>
      </c>
      <c r="S27" s="57" t="n">
        <v>0</v>
      </c>
      <c r="T27" s="62" t="n">
        <v>2</v>
      </c>
    </row>
    <row r="28" ht="16" customHeight="1" thickBot="1">
      <c r="A28" s="63" t="inlineStr">
        <is>
          <t>H. Keenan</t>
        </is>
      </c>
      <c r="B28" t="inlineStr">
        <is>
          <t>Ireland</t>
        </is>
      </c>
      <c r="C28" t="inlineStr">
        <is>
          <t>Back Three</t>
        </is>
      </c>
      <c r="D28" t="n">
        <v>4</v>
      </c>
      <c r="E28" s="57" t="n">
        <v>80</v>
      </c>
      <c r="F28" s="57" t="n">
        <v>3</v>
      </c>
      <c r="G28" s="57" t="n">
        <v>0.5</v>
      </c>
      <c r="H28" s="57" t="n">
        <v>0.75</v>
      </c>
      <c r="I28" s="57" t="n">
        <v>124.25</v>
      </c>
      <c r="J28" s="57" t="n">
        <v>0.25</v>
      </c>
      <c r="K28" s="57" t="n">
        <v>0</v>
      </c>
      <c r="L28" s="57" t="n">
        <v>0</v>
      </c>
      <c r="M28" s="57" t="n">
        <v>0.5</v>
      </c>
      <c r="N28" s="57" t="n">
        <v>0.25</v>
      </c>
      <c r="O28" s="57" t="n">
        <v>0</v>
      </c>
      <c r="P28" s="57" t="n">
        <v>0</v>
      </c>
      <c r="Q28" s="57" t="n">
        <v>0</v>
      </c>
      <c r="R28" s="57" t="n">
        <v>0</v>
      </c>
      <c r="S28" s="57" t="n">
        <v>0</v>
      </c>
      <c r="T28" s="62" t="n">
        <v>1</v>
      </c>
    </row>
    <row r="29" ht="16" customHeight="1" thickBot="1">
      <c r="A29" s="61" t="inlineStr">
        <is>
          <t>J. Lowe</t>
        </is>
      </c>
      <c r="B29" t="inlineStr">
        <is>
          <t>Ireland</t>
        </is>
      </c>
      <c r="C29" t="inlineStr">
        <is>
          <t>Back Three</t>
        </is>
      </c>
      <c r="D29" t="n">
        <v>3</v>
      </c>
      <c r="E29" s="57" t="n">
        <v>80</v>
      </c>
      <c r="F29" s="57" t="n">
        <v>3</v>
      </c>
      <c r="G29" s="57" t="n">
        <v>0.6667</v>
      </c>
      <c r="H29" s="57" t="n">
        <v>2.3333</v>
      </c>
      <c r="I29" s="57" t="n">
        <v>125</v>
      </c>
      <c r="J29" s="57" t="n">
        <v>0</v>
      </c>
      <c r="K29" s="57" t="n">
        <v>0</v>
      </c>
      <c r="L29" s="57" t="n">
        <v>0</v>
      </c>
      <c r="M29" s="57" t="n">
        <v>0.6667</v>
      </c>
      <c r="N29" s="57" t="n">
        <v>0.6667</v>
      </c>
      <c r="O29" s="57" t="n">
        <v>0</v>
      </c>
      <c r="P29" s="57" t="n">
        <v>0</v>
      </c>
      <c r="Q29" s="57" t="n">
        <v>0</v>
      </c>
      <c r="R29" s="57" t="n">
        <v>0</v>
      </c>
      <c r="S29" s="57" t="n">
        <v>0</v>
      </c>
      <c r="T29" s="62" t="n">
        <v>0</v>
      </c>
    </row>
    <row r="30" ht="16" customHeight="1" thickBot="1">
      <c r="A30" s="63" t="inlineStr">
        <is>
          <t>B. Aki</t>
        </is>
      </c>
      <c r="B30" t="inlineStr">
        <is>
          <t>Ireland</t>
        </is>
      </c>
      <c r="C30" t="inlineStr">
        <is>
          <t>Centre</t>
        </is>
      </c>
      <c r="D30" t="n">
        <v>4</v>
      </c>
      <c r="E30" s="57" t="n">
        <v>62</v>
      </c>
      <c r="F30" s="57" t="n">
        <v>5.75</v>
      </c>
      <c r="G30" s="57" t="n">
        <v>0.25</v>
      </c>
      <c r="H30" s="57" t="n">
        <v>0.5</v>
      </c>
      <c r="I30" s="57" t="n">
        <v>73.25</v>
      </c>
      <c r="J30" s="57" t="n">
        <v>0</v>
      </c>
      <c r="K30" s="57" t="n">
        <v>0</v>
      </c>
      <c r="L30" s="57" t="n">
        <v>0.5</v>
      </c>
      <c r="M30" s="57" t="n">
        <v>0.5</v>
      </c>
      <c r="N30" s="57" t="n">
        <v>0.25</v>
      </c>
      <c r="O30" s="57" t="n">
        <v>0</v>
      </c>
      <c r="P30" s="57" t="n">
        <v>0</v>
      </c>
      <c r="Q30" s="57" t="n">
        <v>0</v>
      </c>
      <c r="R30" s="57" t="n">
        <v>0</v>
      </c>
      <c r="S30" s="57" t="n">
        <v>0</v>
      </c>
      <c r="T30" s="62" t="n">
        <v>0</v>
      </c>
    </row>
    <row r="31" ht="16" customHeight="1" thickBot="1">
      <c r="A31" s="61" t="inlineStr">
        <is>
          <t>S. McCloskey</t>
        </is>
      </c>
      <c r="B31" t="inlineStr">
        <is>
          <t>Ireland</t>
        </is>
      </c>
      <c r="C31" t="inlineStr">
        <is>
          <t>Centre</t>
        </is>
      </c>
      <c r="D31" t="n">
        <v>3</v>
      </c>
      <c r="E31" s="57" t="n">
        <v>52.6667</v>
      </c>
      <c r="F31" s="57" t="n">
        <v>6.3333</v>
      </c>
      <c r="G31" s="57" t="n">
        <v>0</v>
      </c>
      <c r="H31" s="57" t="n">
        <v>0</v>
      </c>
      <c r="I31" s="57" t="n">
        <v>50.3333</v>
      </c>
      <c r="J31" s="57" t="n">
        <v>0</v>
      </c>
      <c r="K31" s="57" t="n">
        <v>0</v>
      </c>
      <c r="L31" s="57" t="n">
        <v>0.6667</v>
      </c>
      <c r="M31" s="57" t="n">
        <v>0</v>
      </c>
      <c r="N31" s="57" t="n">
        <v>0.3333</v>
      </c>
      <c r="O31" s="57" t="n">
        <v>0</v>
      </c>
      <c r="P31" s="57" t="n">
        <v>0</v>
      </c>
      <c r="Q31" s="57" t="n">
        <v>0</v>
      </c>
      <c r="R31" s="57" t="n">
        <v>0</v>
      </c>
      <c r="S31" s="57" t="n">
        <v>0</v>
      </c>
      <c r="T31" s="62" t="n">
        <v>0</v>
      </c>
    </row>
    <row r="32" ht="16" customHeight="1" thickBot="1">
      <c r="A32" s="63" t="inlineStr">
        <is>
          <t>G. Ringrose</t>
        </is>
      </c>
      <c r="B32" t="inlineStr">
        <is>
          <t>Ireland</t>
        </is>
      </c>
      <c r="C32" t="inlineStr">
        <is>
          <t>Centre</t>
        </is>
      </c>
      <c r="D32" t="n">
        <v>3</v>
      </c>
      <c r="E32" s="57" t="n">
        <v>70.66670000000001</v>
      </c>
      <c r="F32" s="57" t="n">
        <v>6</v>
      </c>
      <c r="G32" s="57" t="n">
        <v>0.3333</v>
      </c>
      <c r="H32" s="57" t="n">
        <v>0.6667</v>
      </c>
      <c r="I32" s="57" t="n">
        <v>61.3333</v>
      </c>
      <c r="J32" s="57" t="n">
        <v>0</v>
      </c>
      <c r="K32" s="57" t="n">
        <v>0</v>
      </c>
      <c r="L32" s="57" t="n">
        <v>0</v>
      </c>
      <c r="M32" s="57" t="n">
        <v>0.3333</v>
      </c>
      <c r="N32" s="57" t="n">
        <v>0.3333</v>
      </c>
      <c r="O32" s="57" t="n">
        <v>0</v>
      </c>
      <c r="P32" s="57" t="n">
        <v>0</v>
      </c>
      <c r="Q32" s="57" t="n">
        <v>0</v>
      </c>
      <c r="R32" s="57" t="n">
        <v>0</v>
      </c>
      <c r="S32" s="57" t="n">
        <v>0</v>
      </c>
      <c r="T32" s="62" t="n">
        <v>0</v>
      </c>
    </row>
    <row r="33" ht="16" customHeight="1" thickBot="1">
      <c r="A33" s="61" t="inlineStr">
        <is>
          <t>R. Byrne</t>
        </is>
      </c>
      <c r="B33" t="inlineStr">
        <is>
          <t>Ireland</t>
        </is>
      </c>
      <c r="C33" t="inlineStr">
        <is>
          <t>Fly Half</t>
        </is>
      </c>
      <c r="D33" t="n">
        <v>4</v>
      </c>
      <c r="E33" s="57" t="n">
        <v>50</v>
      </c>
      <c r="F33" s="57" t="n">
        <v>4.75</v>
      </c>
      <c r="G33" s="57" t="n">
        <v>0</v>
      </c>
      <c r="H33" s="57" t="n">
        <v>0</v>
      </c>
      <c r="I33" s="57" t="n">
        <v>17.75</v>
      </c>
      <c r="J33" s="57" t="n">
        <v>0</v>
      </c>
      <c r="K33" s="57" t="n">
        <v>0</v>
      </c>
      <c r="L33" s="57" t="n">
        <v>0</v>
      </c>
      <c r="M33" s="57" t="n">
        <v>0</v>
      </c>
      <c r="N33" s="57" t="n">
        <v>0</v>
      </c>
      <c r="O33" s="57" t="n">
        <v>1</v>
      </c>
      <c r="P33" s="57" t="n">
        <v>0.5</v>
      </c>
      <c r="Q33" s="57" t="n">
        <v>0</v>
      </c>
      <c r="R33" s="57" t="n">
        <v>0</v>
      </c>
      <c r="S33" s="57" t="n">
        <v>0</v>
      </c>
      <c r="T33" s="62" t="n">
        <v>0</v>
      </c>
    </row>
    <row r="34" ht="16" customHeight="1" thickBot="1">
      <c r="A34" s="63" t="inlineStr">
        <is>
          <t>J. Sexton</t>
        </is>
      </c>
      <c r="B34" t="inlineStr">
        <is>
          <t>Ireland</t>
        </is>
      </c>
      <c r="C34" t="inlineStr">
        <is>
          <t>Fly Half</t>
        </is>
      </c>
      <c r="D34" t="n">
        <v>3</v>
      </c>
      <c r="E34" s="57" t="n">
        <v>43.3333</v>
      </c>
      <c r="F34" s="57" t="n">
        <v>4</v>
      </c>
      <c r="G34" s="57" t="n">
        <v>0</v>
      </c>
      <c r="H34" s="57" t="n">
        <v>0.6667</v>
      </c>
      <c r="I34" s="57" t="n">
        <v>41</v>
      </c>
      <c r="J34" s="57" t="n">
        <v>0</v>
      </c>
      <c r="K34" s="57" t="n">
        <v>0</v>
      </c>
      <c r="L34" s="57" t="n">
        <v>0</v>
      </c>
      <c r="M34" s="57" t="n">
        <v>0</v>
      </c>
      <c r="N34" s="57" t="n">
        <v>0</v>
      </c>
      <c r="O34" s="57" t="n">
        <v>1.6667</v>
      </c>
      <c r="P34" s="57" t="n">
        <v>0.6667</v>
      </c>
      <c r="Q34" s="57" t="n">
        <v>0</v>
      </c>
      <c r="R34" s="57" t="n">
        <v>0</v>
      </c>
      <c r="S34" s="57" t="n">
        <v>0</v>
      </c>
      <c r="T34" s="62" t="n">
        <v>0</v>
      </c>
    </row>
    <row r="35" ht="16" customHeight="1" thickBot="1">
      <c r="A35" s="61" t="inlineStr">
        <is>
          <t>C. Casey</t>
        </is>
      </c>
      <c r="B35" t="inlineStr">
        <is>
          <t>Ireland</t>
        </is>
      </c>
      <c r="C35" t="inlineStr">
        <is>
          <t>Scrum Half</t>
        </is>
      </c>
      <c r="D35" t="n">
        <v>3</v>
      </c>
      <c r="E35" s="57" t="n">
        <v>52.3333</v>
      </c>
      <c r="F35" s="57" t="n">
        <v>3.3333</v>
      </c>
      <c r="G35" s="57" t="n">
        <v>0</v>
      </c>
      <c r="H35" s="57" t="n">
        <v>0</v>
      </c>
      <c r="I35" s="57" t="n">
        <v>16</v>
      </c>
      <c r="J35" s="57" t="n">
        <v>0</v>
      </c>
      <c r="K35" s="57" t="n">
        <v>0</v>
      </c>
      <c r="L35" s="57" t="n">
        <v>0.3333</v>
      </c>
      <c r="M35" s="57" t="n">
        <v>0</v>
      </c>
      <c r="N35" s="57" t="n">
        <v>0</v>
      </c>
      <c r="O35" s="57" t="n">
        <v>1</v>
      </c>
      <c r="P35" s="57" t="n">
        <v>0.6667</v>
      </c>
      <c r="Q35" s="57" t="n">
        <v>0</v>
      </c>
      <c r="R35" s="57" t="n">
        <v>0</v>
      </c>
      <c r="S35" s="57" t="n">
        <v>0</v>
      </c>
      <c r="T35" s="62" t="n">
        <v>0</v>
      </c>
    </row>
    <row r="36" ht="16" customHeight="1" thickBot="1">
      <c r="A36" s="63" t="inlineStr">
        <is>
          <t>C. Murray</t>
        </is>
      </c>
      <c r="B36" t="inlineStr">
        <is>
          <t>Ireland</t>
        </is>
      </c>
      <c r="C36" t="inlineStr">
        <is>
          <t>Scrum Half</t>
        </is>
      </c>
      <c r="D36" t="n">
        <v>4</v>
      </c>
      <c r="E36" s="57" t="n">
        <v>35</v>
      </c>
      <c r="F36" s="57" t="n">
        <v>3.5</v>
      </c>
      <c r="G36" s="57" t="n">
        <v>0</v>
      </c>
      <c r="H36" s="57" t="n">
        <v>0</v>
      </c>
      <c r="I36" s="57" t="n">
        <v>5.75</v>
      </c>
      <c r="J36" s="57" t="n">
        <v>0</v>
      </c>
      <c r="K36" s="57" t="n">
        <v>0</v>
      </c>
      <c r="L36" s="57" t="n">
        <v>0</v>
      </c>
      <c r="M36" s="57" t="n">
        <v>0</v>
      </c>
      <c r="N36" s="57" t="n">
        <v>0.5</v>
      </c>
      <c r="O36" s="57" t="n">
        <v>0</v>
      </c>
      <c r="P36" s="57" t="n">
        <v>0</v>
      </c>
      <c r="Q36" s="57" t="n">
        <v>0</v>
      </c>
      <c r="R36" s="57" t="n">
        <v>0</v>
      </c>
      <c r="S36" s="57" t="n">
        <v>0</v>
      </c>
      <c r="T36" s="62" t="n">
        <v>0</v>
      </c>
    </row>
    <row r="37" ht="16" customHeight="1" thickBot="1">
      <c r="A37" s="61" t="inlineStr">
        <is>
          <t>J. Conan</t>
        </is>
      </c>
      <c r="B37" t="inlineStr">
        <is>
          <t>Ireland</t>
        </is>
      </c>
      <c r="C37" t="inlineStr">
        <is>
          <t>Back Row</t>
        </is>
      </c>
      <c r="D37" t="n">
        <v>4</v>
      </c>
      <c r="E37" s="57" t="n">
        <v>53</v>
      </c>
      <c r="F37" s="57" t="n">
        <v>4.25</v>
      </c>
      <c r="G37" s="57" t="n">
        <v>0.25</v>
      </c>
      <c r="H37" s="57" t="n">
        <v>0.25</v>
      </c>
      <c r="I37" s="57" t="n">
        <v>45.5</v>
      </c>
      <c r="J37" s="57" t="n">
        <v>0</v>
      </c>
      <c r="K37" s="57" t="n">
        <v>0</v>
      </c>
      <c r="L37" s="57" t="n">
        <v>0</v>
      </c>
      <c r="M37" s="57" t="n">
        <v>0.25</v>
      </c>
      <c r="N37" s="57" t="n">
        <v>0.25</v>
      </c>
      <c r="O37" s="57" t="n">
        <v>0</v>
      </c>
      <c r="P37" s="57" t="n">
        <v>0</v>
      </c>
      <c r="Q37" s="57" t="n">
        <v>0</v>
      </c>
      <c r="R37" s="57" t="n">
        <v>0</v>
      </c>
      <c r="S37" s="57" t="n">
        <v>0</v>
      </c>
      <c r="T37" s="62" t="n">
        <v>0</v>
      </c>
    </row>
    <row r="38" ht="16" customHeight="1" thickBot="1">
      <c r="A38" s="63" t="inlineStr">
        <is>
          <t>C. Doris</t>
        </is>
      </c>
      <c r="B38" t="inlineStr">
        <is>
          <t>Ireland</t>
        </is>
      </c>
      <c r="C38" t="inlineStr">
        <is>
          <t>Back Row</t>
        </is>
      </c>
      <c r="D38" t="n">
        <v>4</v>
      </c>
      <c r="E38" s="57" t="n">
        <v>48</v>
      </c>
      <c r="F38" s="57" t="n">
        <v>6</v>
      </c>
      <c r="G38" s="57" t="n">
        <v>0.25</v>
      </c>
      <c r="H38" s="57" t="n">
        <v>0</v>
      </c>
      <c r="I38" s="57" t="n">
        <v>47.5</v>
      </c>
      <c r="J38" s="57" t="n">
        <v>0</v>
      </c>
      <c r="K38" s="57" t="n">
        <v>0</v>
      </c>
      <c r="L38" s="57" t="n">
        <v>0.75</v>
      </c>
      <c r="M38" s="57" t="n">
        <v>0</v>
      </c>
      <c r="N38" s="57" t="n">
        <v>0.25</v>
      </c>
      <c r="O38" s="57" t="n">
        <v>0</v>
      </c>
      <c r="P38" s="57" t="n">
        <v>0</v>
      </c>
      <c r="Q38" s="57" t="n">
        <v>0</v>
      </c>
      <c r="R38" s="57" t="n">
        <v>0</v>
      </c>
      <c r="S38" s="57" t="n">
        <v>0</v>
      </c>
      <c r="T38" s="62" t="n">
        <v>1</v>
      </c>
    </row>
    <row r="39" ht="16" customHeight="1" thickBot="1">
      <c r="A39" s="61" t="inlineStr">
        <is>
          <t>P. O'Mahony</t>
        </is>
      </c>
      <c r="B39" t="inlineStr">
        <is>
          <t>Ireland</t>
        </is>
      </c>
      <c r="C39" t="inlineStr">
        <is>
          <t>Back Row</t>
        </is>
      </c>
      <c r="D39" t="n">
        <v>4</v>
      </c>
      <c r="E39" s="57" t="n">
        <v>60</v>
      </c>
      <c r="F39" s="57" t="n">
        <v>10</v>
      </c>
      <c r="G39" s="57" t="n">
        <v>0.5</v>
      </c>
      <c r="H39" s="57" t="n">
        <v>0</v>
      </c>
      <c r="I39" s="57" t="n">
        <v>23.75</v>
      </c>
      <c r="J39" s="57" t="n">
        <v>0</v>
      </c>
      <c r="K39" s="57" t="n">
        <v>0</v>
      </c>
      <c r="L39" s="57" t="n">
        <v>0.25</v>
      </c>
      <c r="M39" s="57" t="n">
        <v>0.25</v>
      </c>
      <c r="N39" s="57" t="n">
        <v>0</v>
      </c>
      <c r="O39" s="57" t="n">
        <v>0</v>
      </c>
      <c r="P39" s="57" t="n">
        <v>0</v>
      </c>
      <c r="Q39" s="57" t="n">
        <v>0</v>
      </c>
      <c r="R39" s="57" t="n">
        <v>0</v>
      </c>
      <c r="S39" s="57" t="n">
        <v>0</v>
      </c>
      <c r="T39" s="62" t="n">
        <v>0</v>
      </c>
    </row>
    <row r="40" ht="16" customHeight="1" thickBot="1">
      <c r="A40" s="63" t="inlineStr">
        <is>
          <t>J. van der Flier</t>
        </is>
      </c>
      <c r="B40" t="inlineStr">
        <is>
          <t>Ireland</t>
        </is>
      </c>
      <c r="C40" t="inlineStr">
        <is>
          <t>Back Row</t>
        </is>
      </c>
      <c r="D40" t="n">
        <v>4</v>
      </c>
      <c r="E40" s="57" t="n">
        <v>75</v>
      </c>
      <c r="F40" s="57" t="n">
        <v>10.75</v>
      </c>
      <c r="G40" s="57" t="n">
        <v>1</v>
      </c>
      <c r="H40" s="57" t="n">
        <v>0.25</v>
      </c>
      <c r="I40" s="57" t="n">
        <v>38.5</v>
      </c>
      <c r="J40" s="57" t="n">
        <v>0</v>
      </c>
      <c r="K40" s="57" t="n">
        <v>0</v>
      </c>
      <c r="L40" s="57" t="n">
        <v>0.25</v>
      </c>
      <c r="M40" s="57" t="n">
        <v>0</v>
      </c>
      <c r="N40" s="57" t="n">
        <v>0</v>
      </c>
      <c r="O40" s="57" t="n">
        <v>0</v>
      </c>
      <c r="P40" s="57" t="n">
        <v>0</v>
      </c>
      <c r="Q40" s="57" t="n">
        <v>0</v>
      </c>
      <c r="R40" s="57" t="n">
        <v>0</v>
      </c>
      <c r="S40" s="57" t="n">
        <v>0</v>
      </c>
      <c r="T40" s="62" t="n">
        <v>0</v>
      </c>
    </row>
    <row r="41" ht="16" customHeight="1" thickBot="1">
      <c r="A41" s="61" t="inlineStr">
        <is>
          <t>T. Beirne</t>
        </is>
      </c>
      <c r="B41" t="inlineStr">
        <is>
          <t>Ireland</t>
        </is>
      </c>
      <c r="C41" t="inlineStr">
        <is>
          <t>Second Row</t>
        </is>
      </c>
      <c r="D41" t="n">
        <v>2</v>
      </c>
      <c r="E41" s="57" t="n">
        <v>62.5</v>
      </c>
      <c r="F41" s="57" t="n">
        <v>11</v>
      </c>
      <c r="G41" s="57" t="n">
        <v>1.5</v>
      </c>
      <c r="H41" s="57" t="n">
        <v>1</v>
      </c>
      <c r="I41" s="57" t="n">
        <v>32</v>
      </c>
      <c r="J41" s="57" t="n">
        <v>0</v>
      </c>
      <c r="K41" s="57" t="n">
        <v>0</v>
      </c>
      <c r="L41" s="57" t="n">
        <v>0.5</v>
      </c>
      <c r="M41" s="57" t="n">
        <v>0.5</v>
      </c>
      <c r="N41" s="57" t="n">
        <v>0</v>
      </c>
      <c r="O41" s="57" t="n">
        <v>0</v>
      </c>
      <c r="P41" s="57" t="n">
        <v>0</v>
      </c>
      <c r="Q41" s="57" t="n">
        <v>0</v>
      </c>
      <c r="R41" s="57" t="n">
        <v>0</v>
      </c>
      <c r="S41" s="57" t="n">
        <v>0</v>
      </c>
      <c r="T41" s="62" t="n">
        <v>0</v>
      </c>
    </row>
    <row r="42" ht="16" customHeight="1" thickBot="1">
      <c r="A42" s="63" t="inlineStr">
        <is>
          <t>I. Henderson</t>
        </is>
      </c>
      <c r="B42" t="inlineStr">
        <is>
          <t>Ireland</t>
        </is>
      </c>
      <c r="C42" t="inlineStr">
        <is>
          <t>Second Row</t>
        </is>
      </c>
      <c r="D42" t="n">
        <v>4</v>
      </c>
      <c r="E42" s="57" t="n">
        <v>41.25</v>
      </c>
      <c r="F42" s="57" t="n">
        <v>6.5</v>
      </c>
      <c r="G42" s="57" t="n">
        <v>0.25</v>
      </c>
      <c r="H42" s="57" t="n">
        <v>0</v>
      </c>
      <c r="I42" s="57" t="n">
        <v>17.25</v>
      </c>
      <c r="J42" s="57" t="n">
        <v>0</v>
      </c>
      <c r="K42" s="57" t="n">
        <v>0</v>
      </c>
      <c r="L42" s="57" t="n">
        <v>0</v>
      </c>
      <c r="M42" s="57" t="n">
        <v>0</v>
      </c>
      <c r="N42" s="57" t="n">
        <v>0</v>
      </c>
      <c r="O42" s="57" t="n">
        <v>0</v>
      </c>
      <c r="P42" s="57" t="n">
        <v>0</v>
      </c>
      <c r="Q42" s="57" t="n">
        <v>0</v>
      </c>
      <c r="R42" s="57" t="n">
        <v>0</v>
      </c>
      <c r="S42" s="57" t="n">
        <v>0</v>
      </c>
      <c r="T42" s="62" t="n">
        <v>0</v>
      </c>
    </row>
    <row r="43" ht="16" customHeight="1" thickBot="1">
      <c r="A43" s="61" t="inlineStr">
        <is>
          <t>J. Ryan</t>
        </is>
      </c>
      <c r="B43" t="inlineStr">
        <is>
          <t>Ireland</t>
        </is>
      </c>
      <c r="C43" t="inlineStr">
        <is>
          <t>Second Row</t>
        </is>
      </c>
      <c r="D43" t="n">
        <v>4</v>
      </c>
      <c r="E43" s="57" t="n">
        <v>66.5</v>
      </c>
      <c r="F43" s="57" t="n">
        <v>9</v>
      </c>
      <c r="G43" s="57" t="n">
        <v>1</v>
      </c>
      <c r="H43" s="57" t="n">
        <v>0</v>
      </c>
      <c r="I43" s="57" t="n">
        <v>51.25</v>
      </c>
      <c r="J43" s="57" t="n">
        <v>0</v>
      </c>
      <c r="K43" s="57" t="n">
        <v>0.75</v>
      </c>
      <c r="L43" s="57" t="n">
        <v>0</v>
      </c>
      <c r="M43" s="57" t="n">
        <v>0.25</v>
      </c>
      <c r="N43" s="57" t="n">
        <v>0</v>
      </c>
      <c r="O43" s="57" t="n">
        <v>0</v>
      </c>
      <c r="P43" s="57" t="n">
        <v>0</v>
      </c>
      <c r="Q43" s="57" t="n">
        <v>0</v>
      </c>
      <c r="R43" s="57" t="n">
        <v>0</v>
      </c>
      <c r="S43" s="57" t="n">
        <v>0</v>
      </c>
      <c r="T43" s="62" t="n">
        <v>0</v>
      </c>
    </row>
    <row r="44" ht="16" customHeight="1" thickBot="1">
      <c r="A44" s="63" t="inlineStr">
        <is>
          <t>F. Bealham</t>
        </is>
      </c>
      <c r="B44" t="inlineStr">
        <is>
          <t>Ireland</t>
        </is>
      </c>
      <c r="C44" t="inlineStr">
        <is>
          <t>Prop</t>
        </is>
      </c>
      <c r="D44" t="n">
        <v>3</v>
      </c>
      <c r="E44" s="57" t="n">
        <v>59.3333</v>
      </c>
      <c r="F44" s="57" t="n">
        <v>9.333299999999999</v>
      </c>
      <c r="G44" s="57" t="n">
        <v>0.6667</v>
      </c>
      <c r="H44" s="57" t="n">
        <v>0</v>
      </c>
      <c r="I44" s="57" t="n">
        <v>10.3333</v>
      </c>
      <c r="J44" s="57" t="n">
        <v>0</v>
      </c>
      <c r="K44" s="57" t="n">
        <v>0.3333</v>
      </c>
      <c r="L44" s="57" t="n">
        <v>0</v>
      </c>
      <c r="M44" s="57" t="n">
        <v>0.3333</v>
      </c>
      <c r="N44" s="57" t="n">
        <v>0.3333</v>
      </c>
      <c r="O44" s="57" t="n">
        <v>0</v>
      </c>
      <c r="P44" s="57" t="n">
        <v>0</v>
      </c>
      <c r="Q44" s="57" t="n">
        <v>0</v>
      </c>
      <c r="R44" s="57" t="n">
        <v>0</v>
      </c>
      <c r="S44" s="57" t="n">
        <v>0</v>
      </c>
      <c r="T44" s="62" t="n">
        <v>0</v>
      </c>
    </row>
    <row r="45" ht="16" customHeight="1" thickBot="1">
      <c r="A45" s="61" t="inlineStr">
        <is>
          <t>D. Kilcoyne</t>
        </is>
      </c>
      <c r="B45" t="inlineStr">
        <is>
          <t>Ireland</t>
        </is>
      </c>
      <c r="C45" t="inlineStr">
        <is>
          <t>Prop</t>
        </is>
      </c>
      <c r="D45" t="n">
        <v>3</v>
      </c>
      <c r="E45" s="57" t="n">
        <v>28.6667</v>
      </c>
      <c r="F45" s="57" t="n">
        <v>5</v>
      </c>
      <c r="G45" s="57" t="n">
        <v>0.6667</v>
      </c>
      <c r="H45" s="57" t="n">
        <v>0</v>
      </c>
      <c r="I45" s="57" t="n">
        <v>10.3333</v>
      </c>
      <c r="J45" s="57" t="n">
        <v>0</v>
      </c>
      <c r="K45" s="57" t="n">
        <v>0</v>
      </c>
      <c r="L45" s="57" t="n">
        <v>0</v>
      </c>
      <c r="M45" s="57" t="n">
        <v>0</v>
      </c>
      <c r="N45" s="57" t="n">
        <v>0.3333</v>
      </c>
      <c r="O45" s="57" t="n">
        <v>0</v>
      </c>
      <c r="P45" s="57" t="n">
        <v>0</v>
      </c>
      <c r="Q45" s="57" t="n">
        <v>0</v>
      </c>
      <c r="R45" s="57" t="n">
        <v>0</v>
      </c>
      <c r="S45" s="57" t="n">
        <v>0</v>
      </c>
      <c r="T45" s="62" t="n">
        <v>0</v>
      </c>
    </row>
    <row r="46" ht="16" customHeight="1" thickBot="1">
      <c r="A46" s="63" t="inlineStr">
        <is>
          <t>T. O'Toole</t>
        </is>
      </c>
      <c r="B46" t="inlineStr">
        <is>
          <t>Ireland</t>
        </is>
      </c>
      <c r="C46" t="inlineStr">
        <is>
          <t>Prop</t>
        </is>
      </c>
      <c r="D46" t="n">
        <v>4</v>
      </c>
      <c r="E46" s="57" t="n">
        <v>21</v>
      </c>
      <c r="F46" s="57" t="n">
        <v>3</v>
      </c>
      <c r="G46" s="57" t="n">
        <v>0</v>
      </c>
      <c r="H46" s="57" t="n">
        <v>0</v>
      </c>
      <c r="I46" s="57" t="n">
        <v>19.5</v>
      </c>
      <c r="J46" s="57" t="n">
        <v>0</v>
      </c>
      <c r="K46" s="57" t="n">
        <v>0</v>
      </c>
      <c r="L46" s="57" t="n">
        <v>0.25</v>
      </c>
      <c r="M46" s="57" t="n">
        <v>0</v>
      </c>
      <c r="N46" s="57" t="n">
        <v>0</v>
      </c>
      <c r="O46" s="57" t="n">
        <v>0</v>
      </c>
      <c r="P46" s="57" t="n">
        <v>0</v>
      </c>
      <c r="Q46" s="57" t="n">
        <v>0</v>
      </c>
      <c r="R46" s="57" t="n">
        <v>0</v>
      </c>
      <c r="S46" s="57" t="n">
        <v>0</v>
      </c>
      <c r="T46" s="62" t="n">
        <v>0</v>
      </c>
    </row>
    <row r="47" ht="16" customHeight="1" thickBot="1">
      <c r="A47" s="61" t="inlineStr">
        <is>
          <t>A. Porter</t>
        </is>
      </c>
      <c r="B47" t="inlineStr">
        <is>
          <t>Ireland</t>
        </is>
      </c>
      <c r="C47" t="inlineStr">
        <is>
          <t>Prop</t>
        </is>
      </c>
      <c r="D47" t="n">
        <v>4</v>
      </c>
      <c r="E47" s="57" t="n">
        <v>58.5</v>
      </c>
      <c r="F47" s="57" t="n">
        <v>6</v>
      </c>
      <c r="G47" s="57" t="n">
        <v>0</v>
      </c>
      <c r="H47" s="57" t="n">
        <v>0</v>
      </c>
      <c r="I47" s="57" t="n">
        <v>12.75</v>
      </c>
      <c r="J47" s="57" t="n">
        <v>0</v>
      </c>
      <c r="K47" s="57" t="n">
        <v>0</v>
      </c>
      <c r="L47" s="57" t="n">
        <v>0.25</v>
      </c>
      <c r="M47" s="57" t="n">
        <v>0.25</v>
      </c>
      <c r="N47" s="57" t="n">
        <v>0</v>
      </c>
      <c r="O47" s="57" t="n">
        <v>0</v>
      </c>
      <c r="P47" s="57" t="n">
        <v>0</v>
      </c>
      <c r="Q47" s="57" t="n">
        <v>0</v>
      </c>
      <c r="R47" s="57" t="n">
        <v>0</v>
      </c>
      <c r="S47" s="57" t="n">
        <v>0</v>
      </c>
      <c r="T47" s="62" t="n">
        <v>0</v>
      </c>
    </row>
    <row r="48" ht="16" customHeight="1" thickBot="1">
      <c r="A48" s="63" t="inlineStr">
        <is>
          <t>R. Herring</t>
        </is>
      </c>
      <c r="B48" t="inlineStr">
        <is>
          <t>Ireland</t>
        </is>
      </c>
      <c r="C48" t="inlineStr">
        <is>
          <t>Hooker</t>
        </is>
      </c>
      <c r="D48" t="n">
        <v>2</v>
      </c>
      <c r="E48" s="57" t="n">
        <v>49</v>
      </c>
      <c r="F48" s="57" t="n">
        <v>8.5</v>
      </c>
      <c r="G48" s="57" t="n">
        <v>0</v>
      </c>
      <c r="H48" s="57" t="n">
        <v>0</v>
      </c>
      <c r="I48" s="57" t="n">
        <v>16</v>
      </c>
      <c r="J48" s="57" t="n">
        <v>0</v>
      </c>
      <c r="K48" s="57" t="n">
        <v>0</v>
      </c>
      <c r="L48" s="57" t="n">
        <v>0</v>
      </c>
      <c r="M48" s="57" t="n">
        <v>0</v>
      </c>
      <c r="N48" s="57" t="n">
        <v>0</v>
      </c>
      <c r="O48" s="57" t="n">
        <v>0</v>
      </c>
      <c r="P48" s="57" t="n">
        <v>0</v>
      </c>
      <c r="Q48" s="57" t="n">
        <v>0</v>
      </c>
      <c r="R48" s="57" t="n">
        <v>0</v>
      </c>
      <c r="S48" s="57" t="n">
        <v>0</v>
      </c>
      <c r="T48" s="62" t="n">
        <v>0</v>
      </c>
    </row>
    <row r="49" ht="16" customHeight="1" thickBot="1">
      <c r="A49" s="61" t="inlineStr">
        <is>
          <t>D. Sheehan</t>
        </is>
      </c>
      <c r="B49" t="inlineStr">
        <is>
          <t>Ireland</t>
        </is>
      </c>
      <c r="C49" t="inlineStr">
        <is>
          <t>Hooker</t>
        </is>
      </c>
      <c r="D49" t="n">
        <v>3</v>
      </c>
      <c r="E49" s="57" t="n">
        <v>16.3333</v>
      </c>
      <c r="F49" s="57" t="n">
        <v>3.3333</v>
      </c>
      <c r="G49" s="57" t="n">
        <v>0.6667</v>
      </c>
      <c r="H49" s="57" t="n">
        <v>0</v>
      </c>
      <c r="I49" s="57" t="n">
        <v>3</v>
      </c>
      <c r="J49" s="57" t="n">
        <v>0</v>
      </c>
      <c r="K49" s="57" t="n">
        <v>0</v>
      </c>
      <c r="L49" s="57" t="n">
        <v>0</v>
      </c>
      <c r="M49" s="57" t="n">
        <v>0</v>
      </c>
      <c r="N49" s="57" t="n">
        <v>0</v>
      </c>
      <c r="O49" s="57" t="n">
        <v>0</v>
      </c>
      <c r="P49" s="57" t="n">
        <v>0</v>
      </c>
      <c r="Q49" s="57" t="n">
        <v>0</v>
      </c>
      <c r="R49" s="57" t="n">
        <v>0</v>
      </c>
      <c r="S49" s="57" t="n">
        <v>0</v>
      </c>
      <c r="T49" s="62" t="n">
        <v>0</v>
      </c>
    </row>
    <row r="50" ht="16" customHeight="1" thickBot="1">
      <c r="A50" s="61" t="inlineStr">
        <is>
          <t>O. Hassell-Collins</t>
        </is>
      </c>
      <c r="B50" t="inlineStr">
        <is>
          <t>England</t>
        </is>
      </c>
      <c r="C50" t="inlineStr">
        <is>
          <t>Back Three</t>
        </is>
      </c>
      <c r="D50" t="n">
        <v>2</v>
      </c>
      <c r="E50" s="57" t="n">
        <v>63.5</v>
      </c>
      <c r="F50" s="57" t="n">
        <v>4.5</v>
      </c>
      <c r="G50" s="57" t="n">
        <v>1</v>
      </c>
      <c r="H50" s="57" t="n">
        <v>1</v>
      </c>
      <c r="I50" s="57" t="n">
        <v>35.5</v>
      </c>
      <c r="J50" s="57" t="n">
        <v>0</v>
      </c>
      <c r="K50" s="57" t="n">
        <v>0.5</v>
      </c>
      <c r="L50" s="57" t="n">
        <v>0</v>
      </c>
      <c r="M50" s="57" t="n">
        <v>0</v>
      </c>
      <c r="N50" s="57" t="n">
        <v>0</v>
      </c>
      <c r="O50" s="57" t="n">
        <v>0</v>
      </c>
      <c r="P50" s="57" t="n">
        <v>0</v>
      </c>
      <c r="Q50" s="57" t="n">
        <v>0</v>
      </c>
      <c r="R50" s="57" t="n">
        <v>0</v>
      </c>
      <c r="S50" s="57" t="n">
        <v>0</v>
      </c>
      <c r="T50" s="62" t="n">
        <v>0</v>
      </c>
    </row>
    <row r="51" ht="16" customHeight="1" thickBot="1">
      <c r="A51" s="63" t="inlineStr">
        <is>
          <t>M. Malins</t>
        </is>
      </c>
      <c r="B51" t="inlineStr">
        <is>
          <t>England</t>
        </is>
      </c>
      <c r="C51" t="inlineStr">
        <is>
          <t>Back Three</t>
        </is>
      </c>
      <c r="D51" t="n">
        <v>4</v>
      </c>
      <c r="E51" s="57" t="n">
        <v>70.5</v>
      </c>
      <c r="F51" s="57" t="n">
        <v>7</v>
      </c>
      <c r="G51" s="57" t="n">
        <v>0.25</v>
      </c>
      <c r="H51" s="57" t="n">
        <v>0.5</v>
      </c>
      <c r="I51" s="57" t="n">
        <v>63.75</v>
      </c>
      <c r="J51" s="57" t="n">
        <v>0</v>
      </c>
      <c r="K51" s="57" t="n">
        <v>0</v>
      </c>
      <c r="L51" s="57" t="n">
        <v>0</v>
      </c>
      <c r="M51" s="57" t="n">
        <v>0</v>
      </c>
      <c r="N51" s="57" t="n">
        <v>0</v>
      </c>
      <c r="O51" s="57" t="n">
        <v>0</v>
      </c>
      <c r="P51" s="57" t="n">
        <v>0</v>
      </c>
      <c r="Q51" s="57" t="n">
        <v>0</v>
      </c>
      <c r="R51" s="57" t="n">
        <v>0</v>
      </c>
      <c r="S51" s="57" t="n">
        <v>0</v>
      </c>
      <c r="T51" s="62" t="n">
        <v>0</v>
      </c>
    </row>
    <row r="52" ht="16" customHeight="1" thickBot="1">
      <c r="A52" s="61" t="inlineStr">
        <is>
          <t>F. Steward</t>
        </is>
      </c>
      <c r="B52" t="inlineStr">
        <is>
          <t>England</t>
        </is>
      </c>
      <c r="C52" t="inlineStr">
        <is>
          <t>Back Three</t>
        </is>
      </c>
      <c r="D52" t="n">
        <v>4</v>
      </c>
      <c r="E52" s="57" t="n">
        <v>80</v>
      </c>
      <c r="F52" s="57" t="n">
        <v>3.25</v>
      </c>
      <c r="G52" s="57" t="n">
        <v>0.75</v>
      </c>
      <c r="H52" s="57" t="n">
        <v>0</v>
      </c>
      <c r="I52" s="57" t="n">
        <v>91</v>
      </c>
      <c r="J52" s="57" t="n">
        <v>0</v>
      </c>
      <c r="K52" s="57" t="n">
        <v>0</v>
      </c>
      <c r="L52" s="57" t="n">
        <v>0</v>
      </c>
      <c r="M52" s="57" t="n">
        <v>0.75</v>
      </c>
      <c r="N52" s="57" t="n">
        <v>0.25</v>
      </c>
      <c r="O52" s="57" t="n">
        <v>0</v>
      </c>
      <c r="P52" s="57" t="n">
        <v>0</v>
      </c>
      <c r="Q52" s="57" t="n">
        <v>0</v>
      </c>
      <c r="R52" s="57" t="n">
        <v>0</v>
      </c>
      <c r="S52" s="57" t="n">
        <v>0</v>
      </c>
      <c r="T52" s="62" t="n">
        <v>1</v>
      </c>
    </row>
    <row r="53" ht="16" customHeight="1" thickBot="1">
      <c r="A53" s="63" t="inlineStr">
        <is>
          <t>A. Watson</t>
        </is>
      </c>
      <c r="B53" t="inlineStr">
        <is>
          <t>England</t>
        </is>
      </c>
      <c r="C53" t="inlineStr">
        <is>
          <t>Back Three</t>
        </is>
      </c>
      <c r="D53" t="n">
        <v>3</v>
      </c>
      <c r="E53" s="57" t="n">
        <v>80</v>
      </c>
      <c r="F53" s="57" t="n">
        <v>2.6667</v>
      </c>
      <c r="G53" s="57" t="n">
        <v>1</v>
      </c>
      <c r="H53" s="57" t="n">
        <v>0.6667</v>
      </c>
      <c r="I53" s="57" t="n">
        <v>69</v>
      </c>
      <c r="J53" s="57" t="n">
        <v>0</v>
      </c>
      <c r="K53" s="57" t="n">
        <v>0</v>
      </c>
      <c r="L53" s="57" t="n">
        <v>0</v>
      </c>
      <c r="M53" s="57" t="n">
        <v>0.3333</v>
      </c>
      <c r="N53" s="57" t="n">
        <v>0</v>
      </c>
      <c r="O53" s="57" t="n">
        <v>0</v>
      </c>
      <c r="P53" s="57" t="n">
        <v>0</v>
      </c>
      <c r="Q53" s="57" t="n">
        <v>0</v>
      </c>
      <c r="R53" s="57" t="n">
        <v>0</v>
      </c>
      <c r="S53" s="57" t="n">
        <v>0</v>
      </c>
      <c r="T53" s="62" t="n">
        <v>0</v>
      </c>
    </row>
    <row r="54" ht="16" customHeight="1" thickBot="1">
      <c r="A54" s="61" t="inlineStr">
        <is>
          <t>O. Farrell</t>
        </is>
      </c>
      <c r="B54" t="inlineStr">
        <is>
          <t>England</t>
        </is>
      </c>
      <c r="C54" t="inlineStr">
        <is>
          <t>Centre</t>
        </is>
      </c>
      <c r="D54" t="n">
        <v>4</v>
      </c>
      <c r="E54" s="57" t="n">
        <v>52.5</v>
      </c>
      <c r="F54" s="57" t="n">
        <v>8.75</v>
      </c>
      <c r="G54" s="57" t="n">
        <v>0</v>
      </c>
      <c r="H54" s="57" t="n">
        <v>0</v>
      </c>
      <c r="I54" s="57" t="n">
        <v>26</v>
      </c>
      <c r="J54" s="57" t="n">
        <v>0</v>
      </c>
      <c r="K54" s="57" t="n">
        <v>0</v>
      </c>
      <c r="L54" s="57" t="n">
        <v>0.5</v>
      </c>
      <c r="M54" s="57" t="n">
        <v>0</v>
      </c>
      <c r="N54" s="57" t="n">
        <v>0</v>
      </c>
      <c r="O54" s="57" t="n">
        <v>0.75</v>
      </c>
      <c r="P54" s="57" t="n">
        <v>0.25</v>
      </c>
      <c r="Q54" s="57" t="n">
        <v>0</v>
      </c>
      <c r="R54" s="57" t="n">
        <v>0</v>
      </c>
      <c r="S54" s="57" t="n">
        <v>0</v>
      </c>
      <c r="T54" s="62" t="n">
        <v>0</v>
      </c>
    </row>
    <row r="55" ht="16" customHeight="1" thickBot="1">
      <c r="A55" s="63" t="inlineStr">
        <is>
          <t>O. Lawrence</t>
        </is>
      </c>
      <c r="B55" t="inlineStr">
        <is>
          <t>England</t>
        </is>
      </c>
      <c r="C55" t="inlineStr">
        <is>
          <t>Centre</t>
        </is>
      </c>
      <c r="D55" t="n">
        <v>4</v>
      </c>
      <c r="E55" s="57" t="n">
        <v>75.25</v>
      </c>
      <c r="F55" s="57" t="n">
        <v>5.25</v>
      </c>
      <c r="G55" s="57" t="n">
        <v>0.5</v>
      </c>
      <c r="H55" s="57" t="n">
        <v>0.5</v>
      </c>
      <c r="I55" s="57" t="n">
        <v>62.25</v>
      </c>
      <c r="J55" s="57" t="n">
        <v>0</v>
      </c>
      <c r="K55" s="57" t="n">
        <v>0</v>
      </c>
      <c r="L55" s="57" t="n">
        <v>0.5</v>
      </c>
      <c r="M55" s="57" t="n">
        <v>0.25</v>
      </c>
      <c r="N55" s="57" t="n">
        <v>0</v>
      </c>
      <c r="O55" s="57" t="n">
        <v>0.25</v>
      </c>
      <c r="P55" s="57" t="n">
        <v>0.5</v>
      </c>
      <c r="Q55" s="57" t="n">
        <v>0</v>
      </c>
      <c r="R55" s="57" t="n">
        <v>0</v>
      </c>
      <c r="S55" s="57" t="n">
        <v>0</v>
      </c>
      <c r="T55" s="62" t="n">
        <v>1</v>
      </c>
    </row>
    <row r="56" ht="16" customHeight="1" thickBot="1">
      <c r="A56" s="61" t="inlineStr">
        <is>
          <t>J. Marchant</t>
        </is>
      </c>
      <c r="B56" t="inlineStr">
        <is>
          <t>England</t>
        </is>
      </c>
      <c r="C56" t="inlineStr">
        <is>
          <t>Centre</t>
        </is>
      </c>
      <c r="D56" t="n">
        <v>1</v>
      </c>
      <c r="E56" s="57" t="n">
        <v>4</v>
      </c>
      <c r="F56" s="57" t="n">
        <v>0</v>
      </c>
      <c r="G56" s="57" t="n">
        <v>0</v>
      </c>
      <c r="H56" s="57" t="n">
        <v>0</v>
      </c>
      <c r="I56" s="57" t="n">
        <v>10</v>
      </c>
      <c r="J56" s="57" t="n">
        <v>0</v>
      </c>
      <c r="K56" s="57" t="n">
        <v>0</v>
      </c>
      <c r="L56" s="57" t="n">
        <v>0</v>
      </c>
      <c r="M56" s="57" t="n">
        <v>0</v>
      </c>
      <c r="N56" s="57" t="n">
        <v>0</v>
      </c>
      <c r="O56" s="57" t="n">
        <v>0</v>
      </c>
      <c r="P56" s="57" t="n">
        <v>0</v>
      </c>
      <c r="Q56" s="57" t="n">
        <v>0</v>
      </c>
      <c r="R56" s="57" t="n">
        <v>0</v>
      </c>
      <c r="S56" s="57" t="n">
        <v>0</v>
      </c>
      <c r="T56" s="62" t="n">
        <v>0</v>
      </c>
    </row>
    <row r="57" ht="16" customHeight="1" thickBot="1">
      <c r="A57" s="63" t="inlineStr">
        <is>
          <t>M. Smith</t>
        </is>
      </c>
      <c r="B57" t="inlineStr">
        <is>
          <t>England</t>
        </is>
      </c>
      <c r="C57" t="inlineStr">
        <is>
          <t>Fly Half</t>
        </is>
      </c>
      <c r="D57" t="n">
        <v>4</v>
      </c>
      <c r="E57" s="57" t="n">
        <v>41.25</v>
      </c>
      <c r="F57" s="57" t="n">
        <v>5</v>
      </c>
      <c r="G57" s="57" t="n">
        <v>0</v>
      </c>
      <c r="H57" s="57" t="n">
        <v>0.25</v>
      </c>
      <c r="I57" s="57" t="n">
        <v>45</v>
      </c>
      <c r="J57" s="57" t="n">
        <v>0</v>
      </c>
      <c r="K57" s="57" t="n">
        <v>0</v>
      </c>
      <c r="L57" s="57" t="n">
        <v>0</v>
      </c>
      <c r="M57" s="57" t="n">
        <v>0</v>
      </c>
      <c r="N57" s="57" t="n">
        <v>0</v>
      </c>
      <c r="O57" s="57" t="n">
        <v>0.25</v>
      </c>
      <c r="P57" s="57" t="n">
        <v>0.25</v>
      </c>
      <c r="Q57" s="57" t="n">
        <v>0</v>
      </c>
      <c r="R57" s="57" t="n">
        <v>0</v>
      </c>
      <c r="S57" s="57" t="n">
        <v>0</v>
      </c>
      <c r="T57" s="62" t="n">
        <v>0</v>
      </c>
    </row>
    <row r="58" ht="16" customHeight="1" thickBot="1">
      <c r="A58" s="61" t="inlineStr">
        <is>
          <t>J. van Poortvliet</t>
        </is>
      </c>
      <c r="B58" t="inlineStr">
        <is>
          <t>England</t>
        </is>
      </c>
      <c r="C58" t="inlineStr">
        <is>
          <t>Scrum Half</t>
        </is>
      </c>
      <c r="D58" t="n">
        <v>4</v>
      </c>
      <c r="E58" s="57" t="n">
        <v>64.5</v>
      </c>
      <c r="F58" s="57" t="n">
        <v>4.25</v>
      </c>
      <c r="G58" s="57" t="n">
        <v>0</v>
      </c>
      <c r="H58" s="57" t="n">
        <v>0.25</v>
      </c>
      <c r="I58" s="57" t="n">
        <v>40.25</v>
      </c>
      <c r="J58" s="57" t="n">
        <v>0</v>
      </c>
      <c r="K58" s="57" t="n">
        <v>0</v>
      </c>
      <c r="L58" s="57" t="n">
        <v>0</v>
      </c>
      <c r="M58" s="57" t="n">
        <v>0</v>
      </c>
      <c r="N58" s="57" t="n">
        <v>0.25</v>
      </c>
      <c r="O58" s="57" t="n">
        <v>0</v>
      </c>
      <c r="P58" s="57" t="n">
        <v>0</v>
      </c>
      <c r="Q58" s="57" t="n">
        <v>0</v>
      </c>
      <c r="R58" s="57" t="n">
        <v>0</v>
      </c>
      <c r="S58" s="57" t="n">
        <v>0</v>
      </c>
      <c r="T58" s="62" t="n">
        <v>0</v>
      </c>
    </row>
    <row r="59" ht="16" customHeight="1" thickBot="1">
      <c r="A59" s="63" t="inlineStr">
        <is>
          <t>B. Youngs</t>
        </is>
      </c>
      <c r="B59" t="inlineStr">
        <is>
          <t>England</t>
        </is>
      </c>
      <c r="C59" t="inlineStr">
        <is>
          <t>Scrum Half</t>
        </is>
      </c>
      <c r="D59" t="n">
        <v>1</v>
      </c>
      <c r="E59" s="57" t="n">
        <v>58</v>
      </c>
      <c r="F59" s="57" t="n">
        <v>3</v>
      </c>
      <c r="G59" s="57" t="n">
        <v>0</v>
      </c>
      <c r="H59" s="57" t="n">
        <v>1</v>
      </c>
      <c r="I59" s="57" t="n">
        <v>20</v>
      </c>
      <c r="J59" s="57" t="n">
        <v>0</v>
      </c>
      <c r="K59" s="57" t="n">
        <v>0</v>
      </c>
      <c r="L59" s="57" t="n">
        <v>0</v>
      </c>
      <c r="M59" s="57" t="n">
        <v>0</v>
      </c>
      <c r="N59" s="57" t="n">
        <v>1</v>
      </c>
      <c r="O59" s="57" t="n">
        <v>0</v>
      </c>
      <c r="P59" s="57" t="n">
        <v>0</v>
      </c>
      <c r="Q59" s="57" t="n">
        <v>0</v>
      </c>
      <c r="R59" s="57" t="n">
        <v>0</v>
      </c>
      <c r="S59" s="57" t="n">
        <v>0</v>
      </c>
      <c r="T59" s="62" t="n">
        <v>0</v>
      </c>
    </row>
    <row r="60" ht="16" customHeight="1" thickBot="1">
      <c r="A60" s="61" t="inlineStr">
        <is>
          <t>B. Curry</t>
        </is>
      </c>
      <c r="B60" t="inlineStr">
        <is>
          <t>England</t>
        </is>
      </c>
      <c r="C60" t="inlineStr">
        <is>
          <t>Back Row</t>
        </is>
      </c>
      <c r="D60" t="n">
        <v>3</v>
      </c>
      <c r="E60" s="57" t="n">
        <v>23.3333</v>
      </c>
      <c r="F60" s="57" t="n">
        <v>3.3333</v>
      </c>
      <c r="G60" s="57" t="n">
        <v>0.3333</v>
      </c>
      <c r="H60" s="57" t="n">
        <v>0</v>
      </c>
      <c r="I60" s="57" t="n">
        <v>17.3333</v>
      </c>
      <c r="J60" s="57" t="n">
        <v>0</v>
      </c>
      <c r="K60" s="57" t="n">
        <v>0</v>
      </c>
      <c r="L60" s="57" t="n">
        <v>0.6667</v>
      </c>
      <c r="M60" s="57" t="n">
        <v>0</v>
      </c>
      <c r="N60" s="57" t="n">
        <v>0</v>
      </c>
      <c r="O60" s="57" t="n">
        <v>0</v>
      </c>
      <c r="P60" s="57" t="n">
        <v>0</v>
      </c>
      <c r="Q60" s="57" t="n">
        <v>0</v>
      </c>
      <c r="R60" s="57" t="n">
        <v>0</v>
      </c>
      <c r="S60" s="57" t="n">
        <v>0</v>
      </c>
      <c r="T60" s="62" t="n">
        <v>0</v>
      </c>
    </row>
    <row r="61" ht="16" customHeight="1" thickBot="1">
      <c r="A61" s="63" t="inlineStr">
        <is>
          <t>A. Dombrandt</t>
        </is>
      </c>
      <c r="B61" t="inlineStr">
        <is>
          <t>England</t>
        </is>
      </c>
      <c r="C61" t="inlineStr">
        <is>
          <t>Back Row</t>
        </is>
      </c>
      <c r="D61" t="n">
        <v>4</v>
      </c>
      <c r="E61" s="57" t="n">
        <v>67.5</v>
      </c>
      <c r="F61" s="57" t="n">
        <v>9</v>
      </c>
      <c r="G61" s="57" t="n">
        <v>1.25</v>
      </c>
      <c r="H61" s="57" t="n">
        <v>0.25</v>
      </c>
      <c r="I61" s="57" t="n">
        <v>51.75</v>
      </c>
      <c r="J61" s="57" t="n">
        <v>0</v>
      </c>
      <c r="K61" s="57" t="n">
        <v>0</v>
      </c>
      <c r="L61" s="57" t="n">
        <v>0.5</v>
      </c>
      <c r="M61" s="57" t="n">
        <v>0</v>
      </c>
      <c r="N61" s="57" t="n">
        <v>0.25</v>
      </c>
      <c r="O61" s="57" t="n">
        <v>0</v>
      </c>
      <c r="P61" s="57" t="n">
        <v>0</v>
      </c>
      <c r="Q61" s="57" t="n">
        <v>0</v>
      </c>
      <c r="R61" s="57" t="n">
        <v>0</v>
      </c>
      <c r="S61" s="57" t="n">
        <v>0</v>
      </c>
      <c r="T61" s="62" t="n">
        <v>0</v>
      </c>
    </row>
    <row r="62" ht="16" customHeight="1" thickBot="1">
      <c r="A62" s="61" t="inlineStr">
        <is>
          <t>B. Earl</t>
        </is>
      </c>
      <c r="B62" t="inlineStr">
        <is>
          <t>England</t>
        </is>
      </c>
      <c r="C62" t="inlineStr">
        <is>
          <t>Back Row</t>
        </is>
      </c>
      <c r="D62" t="n">
        <v>2</v>
      </c>
      <c r="E62" s="57" t="n">
        <v>41.5</v>
      </c>
      <c r="F62" s="57" t="n">
        <v>5</v>
      </c>
      <c r="G62" s="57" t="n">
        <v>0</v>
      </c>
      <c r="H62" s="57" t="n">
        <v>0</v>
      </c>
      <c r="I62" s="57" t="n">
        <v>37</v>
      </c>
      <c r="J62" s="57" t="n">
        <v>0</v>
      </c>
      <c r="K62" s="57" t="n">
        <v>0</v>
      </c>
      <c r="L62" s="57" t="n">
        <v>0.5</v>
      </c>
      <c r="M62" s="57" t="n">
        <v>0</v>
      </c>
      <c r="N62" s="57" t="n">
        <v>0</v>
      </c>
      <c r="O62" s="57" t="n">
        <v>0</v>
      </c>
      <c r="P62" s="57" t="n">
        <v>0</v>
      </c>
      <c r="Q62" s="57" t="n">
        <v>0</v>
      </c>
      <c r="R62" s="57" t="n">
        <v>0</v>
      </c>
      <c r="S62" s="57" t="n">
        <v>0</v>
      </c>
      <c r="T62" s="62" t="n">
        <v>0</v>
      </c>
    </row>
    <row r="63" ht="16" customHeight="1" thickBot="1">
      <c r="A63" s="63" t="inlineStr">
        <is>
          <t>L. Ludlam</t>
        </is>
      </c>
      <c r="B63" t="inlineStr">
        <is>
          <t>England</t>
        </is>
      </c>
      <c r="C63" t="inlineStr">
        <is>
          <t>Back Row</t>
        </is>
      </c>
      <c r="D63" t="n">
        <v>4</v>
      </c>
      <c r="E63" s="57" t="n">
        <v>66</v>
      </c>
      <c r="F63" s="57" t="n">
        <v>11.25</v>
      </c>
      <c r="G63" s="57" t="n">
        <v>1.75</v>
      </c>
      <c r="H63" s="57" t="n">
        <v>0</v>
      </c>
      <c r="I63" s="57" t="n">
        <v>29.75</v>
      </c>
      <c r="J63" s="57" t="n">
        <v>0</v>
      </c>
      <c r="K63" s="57" t="n">
        <v>0</v>
      </c>
      <c r="L63" s="57" t="n">
        <v>0.5</v>
      </c>
      <c r="M63" s="57" t="n">
        <v>0</v>
      </c>
      <c r="N63" s="57" t="n">
        <v>0</v>
      </c>
      <c r="O63" s="57" t="n">
        <v>0</v>
      </c>
      <c r="P63" s="57" t="n">
        <v>0</v>
      </c>
      <c r="Q63" s="57" t="n">
        <v>0</v>
      </c>
      <c r="R63" s="57" t="n">
        <v>0</v>
      </c>
      <c r="S63" s="57" t="n">
        <v>0</v>
      </c>
      <c r="T63" s="62" t="n">
        <v>0</v>
      </c>
    </row>
    <row r="64" ht="16" customHeight="1" thickBot="1">
      <c r="A64" s="61" t="inlineStr">
        <is>
          <t>O. Chessum</t>
        </is>
      </c>
      <c r="B64" t="inlineStr">
        <is>
          <t>England</t>
        </is>
      </c>
      <c r="C64" t="inlineStr">
        <is>
          <t>Second Row</t>
        </is>
      </c>
      <c r="D64" t="n">
        <v>4</v>
      </c>
      <c r="E64" s="57" t="n">
        <v>80</v>
      </c>
      <c r="F64" s="57" t="n">
        <v>6.75</v>
      </c>
      <c r="G64" s="57" t="n">
        <v>1.25</v>
      </c>
      <c r="H64" s="57" t="n">
        <v>0.25</v>
      </c>
      <c r="I64" s="57" t="n">
        <v>36</v>
      </c>
      <c r="J64" s="57" t="n">
        <v>0</v>
      </c>
      <c r="K64" s="57" t="n">
        <v>0</v>
      </c>
      <c r="L64" s="57" t="n">
        <v>0</v>
      </c>
      <c r="M64" s="57" t="n">
        <v>0.25</v>
      </c>
      <c r="N64" s="57" t="n">
        <v>0.25</v>
      </c>
      <c r="O64" s="57" t="n">
        <v>0</v>
      </c>
      <c r="P64" s="57" t="n">
        <v>0</v>
      </c>
      <c r="Q64" s="57" t="n">
        <v>0</v>
      </c>
      <c r="R64" s="57" t="n">
        <v>0</v>
      </c>
      <c r="S64" s="57" t="n">
        <v>0</v>
      </c>
      <c r="T64" s="62" t="n">
        <v>0</v>
      </c>
    </row>
    <row r="65" ht="16" customHeight="1" thickBot="1">
      <c r="A65" s="63" t="inlineStr">
        <is>
          <t>N. Isiekwe</t>
        </is>
      </c>
      <c r="B65" t="inlineStr">
        <is>
          <t>England</t>
        </is>
      </c>
      <c r="C65" t="inlineStr">
        <is>
          <t>Second Row</t>
        </is>
      </c>
      <c r="D65" t="n">
        <v>2</v>
      </c>
      <c r="E65" s="57" t="n">
        <v>47.5</v>
      </c>
      <c r="F65" s="57" t="n">
        <v>4.5</v>
      </c>
      <c r="G65" s="57" t="n">
        <v>0</v>
      </c>
      <c r="H65" s="57" t="n">
        <v>0</v>
      </c>
      <c r="I65" s="57" t="n">
        <v>36</v>
      </c>
      <c r="J65" s="57" t="n">
        <v>0</v>
      </c>
      <c r="K65" s="57" t="n">
        <v>0</v>
      </c>
      <c r="L65" s="57" t="n">
        <v>0</v>
      </c>
      <c r="M65" s="57" t="n">
        <v>0</v>
      </c>
      <c r="N65" s="57" t="n">
        <v>0</v>
      </c>
      <c r="O65" s="57" t="n">
        <v>0</v>
      </c>
      <c r="P65" s="57" t="n">
        <v>0</v>
      </c>
      <c r="Q65" s="57" t="n">
        <v>0</v>
      </c>
      <c r="R65" s="57" t="n">
        <v>0</v>
      </c>
      <c r="S65" s="57" t="n">
        <v>0</v>
      </c>
      <c r="T65" s="62" t="n">
        <v>0</v>
      </c>
    </row>
    <row r="66" ht="16" customHeight="1" thickBot="1">
      <c r="A66" s="61" t="inlineStr">
        <is>
          <t>M. Itoje</t>
        </is>
      </c>
      <c r="B66" t="inlineStr">
        <is>
          <t>England</t>
        </is>
      </c>
      <c r="C66" t="inlineStr">
        <is>
          <t>Second Row</t>
        </is>
      </c>
      <c r="D66" t="n">
        <v>4</v>
      </c>
      <c r="E66" s="57" t="n">
        <v>64.75</v>
      </c>
      <c r="F66" s="57" t="n">
        <v>10.25</v>
      </c>
      <c r="G66" s="57" t="n">
        <v>1.25</v>
      </c>
      <c r="H66" s="57" t="n">
        <v>0</v>
      </c>
      <c r="I66" s="57" t="n">
        <v>15.5</v>
      </c>
      <c r="J66" s="57" t="n">
        <v>0</v>
      </c>
      <c r="K66" s="57" t="n">
        <v>0</v>
      </c>
      <c r="L66" s="57" t="n">
        <v>0.75</v>
      </c>
      <c r="M66" s="57" t="n">
        <v>0</v>
      </c>
      <c r="N66" s="57" t="n">
        <v>0.25</v>
      </c>
      <c r="O66" s="57" t="n">
        <v>0</v>
      </c>
      <c r="P66" s="57" t="n">
        <v>0</v>
      </c>
      <c r="Q66" s="57" t="n">
        <v>0</v>
      </c>
      <c r="R66" s="57" t="n">
        <v>0</v>
      </c>
      <c r="S66" s="57" t="n">
        <v>0</v>
      </c>
      <c r="T66" s="62" t="n">
        <v>0</v>
      </c>
    </row>
    <row r="67" ht="16" customHeight="1" thickBot="1">
      <c r="A67" s="63" t="inlineStr">
        <is>
          <t>D. Cole</t>
        </is>
      </c>
      <c r="B67" t="inlineStr">
        <is>
          <t>England</t>
        </is>
      </c>
      <c r="C67" t="inlineStr">
        <is>
          <t>Prop</t>
        </is>
      </c>
      <c r="D67" t="n">
        <v>4</v>
      </c>
      <c r="E67" s="57" t="n">
        <v>35.5</v>
      </c>
      <c r="F67" s="57" t="n">
        <v>4</v>
      </c>
      <c r="G67" s="57" t="n">
        <v>0.5</v>
      </c>
      <c r="H67" s="57" t="n">
        <v>0</v>
      </c>
      <c r="I67" s="57" t="n">
        <v>6.25</v>
      </c>
      <c r="J67" s="57" t="n">
        <v>0</v>
      </c>
      <c r="K67" s="57" t="n">
        <v>0</v>
      </c>
      <c r="L67" s="57" t="n">
        <v>0</v>
      </c>
      <c r="M67" s="57" t="n">
        <v>0</v>
      </c>
      <c r="N67" s="57" t="n">
        <v>0</v>
      </c>
      <c r="O67" s="57" t="n">
        <v>0</v>
      </c>
      <c r="P67" s="57" t="n">
        <v>0</v>
      </c>
      <c r="Q67" s="57" t="n">
        <v>0</v>
      </c>
      <c r="R67" s="57" t="n">
        <v>0</v>
      </c>
      <c r="S67" s="57" t="n">
        <v>0</v>
      </c>
      <c r="T67" s="62" t="n">
        <v>0</v>
      </c>
    </row>
    <row r="68" ht="16" customHeight="1" thickBot="1">
      <c r="A68" s="61" t="inlineStr">
        <is>
          <t>E. Genge</t>
        </is>
      </c>
      <c r="B68" t="inlineStr">
        <is>
          <t>England</t>
        </is>
      </c>
      <c r="C68" t="inlineStr">
        <is>
          <t>Prop</t>
        </is>
      </c>
      <c r="D68" t="n">
        <v>4</v>
      </c>
      <c r="E68" s="57" t="n">
        <v>48</v>
      </c>
      <c r="F68" s="57" t="n">
        <v>4.75</v>
      </c>
      <c r="G68" s="57" t="n">
        <v>0.5</v>
      </c>
      <c r="H68" s="57" t="n">
        <v>0</v>
      </c>
      <c r="I68" s="57" t="n">
        <v>24.75</v>
      </c>
      <c r="J68" s="57" t="n">
        <v>0</v>
      </c>
      <c r="K68" s="57" t="n">
        <v>0</v>
      </c>
      <c r="L68" s="57" t="n">
        <v>0</v>
      </c>
      <c r="M68" s="57" t="n">
        <v>0</v>
      </c>
      <c r="N68" s="57" t="n">
        <v>0.25</v>
      </c>
      <c r="O68" s="57" t="n">
        <v>0</v>
      </c>
      <c r="P68" s="57" t="n">
        <v>0</v>
      </c>
      <c r="Q68" s="57" t="n">
        <v>0</v>
      </c>
      <c r="R68" s="57" t="n">
        <v>0</v>
      </c>
      <c r="S68" s="57" t="n">
        <v>0</v>
      </c>
      <c r="T68" s="62" t="n">
        <v>0</v>
      </c>
    </row>
    <row r="69" ht="16" customHeight="1" thickBot="1">
      <c r="A69" s="63" t="inlineStr">
        <is>
          <t>K. Sinckler</t>
        </is>
      </c>
      <c r="B69" t="inlineStr">
        <is>
          <t>England</t>
        </is>
      </c>
      <c r="C69" t="inlineStr">
        <is>
          <t>Prop</t>
        </is>
      </c>
      <c r="D69" t="n">
        <v>4</v>
      </c>
      <c r="E69" s="57" t="n">
        <v>59.75</v>
      </c>
      <c r="F69" s="57" t="n">
        <v>8.25</v>
      </c>
      <c r="G69" s="57" t="n">
        <v>0.75</v>
      </c>
      <c r="H69" s="57" t="n">
        <v>0</v>
      </c>
      <c r="I69" s="57" t="n">
        <v>35.75</v>
      </c>
      <c r="J69" s="57" t="n">
        <v>0</v>
      </c>
      <c r="K69" s="57" t="n">
        <v>0</v>
      </c>
      <c r="L69" s="57" t="n">
        <v>0</v>
      </c>
      <c r="M69" s="57" t="n">
        <v>0.5</v>
      </c>
      <c r="N69" s="57" t="n">
        <v>0</v>
      </c>
      <c r="O69" s="57" t="n">
        <v>0</v>
      </c>
      <c r="P69" s="57" t="n">
        <v>0</v>
      </c>
      <c r="Q69" s="57" t="n">
        <v>0</v>
      </c>
      <c r="R69" s="57" t="n">
        <v>0</v>
      </c>
      <c r="S69" s="57" t="n">
        <v>0</v>
      </c>
      <c r="T69" s="62" t="n">
        <v>0</v>
      </c>
    </row>
    <row r="70" ht="16" customHeight="1" thickBot="1">
      <c r="A70" s="61" t="inlineStr">
        <is>
          <t>M. Vunipola</t>
        </is>
      </c>
      <c r="B70" t="inlineStr">
        <is>
          <t>England</t>
        </is>
      </c>
      <c r="C70" t="inlineStr">
        <is>
          <t>Prop</t>
        </is>
      </c>
      <c r="D70" t="n">
        <v>4</v>
      </c>
      <c r="E70" s="57" t="n">
        <v>32</v>
      </c>
      <c r="F70" s="57" t="n">
        <v>3.25</v>
      </c>
      <c r="G70" s="57" t="n">
        <v>0.25</v>
      </c>
      <c r="H70" s="57" t="n">
        <v>0</v>
      </c>
      <c r="I70" s="57" t="n">
        <v>16.75</v>
      </c>
      <c r="J70" s="57" t="n">
        <v>0</v>
      </c>
      <c r="K70" s="57" t="n">
        <v>0</v>
      </c>
      <c r="L70" s="57" t="n">
        <v>0</v>
      </c>
      <c r="M70" s="57" t="n">
        <v>0</v>
      </c>
      <c r="N70" s="57" t="n">
        <v>0</v>
      </c>
      <c r="O70" s="57" t="n">
        <v>0</v>
      </c>
      <c r="P70" s="57" t="n">
        <v>0</v>
      </c>
      <c r="Q70" s="57" t="n">
        <v>0</v>
      </c>
      <c r="R70" s="57" t="n">
        <v>0</v>
      </c>
      <c r="S70" s="57" t="n">
        <v>0</v>
      </c>
      <c r="T70" s="62" t="n">
        <v>0</v>
      </c>
    </row>
    <row r="71" ht="16" customHeight="1" thickBot="1">
      <c r="A71" s="63" t="inlineStr">
        <is>
          <t>J. George</t>
        </is>
      </c>
      <c r="B71" t="inlineStr">
        <is>
          <t>England</t>
        </is>
      </c>
      <c r="C71" t="inlineStr">
        <is>
          <t>Hooker</t>
        </is>
      </c>
      <c r="D71" t="n">
        <v>4</v>
      </c>
      <c r="E71" s="57" t="n">
        <v>63</v>
      </c>
      <c r="F71" s="57" t="n">
        <v>7.5</v>
      </c>
      <c r="G71" s="57" t="n">
        <v>0.5</v>
      </c>
      <c r="H71" s="57" t="n">
        <v>0</v>
      </c>
      <c r="I71" s="57" t="n">
        <v>16.25</v>
      </c>
      <c r="J71" s="57" t="n">
        <v>0</v>
      </c>
      <c r="K71" s="57" t="n">
        <v>0</v>
      </c>
      <c r="L71" s="57" t="n">
        <v>0</v>
      </c>
      <c r="M71" s="57" t="n">
        <v>0.25</v>
      </c>
      <c r="N71" s="57" t="n">
        <v>0</v>
      </c>
      <c r="O71" s="57" t="n">
        <v>0</v>
      </c>
      <c r="P71" s="57" t="n">
        <v>0</v>
      </c>
      <c r="Q71" s="57" t="n">
        <v>0</v>
      </c>
      <c r="R71" s="57" t="n">
        <v>0</v>
      </c>
      <c r="S71" s="57" t="n">
        <v>0</v>
      </c>
      <c r="T71" s="62" t="n">
        <v>0</v>
      </c>
    </row>
    <row r="72" ht="16" customHeight="1" thickBot="1">
      <c r="A72" s="61" t="inlineStr">
        <is>
          <t>S. Hogg</t>
        </is>
      </c>
      <c r="B72" t="inlineStr">
        <is>
          <t>Scotland</t>
        </is>
      </c>
      <c r="C72" t="inlineStr">
        <is>
          <t>Back Three</t>
        </is>
      </c>
      <c r="D72" t="n">
        <v>4</v>
      </c>
      <c r="E72" s="57" t="n">
        <v>59.5</v>
      </c>
      <c r="F72" s="57" t="n">
        <v>5.25</v>
      </c>
      <c r="G72" s="57" t="n">
        <v>0</v>
      </c>
      <c r="H72" s="57" t="n">
        <v>0.25</v>
      </c>
      <c r="I72" s="57" t="n">
        <v>47.75</v>
      </c>
      <c r="J72" s="57" t="n">
        <v>0</v>
      </c>
      <c r="K72" s="57" t="n">
        <v>0</v>
      </c>
      <c r="L72" s="57" t="n">
        <v>0</v>
      </c>
      <c r="M72" s="57" t="n">
        <v>0</v>
      </c>
      <c r="N72" s="57" t="n">
        <v>0</v>
      </c>
      <c r="O72" s="57" t="n">
        <v>0</v>
      </c>
      <c r="P72" s="57" t="n">
        <v>0</v>
      </c>
      <c r="Q72" s="57" t="n">
        <v>0</v>
      </c>
      <c r="R72" s="57" t="n">
        <v>0</v>
      </c>
      <c r="S72" s="57" t="n">
        <v>0</v>
      </c>
      <c r="T72" s="62" t="n">
        <v>0</v>
      </c>
    </row>
    <row r="73" ht="16" customHeight="1" thickBot="1">
      <c r="A73" s="63" t="inlineStr">
        <is>
          <t>B. Kinghorn</t>
        </is>
      </c>
      <c r="B73" t="inlineStr">
        <is>
          <t>Scotland</t>
        </is>
      </c>
      <c r="C73" t="inlineStr">
        <is>
          <t>Back Three</t>
        </is>
      </c>
      <c r="D73" t="n">
        <v>4</v>
      </c>
      <c r="E73" s="57" t="n">
        <v>39.75</v>
      </c>
      <c r="F73" s="57" t="n">
        <v>2.5</v>
      </c>
      <c r="G73" s="57" t="n">
        <v>0.25</v>
      </c>
      <c r="H73" s="57" t="n">
        <v>0.5</v>
      </c>
      <c r="I73" s="57" t="n">
        <v>55.75</v>
      </c>
      <c r="J73" s="57" t="n">
        <v>0</v>
      </c>
      <c r="K73" s="57" t="n">
        <v>0</v>
      </c>
      <c r="L73" s="57" t="n">
        <v>0.25</v>
      </c>
      <c r="M73" s="57" t="n">
        <v>0.25</v>
      </c>
      <c r="N73" s="57" t="n">
        <v>0</v>
      </c>
      <c r="O73" s="57" t="n">
        <v>0</v>
      </c>
      <c r="P73" s="57" t="n">
        <v>0</v>
      </c>
      <c r="Q73" s="57" t="n">
        <v>0</v>
      </c>
      <c r="R73" s="57" t="n">
        <v>0</v>
      </c>
      <c r="S73" s="57" t="n">
        <v>0</v>
      </c>
      <c r="T73" s="62" t="n">
        <v>0</v>
      </c>
    </row>
    <row r="74" ht="16" customHeight="1" thickBot="1">
      <c r="A74" s="61" t="inlineStr">
        <is>
          <t>K. Steyn</t>
        </is>
      </c>
      <c r="B74" t="inlineStr">
        <is>
          <t>Scotland</t>
        </is>
      </c>
      <c r="C74" t="inlineStr">
        <is>
          <t>Back Three</t>
        </is>
      </c>
      <c r="D74" t="n">
        <v>4</v>
      </c>
      <c r="E74" s="57" t="n">
        <v>60.75</v>
      </c>
      <c r="F74" s="57" t="n">
        <v>1.75</v>
      </c>
      <c r="G74" s="57" t="n">
        <v>0</v>
      </c>
      <c r="H74" s="57" t="n">
        <v>0.75</v>
      </c>
      <c r="I74" s="57" t="n">
        <v>44</v>
      </c>
      <c r="J74" s="57" t="n">
        <v>0</v>
      </c>
      <c r="K74" s="57" t="n">
        <v>0</v>
      </c>
      <c r="L74" s="57" t="n">
        <v>0</v>
      </c>
      <c r="M74" s="57" t="n">
        <v>0.5</v>
      </c>
      <c r="N74" s="57" t="n">
        <v>0</v>
      </c>
      <c r="O74" s="57" t="n">
        <v>0</v>
      </c>
      <c r="P74" s="57" t="n">
        <v>0</v>
      </c>
      <c r="Q74" s="57" t="n">
        <v>0</v>
      </c>
      <c r="R74" s="57" t="n">
        <v>0</v>
      </c>
      <c r="S74" s="57" t="n">
        <v>0</v>
      </c>
      <c r="T74" s="62" t="n">
        <v>0</v>
      </c>
    </row>
    <row r="75" ht="16" customHeight="1" thickBot="1">
      <c r="A75" s="63" t="inlineStr">
        <is>
          <t>D. van der Merwe</t>
        </is>
      </c>
      <c r="B75" t="inlineStr">
        <is>
          <t>Scotland</t>
        </is>
      </c>
      <c r="C75" t="inlineStr">
        <is>
          <t>Back Three</t>
        </is>
      </c>
      <c r="D75" t="n">
        <v>4</v>
      </c>
      <c r="E75" s="57" t="n">
        <v>80</v>
      </c>
      <c r="F75" s="57" t="n">
        <v>3.5</v>
      </c>
      <c r="G75" s="57" t="n">
        <v>0.25</v>
      </c>
      <c r="H75" s="57" t="n">
        <v>1.5</v>
      </c>
      <c r="I75" s="57" t="n">
        <v>83</v>
      </c>
      <c r="J75" s="57" t="n">
        <v>0</v>
      </c>
      <c r="K75" s="57" t="n">
        <v>0</v>
      </c>
      <c r="L75" s="57" t="n">
        <v>0</v>
      </c>
      <c r="M75" s="57" t="n">
        <v>0</v>
      </c>
      <c r="N75" s="57" t="n">
        <v>0.5</v>
      </c>
      <c r="O75" s="57" t="n">
        <v>0</v>
      </c>
      <c r="P75" s="57" t="n">
        <v>0</v>
      </c>
      <c r="Q75" s="57" t="n">
        <v>0</v>
      </c>
      <c r="R75" s="57" t="n">
        <v>0</v>
      </c>
      <c r="S75" s="57" t="n">
        <v>0</v>
      </c>
      <c r="T75" s="62" t="n">
        <v>0</v>
      </c>
    </row>
    <row r="76" ht="16" customHeight="1" thickBot="1">
      <c r="A76" s="61" t="inlineStr">
        <is>
          <t>C. Harris</t>
        </is>
      </c>
      <c r="B76" t="inlineStr">
        <is>
          <t>Scotland</t>
        </is>
      </c>
      <c r="C76" t="inlineStr">
        <is>
          <t>Centre</t>
        </is>
      </c>
      <c r="D76" t="n">
        <v>3</v>
      </c>
      <c r="E76" s="57" t="n">
        <v>29.6667</v>
      </c>
      <c r="F76" s="57" t="n">
        <v>2</v>
      </c>
      <c r="G76" s="57" t="n">
        <v>0</v>
      </c>
      <c r="H76" s="57" t="n">
        <v>0.6667</v>
      </c>
      <c r="I76" s="57" t="n">
        <v>38.6667</v>
      </c>
      <c r="J76" s="57" t="n">
        <v>0</v>
      </c>
      <c r="K76" s="57" t="n">
        <v>0</v>
      </c>
      <c r="L76" s="57" t="n">
        <v>0</v>
      </c>
      <c r="M76" s="57" t="n">
        <v>0.6667</v>
      </c>
      <c r="N76" s="57" t="n">
        <v>0</v>
      </c>
      <c r="O76" s="57" t="n">
        <v>0</v>
      </c>
      <c r="P76" s="57" t="n">
        <v>0</v>
      </c>
      <c r="Q76" s="57" t="n">
        <v>0</v>
      </c>
      <c r="R76" s="57" t="n">
        <v>0</v>
      </c>
      <c r="S76" s="57" t="n">
        <v>0</v>
      </c>
      <c r="T76" s="62" t="n">
        <v>1</v>
      </c>
    </row>
    <row r="77" ht="16" customHeight="1" thickBot="1">
      <c r="A77" s="63" t="inlineStr">
        <is>
          <t>H. Jones</t>
        </is>
      </c>
      <c r="B77" t="inlineStr">
        <is>
          <t>Scotland</t>
        </is>
      </c>
      <c r="C77" t="inlineStr">
        <is>
          <t>Centre</t>
        </is>
      </c>
      <c r="D77" t="n">
        <v>4</v>
      </c>
      <c r="E77" s="57" t="n">
        <v>61</v>
      </c>
      <c r="F77" s="57" t="n">
        <v>5.25</v>
      </c>
      <c r="G77" s="57" t="n">
        <v>0.25</v>
      </c>
      <c r="H77" s="57" t="n">
        <v>0.75</v>
      </c>
      <c r="I77" s="57" t="n">
        <v>82.5</v>
      </c>
      <c r="J77" s="57" t="n">
        <v>0</v>
      </c>
      <c r="K77" s="57" t="n">
        <v>0</v>
      </c>
      <c r="L77" s="57" t="n">
        <v>0</v>
      </c>
      <c r="M77" s="57" t="n">
        <v>0.75</v>
      </c>
      <c r="N77" s="57" t="n">
        <v>0</v>
      </c>
      <c r="O77" s="57" t="n">
        <v>0</v>
      </c>
      <c r="P77" s="57" t="n">
        <v>0</v>
      </c>
      <c r="Q77" s="57" t="n">
        <v>0</v>
      </c>
      <c r="R77" s="57" t="n">
        <v>0</v>
      </c>
      <c r="S77" s="57" t="n">
        <v>0</v>
      </c>
      <c r="T77" s="62" t="n">
        <v>0</v>
      </c>
    </row>
    <row r="78" ht="16" customHeight="1" thickBot="1">
      <c r="A78" s="61" t="inlineStr">
        <is>
          <t>S. Tuipulotu</t>
        </is>
      </c>
      <c r="B78" t="inlineStr">
        <is>
          <t>Scotland</t>
        </is>
      </c>
      <c r="C78" t="inlineStr">
        <is>
          <t>Centre</t>
        </is>
      </c>
      <c r="D78" t="n">
        <v>4</v>
      </c>
      <c r="E78" s="57" t="n">
        <v>77</v>
      </c>
      <c r="F78" s="57" t="n">
        <v>11</v>
      </c>
      <c r="G78" s="57" t="n">
        <v>0</v>
      </c>
      <c r="H78" s="57" t="n">
        <v>0.25</v>
      </c>
      <c r="I78" s="57" t="n">
        <v>51.25</v>
      </c>
      <c r="J78" s="57" t="n">
        <v>0</v>
      </c>
      <c r="K78" s="57" t="n">
        <v>0</v>
      </c>
      <c r="L78" s="57" t="n">
        <v>0.25</v>
      </c>
      <c r="M78" s="57" t="n">
        <v>0.25</v>
      </c>
      <c r="N78" s="57" t="n">
        <v>0.5</v>
      </c>
      <c r="O78" s="57" t="n">
        <v>0</v>
      </c>
      <c r="P78" s="57" t="n">
        <v>0</v>
      </c>
      <c r="Q78" s="57" t="n">
        <v>0</v>
      </c>
      <c r="R78" s="57" t="n">
        <v>0</v>
      </c>
      <c r="S78" s="57" t="n">
        <v>0</v>
      </c>
      <c r="T78" s="62" t="n">
        <v>0</v>
      </c>
    </row>
    <row r="79" ht="16" customHeight="1" thickBot="1">
      <c r="A79" s="63" t="inlineStr">
        <is>
          <t>F. Russell</t>
        </is>
      </c>
      <c r="B79" t="inlineStr">
        <is>
          <t>Scotland</t>
        </is>
      </c>
      <c r="C79" t="inlineStr">
        <is>
          <t>Fly Half</t>
        </is>
      </c>
      <c r="D79" t="n">
        <v>4</v>
      </c>
      <c r="E79" s="57" t="n">
        <v>80</v>
      </c>
      <c r="F79" s="57" t="n">
        <v>7.5</v>
      </c>
      <c r="G79" s="57" t="n">
        <v>0.25</v>
      </c>
      <c r="H79" s="57" t="n">
        <v>0.25</v>
      </c>
      <c r="I79" s="57" t="n">
        <v>79</v>
      </c>
      <c r="J79" s="57" t="n">
        <v>0.5</v>
      </c>
      <c r="K79" s="57" t="n">
        <v>0</v>
      </c>
      <c r="L79" s="57" t="n">
        <v>0</v>
      </c>
      <c r="M79" s="57" t="n">
        <v>0.25</v>
      </c>
      <c r="N79" s="57" t="n">
        <v>1.25</v>
      </c>
      <c r="O79" s="57" t="n">
        <v>1.5</v>
      </c>
      <c r="P79" s="57" t="n">
        <v>0.5</v>
      </c>
      <c r="Q79" s="57" t="n">
        <v>0</v>
      </c>
      <c r="R79" s="57" t="n">
        <v>0</v>
      </c>
      <c r="S79" s="57" t="n">
        <v>0</v>
      </c>
      <c r="T79" s="62" t="n">
        <v>1</v>
      </c>
    </row>
    <row r="80" ht="16" customHeight="1" thickBot="1">
      <c r="A80" s="61" t="inlineStr">
        <is>
          <t>G. Horne</t>
        </is>
      </c>
      <c r="B80" t="inlineStr">
        <is>
          <t>Scotland</t>
        </is>
      </c>
      <c r="C80" t="inlineStr">
        <is>
          <t>Scrum Half</t>
        </is>
      </c>
      <c r="D80" t="n">
        <v>2</v>
      </c>
      <c r="E80" s="57" t="n">
        <v>50.5</v>
      </c>
      <c r="F80" s="57" t="n">
        <v>6.5</v>
      </c>
      <c r="G80" s="57" t="n">
        <v>0.5</v>
      </c>
      <c r="H80" s="57" t="n">
        <v>0</v>
      </c>
      <c r="I80" s="57" t="n">
        <v>46.5</v>
      </c>
      <c r="J80" s="57" t="n">
        <v>0</v>
      </c>
      <c r="K80" s="57" t="n">
        <v>0</v>
      </c>
      <c r="L80" s="57" t="n">
        <v>0</v>
      </c>
      <c r="M80" s="57" t="n">
        <v>0</v>
      </c>
      <c r="N80" s="57" t="n">
        <v>0</v>
      </c>
      <c r="O80" s="57" t="n">
        <v>1.5</v>
      </c>
      <c r="P80" s="57" t="n">
        <v>0.5</v>
      </c>
      <c r="Q80" s="57" t="n">
        <v>0</v>
      </c>
      <c r="R80" s="57" t="n">
        <v>0</v>
      </c>
      <c r="S80" s="57" t="n">
        <v>0</v>
      </c>
      <c r="T80" s="62" t="n">
        <v>0</v>
      </c>
    </row>
    <row r="81" ht="16" customHeight="1" thickBot="1">
      <c r="A81" s="63" t="inlineStr">
        <is>
          <t>B. White</t>
        </is>
      </c>
      <c r="B81" t="inlineStr">
        <is>
          <t>Scotland</t>
        </is>
      </c>
      <c r="C81" t="inlineStr">
        <is>
          <t>Scrum Half</t>
        </is>
      </c>
      <c r="D81" t="n">
        <v>4</v>
      </c>
      <c r="E81" s="57" t="n">
        <v>46.25</v>
      </c>
      <c r="F81" s="57" t="n">
        <v>3.75</v>
      </c>
      <c r="G81" s="57" t="n">
        <v>0</v>
      </c>
      <c r="H81" s="57" t="n">
        <v>0</v>
      </c>
      <c r="I81" s="57" t="n">
        <v>13.25</v>
      </c>
      <c r="J81" s="57" t="n">
        <v>0</v>
      </c>
      <c r="K81" s="57" t="n">
        <v>0</v>
      </c>
      <c r="L81" s="57" t="n">
        <v>0</v>
      </c>
      <c r="M81" s="57" t="n">
        <v>0</v>
      </c>
      <c r="N81" s="57" t="n">
        <v>0</v>
      </c>
      <c r="O81" s="57" t="n">
        <v>0</v>
      </c>
      <c r="P81" s="57" t="n">
        <v>0</v>
      </c>
      <c r="Q81" s="57" t="n">
        <v>0</v>
      </c>
      <c r="R81" s="57" t="n">
        <v>0</v>
      </c>
      <c r="S81" s="57" t="n">
        <v>0</v>
      </c>
      <c r="T81" s="62" t="n">
        <v>0</v>
      </c>
    </row>
    <row r="82" ht="16" customHeight="1" thickBot="1">
      <c r="A82" s="61" t="inlineStr">
        <is>
          <t>L. Crosbie</t>
        </is>
      </c>
      <c r="B82" t="inlineStr">
        <is>
          <t>Scotland</t>
        </is>
      </c>
      <c r="C82" t="inlineStr">
        <is>
          <t>Back Row</t>
        </is>
      </c>
      <c r="D82" t="n">
        <v>2</v>
      </c>
      <c r="E82" s="57" t="n">
        <v>54</v>
      </c>
      <c r="F82" s="57" t="n">
        <v>10</v>
      </c>
      <c r="G82" s="57" t="n">
        <v>1</v>
      </c>
      <c r="H82" s="57" t="n">
        <v>0.5</v>
      </c>
      <c r="I82" s="57" t="n">
        <v>15.5</v>
      </c>
      <c r="J82" s="57" t="n">
        <v>0</v>
      </c>
      <c r="K82" s="57" t="n">
        <v>0</v>
      </c>
      <c r="L82" s="57" t="n">
        <v>0</v>
      </c>
      <c r="M82" s="57" t="n">
        <v>0.5</v>
      </c>
      <c r="N82" s="57" t="n">
        <v>0</v>
      </c>
      <c r="O82" s="57" t="n">
        <v>0</v>
      </c>
      <c r="P82" s="57" t="n">
        <v>0</v>
      </c>
      <c r="Q82" s="57" t="n">
        <v>0</v>
      </c>
      <c r="R82" s="57" t="n">
        <v>0</v>
      </c>
      <c r="S82" s="57" t="n">
        <v>0</v>
      </c>
      <c r="T82" s="62" t="n">
        <v>0</v>
      </c>
    </row>
    <row r="83" ht="16" customHeight="1" thickBot="1">
      <c r="A83" s="63" t="inlineStr">
        <is>
          <t>J. Dempsey</t>
        </is>
      </c>
      <c r="B83" t="inlineStr">
        <is>
          <t>Scotland</t>
        </is>
      </c>
      <c r="C83" t="inlineStr">
        <is>
          <t>Back Row</t>
        </is>
      </c>
      <c r="D83" t="n">
        <v>4</v>
      </c>
      <c r="E83" s="57" t="n">
        <v>49.25</v>
      </c>
      <c r="F83" s="57" t="n">
        <v>10.25</v>
      </c>
      <c r="G83" s="57" t="n">
        <v>1</v>
      </c>
      <c r="H83" s="57" t="n">
        <v>0</v>
      </c>
      <c r="I83" s="57" t="n">
        <v>28.25</v>
      </c>
      <c r="J83" s="57" t="n">
        <v>0</v>
      </c>
      <c r="K83" s="57" t="n">
        <v>0</v>
      </c>
      <c r="L83" s="57" t="n">
        <v>0</v>
      </c>
      <c r="M83" s="57" t="n">
        <v>0</v>
      </c>
      <c r="N83" s="57" t="n">
        <v>0</v>
      </c>
      <c r="O83" s="57" t="n">
        <v>0</v>
      </c>
      <c r="P83" s="57" t="n">
        <v>0</v>
      </c>
      <c r="Q83" s="57" t="n">
        <v>0</v>
      </c>
      <c r="R83" s="57" t="n">
        <v>0</v>
      </c>
      <c r="S83" s="57" t="n">
        <v>0</v>
      </c>
      <c r="T83" s="62" t="n">
        <v>0</v>
      </c>
    </row>
    <row r="84" ht="16" customHeight="1" thickBot="1">
      <c r="A84" s="61" t="inlineStr">
        <is>
          <t>M. Fagerson</t>
        </is>
      </c>
      <c r="B84" t="inlineStr">
        <is>
          <t>Scotland</t>
        </is>
      </c>
      <c r="C84" t="inlineStr">
        <is>
          <t>Back Row</t>
        </is>
      </c>
      <c r="D84" t="n">
        <v>4</v>
      </c>
      <c r="E84" s="57" t="n">
        <v>56.25</v>
      </c>
      <c r="F84" s="57" t="n">
        <v>11.75</v>
      </c>
      <c r="G84" s="57" t="n">
        <v>0.5</v>
      </c>
      <c r="H84" s="57" t="n">
        <v>0.25</v>
      </c>
      <c r="I84" s="57" t="n">
        <v>28</v>
      </c>
      <c r="J84" s="57" t="n">
        <v>0</v>
      </c>
      <c r="K84" s="57" t="n">
        <v>0</v>
      </c>
      <c r="L84" s="57" t="n">
        <v>0</v>
      </c>
      <c r="M84" s="57" t="n">
        <v>0.25</v>
      </c>
      <c r="N84" s="57" t="n">
        <v>0</v>
      </c>
      <c r="O84" s="57" t="n">
        <v>0</v>
      </c>
      <c r="P84" s="57" t="n">
        <v>0</v>
      </c>
      <c r="Q84" s="57" t="n">
        <v>0</v>
      </c>
      <c r="R84" s="57" t="n">
        <v>0</v>
      </c>
      <c r="S84" s="57" t="n">
        <v>0</v>
      </c>
      <c r="T84" s="62" t="n">
        <v>0</v>
      </c>
    </row>
    <row r="85" ht="16" customHeight="1" thickBot="1">
      <c r="A85" s="63" t="inlineStr">
        <is>
          <t>J. Ritchie</t>
        </is>
      </c>
      <c r="B85" t="inlineStr">
        <is>
          <t>Scotland</t>
        </is>
      </c>
      <c r="C85" t="inlineStr">
        <is>
          <t>Back Row</t>
        </is>
      </c>
      <c r="D85" t="n">
        <v>4</v>
      </c>
      <c r="E85" s="57" t="n">
        <v>80</v>
      </c>
      <c r="F85" s="57" t="n">
        <v>15</v>
      </c>
      <c r="G85" s="57" t="n">
        <v>1</v>
      </c>
      <c r="H85" s="57" t="n">
        <v>0</v>
      </c>
      <c r="I85" s="57" t="n">
        <v>28</v>
      </c>
      <c r="J85" s="57" t="n">
        <v>0</v>
      </c>
      <c r="K85" s="57" t="n">
        <v>0</v>
      </c>
      <c r="L85" s="57" t="n">
        <v>0.5</v>
      </c>
      <c r="M85" s="57" t="n">
        <v>0</v>
      </c>
      <c r="N85" s="57" t="n">
        <v>0.25</v>
      </c>
      <c r="O85" s="57" t="n">
        <v>0</v>
      </c>
      <c r="P85" s="57" t="n">
        <v>0</v>
      </c>
      <c r="Q85" s="57" t="n">
        <v>0</v>
      </c>
      <c r="R85" s="57" t="n">
        <v>0</v>
      </c>
      <c r="S85" s="57" t="n">
        <v>0</v>
      </c>
      <c r="T85" s="62" t="n">
        <v>0</v>
      </c>
    </row>
    <row r="86" ht="16" customHeight="1" thickBot="1">
      <c r="A86" s="61" t="inlineStr">
        <is>
          <t>G. Gilchrist</t>
        </is>
      </c>
      <c r="B86" t="inlineStr">
        <is>
          <t>Scotland</t>
        </is>
      </c>
      <c r="C86" t="inlineStr">
        <is>
          <t>Second Row</t>
        </is>
      </c>
      <c r="D86" t="n">
        <v>3</v>
      </c>
      <c r="E86" s="57" t="n">
        <v>50.3333</v>
      </c>
      <c r="F86" s="57" t="n">
        <v>8</v>
      </c>
      <c r="G86" s="57" t="n">
        <v>1.3333</v>
      </c>
      <c r="H86" s="57" t="n">
        <v>0</v>
      </c>
      <c r="I86" s="57" t="n">
        <v>10.3333</v>
      </c>
      <c r="J86" s="57" t="n">
        <v>0</v>
      </c>
      <c r="K86" s="57" t="n">
        <v>0.3333</v>
      </c>
      <c r="L86" s="57" t="n">
        <v>0.3333</v>
      </c>
      <c r="M86" s="57" t="n">
        <v>0</v>
      </c>
      <c r="N86" s="57" t="n">
        <v>0</v>
      </c>
      <c r="O86" s="57" t="n">
        <v>0</v>
      </c>
      <c r="P86" s="57" t="n">
        <v>0</v>
      </c>
      <c r="Q86" s="57" t="n">
        <v>0</v>
      </c>
      <c r="R86" s="57" t="n">
        <v>0</v>
      </c>
      <c r="S86" s="57" t="n">
        <v>0.3333</v>
      </c>
      <c r="T86" s="62" t="n">
        <v>0</v>
      </c>
    </row>
    <row r="87" ht="16" customHeight="1" thickBot="1">
      <c r="A87" s="63" t="inlineStr">
        <is>
          <t>J. Gray</t>
        </is>
      </c>
      <c r="B87" t="inlineStr">
        <is>
          <t>Scotland</t>
        </is>
      </c>
      <c r="C87" t="inlineStr">
        <is>
          <t>Second Row</t>
        </is>
      </c>
      <c r="D87" t="n">
        <v>4</v>
      </c>
      <c r="E87" s="57" t="n">
        <v>58</v>
      </c>
      <c r="F87" s="57" t="n">
        <v>10.5</v>
      </c>
      <c r="G87" s="57" t="n">
        <v>1.25</v>
      </c>
      <c r="H87" s="57" t="n">
        <v>0</v>
      </c>
      <c r="I87" s="57" t="n">
        <v>13.25</v>
      </c>
      <c r="J87" s="57" t="n">
        <v>0</v>
      </c>
      <c r="K87" s="57" t="n">
        <v>0.25</v>
      </c>
      <c r="L87" s="57" t="n">
        <v>0</v>
      </c>
      <c r="M87" s="57" t="n">
        <v>0</v>
      </c>
      <c r="N87" s="57" t="n">
        <v>0</v>
      </c>
      <c r="O87" s="57" t="n">
        <v>0</v>
      </c>
      <c r="P87" s="57" t="n">
        <v>0</v>
      </c>
      <c r="Q87" s="57" t="n">
        <v>0</v>
      </c>
      <c r="R87" s="57" t="n">
        <v>0</v>
      </c>
      <c r="S87" s="57" t="n">
        <v>0</v>
      </c>
      <c r="T87" s="62" t="n">
        <v>0</v>
      </c>
    </row>
    <row r="88" ht="16" customHeight="1" thickBot="1">
      <c r="A88" s="61" t="inlineStr">
        <is>
          <t>R. Gray</t>
        </is>
      </c>
      <c r="B88" t="inlineStr">
        <is>
          <t>Scotland</t>
        </is>
      </c>
      <c r="C88" t="inlineStr">
        <is>
          <t>Second Row</t>
        </is>
      </c>
      <c r="D88" t="n">
        <v>4</v>
      </c>
      <c r="E88" s="57" t="n">
        <v>42.5</v>
      </c>
      <c r="F88" s="57" t="n">
        <v>6</v>
      </c>
      <c r="G88" s="57" t="n">
        <v>0.5</v>
      </c>
      <c r="H88" s="57" t="n">
        <v>0</v>
      </c>
      <c r="I88" s="57" t="n">
        <v>7.25</v>
      </c>
      <c r="J88" s="57" t="n">
        <v>0</v>
      </c>
      <c r="K88" s="57" t="n">
        <v>0.25</v>
      </c>
      <c r="L88" s="57" t="n">
        <v>0</v>
      </c>
      <c r="M88" s="57" t="n">
        <v>0</v>
      </c>
      <c r="N88" s="57" t="n">
        <v>0</v>
      </c>
      <c r="O88" s="57" t="n">
        <v>0</v>
      </c>
      <c r="P88" s="57" t="n">
        <v>0</v>
      </c>
      <c r="Q88" s="57" t="n">
        <v>0</v>
      </c>
      <c r="R88" s="57" t="n">
        <v>0</v>
      </c>
      <c r="S88" s="57" t="n">
        <v>0</v>
      </c>
      <c r="T88" s="62" t="n">
        <v>0</v>
      </c>
    </row>
    <row r="89" ht="16" customHeight="1" thickBot="1">
      <c r="A89" s="63" t="inlineStr">
        <is>
          <t>S. Berghan</t>
        </is>
      </c>
      <c r="B89" t="inlineStr">
        <is>
          <t>Scotland</t>
        </is>
      </c>
      <c r="C89" t="inlineStr">
        <is>
          <t>Prop</t>
        </is>
      </c>
      <c r="D89" t="n">
        <v>2</v>
      </c>
      <c r="E89" s="57" t="n">
        <v>53.5</v>
      </c>
      <c r="F89" s="57" t="n">
        <v>10</v>
      </c>
      <c r="G89" s="57" t="n">
        <v>1</v>
      </c>
      <c r="H89" s="57" t="n">
        <v>0</v>
      </c>
      <c r="I89" s="57" t="n">
        <v>10</v>
      </c>
      <c r="J89" s="57" t="n">
        <v>0</v>
      </c>
      <c r="K89" s="57" t="n">
        <v>0</v>
      </c>
      <c r="L89" s="57" t="n">
        <v>0</v>
      </c>
      <c r="M89" s="57" t="n">
        <v>0</v>
      </c>
      <c r="N89" s="57" t="n">
        <v>0</v>
      </c>
      <c r="O89" s="57" t="n">
        <v>0</v>
      </c>
      <c r="P89" s="57" t="n">
        <v>0</v>
      </c>
      <c r="Q89" s="57" t="n">
        <v>0</v>
      </c>
      <c r="R89" s="57" t="n">
        <v>0</v>
      </c>
      <c r="S89" s="57" t="n">
        <v>0</v>
      </c>
      <c r="T89" s="62" t="n">
        <v>0</v>
      </c>
    </row>
    <row r="90" ht="16" customHeight="1" thickBot="1">
      <c r="A90" s="61" t="inlineStr">
        <is>
          <t>J. Bhatti</t>
        </is>
      </c>
      <c r="B90" t="inlineStr">
        <is>
          <t>Scotland</t>
        </is>
      </c>
      <c r="C90" t="inlineStr">
        <is>
          <t>Prop</t>
        </is>
      </c>
      <c r="D90" t="n">
        <v>4</v>
      </c>
      <c r="E90" s="57" t="n">
        <v>20.5</v>
      </c>
      <c r="F90" s="57" t="n">
        <v>4.75</v>
      </c>
      <c r="G90" s="57" t="n">
        <v>0.25</v>
      </c>
      <c r="H90" s="57" t="n">
        <v>0</v>
      </c>
      <c r="I90" s="57" t="n">
        <v>1.25</v>
      </c>
      <c r="J90" s="57" t="n">
        <v>0</v>
      </c>
      <c r="K90" s="57" t="n">
        <v>0</v>
      </c>
      <c r="L90" s="57" t="n">
        <v>0</v>
      </c>
      <c r="M90" s="57" t="n">
        <v>0</v>
      </c>
      <c r="N90" s="57" t="n">
        <v>0</v>
      </c>
      <c r="O90" s="57" t="n">
        <v>0</v>
      </c>
      <c r="P90" s="57" t="n">
        <v>0</v>
      </c>
      <c r="Q90" s="57" t="n">
        <v>0</v>
      </c>
      <c r="R90" s="57" t="n">
        <v>0</v>
      </c>
      <c r="S90" s="57" t="n">
        <v>0</v>
      </c>
      <c r="T90" s="62" t="n">
        <v>0</v>
      </c>
    </row>
    <row r="91" ht="16" customHeight="1" thickBot="1">
      <c r="A91" s="63" t="inlineStr">
        <is>
          <t>W. Nel</t>
        </is>
      </c>
      <c r="B91" t="inlineStr">
        <is>
          <t>Scotland</t>
        </is>
      </c>
      <c r="C91" t="inlineStr">
        <is>
          <t>Prop</t>
        </is>
      </c>
      <c r="D91" t="n">
        <v>3</v>
      </c>
      <c r="E91" s="57" t="n">
        <v>15.6667</v>
      </c>
      <c r="F91" s="57" t="n">
        <v>2.3333</v>
      </c>
      <c r="G91" s="57" t="n">
        <v>0</v>
      </c>
      <c r="H91" s="57" t="n">
        <v>0</v>
      </c>
      <c r="I91" s="57" t="n">
        <v>2.3333</v>
      </c>
      <c r="J91" s="57" t="n">
        <v>0</v>
      </c>
      <c r="K91" s="57" t="n">
        <v>0</v>
      </c>
      <c r="L91" s="57" t="n">
        <v>0</v>
      </c>
      <c r="M91" s="57" t="n">
        <v>0</v>
      </c>
      <c r="N91" s="57" t="n">
        <v>0</v>
      </c>
      <c r="O91" s="57" t="n">
        <v>0</v>
      </c>
      <c r="P91" s="57" t="n">
        <v>0</v>
      </c>
      <c r="Q91" s="57" t="n">
        <v>0</v>
      </c>
      <c r="R91" s="57" t="n">
        <v>0</v>
      </c>
      <c r="S91" s="57" t="n">
        <v>0</v>
      </c>
      <c r="T91" s="62" t="n">
        <v>0</v>
      </c>
    </row>
    <row r="92" ht="16" customHeight="1" thickBot="1">
      <c r="A92" s="61" t="inlineStr">
        <is>
          <t>P. Schoeman</t>
        </is>
      </c>
      <c r="B92" t="inlineStr">
        <is>
          <t>Scotland</t>
        </is>
      </c>
      <c r="C92" t="inlineStr">
        <is>
          <t>Prop</t>
        </is>
      </c>
      <c r="D92" t="n">
        <v>4</v>
      </c>
      <c r="E92" s="57" t="n">
        <v>59.5</v>
      </c>
      <c r="F92" s="57" t="n">
        <v>8.75</v>
      </c>
      <c r="G92" s="57" t="n">
        <v>0</v>
      </c>
      <c r="H92" s="57" t="n">
        <v>0</v>
      </c>
      <c r="I92" s="57" t="n">
        <v>42</v>
      </c>
      <c r="J92" s="57" t="n">
        <v>0</v>
      </c>
      <c r="K92" s="57" t="n">
        <v>0</v>
      </c>
      <c r="L92" s="57" t="n">
        <v>0.25</v>
      </c>
      <c r="M92" s="57" t="n">
        <v>0</v>
      </c>
      <c r="N92" s="57" t="n">
        <v>0</v>
      </c>
      <c r="O92" s="57" t="n">
        <v>0</v>
      </c>
      <c r="P92" s="57" t="n">
        <v>0</v>
      </c>
      <c r="Q92" s="57" t="n">
        <v>0</v>
      </c>
      <c r="R92" s="57" t="n">
        <v>0</v>
      </c>
      <c r="S92" s="57" t="n">
        <v>0</v>
      </c>
      <c r="T92" s="62" t="n">
        <v>0</v>
      </c>
    </row>
    <row r="93" ht="16" customHeight="1" thickBot="1">
      <c r="A93" s="63" t="inlineStr">
        <is>
          <t>F. Brown</t>
        </is>
      </c>
      <c r="B93" t="inlineStr">
        <is>
          <t>Scotland</t>
        </is>
      </c>
      <c r="C93" t="inlineStr">
        <is>
          <t>Hooker</t>
        </is>
      </c>
      <c r="D93" t="n">
        <v>4</v>
      </c>
      <c r="E93" s="57" t="n">
        <v>33</v>
      </c>
      <c r="F93" s="57" t="n">
        <v>6.25</v>
      </c>
      <c r="G93" s="57" t="n">
        <v>0</v>
      </c>
      <c r="H93" s="57" t="n">
        <v>0</v>
      </c>
      <c r="I93" s="57" t="n">
        <v>11.5</v>
      </c>
      <c r="J93" s="57" t="n">
        <v>0</v>
      </c>
      <c r="K93" s="57" t="n">
        <v>0.25</v>
      </c>
      <c r="L93" s="57" t="n">
        <v>0.25</v>
      </c>
      <c r="M93" s="57" t="n">
        <v>0</v>
      </c>
      <c r="N93" s="57" t="n">
        <v>0</v>
      </c>
      <c r="O93" s="57" t="n">
        <v>0</v>
      </c>
      <c r="P93" s="57" t="n">
        <v>0</v>
      </c>
      <c r="Q93" s="57" t="n">
        <v>0</v>
      </c>
      <c r="R93" s="57" t="n">
        <v>0</v>
      </c>
      <c r="S93" s="57" t="n">
        <v>0</v>
      </c>
      <c r="T93" s="62" t="n">
        <v>0</v>
      </c>
    </row>
    <row r="94" ht="16" customHeight="1" thickBot="1">
      <c r="A94" s="61" t="inlineStr">
        <is>
          <t>G. Turner</t>
        </is>
      </c>
      <c r="B94" t="inlineStr">
        <is>
          <t>Scotland</t>
        </is>
      </c>
      <c r="C94" t="inlineStr">
        <is>
          <t>Hooker</t>
        </is>
      </c>
      <c r="D94" t="n">
        <v>4</v>
      </c>
      <c r="E94" s="57" t="n">
        <v>47.75</v>
      </c>
      <c r="F94" s="57" t="n">
        <v>5.75</v>
      </c>
      <c r="G94" s="57" t="n">
        <v>0.25</v>
      </c>
      <c r="H94" s="57" t="n">
        <v>0</v>
      </c>
      <c r="I94" s="57" t="n">
        <v>30</v>
      </c>
      <c r="J94" s="57" t="n">
        <v>0</v>
      </c>
      <c r="K94" s="57" t="n">
        <v>0.25</v>
      </c>
      <c r="L94" s="57" t="n">
        <v>0</v>
      </c>
      <c r="M94" s="57" t="n">
        <v>0.25</v>
      </c>
      <c r="N94" s="57" t="n">
        <v>0</v>
      </c>
      <c r="O94" s="57" t="n">
        <v>0</v>
      </c>
      <c r="P94" s="57" t="n">
        <v>0</v>
      </c>
      <c r="Q94" s="57" t="n">
        <v>0</v>
      </c>
      <c r="R94" s="57" t="n">
        <v>0.25</v>
      </c>
      <c r="S94" s="57" t="n">
        <v>0</v>
      </c>
      <c r="T94" s="62" t="n">
        <v>0</v>
      </c>
    </row>
    <row r="95" ht="16" customHeight="1" thickBot="1">
      <c r="A95" s="61" t="inlineStr">
        <is>
          <t>P. Bruno</t>
        </is>
      </c>
      <c r="B95" t="inlineStr">
        <is>
          <t>Italy</t>
        </is>
      </c>
      <c r="C95" t="inlineStr">
        <is>
          <t>Back Three</t>
        </is>
      </c>
      <c r="D95" t="n">
        <v>4</v>
      </c>
      <c r="E95" s="57" t="n">
        <v>60</v>
      </c>
      <c r="F95" s="57" t="n">
        <v>4</v>
      </c>
      <c r="G95" s="57" t="n">
        <v>0.5</v>
      </c>
      <c r="H95" s="57" t="n">
        <v>0.25</v>
      </c>
      <c r="I95" s="57" t="n">
        <v>63.25</v>
      </c>
      <c r="J95" s="57" t="n">
        <v>0</v>
      </c>
      <c r="K95" s="57" t="n">
        <v>0.25</v>
      </c>
      <c r="L95" s="57" t="n">
        <v>0</v>
      </c>
      <c r="M95" s="57" t="n">
        <v>0.25</v>
      </c>
      <c r="N95" s="57" t="n">
        <v>0.25</v>
      </c>
      <c r="O95" s="57" t="n">
        <v>0</v>
      </c>
      <c r="P95" s="57" t="n">
        <v>0</v>
      </c>
      <c r="Q95" s="57" t="n">
        <v>0</v>
      </c>
      <c r="R95" s="57" t="n">
        <v>0.25</v>
      </c>
      <c r="S95" s="57" t="n">
        <v>0</v>
      </c>
      <c r="T95" s="62" t="n">
        <v>0</v>
      </c>
    </row>
    <row r="96" ht="16" customHeight="1" thickBot="1">
      <c r="A96" s="63" t="inlineStr">
        <is>
          <t>A. Capuozzo</t>
        </is>
      </c>
      <c r="B96" t="inlineStr">
        <is>
          <t>Italy</t>
        </is>
      </c>
      <c r="C96" t="inlineStr">
        <is>
          <t>Back Three</t>
        </is>
      </c>
      <c r="D96" t="n">
        <v>3</v>
      </c>
      <c r="E96" s="57" t="n">
        <v>75.33329999999999</v>
      </c>
      <c r="F96" s="57" t="n">
        <v>3.6667</v>
      </c>
      <c r="G96" s="57" t="n">
        <v>0.3333</v>
      </c>
      <c r="H96" s="57" t="n">
        <v>1.3333</v>
      </c>
      <c r="I96" s="57" t="n">
        <v>77.66670000000001</v>
      </c>
      <c r="J96" s="57" t="n">
        <v>0</v>
      </c>
      <c r="K96" s="57" t="n">
        <v>0</v>
      </c>
      <c r="L96" s="57" t="n">
        <v>0.3333</v>
      </c>
      <c r="M96" s="57" t="n">
        <v>0</v>
      </c>
      <c r="N96" s="57" t="n">
        <v>0</v>
      </c>
      <c r="O96" s="57" t="n">
        <v>0</v>
      </c>
      <c r="P96" s="57" t="n">
        <v>0</v>
      </c>
      <c r="Q96" s="57" t="n">
        <v>0</v>
      </c>
      <c r="R96" s="57" t="n">
        <v>0</v>
      </c>
      <c r="S96" s="57" t="n">
        <v>0</v>
      </c>
      <c r="T96" s="62" t="n">
        <v>0</v>
      </c>
    </row>
    <row r="97" ht="16" customHeight="1" thickBot="1">
      <c r="A97" s="61" t="inlineStr">
        <is>
          <t>A. Fusco</t>
        </is>
      </c>
      <c r="B97" t="inlineStr">
        <is>
          <t>Italy</t>
        </is>
      </c>
      <c r="C97" t="inlineStr">
        <is>
          <t>Back Three</t>
        </is>
      </c>
      <c r="D97" t="n">
        <v>4</v>
      </c>
      <c r="E97" s="57" t="n">
        <v>33.75</v>
      </c>
      <c r="F97" s="57" t="n">
        <v>0.25</v>
      </c>
      <c r="G97" s="57" t="n">
        <v>0.25</v>
      </c>
      <c r="H97" s="57" t="n">
        <v>0.25</v>
      </c>
      <c r="I97" s="57" t="n">
        <v>43</v>
      </c>
      <c r="J97" s="57" t="n">
        <v>0</v>
      </c>
      <c r="K97" s="57" t="n">
        <v>0</v>
      </c>
      <c r="L97" s="57" t="n">
        <v>0</v>
      </c>
      <c r="M97" s="57" t="n">
        <v>0.5</v>
      </c>
      <c r="N97" s="57" t="n">
        <v>0</v>
      </c>
      <c r="O97" s="57" t="n">
        <v>0</v>
      </c>
      <c r="P97" s="57" t="n">
        <v>0</v>
      </c>
      <c r="Q97" s="57" t="n">
        <v>0</v>
      </c>
      <c r="R97" s="57" t="n">
        <v>0</v>
      </c>
      <c r="S97" s="57" t="n">
        <v>0</v>
      </c>
      <c r="T97" s="62" t="n">
        <v>0</v>
      </c>
    </row>
    <row r="98" ht="16" customHeight="1" thickBot="1">
      <c r="A98" s="63" t="inlineStr">
        <is>
          <t>T. Menoncello</t>
        </is>
      </c>
      <c r="B98" t="inlineStr">
        <is>
          <t>Italy</t>
        </is>
      </c>
      <c r="C98" t="inlineStr">
        <is>
          <t>Back Three</t>
        </is>
      </c>
      <c r="D98" t="n">
        <v>4</v>
      </c>
      <c r="E98" s="57" t="n">
        <v>55.75</v>
      </c>
      <c r="F98" s="57" t="n">
        <v>6.5</v>
      </c>
      <c r="G98" s="57" t="n">
        <v>0.25</v>
      </c>
      <c r="H98" s="57" t="n">
        <v>0.75</v>
      </c>
      <c r="I98" s="57" t="n">
        <v>46</v>
      </c>
      <c r="J98" s="57" t="n">
        <v>0</v>
      </c>
      <c r="K98" s="57" t="n">
        <v>0</v>
      </c>
      <c r="L98" s="57" t="n">
        <v>0</v>
      </c>
      <c r="M98" s="57" t="n">
        <v>0</v>
      </c>
      <c r="N98" s="57" t="n">
        <v>0</v>
      </c>
      <c r="O98" s="57" t="n">
        <v>0</v>
      </c>
      <c r="P98" s="57" t="n">
        <v>0</v>
      </c>
      <c r="Q98" s="57" t="n">
        <v>0</v>
      </c>
      <c r="R98" s="57" t="n">
        <v>0</v>
      </c>
      <c r="S98" s="57" t="n">
        <v>0</v>
      </c>
      <c r="T98" s="62" t="n">
        <v>0</v>
      </c>
    </row>
    <row r="99" ht="16" customHeight="1" thickBot="1">
      <c r="A99" s="61" t="inlineStr">
        <is>
          <t>E. Padovani</t>
        </is>
      </c>
      <c r="B99" t="inlineStr">
        <is>
          <t>Italy</t>
        </is>
      </c>
      <c r="C99" t="inlineStr">
        <is>
          <t>Back Three</t>
        </is>
      </c>
      <c r="D99" t="n">
        <v>4</v>
      </c>
      <c r="E99" s="57" t="n">
        <v>80</v>
      </c>
      <c r="F99" s="57" t="n">
        <v>1</v>
      </c>
      <c r="G99" s="57" t="n">
        <v>0.25</v>
      </c>
      <c r="H99" s="57" t="n">
        <v>0.5</v>
      </c>
      <c r="I99" s="57" t="n">
        <v>44</v>
      </c>
      <c r="J99" s="57" t="n">
        <v>0</v>
      </c>
      <c r="K99" s="57" t="n">
        <v>0</v>
      </c>
      <c r="L99" s="57" t="n">
        <v>0</v>
      </c>
      <c r="M99" s="57" t="n">
        <v>0</v>
      </c>
      <c r="N99" s="57" t="n">
        <v>0</v>
      </c>
      <c r="O99" s="57" t="n">
        <v>0</v>
      </c>
      <c r="P99" s="57" t="n">
        <v>0</v>
      </c>
      <c r="Q99" s="57" t="n">
        <v>0</v>
      </c>
      <c r="R99" s="57" t="n">
        <v>0</v>
      </c>
      <c r="S99" s="57" t="n">
        <v>0</v>
      </c>
      <c r="T99" s="62" t="n">
        <v>0</v>
      </c>
    </row>
    <row r="100" ht="16" customHeight="1" thickBot="1">
      <c r="A100" s="63" t="inlineStr">
        <is>
          <t>J. Brex</t>
        </is>
      </c>
      <c r="B100" t="inlineStr">
        <is>
          <t>Italy</t>
        </is>
      </c>
      <c r="C100" t="inlineStr">
        <is>
          <t>Centre</t>
        </is>
      </c>
      <c r="D100" t="n">
        <v>4</v>
      </c>
      <c r="E100" s="57" t="n">
        <v>63.5</v>
      </c>
      <c r="F100" s="57" t="n">
        <v>3.75</v>
      </c>
      <c r="G100" s="57" t="n">
        <v>0.25</v>
      </c>
      <c r="H100" s="57" t="n">
        <v>0.25</v>
      </c>
      <c r="I100" s="57" t="n">
        <v>55.5</v>
      </c>
      <c r="J100" s="57" t="n">
        <v>0</v>
      </c>
      <c r="K100" s="57" t="n">
        <v>0</v>
      </c>
      <c r="L100" s="57" t="n">
        <v>0</v>
      </c>
      <c r="M100" s="57" t="n">
        <v>0.25</v>
      </c>
      <c r="N100" s="57" t="n">
        <v>0</v>
      </c>
      <c r="O100" s="57" t="n">
        <v>0</v>
      </c>
      <c r="P100" s="57" t="n">
        <v>0</v>
      </c>
      <c r="Q100" s="57" t="n">
        <v>0</v>
      </c>
      <c r="R100" s="57" t="n">
        <v>0</v>
      </c>
      <c r="S100" s="57" t="n">
        <v>0</v>
      </c>
      <c r="T100" s="62" t="n">
        <v>0</v>
      </c>
    </row>
    <row r="101" ht="16" customHeight="1" thickBot="1">
      <c r="A101" s="61" t="inlineStr">
        <is>
          <t>L. Morisi</t>
        </is>
      </c>
      <c r="B101" t="inlineStr">
        <is>
          <t>Italy</t>
        </is>
      </c>
      <c r="C101" t="inlineStr">
        <is>
          <t>Centre</t>
        </is>
      </c>
      <c r="D101" t="n">
        <v>4</v>
      </c>
      <c r="E101" s="57" t="n">
        <v>37.5</v>
      </c>
      <c r="F101" s="57" t="n">
        <v>3.75</v>
      </c>
      <c r="G101" s="57" t="n">
        <v>0</v>
      </c>
      <c r="H101" s="57" t="n">
        <v>0</v>
      </c>
      <c r="I101" s="57" t="n">
        <v>35.25</v>
      </c>
      <c r="J101" s="57" t="n">
        <v>0</v>
      </c>
      <c r="K101" s="57" t="n">
        <v>0</v>
      </c>
      <c r="L101" s="57" t="n">
        <v>0</v>
      </c>
      <c r="M101" s="57" t="n">
        <v>0</v>
      </c>
      <c r="N101" s="57" t="n">
        <v>0</v>
      </c>
      <c r="O101" s="57" t="n">
        <v>0</v>
      </c>
      <c r="P101" s="57" t="n">
        <v>0</v>
      </c>
      <c r="Q101" s="57" t="n">
        <v>0</v>
      </c>
      <c r="R101" s="57" t="n">
        <v>0</v>
      </c>
      <c r="S101" s="57" t="n">
        <v>0</v>
      </c>
      <c r="T101" s="62" t="n">
        <v>0</v>
      </c>
    </row>
    <row r="102" ht="16" customHeight="1" thickBot="1">
      <c r="A102" s="63" t="inlineStr">
        <is>
          <t>T. Allan</t>
        </is>
      </c>
      <c r="B102" t="inlineStr">
        <is>
          <t>Italy</t>
        </is>
      </c>
      <c r="C102" t="inlineStr">
        <is>
          <t>Fly Half</t>
        </is>
      </c>
      <c r="D102" t="n">
        <v>4</v>
      </c>
      <c r="E102" s="57" t="n">
        <v>62</v>
      </c>
      <c r="F102" s="57" t="n">
        <v>6.25</v>
      </c>
      <c r="G102" s="57" t="n">
        <v>0.25</v>
      </c>
      <c r="H102" s="57" t="n">
        <v>0.75</v>
      </c>
      <c r="I102" s="57" t="n">
        <v>54</v>
      </c>
      <c r="J102" s="57" t="n">
        <v>0</v>
      </c>
      <c r="K102" s="57" t="n">
        <v>0</v>
      </c>
      <c r="L102" s="57" t="n">
        <v>0</v>
      </c>
      <c r="M102" s="57" t="n">
        <v>0</v>
      </c>
      <c r="N102" s="57" t="n">
        <v>0.25</v>
      </c>
      <c r="O102" s="57" t="n">
        <v>1</v>
      </c>
      <c r="P102" s="57" t="n">
        <v>0.25</v>
      </c>
      <c r="Q102" s="57" t="n">
        <v>0</v>
      </c>
      <c r="R102" s="57" t="n">
        <v>0</v>
      </c>
      <c r="S102" s="57" t="n">
        <v>0</v>
      </c>
      <c r="T102" s="62" t="n">
        <v>0</v>
      </c>
    </row>
    <row r="103" ht="16" customHeight="1" thickBot="1">
      <c r="A103" s="61" t="inlineStr">
        <is>
          <t>S. Varney</t>
        </is>
      </c>
      <c r="B103" t="inlineStr">
        <is>
          <t>Italy</t>
        </is>
      </c>
      <c r="C103" t="inlineStr">
        <is>
          <t>Scrum Half</t>
        </is>
      </c>
      <c r="D103" t="n">
        <v>4</v>
      </c>
      <c r="E103" s="57" t="n">
        <v>66.25</v>
      </c>
      <c r="F103" s="57" t="n">
        <v>2.5</v>
      </c>
      <c r="G103" s="57" t="n">
        <v>0.5</v>
      </c>
      <c r="H103" s="57" t="n">
        <v>0</v>
      </c>
      <c r="I103" s="57" t="n">
        <v>40.75</v>
      </c>
      <c r="J103" s="57" t="n">
        <v>0</v>
      </c>
      <c r="K103" s="57" t="n">
        <v>0</v>
      </c>
      <c r="L103" s="57" t="n">
        <v>0</v>
      </c>
      <c r="M103" s="57" t="n">
        <v>0.25</v>
      </c>
      <c r="N103" s="57" t="n">
        <v>0</v>
      </c>
      <c r="O103" s="57" t="n">
        <v>0</v>
      </c>
      <c r="P103" s="57" t="n">
        <v>1</v>
      </c>
      <c r="Q103" s="57" t="n">
        <v>0</v>
      </c>
      <c r="R103" s="57" t="n">
        <v>0</v>
      </c>
      <c r="S103" s="57" t="n">
        <v>0</v>
      </c>
      <c r="T103" s="62" t="n">
        <v>0</v>
      </c>
    </row>
    <row r="104" ht="16" customHeight="1" thickBot="1">
      <c r="A104" s="63" t="inlineStr">
        <is>
          <t>E. Iachizzi</t>
        </is>
      </c>
      <c r="B104" t="inlineStr">
        <is>
          <t>Italy</t>
        </is>
      </c>
      <c r="C104" t="inlineStr">
        <is>
          <t>Back Row</t>
        </is>
      </c>
      <c r="D104" t="n">
        <v>4</v>
      </c>
      <c r="E104" s="57" t="n">
        <v>29.25</v>
      </c>
      <c r="F104" s="57" t="n">
        <v>1.75</v>
      </c>
      <c r="G104" s="57" t="n">
        <v>0.25</v>
      </c>
      <c r="H104" s="57" t="n">
        <v>0.25</v>
      </c>
      <c r="I104" s="57" t="n">
        <v>14</v>
      </c>
      <c r="J104" s="57" t="n">
        <v>0</v>
      </c>
      <c r="K104" s="57" t="n">
        <v>0</v>
      </c>
      <c r="L104" s="57" t="n">
        <v>0.25</v>
      </c>
      <c r="M104" s="57" t="n">
        <v>0</v>
      </c>
      <c r="N104" s="57" t="n">
        <v>0.25</v>
      </c>
      <c r="O104" s="57" t="n">
        <v>0</v>
      </c>
      <c r="P104" s="57" t="n">
        <v>0</v>
      </c>
      <c r="Q104" s="57" t="n">
        <v>0</v>
      </c>
      <c r="R104" s="57" t="n">
        <v>0</v>
      </c>
      <c r="S104" s="57" t="n">
        <v>0</v>
      </c>
      <c r="T104" s="62" t="n">
        <v>0</v>
      </c>
    </row>
    <row r="105" ht="16" customHeight="1" thickBot="1">
      <c r="A105" s="61" t="inlineStr">
        <is>
          <t>M. Lamaro</t>
        </is>
      </c>
      <c r="B105" t="inlineStr">
        <is>
          <t>Italy</t>
        </is>
      </c>
      <c r="C105" t="inlineStr">
        <is>
          <t>Back Row</t>
        </is>
      </c>
      <c r="D105" t="n">
        <v>4</v>
      </c>
      <c r="E105" s="57" t="n">
        <v>47.75</v>
      </c>
      <c r="F105" s="57" t="n">
        <v>4.75</v>
      </c>
      <c r="G105" s="57" t="n">
        <v>0.5</v>
      </c>
      <c r="H105" s="57" t="n">
        <v>0</v>
      </c>
      <c r="I105" s="57" t="n">
        <v>14.25</v>
      </c>
      <c r="J105" s="57" t="n">
        <v>0</v>
      </c>
      <c r="K105" s="57" t="n">
        <v>0</v>
      </c>
      <c r="L105" s="57" t="n">
        <v>0</v>
      </c>
      <c r="M105" s="57" t="n">
        <v>0</v>
      </c>
      <c r="N105" s="57" t="n">
        <v>0</v>
      </c>
      <c r="O105" s="57" t="n">
        <v>0</v>
      </c>
      <c r="P105" s="57" t="n">
        <v>0</v>
      </c>
      <c r="Q105" s="57" t="n">
        <v>0</v>
      </c>
      <c r="R105" s="57" t="n">
        <v>0</v>
      </c>
      <c r="S105" s="57" t="n">
        <v>0</v>
      </c>
      <c r="T105" s="62" t="n">
        <v>0</v>
      </c>
    </row>
    <row r="106" ht="16" customHeight="1" thickBot="1">
      <c r="A106" s="63" t="inlineStr">
        <is>
          <t>S. Negri</t>
        </is>
      </c>
      <c r="B106" t="inlineStr">
        <is>
          <t>Italy</t>
        </is>
      </c>
      <c r="C106" t="inlineStr">
        <is>
          <t>Back Row</t>
        </is>
      </c>
      <c r="D106" t="n">
        <v>4</v>
      </c>
      <c r="E106" s="57" t="n">
        <v>71.5</v>
      </c>
      <c r="F106" s="57" t="n">
        <v>8</v>
      </c>
      <c r="G106" s="57" t="n">
        <v>0.5</v>
      </c>
      <c r="H106" s="57" t="n">
        <v>0.5</v>
      </c>
      <c r="I106" s="57" t="n">
        <v>58</v>
      </c>
      <c r="J106" s="57" t="n">
        <v>0</v>
      </c>
      <c r="K106" s="57" t="n">
        <v>0</v>
      </c>
      <c r="L106" s="57" t="n">
        <v>0</v>
      </c>
      <c r="M106" s="57" t="n">
        <v>0.25</v>
      </c>
      <c r="N106" s="57" t="n">
        <v>0</v>
      </c>
      <c r="O106" s="57" t="n">
        <v>0</v>
      </c>
      <c r="P106" s="57" t="n">
        <v>0</v>
      </c>
      <c r="Q106" s="57" t="n">
        <v>0</v>
      </c>
      <c r="R106" s="57" t="n">
        <v>0</v>
      </c>
      <c r="S106" s="57" t="n">
        <v>0</v>
      </c>
      <c r="T106" s="62" t="n">
        <v>0</v>
      </c>
    </row>
    <row r="107" ht="16" customHeight="1" thickBot="1">
      <c r="A107" s="61" t="inlineStr">
        <is>
          <t>G. Pettinelli</t>
        </is>
      </c>
      <c r="B107" t="inlineStr">
        <is>
          <t>Italy</t>
        </is>
      </c>
      <c r="C107" t="inlineStr">
        <is>
          <t>Back Row</t>
        </is>
      </c>
      <c r="D107" t="n">
        <v>3</v>
      </c>
      <c r="E107" s="57" t="n">
        <v>27.6667</v>
      </c>
      <c r="F107" s="57" t="n">
        <v>3.6667</v>
      </c>
      <c r="G107" s="57" t="n">
        <v>0.3333</v>
      </c>
      <c r="H107" s="57" t="n">
        <v>0.3333</v>
      </c>
      <c r="I107" s="57" t="n">
        <v>32.6667</v>
      </c>
      <c r="J107" s="57" t="n">
        <v>0</v>
      </c>
      <c r="K107" s="57" t="n">
        <v>0</v>
      </c>
      <c r="L107" s="57" t="n">
        <v>0</v>
      </c>
      <c r="M107" s="57" t="n">
        <v>0</v>
      </c>
      <c r="N107" s="57" t="n">
        <v>0</v>
      </c>
      <c r="O107" s="57" t="n">
        <v>0</v>
      </c>
      <c r="P107" s="57" t="n">
        <v>0</v>
      </c>
      <c r="Q107" s="57" t="n">
        <v>0</v>
      </c>
      <c r="R107" s="57" t="n">
        <v>0</v>
      </c>
      <c r="S107" s="57" t="n">
        <v>0</v>
      </c>
      <c r="T107" s="62" t="n">
        <v>0</v>
      </c>
    </row>
    <row r="108" ht="16" customHeight="1" thickBot="1">
      <c r="A108" s="63" t="inlineStr">
        <is>
          <t>N. Cannone</t>
        </is>
      </c>
      <c r="B108" t="inlineStr">
        <is>
          <t>Italy</t>
        </is>
      </c>
      <c r="C108" t="inlineStr">
        <is>
          <t>Second Row</t>
        </is>
      </c>
      <c r="D108" t="n">
        <v>4</v>
      </c>
      <c r="E108" s="57" t="n">
        <v>52</v>
      </c>
      <c r="F108" s="57" t="n">
        <v>5.25</v>
      </c>
      <c r="G108" s="57" t="n">
        <v>0.25</v>
      </c>
      <c r="H108" s="57" t="n">
        <v>0</v>
      </c>
      <c r="I108" s="57" t="n">
        <v>15.75</v>
      </c>
      <c r="J108" s="57" t="n">
        <v>0</v>
      </c>
      <c r="K108" s="57" t="n">
        <v>0</v>
      </c>
      <c r="L108" s="57" t="n">
        <v>0</v>
      </c>
      <c r="M108" s="57" t="n">
        <v>0</v>
      </c>
      <c r="N108" s="57" t="n">
        <v>0</v>
      </c>
      <c r="O108" s="57" t="n">
        <v>0</v>
      </c>
      <c r="P108" s="57" t="n">
        <v>0</v>
      </c>
      <c r="Q108" s="57" t="n">
        <v>0</v>
      </c>
      <c r="R108" s="57" t="n">
        <v>0</v>
      </c>
      <c r="S108" s="57" t="n">
        <v>0</v>
      </c>
      <c r="T108" s="62" t="n">
        <v>0</v>
      </c>
    </row>
    <row r="109" ht="16" customHeight="1" thickBot="1">
      <c r="A109" s="61" t="inlineStr">
        <is>
          <t>L. Cannone</t>
        </is>
      </c>
      <c r="B109" t="inlineStr">
        <is>
          <t>Italy</t>
        </is>
      </c>
      <c r="C109" t="inlineStr">
        <is>
          <t>Second Row</t>
        </is>
      </c>
      <c r="D109" t="n">
        <v>4</v>
      </c>
      <c r="E109" s="57" t="n">
        <v>63.25</v>
      </c>
      <c r="F109" s="57" t="n">
        <v>9.75</v>
      </c>
      <c r="G109" s="57" t="n">
        <v>1.5</v>
      </c>
      <c r="H109" s="57" t="n">
        <v>0.5</v>
      </c>
      <c r="I109" s="57" t="n">
        <v>54.5</v>
      </c>
      <c r="J109" s="57" t="n">
        <v>0</v>
      </c>
      <c r="K109" s="57" t="n">
        <v>0</v>
      </c>
      <c r="L109" s="57" t="n">
        <v>0</v>
      </c>
      <c r="M109" s="57" t="n">
        <v>0</v>
      </c>
      <c r="N109" s="57" t="n">
        <v>0</v>
      </c>
      <c r="O109" s="57" t="n">
        <v>0</v>
      </c>
      <c r="P109" s="57" t="n">
        <v>0</v>
      </c>
      <c r="Q109" s="57" t="n">
        <v>0</v>
      </c>
      <c r="R109" s="57" t="n">
        <v>0.5</v>
      </c>
      <c r="S109" s="57" t="n">
        <v>0</v>
      </c>
      <c r="T109" s="62" t="n">
        <v>0</v>
      </c>
    </row>
    <row r="110" ht="16" customHeight="1" thickBot="1">
      <c r="A110" s="63" t="inlineStr">
        <is>
          <t>F. Ruzza</t>
        </is>
      </c>
      <c r="B110" t="inlineStr">
        <is>
          <t>Italy</t>
        </is>
      </c>
      <c r="C110" t="inlineStr">
        <is>
          <t>Second Row</t>
        </is>
      </c>
      <c r="D110" t="n">
        <v>4</v>
      </c>
      <c r="E110" s="57" t="n">
        <v>77.25</v>
      </c>
      <c r="F110" s="57" t="n">
        <v>7.75</v>
      </c>
      <c r="G110" s="57" t="n">
        <v>0.5</v>
      </c>
      <c r="H110" s="57" t="n">
        <v>0.25</v>
      </c>
      <c r="I110" s="57" t="n">
        <v>34.5</v>
      </c>
      <c r="J110" s="57" t="n">
        <v>0</v>
      </c>
      <c r="K110" s="57" t="n">
        <v>0.25</v>
      </c>
      <c r="L110" s="57" t="n">
        <v>0.25</v>
      </c>
      <c r="M110" s="57" t="n">
        <v>0</v>
      </c>
      <c r="N110" s="57" t="n">
        <v>0</v>
      </c>
      <c r="O110" s="57" t="n">
        <v>0</v>
      </c>
      <c r="P110" s="57" t="n">
        <v>0</v>
      </c>
      <c r="Q110" s="57" t="n">
        <v>0</v>
      </c>
      <c r="R110" s="57" t="n">
        <v>0</v>
      </c>
      <c r="S110" s="57" t="n">
        <v>0</v>
      </c>
      <c r="T110" s="62" t="n">
        <v>0</v>
      </c>
    </row>
    <row r="111" ht="16" customHeight="1" thickBot="1">
      <c r="A111" s="61" t="inlineStr">
        <is>
          <t>M. Zuliani</t>
        </is>
      </c>
      <c r="B111" t="inlineStr">
        <is>
          <t>Italy</t>
        </is>
      </c>
      <c r="C111" t="inlineStr">
        <is>
          <t>Second Row</t>
        </is>
      </c>
      <c r="D111" t="n">
        <v>3</v>
      </c>
      <c r="E111" s="57" t="n">
        <v>54.6667</v>
      </c>
      <c r="F111" s="57" t="n">
        <v>6.6667</v>
      </c>
      <c r="G111" s="57" t="n">
        <v>1.3333</v>
      </c>
      <c r="H111" s="57" t="n">
        <v>0.6667</v>
      </c>
      <c r="I111" s="57" t="n">
        <v>44</v>
      </c>
      <c r="J111" s="57" t="n">
        <v>0</v>
      </c>
      <c r="K111" s="57" t="n">
        <v>0.3333</v>
      </c>
      <c r="L111" s="57" t="n">
        <v>0.6667</v>
      </c>
      <c r="M111" s="57" t="n">
        <v>0</v>
      </c>
      <c r="N111" s="57" t="n">
        <v>0</v>
      </c>
      <c r="O111" s="57" t="n">
        <v>0</v>
      </c>
      <c r="P111" s="57" t="n">
        <v>0</v>
      </c>
      <c r="Q111" s="57" t="n">
        <v>0</v>
      </c>
      <c r="R111" s="57" t="n">
        <v>0</v>
      </c>
      <c r="S111" s="57" t="n">
        <v>0</v>
      </c>
      <c r="T111" s="62" t="n">
        <v>0</v>
      </c>
    </row>
    <row r="112" ht="16" customHeight="1" thickBot="1">
      <c r="A112" s="63" t="inlineStr">
        <is>
          <t>P. Ceccarelli</t>
        </is>
      </c>
      <c r="B112" t="inlineStr">
        <is>
          <t>Italy</t>
        </is>
      </c>
      <c r="C112" t="inlineStr">
        <is>
          <t>Prop</t>
        </is>
      </c>
      <c r="D112" t="n">
        <v>1</v>
      </c>
      <c r="E112" s="57" t="n">
        <v>15</v>
      </c>
      <c r="F112" s="57" t="n">
        <v>0</v>
      </c>
      <c r="G112" s="57" t="n">
        <v>0</v>
      </c>
      <c r="H112" s="57" t="n">
        <v>0</v>
      </c>
      <c r="I112" s="57" t="n">
        <v>16</v>
      </c>
      <c r="J112" s="57" t="n">
        <v>0</v>
      </c>
      <c r="K112" s="57" t="n">
        <v>0</v>
      </c>
      <c r="L112" s="57" t="n">
        <v>0</v>
      </c>
      <c r="M112" s="57" t="n">
        <v>0</v>
      </c>
      <c r="N112" s="57" t="n">
        <v>0</v>
      </c>
      <c r="O112" s="57" t="n">
        <v>0</v>
      </c>
      <c r="P112" s="57" t="n">
        <v>0</v>
      </c>
      <c r="Q112" s="57" t="n">
        <v>0</v>
      </c>
      <c r="R112" s="57" t="n">
        <v>0</v>
      </c>
      <c r="S112" s="57" t="n">
        <v>0</v>
      </c>
      <c r="T112" s="62" t="n">
        <v>0</v>
      </c>
    </row>
    <row r="113" ht="16" customHeight="1" thickBot="1">
      <c r="A113" s="61" t="inlineStr">
        <is>
          <t>S. Ferrari</t>
        </is>
      </c>
      <c r="B113" t="inlineStr">
        <is>
          <t>Italy</t>
        </is>
      </c>
      <c r="C113" t="inlineStr">
        <is>
          <t>Prop</t>
        </is>
      </c>
      <c r="D113" t="n">
        <v>4</v>
      </c>
      <c r="E113" s="57" t="n">
        <v>33.5</v>
      </c>
      <c r="F113" s="57" t="n">
        <v>3.75</v>
      </c>
      <c r="G113" s="57" t="n">
        <v>0.25</v>
      </c>
      <c r="H113" s="57" t="n">
        <v>0</v>
      </c>
      <c r="I113" s="57" t="n">
        <v>5.5</v>
      </c>
      <c r="J113" s="57" t="n">
        <v>0</v>
      </c>
      <c r="K113" s="57" t="n">
        <v>0</v>
      </c>
      <c r="L113" s="57" t="n">
        <v>0</v>
      </c>
      <c r="M113" s="57" t="n">
        <v>0</v>
      </c>
      <c r="N113" s="57" t="n">
        <v>0</v>
      </c>
      <c r="O113" s="57" t="n">
        <v>0</v>
      </c>
      <c r="P113" s="57" t="n">
        <v>0</v>
      </c>
      <c r="Q113" s="57" t="n">
        <v>0</v>
      </c>
      <c r="R113" s="57" t="n">
        <v>0.25</v>
      </c>
      <c r="S113" s="57" t="n">
        <v>0</v>
      </c>
      <c r="T113" s="62" t="n">
        <v>0</v>
      </c>
    </row>
    <row r="114" ht="16" customHeight="1" thickBot="1">
      <c r="A114" s="63" t="inlineStr">
        <is>
          <t>D. Fischetti</t>
        </is>
      </c>
      <c r="B114" t="inlineStr">
        <is>
          <t>Italy</t>
        </is>
      </c>
      <c r="C114" t="inlineStr">
        <is>
          <t>Prop</t>
        </is>
      </c>
      <c r="D114" t="n">
        <v>4</v>
      </c>
      <c r="E114" s="57" t="n">
        <v>58.25</v>
      </c>
      <c r="F114" s="57" t="n">
        <v>8</v>
      </c>
      <c r="G114" s="57" t="n">
        <v>1.5</v>
      </c>
      <c r="H114" s="57" t="n">
        <v>0</v>
      </c>
      <c r="I114" s="57" t="n">
        <v>21.75</v>
      </c>
      <c r="J114" s="57" t="n">
        <v>0</v>
      </c>
      <c r="K114" s="57" t="n">
        <v>0</v>
      </c>
      <c r="L114" s="57" t="n">
        <v>0</v>
      </c>
      <c r="M114" s="57" t="n">
        <v>0</v>
      </c>
      <c r="N114" s="57" t="n">
        <v>0</v>
      </c>
      <c r="O114" s="57" t="n">
        <v>0</v>
      </c>
      <c r="P114" s="57" t="n">
        <v>0</v>
      </c>
      <c r="Q114" s="57" t="n">
        <v>0</v>
      </c>
      <c r="R114" s="57" t="n">
        <v>0</v>
      </c>
      <c r="S114" s="57" t="n">
        <v>0</v>
      </c>
      <c r="T114" s="62" t="n">
        <v>0</v>
      </c>
    </row>
    <row r="115" ht="16" customHeight="1" thickBot="1">
      <c r="A115" s="61" t="inlineStr">
        <is>
          <t>F. Zani</t>
        </is>
      </c>
      <c r="B115" t="inlineStr">
        <is>
          <t>Italy</t>
        </is>
      </c>
      <c r="C115" t="inlineStr">
        <is>
          <t>Prop</t>
        </is>
      </c>
      <c r="D115" t="n">
        <v>4</v>
      </c>
      <c r="E115" s="57" t="n">
        <v>33</v>
      </c>
      <c r="F115" s="57" t="n">
        <v>3.25</v>
      </c>
      <c r="G115" s="57" t="n">
        <v>0.75</v>
      </c>
      <c r="H115" s="57" t="n">
        <v>0.25</v>
      </c>
      <c r="I115" s="57" t="n">
        <v>14.75</v>
      </c>
      <c r="J115" s="57" t="n">
        <v>0</v>
      </c>
      <c r="K115" s="57" t="n">
        <v>0</v>
      </c>
      <c r="L115" s="57" t="n">
        <v>0</v>
      </c>
      <c r="M115" s="57" t="n">
        <v>0</v>
      </c>
      <c r="N115" s="57" t="n">
        <v>0</v>
      </c>
      <c r="O115" s="57" t="n">
        <v>0</v>
      </c>
      <c r="P115" s="57" t="n">
        <v>0</v>
      </c>
      <c r="Q115" s="57" t="n">
        <v>0</v>
      </c>
      <c r="R115" s="57" t="n">
        <v>0</v>
      </c>
      <c r="S115" s="57" t="n">
        <v>0</v>
      </c>
      <c r="T115" s="62" t="n">
        <v>0</v>
      </c>
    </row>
    <row r="116" ht="16" customHeight="1" thickBot="1">
      <c r="A116" s="63" t="inlineStr">
        <is>
          <t>L. Bigi</t>
        </is>
      </c>
      <c r="B116" t="inlineStr">
        <is>
          <t>Italy</t>
        </is>
      </c>
      <c r="C116" t="inlineStr">
        <is>
          <t>Hooker</t>
        </is>
      </c>
      <c r="D116" t="n">
        <v>4</v>
      </c>
      <c r="E116" s="57" t="n">
        <v>21.75</v>
      </c>
      <c r="F116" s="57" t="n">
        <v>4</v>
      </c>
      <c r="G116" s="57" t="n">
        <v>0.5</v>
      </c>
      <c r="H116" s="57" t="n">
        <v>0</v>
      </c>
      <c r="I116" s="57" t="n">
        <v>3.75</v>
      </c>
      <c r="J116" s="57" t="n">
        <v>0</v>
      </c>
      <c r="K116" s="57" t="n">
        <v>0</v>
      </c>
      <c r="L116" s="57" t="n">
        <v>0</v>
      </c>
      <c r="M116" s="57" t="n">
        <v>0</v>
      </c>
      <c r="N116" s="57" t="n">
        <v>0</v>
      </c>
      <c r="O116" s="57" t="n">
        <v>0</v>
      </c>
      <c r="P116" s="57" t="n">
        <v>0</v>
      </c>
      <c r="Q116" s="57" t="n">
        <v>0</v>
      </c>
      <c r="R116" s="57" t="n">
        <v>0</v>
      </c>
      <c r="S116" s="57" t="n">
        <v>0</v>
      </c>
      <c r="T116" s="62" t="n">
        <v>0</v>
      </c>
    </row>
    <row r="117" ht="16" customHeight="1" thickBot="1">
      <c r="A117" s="61" t="inlineStr">
        <is>
          <t>G. Nicotera</t>
        </is>
      </c>
      <c r="B117" t="inlineStr">
        <is>
          <t>Italy</t>
        </is>
      </c>
      <c r="C117" t="inlineStr">
        <is>
          <t>Hooker</t>
        </is>
      </c>
      <c r="D117" t="n">
        <v>4</v>
      </c>
      <c r="E117" s="57" t="n">
        <v>43.75</v>
      </c>
      <c r="F117" s="57" t="n">
        <v>7.75</v>
      </c>
      <c r="G117" s="57" t="n">
        <v>0.25</v>
      </c>
      <c r="H117" s="57" t="n">
        <v>0</v>
      </c>
      <c r="I117" s="57" t="n">
        <v>20.5</v>
      </c>
      <c r="J117" s="57" t="n">
        <v>0</v>
      </c>
      <c r="K117" s="57" t="n">
        <v>0</v>
      </c>
      <c r="L117" s="57" t="n">
        <v>0.25</v>
      </c>
      <c r="M117" s="57" t="n">
        <v>0</v>
      </c>
      <c r="N117" s="57" t="n">
        <v>0</v>
      </c>
      <c r="O117" s="57" t="n">
        <v>0</v>
      </c>
      <c r="P117" s="57" t="n">
        <v>0</v>
      </c>
      <c r="Q117" s="57" t="n">
        <v>0</v>
      </c>
      <c r="R117" s="57" t="n">
        <v>0</v>
      </c>
      <c r="S117" s="57" t="n">
        <v>0</v>
      </c>
      <c r="T117" s="62" t="n">
        <v>0</v>
      </c>
    </row>
    <row r="118" ht="16" customHeight="1" thickBot="1">
      <c r="A118" s="61" t="inlineStr">
        <is>
          <t>D. Penaud</t>
        </is>
      </c>
      <c r="B118" t="inlineStr">
        <is>
          <t>France</t>
        </is>
      </c>
      <c r="C118" t="inlineStr">
        <is>
          <t>Back Three</t>
        </is>
      </c>
      <c r="D118" t="n">
        <v>4</v>
      </c>
      <c r="E118" s="57" t="n">
        <v>77.25</v>
      </c>
      <c r="F118" s="57" t="n">
        <v>5.75</v>
      </c>
      <c r="G118" s="57" t="n">
        <v>0.25</v>
      </c>
      <c r="H118" s="57" t="n">
        <v>0.75</v>
      </c>
      <c r="I118" s="57" t="n">
        <v>66.5</v>
      </c>
      <c r="J118" s="57" t="n">
        <v>0</v>
      </c>
      <c r="K118" s="57" t="n">
        <v>0</v>
      </c>
      <c r="L118" s="57" t="n">
        <v>0.25</v>
      </c>
      <c r="M118" s="57" t="n">
        <v>0.75</v>
      </c>
      <c r="N118" s="57" t="n">
        <v>0</v>
      </c>
      <c r="O118" s="57" t="n">
        <v>0</v>
      </c>
      <c r="P118" s="57" t="n">
        <v>0</v>
      </c>
      <c r="Q118" s="57" t="n">
        <v>0</v>
      </c>
      <c r="R118" s="57" t="n">
        <v>0</v>
      </c>
      <c r="S118" s="57" t="n">
        <v>0</v>
      </c>
      <c r="T118" s="62" t="n">
        <v>0</v>
      </c>
    </row>
    <row r="119" ht="16" customHeight="1" thickBot="1">
      <c r="A119" s="63" t="inlineStr">
        <is>
          <t>T. Ramos</t>
        </is>
      </c>
      <c r="B119" t="inlineStr">
        <is>
          <t>France</t>
        </is>
      </c>
      <c r="C119" t="inlineStr">
        <is>
          <t>Back Three</t>
        </is>
      </c>
      <c r="D119" t="n">
        <v>4</v>
      </c>
      <c r="E119" s="57" t="n">
        <v>75.25</v>
      </c>
      <c r="F119" s="57" t="n">
        <v>1.25</v>
      </c>
      <c r="G119" s="57" t="n">
        <v>0.75</v>
      </c>
      <c r="H119" s="57" t="n">
        <v>1.25</v>
      </c>
      <c r="I119" s="57" t="n">
        <v>103.75</v>
      </c>
      <c r="J119" s="57" t="n">
        <v>0</v>
      </c>
      <c r="K119" s="57" t="n">
        <v>0</v>
      </c>
      <c r="L119" s="57" t="n">
        <v>0</v>
      </c>
      <c r="M119" s="57" t="n">
        <v>0.5</v>
      </c>
      <c r="N119" s="57" t="n">
        <v>0</v>
      </c>
      <c r="O119" s="57" t="n">
        <v>2.5</v>
      </c>
      <c r="P119" s="57" t="n">
        <v>1.75</v>
      </c>
      <c r="Q119" s="57" t="n">
        <v>0.25</v>
      </c>
      <c r="R119" s="57" t="n">
        <v>0</v>
      </c>
      <c r="S119" s="57" t="n">
        <v>0</v>
      </c>
      <c r="T119" s="62" t="n">
        <v>1</v>
      </c>
    </row>
    <row r="120" ht="16" customHeight="1" thickBot="1">
      <c r="A120" s="61" t="inlineStr">
        <is>
          <t>E. Dumortier</t>
        </is>
      </c>
      <c r="B120" t="inlineStr">
        <is>
          <t>France</t>
        </is>
      </c>
      <c r="C120" t="inlineStr">
        <is>
          <t>Centre</t>
        </is>
      </c>
      <c r="D120" t="n">
        <v>4</v>
      </c>
      <c r="E120" s="57" t="n">
        <v>77</v>
      </c>
      <c r="F120" s="57" t="n">
        <v>1.75</v>
      </c>
      <c r="G120" s="57" t="n">
        <v>0</v>
      </c>
      <c r="H120" s="57" t="n">
        <v>1.5</v>
      </c>
      <c r="I120" s="57" t="n">
        <v>59</v>
      </c>
      <c r="J120" s="57" t="n">
        <v>0</v>
      </c>
      <c r="K120" s="57" t="n">
        <v>0</v>
      </c>
      <c r="L120" s="57" t="n">
        <v>0</v>
      </c>
      <c r="M120" s="57" t="n">
        <v>0.5</v>
      </c>
      <c r="N120" s="57" t="n">
        <v>0.25</v>
      </c>
      <c r="O120" s="57" t="n">
        <v>0.75</v>
      </c>
      <c r="P120" s="57" t="n">
        <v>0.25</v>
      </c>
      <c r="Q120" s="57" t="n">
        <v>0</v>
      </c>
      <c r="R120" s="57" t="n">
        <v>0</v>
      </c>
      <c r="S120" s="57" t="n">
        <v>0</v>
      </c>
      <c r="T120" s="62" t="n">
        <v>0</v>
      </c>
    </row>
    <row r="121" ht="16" customHeight="1" thickBot="1">
      <c r="A121" s="63" t="inlineStr">
        <is>
          <t>G. Fickou</t>
        </is>
      </c>
      <c r="B121" t="inlineStr">
        <is>
          <t>France</t>
        </is>
      </c>
      <c r="C121" t="inlineStr">
        <is>
          <t>Centre</t>
        </is>
      </c>
      <c r="D121" t="n">
        <v>4</v>
      </c>
      <c r="E121" s="57" t="n">
        <v>80</v>
      </c>
      <c r="F121" s="57" t="n">
        <v>10.5</v>
      </c>
      <c r="G121" s="57" t="n">
        <v>0.25</v>
      </c>
      <c r="H121" s="57" t="n">
        <v>0.5</v>
      </c>
      <c r="I121" s="57" t="n">
        <v>53.25</v>
      </c>
      <c r="J121" s="57" t="n">
        <v>0</v>
      </c>
      <c r="K121" s="57" t="n">
        <v>0</v>
      </c>
      <c r="L121" s="57" t="n">
        <v>0</v>
      </c>
      <c r="M121" s="57" t="n">
        <v>0.5</v>
      </c>
      <c r="N121" s="57" t="n">
        <v>0.25</v>
      </c>
      <c r="O121" s="57" t="n">
        <v>0</v>
      </c>
      <c r="P121" s="57" t="n">
        <v>0</v>
      </c>
      <c r="Q121" s="57" t="n">
        <v>0</v>
      </c>
      <c r="R121" s="57" t="n">
        <v>0</v>
      </c>
      <c r="S121" s="57" t="n">
        <v>0</v>
      </c>
      <c r="T121" s="62" t="n">
        <v>1</v>
      </c>
    </row>
    <row r="122" ht="16" customHeight="1" thickBot="1">
      <c r="A122" s="61" t="inlineStr">
        <is>
          <t>Y. Moefana</t>
        </is>
      </c>
      <c r="B122" t="inlineStr">
        <is>
          <t>France</t>
        </is>
      </c>
      <c r="C122" t="inlineStr">
        <is>
          <t>Centre</t>
        </is>
      </c>
      <c r="D122" t="n">
        <v>4</v>
      </c>
      <c r="E122" s="57" t="n">
        <v>63.75</v>
      </c>
      <c r="F122" s="57" t="n">
        <v>9.25</v>
      </c>
      <c r="G122" s="57" t="n">
        <v>0</v>
      </c>
      <c r="H122" s="57" t="n">
        <v>0.25</v>
      </c>
      <c r="I122" s="57" t="n">
        <v>43.25</v>
      </c>
      <c r="J122" s="57" t="n">
        <v>0</v>
      </c>
      <c r="K122" s="57" t="n">
        <v>0</v>
      </c>
      <c r="L122" s="57" t="n">
        <v>0</v>
      </c>
      <c r="M122" s="57" t="n">
        <v>0</v>
      </c>
      <c r="N122" s="57" t="n">
        <v>0</v>
      </c>
      <c r="O122" s="57" t="n">
        <v>0</v>
      </c>
      <c r="P122" s="57" t="n">
        <v>0</v>
      </c>
      <c r="Q122" s="57" t="n">
        <v>0</v>
      </c>
      <c r="R122" s="57" t="n">
        <v>0</v>
      </c>
      <c r="S122" s="57" t="n">
        <v>0</v>
      </c>
      <c r="T122" s="62" t="n">
        <v>0</v>
      </c>
    </row>
    <row r="123" ht="16" customHeight="1" thickBot="1">
      <c r="A123" s="63" t="inlineStr">
        <is>
          <t>M. Jalibert</t>
        </is>
      </c>
      <c r="B123" t="inlineStr">
        <is>
          <t>France</t>
        </is>
      </c>
      <c r="C123" t="inlineStr">
        <is>
          <t>Fly Half</t>
        </is>
      </c>
      <c r="D123" t="n">
        <v>3</v>
      </c>
      <c r="E123" s="57" t="n">
        <v>36.6667</v>
      </c>
      <c r="F123" s="57" t="n">
        <v>2</v>
      </c>
      <c r="G123" s="57" t="n">
        <v>0</v>
      </c>
      <c r="H123" s="57" t="n">
        <v>0</v>
      </c>
      <c r="I123" s="57" t="n">
        <v>25</v>
      </c>
      <c r="J123" s="57" t="n">
        <v>0</v>
      </c>
      <c r="K123" s="57" t="n">
        <v>0</v>
      </c>
      <c r="L123" s="57" t="n">
        <v>0</v>
      </c>
      <c r="M123" s="57" t="n">
        <v>0</v>
      </c>
      <c r="N123" s="57" t="n">
        <v>0</v>
      </c>
      <c r="O123" s="57" t="n">
        <v>0</v>
      </c>
      <c r="P123" s="57" t="n">
        <v>0</v>
      </c>
      <c r="Q123" s="57" t="n">
        <v>0</v>
      </c>
      <c r="R123" s="57" t="n">
        <v>0</v>
      </c>
      <c r="S123" s="57" t="n">
        <v>0</v>
      </c>
      <c r="T123" s="62" t="n">
        <v>0</v>
      </c>
    </row>
    <row r="124" ht="16" customHeight="1" thickBot="1">
      <c r="A124" s="61" t="inlineStr">
        <is>
          <t>R. Ntamack</t>
        </is>
      </c>
      <c r="B124" t="inlineStr">
        <is>
          <t>France</t>
        </is>
      </c>
      <c r="C124" t="inlineStr">
        <is>
          <t>Fly Half</t>
        </is>
      </c>
      <c r="D124" t="n">
        <v>4</v>
      </c>
      <c r="E124" s="57" t="n">
        <v>59.25</v>
      </c>
      <c r="F124" s="57" t="n">
        <v>7.5</v>
      </c>
      <c r="G124" s="57" t="n">
        <v>0</v>
      </c>
      <c r="H124" s="57" t="n">
        <v>0.25</v>
      </c>
      <c r="I124" s="57" t="n">
        <v>23.75</v>
      </c>
      <c r="J124" s="57" t="n">
        <v>0</v>
      </c>
      <c r="K124" s="57" t="n">
        <v>0</v>
      </c>
      <c r="L124" s="57" t="n">
        <v>0</v>
      </c>
      <c r="M124" s="57" t="n">
        <v>0.5</v>
      </c>
      <c r="N124" s="57" t="n">
        <v>0.5</v>
      </c>
      <c r="O124" s="57" t="n">
        <v>0</v>
      </c>
      <c r="P124" s="57" t="n">
        <v>0</v>
      </c>
      <c r="Q124" s="57" t="n">
        <v>0</v>
      </c>
      <c r="R124" s="57" t="n">
        <v>0</v>
      </c>
      <c r="S124" s="57" t="n">
        <v>0</v>
      </c>
      <c r="T124" s="62" t="n">
        <v>0</v>
      </c>
    </row>
    <row r="125" ht="16" customHeight="1" thickBot="1">
      <c r="A125" s="63" t="inlineStr">
        <is>
          <t>A. Dupont</t>
        </is>
      </c>
      <c r="B125" t="inlineStr">
        <is>
          <t>France</t>
        </is>
      </c>
      <c r="C125" t="inlineStr">
        <is>
          <t>Scrum Half</t>
        </is>
      </c>
      <c r="D125" t="n">
        <v>4</v>
      </c>
      <c r="E125" s="57" t="n">
        <v>73.5</v>
      </c>
      <c r="F125" s="57" t="n">
        <v>9.5</v>
      </c>
      <c r="G125" s="57" t="n">
        <v>0.5</v>
      </c>
      <c r="H125" s="57" t="n">
        <v>0.75</v>
      </c>
      <c r="I125" s="57" t="n">
        <v>46.75</v>
      </c>
      <c r="J125" s="57" t="n">
        <v>0.25</v>
      </c>
      <c r="K125" s="57" t="n">
        <v>0</v>
      </c>
      <c r="L125" s="57" t="n">
        <v>0.25</v>
      </c>
      <c r="M125" s="57" t="n">
        <v>0</v>
      </c>
      <c r="N125" s="57" t="n">
        <v>1</v>
      </c>
      <c r="O125" s="57" t="n">
        <v>0</v>
      </c>
      <c r="P125" s="57" t="n">
        <v>0</v>
      </c>
      <c r="Q125" s="57" t="n">
        <v>0</v>
      </c>
      <c r="R125" s="57" t="n">
        <v>0</v>
      </c>
      <c r="S125" s="57" t="n">
        <v>0</v>
      </c>
      <c r="T125" s="62" t="n">
        <v>0</v>
      </c>
    </row>
    <row r="126" ht="16" customHeight="1" thickBot="1">
      <c r="A126" s="61" t="inlineStr">
        <is>
          <t>G. Alldritt</t>
        </is>
      </c>
      <c r="B126" t="inlineStr">
        <is>
          <t>France</t>
        </is>
      </c>
      <c r="C126" t="inlineStr">
        <is>
          <t>Back Row</t>
        </is>
      </c>
      <c r="D126" t="n">
        <v>4</v>
      </c>
      <c r="E126" s="57" t="n">
        <v>56</v>
      </c>
      <c r="F126" s="57" t="n">
        <v>7.75</v>
      </c>
      <c r="G126" s="57" t="n">
        <v>0.25</v>
      </c>
      <c r="H126" s="57" t="n">
        <v>0.25</v>
      </c>
      <c r="I126" s="57" t="n">
        <v>42</v>
      </c>
      <c r="J126" s="57" t="n">
        <v>0</v>
      </c>
      <c r="K126" s="57" t="n">
        <v>0</v>
      </c>
      <c r="L126" s="57" t="n">
        <v>0.5</v>
      </c>
      <c r="M126" s="57" t="n">
        <v>0</v>
      </c>
      <c r="N126" s="57" t="n">
        <v>0.25</v>
      </c>
      <c r="O126" s="57" t="n">
        <v>0</v>
      </c>
      <c r="P126" s="57" t="n">
        <v>0</v>
      </c>
      <c r="Q126" s="57" t="n">
        <v>0</v>
      </c>
      <c r="R126" s="57" t="n">
        <v>0</v>
      </c>
      <c r="S126" s="57" t="n">
        <v>0</v>
      </c>
      <c r="T126" s="62" t="n">
        <v>1</v>
      </c>
    </row>
    <row r="127" ht="16" customHeight="1" thickBot="1">
      <c r="A127" s="63" t="inlineStr">
        <is>
          <t>A. Jelonch</t>
        </is>
      </c>
      <c r="B127" t="inlineStr">
        <is>
          <t>France</t>
        </is>
      </c>
      <c r="C127" t="inlineStr">
        <is>
          <t>Back Row</t>
        </is>
      </c>
      <c r="D127" t="n">
        <v>3</v>
      </c>
      <c r="E127" s="57" t="n">
        <v>52.6667</v>
      </c>
      <c r="F127" s="57" t="n">
        <v>13</v>
      </c>
      <c r="G127" s="57" t="n">
        <v>1</v>
      </c>
      <c r="H127" s="57" t="n">
        <v>0.3333</v>
      </c>
      <c r="I127" s="57" t="n">
        <v>49.6667</v>
      </c>
      <c r="J127" s="57" t="n">
        <v>0</v>
      </c>
      <c r="K127" s="57" t="n">
        <v>0</v>
      </c>
      <c r="L127" s="57" t="n">
        <v>0</v>
      </c>
      <c r="M127" s="57" t="n">
        <v>0</v>
      </c>
      <c r="N127" s="57" t="n">
        <v>0.3333</v>
      </c>
      <c r="O127" s="57" t="n">
        <v>0</v>
      </c>
      <c r="P127" s="57" t="n">
        <v>0</v>
      </c>
      <c r="Q127" s="57" t="n">
        <v>0</v>
      </c>
      <c r="R127" s="57" t="n">
        <v>0</v>
      </c>
      <c r="S127" s="57" t="n">
        <v>0</v>
      </c>
      <c r="T127" s="62" t="n">
        <v>0</v>
      </c>
    </row>
    <row r="128" ht="16" customHeight="1" thickBot="1">
      <c r="A128" s="61" t="inlineStr">
        <is>
          <t>S. Macalou</t>
        </is>
      </c>
      <c r="B128" t="inlineStr">
        <is>
          <t>France</t>
        </is>
      </c>
      <c r="C128" t="inlineStr">
        <is>
          <t>Back Row</t>
        </is>
      </c>
      <c r="D128" t="n">
        <v>3</v>
      </c>
      <c r="E128" s="57" t="n">
        <v>42</v>
      </c>
      <c r="F128" s="57" t="n">
        <v>9.333299999999999</v>
      </c>
      <c r="G128" s="57" t="n">
        <v>0.3333</v>
      </c>
      <c r="H128" s="57" t="n">
        <v>0</v>
      </c>
      <c r="I128" s="57" t="n">
        <v>11.6667</v>
      </c>
      <c r="J128" s="57" t="n">
        <v>0</v>
      </c>
      <c r="K128" s="57" t="n">
        <v>0</v>
      </c>
      <c r="L128" s="57" t="n">
        <v>0.3333</v>
      </c>
      <c r="M128" s="57" t="n">
        <v>0</v>
      </c>
      <c r="N128" s="57" t="n">
        <v>0</v>
      </c>
      <c r="O128" s="57" t="n">
        <v>0</v>
      </c>
      <c r="P128" s="57" t="n">
        <v>0</v>
      </c>
      <c r="Q128" s="57" t="n">
        <v>0</v>
      </c>
      <c r="R128" s="57" t="n">
        <v>0</v>
      </c>
      <c r="S128" s="57" t="n">
        <v>0</v>
      </c>
      <c r="T128" s="62" t="n">
        <v>0</v>
      </c>
    </row>
    <row r="129" ht="16" customHeight="1" thickBot="1">
      <c r="A129" s="63" t="inlineStr">
        <is>
          <t>C. Ollivon</t>
        </is>
      </c>
      <c r="B129" t="inlineStr">
        <is>
          <t>France</t>
        </is>
      </c>
      <c r="C129" t="inlineStr">
        <is>
          <t>Back Row</t>
        </is>
      </c>
      <c r="D129" t="n">
        <v>4</v>
      </c>
      <c r="E129" s="57" t="n">
        <v>57.5</v>
      </c>
      <c r="F129" s="57" t="n">
        <v>11.25</v>
      </c>
      <c r="G129" s="57" t="n">
        <v>0.5</v>
      </c>
      <c r="H129" s="57" t="n">
        <v>0.25</v>
      </c>
      <c r="I129" s="57" t="n">
        <v>29.75</v>
      </c>
      <c r="J129" s="57" t="n">
        <v>0</v>
      </c>
      <c r="K129" s="57" t="n">
        <v>0</v>
      </c>
      <c r="L129" s="57" t="n">
        <v>0.5</v>
      </c>
      <c r="M129" s="57" t="n">
        <v>0.5</v>
      </c>
      <c r="N129" s="57" t="n">
        <v>0</v>
      </c>
      <c r="O129" s="57" t="n">
        <v>0</v>
      </c>
      <c r="P129" s="57" t="n">
        <v>0</v>
      </c>
      <c r="Q129" s="57" t="n">
        <v>0</v>
      </c>
      <c r="R129" s="57" t="n">
        <v>0</v>
      </c>
      <c r="S129" s="57" t="n">
        <v>0</v>
      </c>
      <c r="T129" s="62" t="n">
        <v>0</v>
      </c>
    </row>
    <row r="130" ht="16" customHeight="1" thickBot="1">
      <c r="A130" s="61" t="inlineStr">
        <is>
          <t>T. Flament</t>
        </is>
      </c>
      <c r="B130" t="inlineStr">
        <is>
          <t>France</t>
        </is>
      </c>
      <c r="C130" t="inlineStr">
        <is>
          <t>Second Row</t>
        </is>
      </c>
      <c r="D130" t="n">
        <v>4</v>
      </c>
      <c r="E130" s="57" t="n">
        <v>77.5</v>
      </c>
      <c r="F130" s="57" t="n">
        <v>13.75</v>
      </c>
      <c r="G130" s="57" t="n">
        <v>0.75</v>
      </c>
      <c r="H130" s="57" t="n">
        <v>0.5</v>
      </c>
      <c r="I130" s="57" t="n">
        <v>44.25</v>
      </c>
      <c r="J130" s="57" t="n">
        <v>0</v>
      </c>
      <c r="K130" s="57" t="n">
        <v>0.25</v>
      </c>
      <c r="L130" s="57" t="n">
        <v>0</v>
      </c>
      <c r="M130" s="57" t="n">
        <v>0.5</v>
      </c>
      <c r="N130" s="57" t="n">
        <v>0</v>
      </c>
      <c r="O130" s="57" t="n">
        <v>0</v>
      </c>
      <c r="P130" s="57" t="n">
        <v>0</v>
      </c>
      <c r="Q130" s="57" t="n">
        <v>0</v>
      </c>
      <c r="R130" s="57" t="n">
        <v>0.25</v>
      </c>
      <c r="S130" s="57" t="n">
        <v>0</v>
      </c>
      <c r="T130" s="62" t="n">
        <v>0</v>
      </c>
    </row>
    <row r="131" ht="16" customHeight="1" thickBot="1">
      <c r="A131" s="63" t="inlineStr">
        <is>
          <t>R. Taofifenua</t>
        </is>
      </c>
      <c r="B131" t="inlineStr">
        <is>
          <t>France</t>
        </is>
      </c>
      <c r="C131" t="inlineStr">
        <is>
          <t>Second Row</t>
        </is>
      </c>
      <c r="D131" t="n">
        <v>4</v>
      </c>
      <c r="E131" s="57" t="n">
        <v>43</v>
      </c>
      <c r="F131" s="57" t="n">
        <v>9.75</v>
      </c>
      <c r="G131" s="57" t="n">
        <v>0.25</v>
      </c>
      <c r="H131" s="57" t="n">
        <v>0.25</v>
      </c>
      <c r="I131" s="57" t="n">
        <v>14.75</v>
      </c>
      <c r="J131" s="57" t="n">
        <v>0</v>
      </c>
      <c r="K131" s="57" t="n">
        <v>0.25</v>
      </c>
      <c r="L131" s="57" t="n">
        <v>0.5</v>
      </c>
      <c r="M131" s="57" t="n">
        <v>0.25</v>
      </c>
      <c r="N131" s="57" t="n">
        <v>0</v>
      </c>
      <c r="O131" s="57" t="n">
        <v>0</v>
      </c>
      <c r="P131" s="57" t="n">
        <v>0</v>
      </c>
      <c r="Q131" s="57" t="n">
        <v>0</v>
      </c>
      <c r="R131" s="57" t="n">
        <v>0</v>
      </c>
      <c r="S131" s="57" t="n">
        <v>0</v>
      </c>
      <c r="T131" s="62" t="n">
        <v>0</v>
      </c>
    </row>
    <row r="132" ht="16" customHeight="1" thickBot="1">
      <c r="A132" s="61" t="inlineStr">
        <is>
          <t>P. Willemse</t>
        </is>
      </c>
      <c r="B132" t="inlineStr">
        <is>
          <t>France</t>
        </is>
      </c>
      <c r="C132" t="inlineStr">
        <is>
          <t>Second Row</t>
        </is>
      </c>
      <c r="D132" t="n">
        <v>4</v>
      </c>
      <c r="E132" s="57" t="n">
        <v>43.5</v>
      </c>
      <c r="F132" s="57" t="n">
        <v>7.5</v>
      </c>
      <c r="G132" s="57" t="n">
        <v>1</v>
      </c>
      <c r="H132" s="57" t="n">
        <v>0</v>
      </c>
      <c r="I132" s="57" t="n">
        <v>9.75</v>
      </c>
      <c r="J132" s="57" t="n">
        <v>0</v>
      </c>
      <c r="K132" s="57" t="n">
        <v>0</v>
      </c>
      <c r="L132" s="57" t="n">
        <v>0.25</v>
      </c>
      <c r="M132" s="57" t="n">
        <v>0</v>
      </c>
      <c r="N132" s="57" t="n">
        <v>0.25</v>
      </c>
      <c r="O132" s="57" t="n">
        <v>0</v>
      </c>
      <c r="P132" s="57" t="n">
        <v>0</v>
      </c>
      <c r="Q132" s="57" t="n">
        <v>0</v>
      </c>
      <c r="R132" s="57" t="n">
        <v>0</v>
      </c>
      <c r="S132" s="57" t="n">
        <v>0</v>
      </c>
      <c r="T132" s="62" t="n">
        <v>0</v>
      </c>
    </row>
    <row r="133" ht="16" customHeight="1" thickBot="1">
      <c r="A133" s="63" t="inlineStr">
        <is>
          <t>U. Atonio</t>
        </is>
      </c>
      <c r="B133" t="inlineStr">
        <is>
          <t>France</t>
        </is>
      </c>
      <c r="C133" t="inlineStr">
        <is>
          <t>Prop</t>
        </is>
      </c>
      <c r="D133" t="n">
        <v>2</v>
      </c>
      <c r="E133" s="57" t="n">
        <v>49</v>
      </c>
      <c r="F133" s="57" t="n">
        <v>9.5</v>
      </c>
      <c r="G133" s="57" t="n">
        <v>1.5</v>
      </c>
      <c r="H133" s="57" t="n">
        <v>0</v>
      </c>
      <c r="I133" s="57" t="n">
        <v>9</v>
      </c>
      <c r="J133" s="57" t="n">
        <v>0</v>
      </c>
      <c r="K133" s="57" t="n">
        <v>0</v>
      </c>
      <c r="L133" s="57" t="n">
        <v>0</v>
      </c>
      <c r="M133" s="57" t="n">
        <v>0</v>
      </c>
      <c r="N133" s="57" t="n">
        <v>0</v>
      </c>
      <c r="O133" s="57" t="n">
        <v>0</v>
      </c>
      <c r="P133" s="57" t="n">
        <v>0</v>
      </c>
      <c r="Q133" s="57" t="n">
        <v>0</v>
      </c>
      <c r="R133" s="57" t="n">
        <v>0.5</v>
      </c>
      <c r="S133" s="57" t="n">
        <v>0</v>
      </c>
      <c r="T133" s="62" t="n">
        <v>0</v>
      </c>
    </row>
    <row r="134" ht="16" customHeight="1" thickBot="1">
      <c r="A134" s="61" t="inlineStr">
        <is>
          <t>C. Baille</t>
        </is>
      </c>
      <c r="B134" t="inlineStr">
        <is>
          <t>France</t>
        </is>
      </c>
      <c r="C134" t="inlineStr">
        <is>
          <t>Prop</t>
        </is>
      </c>
      <c r="D134" t="n">
        <v>4</v>
      </c>
      <c r="E134" s="57" t="n">
        <v>57.75</v>
      </c>
      <c r="F134" s="57" t="n">
        <v>7.75</v>
      </c>
      <c r="G134" s="57" t="n">
        <v>0.25</v>
      </c>
      <c r="H134" s="57" t="n">
        <v>0</v>
      </c>
      <c r="I134" s="57" t="n">
        <v>29.75</v>
      </c>
      <c r="J134" s="57" t="n">
        <v>0</v>
      </c>
      <c r="K134" s="57" t="n">
        <v>0</v>
      </c>
      <c r="L134" s="57" t="n">
        <v>0</v>
      </c>
      <c r="M134" s="57" t="n">
        <v>0</v>
      </c>
      <c r="N134" s="57" t="n">
        <v>0</v>
      </c>
      <c r="O134" s="57" t="n">
        <v>0</v>
      </c>
      <c r="P134" s="57" t="n">
        <v>0</v>
      </c>
      <c r="Q134" s="57" t="n">
        <v>0</v>
      </c>
      <c r="R134" s="57" t="n">
        <v>0</v>
      </c>
      <c r="S134" s="57" t="n">
        <v>0</v>
      </c>
      <c r="T134" s="62" t="n">
        <v>0</v>
      </c>
    </row>
    <row r="135" ht="16" customHeight="1" thickBot="1">
      <c r="A135" s="63" t="inlineStr">
        <is>
          <t>S. Falatea</t>
        </is>
      </c>
      <c r="B135" t="inlineStr">
        <is>
          <t>France</t>
        </is>
      </c>
      <c r="C135" t="inlineStr">
        <is>
          <t>Prop</t>
        </is>
      </c>
      <c r="D135" t="n">
        <v>4</v>
      </c>
      <c r="E135" s="57" t="n">
        <v>46.25</v>
      </c>
      <c r="F135" s="57" t="n">
        <v>5.75</v>
      </c>
      <c r="G135" s="57" t="n">
        <v>0.75</v>
      </c>
      <c r="H135" s="57" t="n">
        <v>0</v>
      </c>
      <c r="I135" s="57" t="n">
        <v>19.75</v>
      </c>
      <c r="J135" s="57" t="n">
        <v>0</v>
      </c>
      <c r="K135" s="57" t="n">
        <v>0</v>
      </c>
      <c r="L135" s="57" t="n">
        <v>0</v>
      </c>
      <c r="M135" s="57" t="n">
        <v>0</v>
      </c>
      <c r="N135" s="57" t="n">
        <v>0</v>
      </c>
      <c r="O135" s="57" t="n">
        <v>0</v>
      </c>
      <c r="P135" s="57" t="n">
        <v>0</v>
      </c>
      <c r="Q135" s="57" t="n">
        <v>0</v>
      </c>
      <c r="R135" s="57" t="n">
        <v>0</v>
      </c>
      <c r="S135" s="57" t="n">
        <v>0</v>
      </c>
      <c r="T135" s="62" t="n">
        <v>0</v>
      </c>
    </row>
    <row r="136" ht="16" customHeight="1" thickBot="1">
      <c r="A136" s="61" t="inlineStr">
        <is>
          <t>R. Wardi</t>
        </is>
      </c>
      <c r="B136" t="inlineStr">
        <is>
          <t>France</t>
        </is>
      </c>
      <c r="C136" t="inlineStr">
        <is>
          <t>Prop</t>
        </is>
      </c>
      <c r="D136" t="n">
        <v>4</v>
      </c>
      <c r="E136" s="57" t="n">
        <v>22.25</v>
      </c>
      <c r="F136" s="57" t="n">
        <v>3.5</v>
      </c>
      <c r="G136" s="57" t="n">
        <v>0.25</v>
      </c>
      <c r="H136" s="57" t="n">
        <v>0</v>
      </c>
      <c r="I136" s="57" t="n">
        <v>4.75</v>
      </c>
      <c r="J136" s="57" t="n">
        <v>0</v>
      </c>
      <c r="K136" s="57" t="n">
        <v>0</v>
      </c>
      <c r="L136" s="57" t="n">
        <v>0</v>
      </c>
      <c r="M136" s="57" t="n">
        <v>0</v>
      </c>
      <c r="N136" s="57" t="n">
        <v>0</v>
      </c>
      <c r="O136" s="57" t="n">
        <v>0</v>
      </c>
      <c r="P136" s="57" t="n">
        <v>0</v>
      </c>
      <c r="Q136" s="57" t="n">
        <v>0</v>
      </c>
      <c r="R136" s="57" t="n">
        <v>0</v>
      </c>
      <c r="S136" s="57" t="n">
        <v>0</v>
      </c>
      <c r="T136" s="62" t="n">
        <v>0</v>
      </c>
    </row>
    <row r="137" ht="16" customHeight="1" thickBot="1">
      <c r="A137" s="63" t="inlineStr">
        <is>
          <t>G. Barlot</t>
        </is>
      </c>
      <c r="B137" t="inlineStr">
        <is>
          <t>France</t>
        </is>
      </c>
      <c r="C137" t="inlineStr">
        <is>
          <t>Hooker</t>
        </is>
      </c>
      <c r="D137" t="n">
        <v>3</v>
      </c>
      <c r="E137" s="57" t="n">
        <v>15.3333</v>
      </c>
      <c r="F137" s="57" t="n">
        <v>3</v>
      </c>
      <c r="G137" s="57" t="n">
        <v>0</v>
      </c>
      <c r="H137" s="57" t="n">
        <v>0</v>
      </c>
      <c r="I137" s="57" t="n">
        <v>9</v>
      </c>
      <c r="J137" s="57" t="n">
        <v>0</v>
      </c>
      <c r="K137" s="57" t="n">
        <v>0.3333</v>
      </c>
      <c r="L137" s="57" t="n">
        <v>0</v>
      </c>
      <c r="M137" s="57" t="n">
        <v>0</v>
      </c>
      <c r="N137" s="57" t="n">
        <v>0</v>
      </c>
      <c r="O137" s="57" t="n">
        <v>0</v>
      </c>
      <c r="P137" s="57" t="n">
        <v>0</v>
      </c>
      <c r="Q137" s="57" t="n">
        <v>0</v>
      </c>
      <c r="R137" s="57" t="n">
        <v>0</v>
      </c>
      <c r="S137" s="57" t="n">
        <v>0</v>
      </c>
      <c r="T137" s="62" t="n">
        <v>0</v>
      </c>
    </row>
    <row r="138" ht="16" customHeight="1" thickBot="1">
      <c r="A138" s="61" t="inlineStr">
        <is>
          <t>J. Marchand</t>
        </is>
      </c>
      <c r="B138" t="inlineStr">
        <is>
          <t>France</t>
        </is>
      </c>
      <c r="C138" t="inlineStr">
        <is>
          <t>Hooker</t>
        </is>
      </c>
      <c r="D138" t="n">
        <v>4</v>
      </c>
      <c r="E138" s="57" t="n">
        <v>55.75</v>
      </c>
      <c r="F138" s="57" t="n">
        <v>10.25</v>
      </c>
      <c r="G138" s="57" t="n">
        <v>0.25</v>
      </c>
      <c r="H138" s="57" t="n">
        <v>0</v>
      </c>
      <c r="I138" s="57" t="n">
        <v>14.25</v>
      </c>
      <c r="J138" s="57" t="n">
        <v>0</v>
      </c>
      <c r="K138" s="57" t="n">
        <v>0</v>
      </c>
      <c r="L138" s="57" t="n">
        <v>0.5</v>
      </c>
      <c r="M138" s="57" t="n">
        <v>0</v>
      </c>
      <c r="N138" s="57" t="n">
        <v>0</v>
      </c>
      <c r="O138" s="57" t="n">
        <v>0</v>
      </c>
      <c r="P138" s="57" t="n">
        <v>0</v>
      </c>
      <c r="Q138" s="57" t="n">
        <v>0</v>
      </c>
      <c r="R138" s="57" t="n">
        <v>0</v>
      </c>
      <c r="S138" s="57" t="n">
        <v>0</v>
      </c>
      <c r="T138" s="62" t="n">
        <v>0</v>
      </c>
    </row>
    <row r="139" ht="16" customHeight="1" thickBot="1">
      <c r="A139" s="61" t="inlineStr">
        <is>
          <t>R. Kelleher</t>
        </is>
      </c>
      <c r="B139" t="inlineStr">
        <is>
          <t>Ireland</t>
        </is>
      </c>
      <c r="C139" t="inlineStr">
        <is>
          <t>Hooker</t>
        </is>
      </c>
      <c r="D139" t="n">
        <v>3</v>
      </c>
      <c r="E139" s="57" t="n">
        <v>47</v>
      </c>
      <c r="F139" s="57" t="n">
        <v>6.6667</v>
      </c>
      <c r="G139" s="57" t="n">
        <v>0.6667</v>
      </c>
      <c r="H139" s="57" t="n">
        <v>0</v>
      </c>
      <c r="I139" s="57" t="n">
        <v>28</v>
      </c>
      <c r="J139" s="57" t="n">
        <v>0</v>
      </c>
      <c r="K139" s="57" t="n">
        <v>0</v>
      </c>
      <c r="L139" s="57" t="n">
        <v>0.3333</v>
      </c>
      <c r="M139" s="57" t="n">
        <v>0</v>
      </c>
      <c r="N139" s="57" t="n">
        <v>0</v>
      </c>
      <c r="O139" s="57" t="n">
        <v>0</v>
      </c>
      <c r="P139" s="57" t="n">
        <v>0</v>
      </c>
      <c r="Q139" s="57" t="n">
        <v>0</v>
      </c>
      <c r="R139" s="57" t="n">
        <v>0</v>
      </c>
      <c r="S139" s="57" t="n">
        <v>0</v>
      </c>
      <c r="T139" s="62" t="n">
        <v>0</v>
      </c>
    </row>
    <row r="140" ht="16" customHeight="1" thickBot="1">
      <c r="A140" s="63" t="inlineStr">
        <is>
          <t>F. Cros</t>
        </is>
      </c>
      <c r="B140" t="inlineStr">
        <is>
          <t>France</t>
        </is>
      </c>
      <c r="C140" t="inlineStr">
        <is>
          <t>Back Row</t>
        </is>
      </c>
      <c r="D140" t="n">
        <v>3</v>
      </c>
      <c r="E140" s="57" t="n">
        <v>51.3333</v>
      </c>
      <c r="F140" s="57" t="n">
        <v>9.333299999999999</v>
      </c>
      <c r="G140" s="57" t="n">
        <v>1</v>
      </c>
      <c r="H140" s="57" t="n">
        <v>0</v>
      </c>
      <c r="I140" s="57" t="n">
        <v>19.6667</v>
      </c>
      <c r="J140" s="57" t="n">
        <v>0</v>
      </c>
      <c r="K140" s="57" t="n">
        <v>0</v>
      </c>
      <c r="L140" s="57" t="n">
        <v>0</v>
      </c>
      <c r="M140" s="57" t="n">
        <v>0</v>
      </c>
      <c r="N140" s="57" t="n">
        <v>0</v>
      </c>
      <c r="O140" s="57" t="n">
        <v>0</v>
      </c>
      <c r="P140" s="57" t="n">
        <v>0</v>
      </c>
      <c r="Q140" s="57" t="n">
        <v>0</v>
      </c>
      <c r="R140" s="57" t="n">
        <v>0</v>
      </c>
      <c r="S140" s="57" t="n">
        <v>0</v>
      </c>
      <c r="T140" s="62" t="n">
        <v>0</v>
      </c>
    </row>
    <row r="141" ht="16" customHeight="1" thickBot="1">
      <c r="A141" s="61" t="inlineStr">
        <is>
          <t>Z. Fagerson</t>
        </is>
      </c>
      <c r="B141" t="inlineStr">
        <is>
          <t>Scotland</t>
        </is>
      </c>
      <c r="C141" t="inlineStr">
        <is>
          <t>Prop</t>
        </is>
      </c>
      <c r="D141" t="n">
        <v>3</v>
      </c>
      <c r="E141" s="57" t="n">
        <v>60</v>
      </c>
      <c r="F141" s="57" t="n">
        <v>9.333299999999999</v>
      </c>
      <c r="G141" s="57" t="n">
        <v>0.6667</v>
      </c>
      <c r="H141" s="57" t="n">
        <v>0</v>
      </c>
      <c r="I141" s="57" t="n">
        <v>22</v>
      </c>
      <c r="J141" s="57" t="n">
        <v>0</v>
      </c>
      <c r="K141" s="57" t="n">
        <v>0</v>
      </c>
      <c r="L141" s="57" t="n">
        <v>0.3333</v>
      </c>
      <c r="M141" s="57" t="n">
        <v>0</v>
      </c>
      <c r="N141" s="57" t="n">
        <v>0</v>
      </c>
      <c r="O141" s="57" t="n">
        <v>0</v>
      </c>
      <c r="P141" s="57" t="n">
        <v>0</v>
      </c>
      <c r="Q141" s="57" t="n">
        <v>0</v>
      </c>
      <c r="R141" s="57" t="n">
        <v>0</v>
      </c>
      <c r="S141" s="57" t="n">
        <v>0</v>
      </c>
      <c r="T141" s="62" t="n">
        <v>0</v>
      </c>
    </row>
    <row r="142" ht="16" customHeight="1" thickBot="1">
      <c r="A142" s="63" t="inlineStr">
        <is>
          <t>R. Patchell</t>
        </is>
      </c>
      <c r="B142" t="inlineStr">
        <is>
          <t>Wales</t>
        </is>
      </c>
      <c r="C142" t="inlineStr">
        <is>
          <t>Fly Half</t>
        </is>
      </c>
      <c r="D142" t="n">
        <v>1</v>
      </c>
      <c r="E142" s="57" t="n">
        <v>23</v>
      </c>
      <c r="F142" s="57" t="n">
        <v>1</v>
      </c>
      <c r="G142" s="57" t="n">
        <v>0</v>
      </c>
      <c r="H142" s="57" t="n">
        <v>0</v>
      </c>
      <c r="I142" s="57" t="n">
        <v>18</v>
      </c>
      <c r="J142" s="57" t="n">
        <v>0</v>
      </c>
      <c r="K142" s="57" t="n">
        <v>0</v>
      </c>
      <c r="L142" s="57" t="n">
        <v>0</v>
      </c>
      <c r="M142" s="57" t="n">
        <v>0</v>
      </c>
      <c r="N142" s="57" t="n">
        <v>0</v>
      </c>
      <c r="O142" s="57" t="n">
        <v>0</v>
      </c>
      <c r="P142" s="57" t="n">
        <v>0</v>
      </c>
      <c r="Q142" s="57" t="n">
        <v>0</v>
      </c>
      <c r="R142" s="57" t="n">
        <v>0</v>
      </c>
      <c r="S142" s="57" t="n">
        <v>0</v>
      </c>
      <c r="T142" s="62" t="n">
        <v>0</v>
      </c>
    </row>
    <row r="143" ht="16" customHeight="1" thickBot="1">
      <c r="A143" s="61" t="inlineStr">
        <is>
          <t>R. Davies</t>
        </is>
      </c>
      <c r="B143" t="inlineStr">
        <is>
          <t>Wales</t>
        </is>
      </c>
      <c r="C143" t="inlineStr">
        <is>
          <t>Second Row</t>
        </is>
      </c>
      <c r="D143" t="n">
        <v>2</v>
      </c>
      <c r="E143" s="57" t="n">
        <v>12.5</v>
      </c>
      <c r="F143" s="57" t="n">
        <v>1.5</v>
      </c>
      <c r="G143" s="57" t="n">
        <v>0</v>
      </c>
      <c r="H143" s="57" t="n">
        <v>0</v>
      </c>
      <c r="I143" s="57" t="n">
        <v>1.5</v>
      </c>
      <c r="J143" s="57" t="n">
        <v>0</v>
      </c>
      <c r="K143" s="57" t="n">
        <v>0</v>
      </c>
      <c r="L143" s="57" t="n">
        <v>0</v>
      </c>
      <c r="M143" s="57" t="n">
        <v>0</v>
      </c>
      <c r="N143" s="57" t="n">
        <v>0</v>
      </c>
      <c r="O143" s="57" t="n">
        <v>0</v>
      </c>
      <c r="P143" s="57" t="n">
        <v>0</v>
      </c>
      <c r="Q143" s="57" t="n">
        <v>0</v>
      </c>
      <c r="R143" s="57" t="n">
        <v>0</v>
      </c>
      <c r="S143" s="57" t="n">
        <v>0</v>
      </c>
      <c r="T143" s="62" t="n">
        <v>0</v>
      </c>
    </row>
    <row r="144" ht="16" customHeight="1" thickBot="1">
      <c r="A144" s="64" t="inlineStr">
        <is>
          <t>C. Tshiunza</t>
        </is>
      </c>
      <c r="B144" t="inlineStr">
        <is>
          <t>Wales</t>
        </is>
      </c>
      <c r="C144" t="inlineStr">
        <is>
          <t>Second Row</t>
        </is>
      </c>
      <c r="D144" t="n">
        <v>2</v>
      </c>
      <c r="E144" s="57" t="n">
        <v>71.5</v>
      </c>
      <c r="F144" s="57" t="n">
        <v>10</v>
      </c>
      <c r="G144" s="57" t="n">
        <v>0.5</v>
      </c>
      <c r="H144" s="57" t="n">
        <v>0</v>
      </c>
      <c r="I144" s="57" t="n">
        <v>39</v>
      </c>
      <c r="J144" s="57" t="n">
        <v>0</v>
      </c>
      <c r="K144" s="57" t="n">
        <v>0.5</v>
      </c>
      <c r="L144" s="57" t="n">
        <v>0</v>
      </c>
      <c r="M144" s="57" t="n">
        <v>0</v>
      </c>
      <c r="N144" s="57" t="n">
        <v>0</v>
      </c>
      <c r="O144" s="57" t="n">
        <v>0</v>
      </c>
      <c r="P144" s="57" t="n">
        <v>0</v>
      </c>
      <c r="Q144" s="57" t="n">
        <v>0</v>
      </c>
      <c r="R144" s="57" t="n">
        <v>0</v>
      </c>
      <c r="S144" s="57" t="n">
        <v>0</v>
      </c>
      <c r="T144" s="62" t="n">
        <v>0</v>
      </c>
    </row>
    <row r="145" ht="16" customHeight="1" thickBot="1">
      <c r="A145" s="65" t="inlineStr">
        <is>
          <t>L. Brown</t>
        </is>
      </c>
      <c r="B145" t="inlineStr">
        <is>
          <t>Wales</t>
        </is>
      </c>
      <c r="C145" t="inlineStr">
        <is>
          <t>Prop</t>
        </is>
      </c>
      <c r="D145" t="n">
        <v>1</v>
      </c>
      <c r="E145" s="57" t="n">
        <v>16</v>
      </c>
      <c r="F145" s="57" t="n">
        <v>1</v>
      </c>
      <c r="G145" s="57" t="n">
        <v>1</v>
      </c>
      <c r="H145" s="57" t="n">
        <v>0</v>
      </c>
      <c r="I145" s="57" t="n">
        <v>8</v>
      </c>
      <c r="J145" s="57" t="n">
        <v>0</v>
      </c>
      <c r="K145" s="57" t="n">
        <v>0</v>
      </c>
      <c r="L145" s="57" t="n">
        <v>0</v>
      </c>
      <c r="M145" s="57" t="n">
        <v>0</v>
      </c>
      <c r="N145" s="57" t="n">
        <v>0</v>
      </c>
      <c r="O145" s="57" t="n">
        <v>0</v>
      </c>
      <c r="P145" s="57" t="n">
        <v>0</v>
      </c>
      <c r="Q145" s="57" t="n">
        <v>0</v>
      </c>
      <c r="R145" s="57" t="n">
        <v>0</v>
      </c>
      <c r="S145" s="57" t="n">
        <v>0</v>
      </c>
      <c r="T145" s="62" t="n">
        <v>0</v>
      </c>
    </row>
    <row r="146" ht="16" customHeight="1" thickBot="1">
      <c r="A146" s="63" t="inlineStr">
        <is>
          <t>W. Jones</t>
        </is>
      </c>
      <c r="B146" t="inlineStr">
        <is>
          <t>Wales</t>
        </is>
      </c>
      <c r="C146" t="inlineStr">
        <is>
          <t>Prop</t>
        </is>
      </c>
      <c r="D146" t="n">
        <v>2</v>
      </c>
      <c r="E146" s="57" t="n">
        <v>48.5</v>
      </c>
      <c r="F146" s="57" t="n">
        <v>4</v>
      </c>
      <c r="G146" s="57" t="n">
        <v>0.5</v>
      </c>
      <c r="H146" s="57" t="n">
        <v>0</v>
      </c>
      <c r="I146" s="57" t="n">
        <v>17</v>
      </c>
      <c r="J146" s="57" t="n">
        <v>0</v>
      </c>
      <c r="K146" s="57" t="n">
        <v>0</v>
      </c>
      <c r="L146" s="57" t="n">
        <v>0</v>
      </c>
      <c r="M146" s="57" t="n">
        <v>0</v>
      </c>
      <c r="N146" s="57" t="n">
        <v>0</v>
      </c>
      <c r="O146" s="57" t="n">
        <v>0</v>
      </c>
      <c r="P146" s="57" t="n">
        <v>0</v>
      </c>
      <c r="Q146" s="57" t="n">
        <v>0</v>
      </c>
      <c r="R146" s="57" t="n">
        <v>0</v>
      </c>
      <c r="S146" s="57" t="n">
        <v>0</v>
      </c>
      <c r="T146" s="62" t="n">
        <v>0</v>
      </c>
    </row>
    <row r="147" ht="16" customHeight="1" thickBot="1">
      <c r="A147" s="61" t="inlineStr">
        <is>
          <t>H. Arundell</t>
        </is>
      </c>
      <c r="B147" t="inlineStr">
        <is>
          <t>England</t>
        </is>
      </c>
      <c r="C147" t="inlineStr">
        <is>
          <t>Back Three</t>
        </is>
      </c>
      <c r="D147" t="n">
        <v>3</v>
      </c>
      <c r="E147" s="57" t="n">
        <v>16.3333</v>
      </c>
      <c r="F147" s="57" t="n">
        <v>0.6667</v>
      </c>
      <c r="G147" s="57" t="n">
        <v>0</v>
      </c>
      <c r="H147" s="57" t="n">
        <v>0</v>
      </c>
      <c r="I147" s="57" t="n">
        <v>12.6667</v>
      </c>
      <c r="J147" s="57" t="n">
        <v>0</v>
      </c>
      <c r="K147" s="57" t="n">
        <v>0</v>
      </c>
      <c r="L147" s="57" t="n">
        <v>0</v>
      </c>
      <c r="M147" s="57" t="n">
        <v>0.3333</v>
      </c>
      <c r="N147" s="57" t="n">
        <v>0</v>
      </c>
      <c r="O147" s="57" t="n">
        <v>0</v>
      </c>
      <c r="P147" s="57" t="n">
        <v>0</v>
      </c>
      <c r="Q147" s="57" t="n">
        <v>0</v>
      </c>
      <c r="R147" s="57" t="n">
        <v>0</v>
      </c>
      <c r="S147" s="57" t="n">
        <v>0</v>
      </c>
      <c r="T147" s="62" t="n">
        <v>0</v>
      </c>
    </row>
    <row r="148" ht="16" customHeight="1" thickBot="1">
      <c r="A148" s="64" t="inlineStr">
        <is>
          <t>H. Slade</t>
        </is>
      </c>
      <c r="B148" t="inlineStr">
        <is>
          <t>England</t>
        </is>
      </c>
      <c r="C148" t="inlineStr">
        <is>
          <t>Centre</t>
        </is>
      </c>
      <c r="D148" t="n">
        <v>3</v>
      </c>
      <c r="E148" s="57" t="n">
        <v>66</v>
      </c>
      <c r="F148" s="57" t="n">
        <v>3.3333</v>
      </c>
      <c r="G148" s="57" t="n">
        <v>0</v>
      </c>
      <c r="H148" s="57" t="n">
        <v>1</v>
      </c>
      <c r="I148" s="57" t="n">
        <v>21</v>
      </c>
      <c r="J148" s="57" t="n">
        <v>0</v>
      </c>
      <c r="K148" s="57" t="n">
        <v>0</v>
      </c>
      <c r="L148" s="57" t="n">
        <v>0</v>
      </c>
      <c r="M148" s="57" t="n">
        <v>0</v>
      </c>
      <c r="N148" s="57" t="n">
        <v>0</v>
      </c>
      <c r="O148" s="57" t="n">
        <v>0</v>
      </c>
      <c r="P148" s="57" t="n">
        <v>0</v>
      </c>
      <c r="Q148" s="57" t="n">
        <v>0</v>
      </c>
      <c r="R148" s="57" t="n">
        <v>0</v>
      </c>
      <c r="S148" s="57" t="n">
        <v>0</v>
      </c>
      <c r="T148" s="62" t="n">
        <v>0</v>
      </c>
    </row>
    <row r="149" ht="16" customHeight="1" thickBot="1">
      <c r="A149" s="61" t="inlineStr">
        <is>
          <t>A. Mitchell</t>
        </is>
      </c>
      <c r="B149" t="inlineStr">
        <is>
          <t>England</t>
        </is>
      </c>
      <c r="C149" t="inlineStr">
        <is>
          <t>Scrum Half</t>
        </is>
      </c>
      <c r="D149" t="n">
        <v>3</v>
      </c>
      <c r="E149" s="57" t="n">
        <v>20.6667</v>
      </c>
      <c r="F149" s="57" t="n">
        <v>2</v>
      </c>
      <c r="G149" s="57" t="n">
        <v>0</v>
      </c>
      <c r="H149" s="57" t="n">
        <v>0</v>
      </c>
      <c r="I149" s="57" t="n">
        <v>3</v>
      </c>
      <c r="J149" s="57" t="n">
        <v>0</v>
      </c>
      <c r="K149" s="57" t="n">
        <v>0</v>
      </c>
      <c r="L149" s="57" t="n">
        <v>0</v>
      </c>
      <c r="M149" s="57" t="n">
        <v>0</v>
      </c>
      <c r="N149" s="57" t="n">
        <v>0.6667</v>
      </c>
      <c r="O149" s="57" t="n">
        <v>0</v>
      </c>
      <c r="P149" s="57" t="n">
        <v>0</v>
      </c>
      <c r="Q149" s="57" t="n">
        <v>0</v>
      </c>
      <c r="R149" s="57" t="n">
        <v>0</v>
      </c>
      <c r="S149" s="57" t="n">
        <v>0</v>
      </c>
      <c r="T149" s="62" t="n">
        <v>0</v>
      </c>
    </row>
    <row r="150" ht="16" customHeight="1" thickBot="1">
      <c r="A150" s="63" t="inlineStr">
        <is>
          <t>J. Willis</t>
        </is>
      </c>
      <c r="B150" t="inlineStr">
        <is>
          <t>England</t>
        </is>
      </c>
      <c r="C150" t="inlineStr">
        <is>
          <t>Back Row</t>
        </is>
      </c>
      <c r="D150" t="n">
        <v>3</v>
      </c>
      <c r="E150" s="57" t="n">
        <v>55</v>
      </c>
      <c r="F150" s="57" t="n">
        <v>11.3333</v>
      </c>
      <c r="G150" s="57" t="n">
        <v>1</v>
      </c>
      <c r="H150" s="57" t="n">
        <v>0.3333</v>
      </c>
      <c r="I150" s="57" t="n">
        <v>18.3333</v>
      </c>
      <c r="J150" s="57" t="n">
        <v>0</v>
      </c>
      <c r="K150" s="57" t="n">
        <v>0</v>
      </c>
      <c r="L150" s="57" t="n">
        <v>0.6667</v>
      </c>
      <c r="M150" s="57" t="n">
        <v>0.3333</v>
      </c>
      <c r="N150" s="57" t="n">
        <v>0</v>
      </c>
      <c r="O150" s="57" t="n">
        <v>0</v>
      </c>
      <c r="P150" s="57" t="n">
        <v>0</v>
      </c>
      <c r="Q150" s="57" t="n">
        <v>0</v>
      </c>
      <c r="R150" s="57" t="n">
        <v>0</v>
      </c>
      <c r="S150" s="57" t="n">
        <v>0</v>
      </c>
      <c r="T150" s="62" t="n">
        <v>0</v>
      </c>
    </row>
    <row r="151" ht="16" customHeight="1" thickBot="1">
      <c r="A151" s="61" t="inlineStr">
        <is>
          <t>J. Walker</t>
        </is>
      </c>
      <c r="B151" t="inlineStr">
        <is>
          <t>England</t>
        </is>
      </c>
      <c r="C151" t="inlineStr">
        <is>
          <t>Hooker</t>
        </is>
      </c>
      <c r="D151" t="n">
        <v>3</v>
      </c>
      <c r="E151" s="57" t="n">
        <v>9</v>
      </c>
      <c r="F151" s="57" t="n">
        <v>2</v>
      </c>
      <c r="G151" s="57" t="n">
        <v>0</v>
      </c>
      <c r="H151" s="57" t="n">
        <v>0</v>
      </c>
      <c r="I151" s="57" t="n">
        <v>10</v>
      </c>
      <c r="J151" s="57" t="n">
        <v>0</v>
      </c>
      <c r="K151" s="57" t="n">
        <v>0</v>
      </c>
      <c r="L151" s="57" t="n">
        <v>0</v>
      </c>
      <c r="M151" s="57" t="n">
        <v>0</v>
      </c>
      <c r="N151" s="57" t="n">
        <v>0</v>
      </c>
      <c r="O151" s="57" t="n">
        <v>0</v>
      </c>
      <c r="P151" s="57" t="n">
        <v>0</v>
      </c>
      <c r="Q151" s="57" t="n">
        <v>0</v>
      </c>
      <c r="R151" s="57" t="n">
        <v>0</v>
      </c>
      <c r="S151" s="57" t="n">
        <v>0</v>
      </c>
      <c r="T151" s="62" t="n">
        <v>0</v>
      </c>
    </row>
    <row r="152" ht="16" customHeight="1" thickBot="1">
      <c r="A152" s="64" t="inlineStr">
        <is>
          <t>J. Polledri</t>
        </is>
      </c>
      <c r="B152" t="inlineStr">
        <is>
          <t>Italy</t>
        </is>
      </c>
      <c r="C152" t="inlineStr">
        <is>
          <t>Back Row</t>
        </is>
      </c>
      <c r="D152" t="n">
        <v>1</v>
      </c>
      <c r="E152" s="57" t="n">
        <v>23</v>
      </c>
      <c r="F152" s="57" t="n">
        <v>1</v>
      </c>
      <c r="G152" s="57" t="n">
        <v>1</v>
      </c>
      <c r="H152" s="57" t="n">
        <v>0</v>
      </c>
      <c r="I152" s="57" t="n">
        <v>26</v>
      </c>
      <c r="J152" s="57" t="n">
        <v>0</v>
      </c>
      <c r="K152" s="57" t="n">
        <v>0</v>
      </c>
      <c r="L152" s="57" t="n">
        <v>0</v>
      </c>
      <c r="M152" s="57" t="n">
        <v>0</v>
      </c>
      <c r="N152" s="57" t="n">
        <v>0</v>
      </c>
      <c r="O152" s="57" t="n">
        <v>0</v>
      </c>
      <c r="P152" s="57" t="n">
        <v>0</v>
      </c>
      <c r="Q152" s="57" t="n">
        <v>0</v>
      </c>
      <c r="R152" s="57" t="n">
        <v>0</v>
      </c>
      <c r="S152" s="57" t="n">
        <v>0</v>
      </c>
      <c r="T152" s="62" t="n">
        <v>0</v>
      </c>
    </row>
    <row r="153" ht="16" customHeight="1" thickBot="1">
      <c r="A153" s="65" t="inlineStr">
        <is>
          <t>M. Riccioni</t>
        </is>
      </c>
      <c r="B153" t="inlineStr">
        <is>
          <t>Italy</t>
        </is>
      </c>
      <c r="C153" t="inlineStr">
        <is>
          <t>Prop</t>
        </is>
      </c>
      <c r="D153" t="n">
        <v>3</v>
      </c>
      <c r="E153" s="57" t="n">
        <v>41.6667</v>
      </c>
      <c r="F153" s="57" t="n">
        <v>6</v>
      </c>
      <c r="G153" s="57" t="n">
        <v>0.3333</v>
      </c>
      <c r="H153" s="57" t="n">
        <v>0</v>
      </c>
      <c r="I153" s="57" t="n">
        <v>9.666700000000001</v>
      </c>
      <c r="J153" s="57" t="n">
        <v>0</v>
      </c>
      <c r="K153" s="57" t="n">
        <v>0</v>
      </c>
      <c r="L153" s="57" t="n">
        <v>0</v>
      </c>
      <c r="M153" s="57" t="n">
        <v>0.3333</v>
      </c>
      <c r="N153" s="57" t="n">
        <v>0</v>
      </c>
      <c r="O153" s="57" t="n">
        <v>0</v>
      </c>
      <c r="P153" s="57" t="n">
        <v>0</v>
      </c>
      <c r="Q153" s="57" t="n">
        <v>0</v>
      </c>
      <c r="R153" s="57" t="n">
        <v>0</v>
      </c>
      <c r="S153" s="57" t="n">
        <v>0</v>
      </c>
      <c r="T153" s="62" t="n">
        <v>0</v>
      </c>
    </row>
    <row r="154" ht="16" customHeight="1" thickBot="1">
      <c r="A154" s="63" t="inlineStr">
        <is>
          <t>J. O'Brien</t>
        </is>
      </c>
      <c r="B154" t="inlineStr">
        <is>
          <t>Ireland</t>
        </is>
      </c>
      <c r="C154" t="inlineStr">
        <is>
          <t>Back Three</t>
        </is>
      </c>
      <c r="D154" t="n">
        <v>1</v>
      </c>
      <c r="E154" s="57" t="n">
        <v>8</v>
      </c>
      <c r="F154" s="57" t="n">
        <v>0</v>
      </c>
      <c r="G154" s="57" t="n">
        <v>0</v>
      </c>
      <c r="H154" s="57" t="n">
        <v>0</v>
      </c>
      <c r="I154" s="57" t="n">
        <v>0</v>
      </c>
      <c r="J154" s="57" t="n">
        <v>0</v>
      </c>
      <c r="K154" s="57" t="n">
        <v>0</v>
      </c>
      <c r="L154" s="57" t="n">
        <v>0</v>
      </c>
      <c r="M154" s="57" t="n">
        <v>0</v>
      </c>
      <c r="N154" s="57" t="n">
        <v>0</v>
      </c>
      <c r="O154" s="57" t="n">
        <v>0</v>
      </c>
      <c r="P154" s="57" t="n">
        <v>0</v>
      </c>
      <c r="Q154" s="57" t="n">
        <v>0</v>
      </c>
      <c r="R154" s="57" t="n">
        <v>0</v>
      </c>
      <c r="S154" s="57" t="n">
        <v>0</v>
      </c>
      <c r="T154" s="62" t="n">
        <v>0</v>
      </c>
    </row>
    <row r="155" ht="16" customHeight="1" thickBot="1">
      <c r="A155" s="65" t="inlineStr">
        <is>
          <t>J. Crowley</t>
        </is>
      </c>
      <c r="B155" t="inlineStr">
        <is>
          <t>Ireland</t>
        </is>
      </c>
      <c r="C155" t="inlineStr">
        <is>
          <t>Fly Half</t>
        </is>
      </c>
      <c r="D155" t="n">
        <v>1</v>
      </c>
      <c r="E155" s="57" t="n">
        <v>2</v>
      </c>
      <c r="F155" s="57" t="n">
        <v>2</v>
      </c>
      <c r="G155" s="57" t="n">
        <v>0</v>
      </c>
      <c r="H155" s="57" t="n">
        <v>0</v>
      </c>
      <c r="I155" s="57" t="n">
        <v>0</v>
      </c>
      <c r="J155" s="57" t="n">
        <v>0</v>
      </c>
      <c r="K155" s="57" t="n">
        <v>0</v>
      </c>
      <c r="L155" s="57" t="n">
        <v>0</v>
      </c>
      <c r="M155" s="57" t="n">
        <v>0</v>
      </c>
      <c r="N155" s="57" t="n">
        <v>0</v>
      </c>
      <c r="O155" s="57" t="n">
        <v>0</v>
      </c>
      <c r="P155" s="57" t="n">
        <v>0</v>
      </c>
      <c r="Q155" s="57" t="n">
        <v>0</v>
      </c>
      <c r="R155" s="57" t="n">
        <v>0</v>
      </c>
      <c r="S155" s="57" t="n">
        <v>0</v>
      </c>
      <c r="T155" s="62" t="n">
        <v>0</v>
      </c>
    </row>
    <row r="156" ht="16" customHeight="1" thickBot="1">
      <c r="A156" s="64" t="inlineStr">
        <is>
          <t>R. Baird</t>
        </is>
      </c>
      <c r="B156" t="inlineStr">
        <is>
          <t>Ireland</t>
        </is>
      </c>
      <c r="C156" t="inlineStr">
        <is>
          <t>Second Row</t>
        </is>
      </c>
      <c r="D156" t="n">
        <v>2</v>
      </c>
      <c r="E156" s="57" t="n">
        <v>42</v>
      </c>
      <c r="F156" s="57" t="n">
        <v>2.5</v>
      </c>
      <c r="G156" s="57" t="n">
        <v>0.5</v>
      </c>
      <c r="H156" s="57" t="n">
        <v>0</v>
      </c>
      <c r="I156" s="57" t="n">
        <v>14.5</v>
      </c>
      <c r="J156" s="57" t="n">
        <v>0</v>
      </c>
      <c r="K156" s="57" t="n">
        <v>0.5</v>
      </c>
      <c r="L156" s="57" t="n">
        <v>0.5</v>
      </c>
      <c r="M156" s="57" t="n">
        <v>0</v>
      </c>
      <c r="N156" s="57" t="n">
        <v>0</v>
      </c>
      <c r="O156" s="57" t="n">
        <v>0</v>
      </c>
      <c r="P156" s="57" t="n">
        <v>0</v>
      </c>
      <c r="Q156" s="57" t="n">
        <v>0</v>
      </c>
      <c r="R156" s="57" t="n">
        <v>0</v>
      </c>
      <c r="S156" s="57" t="n">
        <v>0</v>
      </c>
      <c r="T156" s="62" t="n">
        <v>0</v>
      </c>
    </row>
    <row r="157" ht="16" customHeight="1" thickBot="1">
      <c r="A157" s="61" t="inlineStr">
        <is>
          <t>P. Garbisi</t>
        </is>
      </c>
      <c r="B157" t="inlineStr">
        <is>
          <t>Italy</t>
        </is>
      </c>
      <c r="C157" t="inlineStr">
        <is>
          <t>Fly Half</t>
        </is>
      </c>
      <c r="D157" t="n">
        <v>2</v>
      </c>
      <c r="E157" s="57" t="n">
        <v>76</v>
      </c>
      <c r="F157" s="57" t="n">
        <v>5.5</v>
      </c>
      <c r="G157" s="57" t="n">
        <v>0</v>
      </c>
      <c r="H157" s="57" t="n">
        <v>0.5</v>
      </c>
      <c r="I157" s="57" t="n">
        <v>39.5</v>
      </c>
      <c r="J157" s="57" t="n">
        <v>0</v>
      </c>
      <c r="K157" s="57" t="n">
        <v>0</v>
      </c>
      <c r="L157" s="57" t="n">
        <v>0</v>
      </c>
      <c r="M157" s="57" t="n">
        <v>0</v>
      </c>
      <c r="N157" s="57" t="n">
        <v>0</v>
      </c>
      <c r="O157" s="57" t="n">
        <v>1</v>
      </c>
      <c r="P157" s="57" t="n">
        <v>1</v>
      </c>
      <c r="Q157" s="57" t="n">
        <v>0</v>
      </c>
      <c r="R157" s="57" t="n">
        <v>0</v>
      </c>
      <c r="S157" s="57" t="n">
        <v>0</v>
      </c>
      <c r="T157" s="62" t="n">
        <v>0</v>
      </c>
    </row>
    <row r="158" ht="16" customHeight="1" thickBot="1">
      <c r="A158" s="63" t="inlineStr">
        <is>
          <t>L. Halfpenny</t>
        </is>
      </c>
      <c r="B158" t="inlineStr">
        <is>
          <t>Wales</t>
        </is>
      </c>
      <c r="C158" t="inlineStr">
        <is>
          <t>Back Three</t>
        </is>
      </c>
      <c r="D158" t="n">
        <v>1</v>
      </c>
      <c r="E158" s="57" t="n">
        <v>80</v>
      </c>
      <c r="F158" s="57" t="n">
        <v>3</v>
      </c>
      <c r="G158" s="57" t="n">
        <v>0</v>
      </c>
      <c r="H158" s="57" t="n">
        <v>0</v>
      </c>
      <c r="I158" s="57" t="n">
        <v>60</v>
      </c>
      <c r="J158" s="57" t="n">
        <v>0</v>
      </c>
      <c r="K158" s="57" t="n">
        <v>0</v>
      </c>
      <c r="L158" s="57" t="n">
        <v>0</v>
      </c>
      <c r="M158" s="57" t="n">
        <v>0</v>
      </c>
      <c r="N158" s="57" t="n">
        <v>0</v>
      </c>
      <c r="O158" s="57" t="n">
        <v>1</v>
      </c>
      <c r="P158" s="57" t="n">
        <v>1</v>
      </c>
      <c r="Q158" s="57" t="n">
        <v>0</v>
      </c>
      <c r="R158" s="57" t="n">
        <v>0</v>
      </c>
      <c r="S158" s="57" t="n">
        <v>0</v>
      </c>
      <c r="T158" s="62" t="n">
        <v>0</v>
      </c>
    </row>
    <row r="159" ht="16" customHeight="1" thickBot="1">
      <c r="A159" s="61" t="inlineStr">
        <is>
          <t>L. Rees-Zammit</t>
        </is>
      </c>
      <c r="B159" t="inlineStr">
        <is>
          <t>Wales</t>
        </is>
      </c>
      <c r="C159" t="inlineStr">
        <is>
          <t>Back Three</t>
        </is>
      </c>
      <c r="D159" t="n">
        <v>2</v>
      </c>
      <c r="E159" s="57" t="n">
        <v>54.5</v>
      </c>
      <c r="F159" s="57" t="n">
        <v>2.5</v>
      </c>
      <c r="G159" s="57" t="n">
        <v>1</v>
      </c>
      <c r="H159" s="57" t="n">
        <v>1.5</v>
      </c>
      <c r="I159" s="57" t="n">
        <v>85.5</v>
      </c>
      <c r="J159" s="57" t="n">
        <v>0</v>
      </c>
      <c r="K159" s="57" t="n">
        <v>0</v>
      </c>
      <c r="L159" s="57" t="n">
        <v>0</v>
      </c>
      <c r="M159" s="57" t="n">
        <v>0.5</v>
      </c>
      <c r="N159" s="57" t="n">
        <v>0</v>
      </c>
      <c r="O159" s="57" t="n">
        <v>0</v>
      </c>
      <c r="P159" s="57" t="n">
        <v>0</v>
      </c>
      <c r="Q159" s="57" t="n">
        <v>0</v>
      </c>
      <c r="R159" s="57" t="n">
        <v>0</v>
      </c>
      <c r="S159" s="57" t="n">
        <v>0</v>
      </c>
      <c r="T159" s="62" t="n">
        <v>0</v>
      </c>
    </row>
    <row r="160" ht="16" customHeight="1" thickBot="1">
      <c r="A160" s="63" t="inlineStr">
        <is>
          <t>M. Grady</t>
        </is>
      </c>
      <c r="B160" t="inlineStr">
        <is>
          <t>Wales</t>
        </is>
      </c>
      <c r="C160" t="inlineStr">
        <is>
          <t>Centre</t>
        </is>
      </c>
      <c r="D160" t="n">
        <v>2</v>
      </c>
      <c r="E160" s="57" t="n">
        <v>80</v>
      </c>
      <c r="F160" s="57" t="n">
        <v>6.5</v>
      </c>
      <c r="G160" s="57" t="n">
        <v>0</v>
      </c>
      <c r="H160" s="57" t="n">
        <v>0</v>
      </c>
      <c r="I160" s="57" t="n">
        <v>37</v>
      </c>
      <c r="J160" s="57" t="n">
        <v>0</v>
      </c>
      <c r="K160" s="57" t="n">
        <v>0</v>
      </c>
      <c r="L160" s="57" t="n">
        <v>0</v>
      </c>
      <c r="M160" s="57" t="n">
        <v>0</v>
      </c>
      <c r="N160" s="57" t="n">
        <v>0</v>
      </c>
      <c r="O160" s="57" t="n">
        <v>0</v>
      </c>
      <c r="P160" s="57" t="n">
        <v>0</v>
      </c>
      <c r="Q160" s="57" t="n">
        <v>0</v>
      </c>
      <c r="R160" s="57" t="n">
        <v>0</v>
      </c>
      <c r="S160" s="57" t="n">
        <v>0</v>
      </c>
      <c r="T160" s="62" t="n">
        <v>0</v>
      </c>
    </row>
    <row r="161" ht="16" customHeight="1" thickBot="1">
      <c r="A161" s="65" t="inlineStr">
        <is>
          <t>N. Tompkins</t>
        </is>
      </c>
      <c r="B161" t="inlineStr">
        <is>
          <t>Wales</t>
        </is>
      </c>
      <c r="C161" t="inlineStr">
        <is>
          <t>Centre</t>
        </is>
      </c>
      <c r="D161" t="n">
        <v>1</v>
      </c>
      <c r="E161" s="57" t="n">
        <v>26</v>
      </c>
      <c r="F161" s="57" t="n">
        <v>5</v>
      </c>
      <c r="G161" s="57" t="n">
        <v>0</v>
      </c>
      <c r="H161" s="57" t="n">
        <v>0</v>
      </c>
      <c r="I161" s="57" t="n">
        <v>29</v>
      </c>
      <c r="J161" s="57" t="n">
        <v>0</v>
      </c>
      <c r="K161" s="57" t="n">
        <v>0</v>
      </c>
      <c r="L161" s="57" t="n">
        <v>0</v>
      </c>
      <c r="M161" s="57" t="n">
        <v>0</v>
      </c>
      <c r="N161" s="57" t="n">
        <v>0</v>
      </c>
      <c r="O161" s="57" t="n">
        <v>0</v>
      </c>
      <c r="P161" s="57" t="n">
        <v>0</v>
      </c>
      <c r="Q161" s="57" t="n">
        <v>0</v>
      </c>
      <c r="R161" s="57" t="n">
        <v>0</v>
      </c>
      <c r="S161" s="57" t="n">
        <v>0</v>
      </c>
      <c r="T161" s="62" t="n">
        <v>0</v>
      </c>
    </row>
    <row r="162" ht="16" customHeight="1" thickBot="1">
      <c r="A162" s="61" t="inlineStr">
        <is>
          <t>K. Hardy</t>
        </is>
      </c>
      <c r="B162" t="inlineStr">
        <is>
          <t>Wales</t>
        </is>
      </c>
      <c r="C162" t="inlineStr">
        <is>
          <t>Scrum Half</t>
        </is>
      </c>
      <c r="D162" t="n">
        <v>1</v>
      </c>
      <c r="E162" s="57" t="n">
        <v>11</v>
      </c>
      <c r="F162" s="57" t="n">
        <v>4</v>
      </c>
      <c r="G162" s="57" t="n">
        <v>0</v>
      </c>
      <c r="H162" s="57" t="n">
        <v>0</v>
      </c>
      <c r="I162" s="57" t="n">
        <v>0</v>
      </c>
      <c r="J162" s="57" t="n">
        <v>0</v>
      </c>
      <c r="K162" s="57" t="n">
        <v>0</v>
      </c>
      <c r="L162" s="57" t="n">
        <v>0</v>
      </c>
      <c r="M162" s="57" t="n">
        <v>0</v>
      </c>
      <c r="N162" s="57" t="n">
        <v>0</v>
      </c>
      <c r="O162" s="57" t="n">
        <v>0</v>
      </c>
      <c r="P162" s="57" t="n">
        <v>0</v>
      </c>
      <c r="Q162" s="57" t="n">
        <v>0</v>
      </c>
      <c r="R162" s="57" t="n">
        <v>0</v>
      </c>
      <c r="S162" s="57" t="n">
        <v>0</v>
      </c>
      <c r="T162" s="62" t="n">
        <v>0</v>
      </c>
    </row>
    <row r="163" ht="16" customHeight="1" thickBot="1">
      <c r="A163" s="64" t="inlineStr">
        <is>
          <t>B. Roberts</t>
        </is>
      </c>
      <c r="B163" t="inlineStr">
        <is>
          <t>Wales</t>
        </is>
      </c>
      <c r="C163" t="inlineStr">
        <is>
          <t>Hooker</t>
        </is>
      </c>
      <c r="D163" t="n">
        <v>1</v>
      </c>
      <c r="E163" s="57" t="n">
        <v>11</v>
      </c>
      <c r="F163" s="57" t="n">
        <v>3</v>
      </c>
      <c r="G163" s="57" t="n">
        <v>0</v>
      </c>
      <c r="H163" s="57" t="n">
        <v>0</v>
      </c>
      <c r="I163" s="57" t="n">
        <v>5</v>
      </c>
      <c r="J163" s="57" t="n">
        <v>0</v>
      </c>
      <c r="K163" s="57" t="n">
        <v>0</v>
      </c>
      <c r="L163" s="57" t="n">
        <v>0</v>
      </c>
      <c r="M163" s="57" t="n">
        <v>0</v>
      </c>
      <c r="N163" s="57" t="n">
        <v>0</v>
      </c>
      <c r="O163" s="57" t="n">
        <v>0</v>
      </c>
      <c r="P163" s="57" t="n">
        <v>0</v>
      </c>
      <c r="Q163" s="57" t="n">
        <v>0</v>
      </c>
      <c r="R163" s="57" t="n">
        <v>0</v>
      </c>
      <c r="S163" s="57" t="n">
        <v>0</v>
      </c>
      <c r="T163" s="62" t="n">
        <v>0</v>
      </c>
    </row>
    <row r="164" ht="16" customHeight="1" thickBot="1">
      <c r="A164" s="61" t="inlineStr">
        <is>
          <t>C. Lawes</t>
        </is>
      </c>
      <c r="B164" t="inlineStr">
        <is>
          <t>England</t>
        </is>
      </c>
      <c r="C164" t="inlineStr">
        <is>
          <t>Second Row</t>
        </is>
      </c>
      <c r="D164" t="n">
        <v>1</v>
      </c>
      <c r="E164" s="57" t="n">
        <v>11</v>
      </c>
      <c r="F164" s="57" t="n">
        <v>1</v>
      </c>
      <c r="G164" s="57" t="n">
        <v>0</v>
      </c>
      <c r="H164" s="57" t="n">
        <v>0</v>
      </c>
      <c r="I164" s="57" t="n">
        <v>6</v>
      </c>
      <c r="J164" s="57" t="n">
        <v>0</v>
      </c>
      <c r="K164" s="57" t="n">
        <v>0</v>
      </c>
      <c r="L164" s="57" t="n">
        <v>0</v>
      </c>
      <c r="M164" s="57" t="n">
        <v>0</v>
      </c>
      <c r="N164" s="57" t="n">
        <v>0</v>
      </c>
      <c r="O164" s="57" t="n">
        <v>0</v>
      </c>
      <c r="P164" s="57" t="n">
        <v>0</v>
      </c>
      <c r="Q164" s="57" t="n">
        <v>0</v>
      </c>
      <c r="R164" s="57" t="n">
        <v>0</v>
      </c>
      <c r="S164" s="57" t="n">
        <v>0</v>
      </c>
      <c r="T164" s="62" t="n">
        <v>0</v>
      </c>
    </row>
    <row r="165" ht="16" customHeight="1" thickBot="1">
      <c r="A165" s="63" t="inlineStr">
        <is>
          <t>M. Haouas</t>
        </is>
      </c>
      <c r="B165" t="inlineStr">
        <is>
          <t>France</t>
        </is>
      </c>
      <c r="C165" t="inlineStr">
        <is>
          <t>Prop</t>
        </is>
      </c>
      <c r="D165" t="n">
        <v>1</v>
      </c>
      <c r="E165" s="57" t="n">
        <v>11</v>
      </c>
      <c r="F165" s="57" t="n">
        <v>1</v>
      </c>
      <c r="G165" s="57" t="n">
        <v>0</v>
      </c>
      <c r="H165" s="57" t="n">
        <v>0</v>
      </c>
      <c r="I165" s="57" t="n">
        <v>0</v>
      </c>
      <c r="J165" s="57" t="n">
        <v>0</v>
      </c>
      <c r="K165" s="57" t="n">
        <v>0</v>
      </c>
      <c r="L165" s="57" t="n">
        <v>0</v>
      </c>
      <c r="M165" s="57" t="n">
        <v>0</v>
      </c>
      <c r="N165" s="57" t="n">
        <v>0</v>
      </c>
      <c r="O165" s="57" t="n">
        <v>0</v>
      </c>
      <c r="P165" s="57" t="n">
        <v>0</v>
      </c>
      <c r="Q165" s="57" t="n">
        <v>0</v>
      </c>
      <c r="R165" s="57" t="n">
        <v>0</v>
      </c>
      <c r="S165" s="57" t="n">
        <v>1</v>
      </c>
      <c r="T165" s="62" t="n">
        <v>0</v>
      </c>
    </row>
    <row r="166" ht="16" customHeight="1" thickBot="1">
      <c r="A166" s="65" t="inlineStr">
        <is>
          <t>A. Price</t>
        </is>
      </c>
      <c r="B166" t="inlineStr">
        <is>
          <t>Scotland</t>
        </is>
      </c>
      <c r="C166" t="inlineStr">
        <is>
          <t>Scrum Half</t>
        </is>
      </c>
      <c r="D166" t="n">
        <v>2</v>
      </c>
      <c r="E166" s="57" t="n">
        <v>22.5</v>
      </c>
      <c r="F166" s="57" t="n">
        <v>1.5</v>
      </c>
      <c r="G166" s="57" t="n">
        <v>0</v>
      </c>
      <c r="H166" s="57" t="n">
        <v>0</v>
      </c>
      <c r="I166" s="57" t="n">
        <v>0</v>
      </c>
      <c r="J166" s="57" t="n">
        <v>0</v>
      </c>
      <c r="K166" s="57" t="n">
        <v>0</v>
      </c>
      <c r="L166" s="57" t="n">
        <v>0</v>
      </c>
      <c r="M166" s="57" t="n">
        <v>0</v>
      </c>
      <c r="N166" s="57" t="n">
        <v>0.5</v>
      </c>
      <c r="O166" s="57" t="n">
        <v>0</v>
      </c>
      <c r="P166" s="57" t="n">
        <v>0</v>
      </c>
      <c r="Q166" s="57" t="n">
        <v>0</v>
      </c>
      <c r="R166" s="57" t="n">
        <v>0</v>
      </c>
      <c r="S166" s="57" t="n">
        <v>0</v>
      </c>
      <c r="T166" s="62" t="n">
        <v>0</v>
      </c>
    </row>
    <row r="167" ht="16" customHeight="1" thickBot="1">
      <c r="A167" s="64" t="inlineStr">
        <is>
          <t>S. Skinner</t>
        </is>
      </c>
      <c r="B167" t="inlineStr">
        <is>
          <t>Scotland</t>
        </is>
      </c>
      <c r="C167" t="inlineStr">
        <is>
          <t>Back Row</t>
        </is>
      </c>
      <c r="D167" t="n">
        <v>1</v>
      </c>
      <c r="E167" s="57" t="n">
        <v>9</v>
      </c>
      <c r="F167" s="57" t="n">
        <v>4</v>
      </c>
      <c r="G167" s="57" t="n">
        <v>0</v>
      </c>
      <c r="H167" s="57" t="n">
        <v>0</v>
      </c>
      <c r="I167" s="57" t="n">
        <v>0</v>
      </c>
      <c r="J167" s="57" t="n">
        <v>0</v>
      </c>
      <c r="K167" s="57" t="n">
        <v>0</v>
      </c>
      <c r="L167" s="57" t="n">
        <v>1</v>
      </c>
      <c r="M167" s="57" t="n">
        <v>0</v>
      </c>
      <c r="N167" s="57" t="n">
        <v>0</v>
      </c>
      <c r="O167" s="57" t="n">
        <v>0</v>
      </c>
      <c r="P167" s="57" t="n">
        <v>0</v>
      </c>
      <c r="Q167" s="57" t="n">
        <v>0</v>
      </c>
      <c r="R167" s="57" t="n">
        <v>0</v>
      </c>
      <c r="S167" s="57" t="n">
        <v>0</v>
      </c>
      <c r="T167" s="62" t="n">
        <v>0</v>
      </c>
    </row>
    <row r="168" ht="16" customHeight="1" thickBot="1">
      <c r="A168" s="65" t="inlineStr">
        <is>
          <t>H. Watson</t>
        </is>
      </c>
      <c r="B168" t="inlineStr">
        <is>
          <t>Scotland</t>
        </is>
      </c>
      <c r="C168" t="inlineStr">
        <is>
          <t>Back Row</t>
        </is>
      </c>
      <c r="D168" t="n">
        <v>2</v>
      </c>
      <c r="E168" s="57" t="n">
        <v>12</v>
      </c>
      <c r="F168" s="57" t="n">
        <v>3</v>
      </c>
      <c r="G168" s="57" t="n">
        <v>0</v>
      </c>
      <c r="H168" s="57" t="n">
        <v>0</v>
      </c>
      <c r="I168" s="57" t="n">
        <v>4</v>
      </c>
      <c r="J168" s="57" t="n">
        <v>0</v>
      </c>
      <c r="K168" s="57" t="n">
        <v>0</v>
      </c>
      <c r="L168" s="57" t="n">
        <v>0</v>
      </c>
      <c r="M168" s="57" t="n">
        <v>0</v>
      </c>
      <c r="N168" s="57" t="n">
        <v>0</v>
      </c>
      <c r="O168" s="57" t="n">
        <v>0</v>
      </c>
      <c r="P168" s="57" t="n">
        <v>0</v>
      </c>
      <c r="Q168" s="57" t="n">
        <v>0</v>
      </c>
      <c r="R168" s="57" t="n">
        <v>0</v>
      </c>
      <c r="S168" s="57" t="n">
        <v>0</v>
      </c>
      <c r="T168" s="62" t="n">
        <v>0</v>
      </c>
    </row>
    <row r="169" ht="16" customHeight="1" thickBot="1">
      <c r="A169" s="64" t="inlineStr">
        <is>
          <t>D. Ribbans</t>
        </is>
      </c>
      <c r="B169" t="inlineStr">
        <is>
          <t>England</t>
        </is>
      </c>
      <c r="C169" t="inlineStr">
        <is>
          <t>Second Row</t>
        </is>
      </c>
      <c r="D169" t="n">
        <v>1</v>
      </c>
      <c r="E169" s="57" t="n">
        <v>5</v>
      </c>
      <c r="F169" s="57" t="n">
        <v>0</v>
      </c>
      <c r="G169" s="57" t="n">
        <v>0</v>
      </c>
      <c r="H169" s="57" t="n">
        <v>0</v>
      </c>
      <c r="I169" s="57" t="n">
        <v>3</v>
      </c>
      <c r="J169" s="57" t="n">
        <v>0</v>
      </c>
      <c r="K169" s="57" t="n">
        <v>0</v>
      </c>
      <c r="L169" s="57" t="n">
        <v>0</v>
      </c>
      <c r="M169" s="57" t="n">
        <v>0</v>
      </c>
      <c r="N169" s="57" t="n">
        <v>0</v>
      </c>
      <c r="O169" s="57" t="n">
        <v>0</v>
      </c>
      <c r="P169" s="57" t="n">
        <v>0</v>
      </c>
      <c r="Q169" s="57" t="n">
        <v>0</v>
      </c>
      <c r="R169" s="57" t="n">
        <v>0</v>
      </c>
      <c r="S169" s="57" t="n">
        <v>0</v>
      </c>
      <c r="T169" s="62" t="n">
        <v>0</v>
      </c>
    </row>
    <row r="170" ht="16" customHeight="1" thickBot="1">
      <c r="A170" s="61" t="inlineStr">
        <is>
          <t>M. Jaminet</t>
        </is>
      </c>
      <c r="B170" t="inlineStr">
        <is>
          <t>France</t>
        </is>
      </c>
      <c r="C170" t="inlineStr">
        <is>
          <t>Back Three</t>
        </is>
      </c>
      <c r="D170" t="n">
        <v>1</v>
      </c>
      <c r="E170" s="57" t="n">
        <v>7</v>
      </c>
      <c r="F170" s="57" t="n">
        <v>2</v>
      </c>
      <c r="G170" s="57" t="n">
        <v>0</v>
      </c>
      <c r="H170" s="57" t="n">
        <v>0</v>
      </c>
      <c r="I170" s="57" t="n">
        <v>11</v>
      </c>
      <c r="J170" s="57" t="n">
        <v>0</v>
      </c>
      <c r="K170" s="57" t="n">
        <v>0</v>
      </c>
      <c r="L170" s="57" t="n">
        <v>0</v>
      </c>
      <c r="M170" s="57" t="n">
        <v>0</v>
      </c>
      <c r="N170" s="57" t="n">
        <v>1</v>
      </c>
      <c r="O170" s="57" t="n">
        <v>0</v>
      </c>
      <c r="P170" s="57" t="n">
        <v>0</v>
      </c>
      <c r="Q170" s="57" t="n">
        <v>0</v>
      </c>
      <c r="R170" s="57" t="n">
        <v>0</v>
      </c>
      <c r="S170" s="57" t="n">
        <v>0</v>
      </c>
      <c r="T170" s="62" t="n">
        <v>0</v>
      </c>
    </row>
    <row r="171" ht="16" customHeight="1" thickBot="1">
      <c r="A171" s="63" t="inlineStr">
        <is>
          <t>J. Danty</t>
        </is>
      </c>
      <c r="B171" t="inlineStr">
        <is>
          <t>France</t>
        </is>
      </c>
      <c r="C171" t="inlineStr">
        <is>
          <t>Centre</t>
        </is>
      </c>
      <c r="D171" t="n">
        <v>1</v>
      </c>
      <c r="E171" s="57" t="n">
        <v>65</v>
      </c>
      <c r="F171" s="57" t="n">
        <v>8</v>
      </c>
      <c r="G171" s="57" t="n">
        <v>1</v>
      </c>
      <c r="H171" s="57" t="n">
        <v>0</v>
      </c>
      <c r="I171" s="57" t="n">
        <v>26</v>
      </c>
      <c r="J171" s="57" t="n">
        <v>0</v>
      </c>
      <c r="K171" s="57" t="n">
        <v>0</v>
      </c>
      <c r="L171" s="57" t="n">
        <v>1</v>
      </c>
      <c r="M171" s="57" t="n">
        <v>0</v>
      </c>
      <c r="N171" s="57" t="n">
        <v>0</v>
      </c>
      <c r="O171" s="57" t="n">
        <v>0</v>
      </c>
      <c r="P171" s="57" t="n">
        <v>0</v>
      </c>
      <c r="Q171" s="57" t="n">
        <v>0</v>
      </c>
      <c r="R171" s="57" t="n">
        <v>0</v>
      </c>
      <c r="S171" s="57" t="n">
        <v>0</v>
      </c>
      <c r="T171" s="62" t="n">
        <v>0</v>
      </c>
    </row>
    <row r="172" ht="16" customHeight="1" thickBot="1">
      <c r="A172" s="65" t="inlineStr">
        <is>
          <t>M. Lucu</t>
        </is>
      </c>
      <c r="B172" t="inlineStr">
        <is>
          <t>France</t>
        </is>
      </c>
      <c r="C172" t="inlineStr">
        <is>
          <t>Scrum Half</t>
        </is>
      </c>
      <c r="D172" t="n">
        <v>1</v>
      </c>
      <c r="E172" s="57" t="n">
        <v>11</v>
      </c>
      <c r="F172" s="57" t="n">
        <v>0</v>
      </c>
      <c r="G172" s="57" t="n">
        <v>0</v>
      </c>
      <c r="H172" s="57" t="n">
        <v>0</v>
      </c>
      <c r="I172" s="57" t="n">
        <v>2</v>
      </c>
      <c r="J172" s="57" t="n">
        <v>0</v>
      </c>
      <c r="K172" s="57" t="n">
        <v>0</v>
      </c>
      <c r="L172" s="57" t="n">
        <v>0</v>
      </c>
      <c r="M172" s="57" t="n">
        <v>0</v>
      </c>
      <c r="N172" s="57" t="n">
        <v>0</v>
      </c>
      <c r="O172" s="57" t="n">
        <v>0</v>
      </c>
      <c r="P172" s="57" t="n">
        <v>0</v>
      </c>
      <c r="Q172" s="57" t="n">
        <v>0</v>
      </c>
      <c r="R172" s="57" t="n">
        <v>0</v>
      </c>
      <c r="S172" s="57" t="n">
        <v>0</v>
      </c>
      <c r="T172" s="62" t="n">
        <v>0</v>
      </c>
    </row>
    <row r="173" ht="16" customHeight="1" thickBot="1">
      <c r="A173" s="63" t="inlineStr">
        <is>
          <t>D. Aldegheri</t>
        </is>
      </c>
      <c r="B173" t="inlineStr">
        <is>
          <t>France</t>
        </is>
      </c>
      <c r="C173" t="inlineStr">
        <is>
          <t>Prop</t>
        </is>
      </c>
      <c r="D173" t="n">
        <v>1</v>
      </c>
      <c r="E173" s="57" t="n">
        <v>50</v>
      </c>
      <c r="F173" s="57" t="n">
        <v>6</v>
      </c>
      <c r="G173" s="57" t="n">
        <v>0</v>
      </c>
      <c r="H173" s="57" t="n">
        <v>0</v>
      </c>
      <c r="I173" s="57" t="n">
        <v>0</v>
      </c>
      <c r="J173" s="57" t="n">
        <v>0</v>
      </c>
      <c r="K173" s="57" t="n">
        <v>0</v>
      </c>
      <c r="L173" s="57" t="n">
        <v>0</v>
      </c>
      <c r="M173" s="57" t="n">
        <v>0</v>
      </c>
      <c r="N173" s="57" t="n">
        <v>0</v>
      </c>
      <c r="O173" s="57" t="n">
        <v>0</v>
      </c>
      <c r="P173" s="57" t="n">
        <v>0</v>
      </c>
      <c r="Q173" s="57" t="n">
        <v>0</v>
      </c>
      <c r="R173" s="57" t="n">
        <v>0</v>
      </c>
      <c r="S173" s="57" t="n">
        <v>0</v>
      </c>
      <c r="T173" s="62" t="n">
        <v>0</v>
      </c>
    </row>
    <row r="174" ht="16" customHeight="1" thickBot="1">
      <c r="A174" s="61" t="inlineStr">
        <is>
          <t>P. Mauvaka</t>
        </is>
      </c>
      <c r="B174" t="inlineStr">
        <is>
          <t>France</t>
        </is>
      </c>
      <c r="C174" t="inlineStr">
        <is>
          <t>Hooker</t>
        </is>
      </c>
      <c r="D174" t="n">
        <v>1</v>
      </c>
      <c r="E174" s="57" t="n">
        <v>19</v>
      </c>
      <c r="F174" s="57" t="n">
        <v>4</v>
      </c>
      <c r="G174" s="57" t="n">
        <v>0</v>
      </c>
      <c r="H174" s="57" t="n">
        <v>0</v>
      </c>
      <c r="I174" s="57" t="n">
        <v>1</v>
      </c>
      <c r="J174" s="57" t="n">
        <v>0</v>
      </c>
      <c r="K174" s="57" t="n">
        <v>0</v>
      </c>
      <c r="L174" s="57" t="n">
        <v>0</v>
      </c>
      <c r="M174" s="57" t="n">
        <v>0</v>
      </c>
      <c r="N174" s="57" t="n">
        <v>0</v>
      </c>
      <c r="O174" s="57" t="n">
        <v>0</v>
      </c>
      <c r="P174" s="57" t="n">
        <v>0</v>
      </c>
      <c r="Q174" s="57" t="n">
        <v>0</v>
      </c>
      <c r="R174" s="57" t="n">
        <v>0</v>
      </c>
      <c r="S174" s="57" t="n">
        <v>0</v>
      </c>
      <c r="T174" s="62" t="n">
        <v>0</v>
      </c>
    </row>
    <row r="175" ht="16" customHeight="1" thickBot="1">
      <c r="A175" s="64" t="inlineStr">
        <is>
          <t>S. Cummings</t>
        </is>
      </c>
      <c r="B175" t="inlineStr">
        <is>
          <t>Scotland</t>
        </is>
      </c>
      <c r="C175" t="inlineStr">
        <is>
          <t>Second Row</t>
        </is>
      </c>
      <c r="D175" t="n">
        <v>1</v>
      </c>
      <c r="E175" s="57" t="n">
        <v>75</v>
      </c>
      <c r="F175" s="57" t="n">
        <v>9</v>
      </c>
      <c r="G175" s="57" t="n">
        <v>0</v>
      </c>
      <c r="H175" s="57" t="n">
        <v>0</v>
      </c>
      <c r="I175" s="57" t="n">
        <v>9</v>
      </c>
      <c r="J175" s="57" t="n">
        <v>0</v>
      </c>
      <c r="K175" s="57" t="n">
        <v>0</v>
      </c>
      <c r="L175" s="57" t="n">
        <v>0</v>
      </c>
      <c r="M175" s="57" t="n">
        <v>0</v>
      </c>
      <c r="N175" s="57" t="n">
        <v>0</v>
      </c>
      <c r="O175" s="57" t="n">
        <v>0</v>
      </c>
      <c r="P175" s="57" t="n">
        <v>0</v>
      </c>
      <c r="Q175" s="57" t="n">
        <v>0</v>
      </c>
      <c r="R175" s="57" t="n">
        <v>0</v>
      </c>
      <c r="S175" s="57" t="n">
        <v>0</v>
      </c>
      <c r="T175" s="62" t="n">
        <v>0</v>
      </c>
    </row>
    <row r="176" ht="16" customHeight="1" thickBot="1">
      <c r="A176" s="61" t="inlineStr">
        <is>
          <t>R. Henshaw</t>
        </is>
      </c>
      <c r="B176" t="inlineStr">
        <is>
          <t>Ireland</t>
        </is>
      </c>
      <c r="C176" t="inlineStr">
        <is>
          <t>Centre</t>
        </is>
      </c>
      <c r="D176" t="n">
        <v>1</v>
      </c>
      <c r="E176" s="57" t="n">
        <v>14</v>
      </c>
      <c r="F176" s="57" t="n">
        <v>6</v>
      </c>
      <c r="G176" s="57" t="n">
        <v>0</v>
      </c>
      <c r="H176" s="57" t="n">
        <v>0</v>
      </c>
      <c r="I176" s="57" t="n">
        <v>4</v>
      </c>
      <c r="J176" s="57" t="n">
        <v>0</v>
      </c>
      <c r="K176" s="57" t="n">
        <v>0</v>
      </c>
      <c r="L176" s="57" t="n">
        <v>0</v>
      </c>
      <c r="M176" s="57" t="n">
        <v>0</v>
      </c>
      <c r="N176" s="57" t="n">
        <v>0</v>
      </c>
      <c r="O176" s="57" t="n">
        <v>0</v>
      </c>
      <c r="P176" s="57" t="n">
        <v>0</v>
      </c>
      <c r="Q176" s="57" t="n">
        <v>0</v>
      </c>
      <c r="R176" s="57" t="n">
        <v>0</v>
      </c>
      <c r="S176" s="57" t="n">
        <v>0</v>
      </c>
      <c r="T176" s="62" t="n">
        <v>0</v>
      </c>
    </row>
    <row r="177" ht="16" customHeight="1" thickBot="1">
      <c r="A177" s="64" t="inlineStr">
        <is>
          <t>J. Gibson-Park</t>
        </is>
      </c>
      <c r="B177" t="inlineStr">
        <is>
          <t>Ireland</t>
        </is>
      </c>
      <c r="C177" t="inlineStr">
        <is>
          <t>Scrum Half</t>
        </is>
      </c>
      <c r="D177" t="n">
        <v>1</v>
      </c>
      <c r="E177" s="57" t="n">
        <v>27</v>
      </c>
      <c r="F177" s="57" t="n">
        <v>2</v>
      </c>
      <c r="G177" s="57" t="n">
        <v>0</v>
      </c>
      <c r="H177" s="57" t="n">
        <v>1</v>
      </c>
      <c r="I177" s="57" t="n">
        <v>34</v>
      </c>
      <c r="J177" s="57" t="n">
        <v>0</v>
      </c>
      <c r="K177" s="57" t="n">
        <v>0</v>
      </c>
      <c r="L177" s="57" t="n">
        <v>0</v>
      </c>
      <c r="M177" s="57" t="n">
        <v>0</v>
      </c>
      <c r="N177" s="57" t="n">
        <v>1</v>
      </c>
      <c r="O177" s="57" t="n">
        <v>0</v>
      </c>
      <c r="P177" s="57" t="n">
        <v>0</v>
      </c>
      <c r="Q177" s="57" t="n">
        <v>0</v>
      </c>
      <c r="R177" s="57" t="n">
        <v>0</v>
      </c>
      <c r="S177" s="57" t="n">
        <v>0</v>
      </c>
      <c r="T177" s="62" t="n">
        <v>0</v>
      </c>
    </row>
    <row r="178" ht="16" customHeight="1" thickBot="1">
      <c r="A178" s="65" t="inlineStr">
        <is>
          <t>T. Furlong</t>
        </is>
      </c>
      <c r="B178" t="inlineStr">
        <is>
          <t>Ireland</t>
        </is>
      </c>
      <c r="C178" t="inlineStr">
        <is>
          <t>Prop</t>
        </is>
      </c>
      <c r="D178" t="n">
        <v>1</v>
      </c>
      <c r="E178" s="57" t="n">
        <v>65</v>
      </c>
      <c r="F178" s="57" t="n">
        <v>11</v>
      </c>
      <c r="G178" s="57" t="n">
        <v>0</v>
      </c>
      <c r="H178" s="57" t="n">
        <v>0</v>
      </c>
      <c r="I178" s="57" t="n">
        <v>41</v>
      </c>
      <c r="J178" s="57" t="n">
        <v>0</v>
      </c>
      <c r="K178" s="57" t="n">
        <v>0</v>
      </c>
      <c r="L178" s="57" t="n">
        <v>0</v>
      </c>
      <c r="M178" s="57" t="n">
        <v>0</v>
      </c>
      <c r="N178" s="57" t="n">
        <v>0</v>
      </c>
      <c r="O178" s="57" t="n">
        <v>0</v>
      </c>
      <c r="P178" s="57" t="n">
        <v>0</v>
      </c>
      <c r="Q178" s="57" t="n">
        <v>0</v>
      </c>
      <c r="R178" s="57" t="n">
        <v>0</v>
      </c>
      <c r="S178" s="57" t="n">
        <v>0</v>
      </c>
      <c r="T178" s="62" t="n">
        <v>0</v>
      </c>
    </row>
    <row r="179" ht="16" customHeight="1" thickBot="1">
      <c r="A179" s="66" t="inlineStr">
        <is>
          <t>C. Healy</t>
        </is>
      </c>
      <c r="B179" s="48" t="inlineStr">
        <is>
          <t>Ireland</t>
        </is>
      </c>
      <c r="C179" s="48" t="inlineStr">
        <is>
          <t>Prop</t>
        </is>
      </c>
      <c r="D179" s="48" t="n">
        <v>1</v>
      </c>
      <c r="E179" s="67" t="n">
        <v>32</v>
      </c>
      <c r="F179" s="67" t="n">
        <v>1</v>
      </c>
      <c r="G179" s="67" t="n">
        <v>0</v>
      </c>
      <c r="H179" s="67" t="n">
        <v>0</v>
      </c>
      <c r="I179" s="67" t="n">
        <v>15</v>
      </c>
      <c r="J179" s="67" t="n">
        <v>0</v>
      </c>
      <c r="K179" s="67" t="n">
        <v>0</v>
      </c>
      <c r="L179" s="67" t="n">
        <v>0</v>
      </c>
      <c r="M179" s="67" t="n">
        <v>0</v>
      </c>
      <c r="N179" s="67" t="n">
        <v>0</v>
      </c>
      <c r="O179" s="67" t="n">
        <v>0</v>
      </c>
      <c r="P179" s="67" t="n">
        <v>0</v>
      </c>
      <c r="Q179" s="67" t="n">
        <v>0</v>
      </c>
      <c r="R179" s="67" t="n">
        <v>0</v>
      </c>
      <c r="S179" s="67" t="n">
        <v>0</v>
      </c>
      <c r="T179" s="68" t="n">
        <v>0</v>
      </c>
    </row>
  </sheetData>
  <mergeCells count="1">
    <mergeCell ref="E2:S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A1"/>
  <sheetViews>
    <sheetView workbookViewId="0">
      <selection activeCell="N27" sqref="N27"/>
    </sheetView>
  </sheetViews>
  <sheetFormatPr baseColWidth="10" defaultColWidth="8.83203125" defaultRowHeight="15"/>
  <sheetData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C177"/>
  <sheetViews>
    <sheetView topLeftCell="A157" zoomScale="120" zoomScaleNormal="120" workbookViewId="0">
      <selection activeCell="D171" sqref="D171"/>
    </sheetView>
  </sheetViews>
  <sheetFormatPr baseColWidth="10" defaultColWidth="8.83203125" defaultRowHeight="15"/>
  <cols>
    <col width="12.83203125" customWidth="1" min="1" max="1"/>
    <col width="11.1640625" customWidth="1" min="3" max="3"/>
  </cols>
  <sheetData>
    <row r="1" ht="16" customHeight="1" thickBot="1"/>
    <row r="2" ht="16" customHeight="1" thickBot="1">
      <c r="A2" s="1" t="inlineStr">
        <is>
          <t>J. Adams</t>
        </is>
      </c>
      <c r="B2" t="inlineStr">
        <is>
          <t>Wales</t>
        </is>
      </c>
      <c r="C2" t="inlineStr">
        <is>
          <t>Back Three</t>
        </is>
      </c>
    </row>
    <row r="3" ht="16" customHeight="1" thickBot="1">
      <c r="A3" s="4" t="inlineStr">
        <is>
          <t>A. Cuthbert</t>
        </is>
      </c>
      <c r="B3" t="inlineStr">
        <is>
          <t>Wales</t>
        </is>
      </c>
      <c r="C3" t="inlineStr">
        <is>
          <t>Back Three</t>
        </is>
      </c>
    </row>
    <row r="4" ht="16" customHeight="1" thickBot="1">
      <c r="A4" s="1" t="inlineStr">
        <is>
          <t>R. Dyer</t>
        </is>
      </c>
      <c r="B4" t="inlineStr">
        <is>
          <t>Wales</t>
        </is>
      </c>
      <c r="C4" t="inlineStr">
        <is>
          <t>Back Three</t>
        </is>
      </c>
    </row>
    <row r="5" ht="16" customHeight="1" thickBot="1">
      <c r="A5" s="4" t="inlineStr">
        <is>
          <t>L. Williams</t>
        </is>
      </c>
      <c r="B5" t="inlineStr">
        <is>
          <t>Wales</t>
        </is>
      </c>
      <c r="C5" t="inlineStr">
        <is>
          <t>Back Three</t>
        </is>
      </c>
    </row>
    <row r="6" ht="16" customHeight="1" thickBot="1">
      <c r="A6" s="7" t="inlineStr">
        <is>
          <t>J. Hawkins</t>
        </is>
      </c>
      <c r="B6" t="inlineStr">
        <is>
          <t>Wales</t>
        </is>
      </c>
      <c r="C6" t="inlineStr">
        <is>
          <t>Centre</t>
        </is>
      </c>
    </row>
    <row r="7" ht="16" customHeight="1" thickBot="1">
      <c r="A7" s="8" t="inlineStr">
        <is>
          <t>G. North</t>
        </is>
      </c>
      <c r="B7" t="inlineStr">
        <is>
          <t>Wales</t>
        </is>
      </c>
      <c r="C7" t="inlineStr">
        <is>
          <t>Centre</t>
        </is>
      </c>
    </row>
    <row r="8" ht="16" customHeight="1" thickBot="1">
      <c r="A8" s="9" t="inlineStr">
        <is>
          <t>D. Biggar</t>
        </is>
      </c>
      <c r="B8" t="inlineStr">
        <is>
          <t>Wales</t>
        </is>
      </c>
      <c r="C8" t="inlineStr">
        <is>
          <t>Fly Half</t>
        </is>
      </c>
    </row>
    <row r="9" ht="16" customHeight="1" thickBot="1">
      <c r="A9" s="10" t="inlineStr">
        <is>
          <t>O. Williams</t>
        </is>
      </c>
      <c r="B9" t="inlineStr">
        <is>
          <t>Wales</t>
        </is>
      </c>
      <c r="C9" t="inlineStr">
        <is>
          <t>Fly Half</t>
        </is>
      </c>
    </row>
    <row r="10" ht="16" customHeight="1" thickBot="1">
      <c r="A10" s="11" t="inlineStr">
        <is>
          <t>R. Webb</t>
        </is>
      </c>
      <c r="B10" t="inlineStr">
        <is>
          <t>Wales</t>
        </is>
      </c>
      <c r="C10" t="inlineStr">
        <is>
          <t>Scrum Half</t>
        </is>
      </c>
    </row>
    <row r="11" ht="16" customHeight="1" thickBot="1">
      <c r="A11" s="12" t="inlineStr">
        <is>
          <t>T. Williams</t>
        </is>
      </c>
      <c r="B11" t="inlineStr">
        <is>
          <t>Wales</t>
        </is>
      </c>
      <c r="C11" t="inlineStr">
        <is>
          <t>Scrum Half</t>
        </is>
      </c>
    </row>
    <row r="12" ht="16" customHeight="1" thickBot="1">
      <c r="A12" s="13" t="inlineStr">
        <is>
          <t>T. Faletau</t>
        </is>
      </c>
      <c r="B12" t="inlineStr">
        <is>
          <t>Wales</t>
        </is>
      </c>
      <c r="C12" t="inlineStr">
        <is>
          <t>Back Row</t>
        </is>
      </c>
    </row>
    <row r="13" ht="16" customHeight="1" thickBot="1">
      <c r="A13" s="14" t="inlineStr">
        <is>
          <t>J. Morgan</t>
        </is>
      </c>
      <c r="B13" t="inlineStr">
        <is>
          <t>Wales</t>
        </is>
      </c>
      <c r="C13" t="inlineStr">
        <is>
          <t>Back Row</t>
        </is>
      </c>
    </row>
    <row r="14" ht="16" customHeight="1" thickBot="1">
      <c r="A14" s="13" t="inlineStr">
        <is>
          <t>T. Reffell</t>
        </is>
      </c>
      <c r="B14" t="inlineStr">
        <is>
          <t>Wales</t>
        </is>
      </c>
      <c r="C14" t="inlineStr">
        <is>
          <t>Back Row</t>
        </is>
      </c>
    </row>
    <row r="15" ht="16" customHeight="1" thickBot="1">
      <c r="A15" s="14" t="inlineStr">
        <is>
          <t>J. Tipuric</t>
        </is>
      </c>
      <c r="B15" t="inlineStr">
        <is>
          <t>Wales</t>
        </is>
      </c>
      <c r="C15" t="inlineStr">
        <is>
          <t>Back Row</t>
        </is>
      </c>
    </row>
    <row r="16" ht="16" customHeight="1" thickBot="1">
      <c r="A16" s="15" t="inlineStr">
        <is>
          <t>A. Beard</t>
        </is>
      </c>
      <c r="B16" t="inlineStr">
        <is>
          <t>Wales</t>
        </is>
      </c>
      <c r="C16" t="inlineStr">
        <is>
          <t>Second Row</t>
        </is>
      </c>
    </row>
    <row r="17" ht="16" customHeight="1" thickBot="1">
      <c r="A17" s="16" t="inlineStr">
        <is>
          <t>D. Jenkins</t>
        </is>
      </c>
      <c r="B17" t="inlineStr">
        <is>
          <t>Wales</t>
        </is>
      </c>
      <c r="C17" t="inlineStr">
        <is>
          <t>Second Row</t>
        </is>
      </c>
    </row>
    <row r="18" ht="16" customHeight="1" thickBot="1">
      <c r="A18" s="15" t="inlineStr">
        <is>
          <t>A. Jones</t>
        </is>
      </c>
      <c r="B18" t="inlineStr">
        <is>
          <t>Wales</t>
        </is>
      </c>
      <c r="C18" t="inlineStr">
        <is>
          <t>Second Row</t>
        </is>
      </c>
    </row>
    <row r="19" ht="16" customHeight="1" thickBot="1">
      <c r="A19" s="17" t="inlineStr">
        <is>
          <t>R. Carre</t>
        </is>
      </c>
      <c r="B19" t="inlineStr">
        <is>
          <t>Wales</t>
        </is>
      </c>
      <c r="C19" t="inlineStr">
        <is>
          <t>Prop</t>
        </is>
      </c>
    </row>
    <row r="20" ht="16" customHeight="1" thickBot="1">
      <c r="A20" s="18" t="inlineStr">
        <is>
          <t>T. Francis</t>
        </is>
      </c>
      <c r="B20" t="inlineStr">
        <is>
          <t>Wales</t>
        </is>
      </c>
      <c r="C20" t="inlineStr">
        <is>
          <t>Prop</t>
        </is>
      </c>
    </row>
    <row r="21" ht="16" customHeight="1" thickBot="1">
      <c r="A21" s="17" t="inlineStr">
        <is>
          <t>D. Lewis</t>
        </is>
      </c>
      <c r="B21" t="inlineStr">
        <is>
          <t>Wales</t>
        </is>
      </c>
      <c r="C21" t="inlineStr">
        <is>
          <t>Prop</t>
        </is>
      </c>
    </row>
    <row r="22" ht="16" customHeight="1" thickBot="1">
      <c r="A22" s="18" t="inlineStr">
        <is>
          <t>G. Thomas</t>
        </is>
      </c>
      <c r="B22" t="inlineStr">
        <is>
          <t>Wales</t>
        </is>
      </c>
      <c r="C22" t="inlineStr">
        <is>
          <t>Prop</t>
        </is>
      </c>
    </row>
    <row r="23" ht="16" customHeight="1" thickBot="1">
      <c r="A23" s="19" t="inlineStr">
        <is>
          <t>S. Baldwin</t>
        </is>
      </c>
      <c r="B23" t="inlineStr">
        <is>
          <t>Wales</t>
        </is>
      </c>
      <c r="C23" t="inlineStr">
        <is>
          <t>Hooker</t>
        </is>
      </c>
    </row>
    <row r="24" ht="16" customHeight="1" thickBot="1">
      <c r="A24" s="20" t="inlineStr">
        <is>
          <t>K. Owens</t>
        </is>
      </c>
      <c r="B24" t="inlineStr">
        <is>
          <t>Wales</t>
        </is>
      </c>
      <c r="C24" t="inlineStr">
        <is>
          <t>Hooker</t>
        </is>
      </c>
    </row>
    <row r="25" ht="16" customHeight="1" thickBot="1">
      <c r="A25" s="1" t="inlineStr">
        <is>
          <t>M. Hansen</t>
        </is>
      </c>
      <c r="B25" t="inlineStr">
        <is>
          <t>Ireland</t>
        </is>
      </c>
      <c r="C25" t="inlineStr">
        <is>
          <t>Back Three</t>
        </is>
      </c>
    </row>
    <row r="26" ht="16" customHeight="1" thickBot="1">
      <c r="A26" s="4" t="inlineStr">
        <is>
          <t>H. Keenan</t>
        </is>
      </c>
      <c r="B26" t="inlineStr">
        <is>
          <t>Ireland</t>
        </is>
      </c>
      <c r="C26" t="inlineStr">
        <is>
          <t>Back Three</t>
        </is>
      </c>
    </row>
    <row r="27" ht="16" customHeight="1" thickBot="1">
      <c r="A27" s="1" t="inlineStr">
        <is>
          <t>J. Lowe</t>
        </is>
      </c>
      <c r="B27" t="inlineStr">
        <is>
          <t>Ireland</t>
        </is>
      </c>
      <c r="C27" t="inlineStr">
        <is>
          <t>Back Three</t>
        </is>
      </c>
    </row>
    <row r="28" ht="16" customHeight="1" thickBot="1">
      <c r="A28" s="8" t="inlineStr">
        <is>
          <t>B. Aki</t>
        </is>
      </c>
      <c r="B28" t="inlineStr">
        <is>
          <t>Ireland</t>
        </is>
      </c>
      <c r="C28" t="inlineStr">
        <is>
          <t>Centre</t>
        </is>
      </c>
    </row>
    <row r="29" ht="16" customHeight="1" thickBot="1">
      <c r="A29" s="7" t="inlineStr">
        <is>
          <t>S. McCloskey</t>
        </is>
      </c>
      <c r="B29" t="inlineStr">
        <is>
          <t>Ireland</t>
        </is>
      </c>
      <c r="C29" t="inlineStr">
        <is>
          <t>Centre</t>
        </is>
      </c>
    </row>
    <row r="30" ht="16" customHeight="1" thickBot="1">
      <c r="A30" s="8" t="inlineStr">
        <is>
          <t>G. Ringrose</t>
        </is>
      </c>
      <c r="B30" t="inlineStr">
        <is>
          <t>Ireland</t>
        </is>
      </c>
      <c r="C30" t="inlineStr">
        <is>
          <t>Centre</t>
        </is>
      </c>
    </row>
    <row r="31" ht="16" customHeight="1" thickBot="1">
      <c r="A31" s="9" t="inlineStr">
        <is>
          <t>R. Byrne</t>
        </is>
      </c>
      <c r="B31" t="inlineStr">
        <is>
          <t>Ireland</t>
        </is>
      </c>
      <c r="C31" t="inlineStr">
        <is>
          <t>Fly Half</t>
        </is>
      </c>
    </row>
    <row r="32" ht="16" customHeight="1" thickBot="1">
      <c r="A32" s="10" t="inlineStr">
        <is>
          <t>J. Sexton</t>
        </is>
      </c>
      <c r="B32" t="inlineStr">
        <is>
          <t>Ireland</t>
        </is>
      </c>
      <c r="C32" t="inlineStr">
        <is>
          <t>Fly Half</t>
        </is>
      </c>
    </row>
    <row r="33" ht="16" customHeight="1" thickBot="1">
      <c r="A33" s="11" t="inlineStr">
        <is>
          <t>C. Casey</t>
        </is>
      </c>
      <c r="B33" t="inlineStr">
        <is>
          <t>Ireland</t>
        </is>
      </c>
      <c r="C33" t="inlineStr">
        <is>
          <t>Scrum Half</t>
        </is>
      </c>
    </row>
    <row r="34" ht="16" customHeight="1" thickBot="1">
      <c r="A34" s="12" t="inlineStr">
        <is>
          <t>C. Murray</t>
        </is>
      </c>
      <c r="B34" t="inlineStr">
        <is>
          <t>Ireland</t>
        </is>
      </c>
      <c r="C34" t="inlineStr">
        <is>
          <t>Scrum Half</t>
        </is>
      </c>
    </row>
    <row r="35" ht="16" customHeight="1" thickBot="1">
      <c r="A35" s="13" t="inlineStr">
        <is>
          <t>J. Conan</t>
        </is>
      </c>
      <c r="B35" t="inlineStr">
        <is>
          <t>Ireland</t>
        </is>
      </c>
      <c r="C35" t="inlineStr">
        <is>
          <t>Back Row</t>
        </is>
      </c>
    </row>
    <row r="36" ht="16" customHeight="1" thickBot="1">
      <c r="A36" s="14" t="inlineStr">
        <is>
          <t>C. Doris</t>
        </is>
      </c>
      <c r="B36" t="inlineStr">
        <is>
          <t>Ireland</t>
        </is>
      </c>
      <c r="C36" t="inlineStr">
        <is>
          <t>Back Row</t>
        </is>
      </c>
    </row>
    <row r="37" ht="16" customHeight="1" thickBot="1">
      <c r="A37" s="13" t="inlineStr">
        <is>
          <t>P. O'Mahony</t>
        </is>
      </c>
      <c r="B37" t="inlineStr">
        <is>
          <t>Ireland</t>
        </is>
      </c>
      <c r="C37" t="inlineStr">
        <is>
          <t>Back Row</t>
        </is>
      </c>
    </row>
    <row r="38" ht="16" customHeight="1" thickBot="1">
      <c r="A38" s="14" t="inlineStr">
        <is>
          <t>J. van der Flier</t>
        </is>
      </c>
      <c r="B38" t="inlineStr">
        <is>
          <t>Ireland</t>
        </is>
      </c>
      <c r="C38" t="inlineStr">
        <is>
          <t>Back Row</t>
        </is>
      </c>
    </row>
    <row r="39" ht="16" customHeight="1" thickBot="1">
      <c r="A39" s="15" t="inlineStr">
        <is>
          <t>T. Beirne</t>
        </is>
      </c>
      <c r="B39" t="inlineStr">
        <is>
          <t>Ireland</t>
        </is>
      </c>
      <c r="C39" t="inlineStr">
        <is>
          <t>Second Row</t>
        </is>
      </c>
    </row>
    <row r="40" ht="16" customHeight="1" thickBot="1">
      <c r="A40" s="16" t="inlineStr">
        <is>
          <t>I. Henderson</t>
        </is>
      </c>
      <c r="B40" t="inlineStr">
        <is>
          <t>Ireland</t>
        </is>
      </c>
      <c r="C40" t="inlineStr">
        <is>
          <t>Second Row</t>
        </is>
      </c>
    </row>
    <row r="41" ht="16" customHeight="1" thickBot="1">
      <c r="A41" s="15" t="inlineStr">
        <is>
          <t>J. Ryan</t>
        </is>
      </c>
      <c r="B41" t="inlineStr">
        <is>
          <t>Ireland</t>
        </is>
      </c>
      <c r="C41" t="inlineStr">
        <is>
          <t>Second Row</t>
        </is>
      </c>
    </row>
    <row r="42" ht="16" customHeight="1" thickBot="1">
      <c r="A42" s="17" t="inlineStr">
        <is>
          <t>F. Bealham</t>
        </is>
      </c>
      <c r="B42" t="inlineStr">
        <is>
          <t>Ireland</t>
        </is>
      </c>
      <c r="C42" t="inlineStr">
        <is>
          <t>Prop</t>
        </is>
      </c>
    </row>
    <row r="43" ht="16" customHeight="1" thickBot="1">
      <c r="A43" s="18" t="inlineStr">
        <is>
          <t>D. Kilcoyne</t>
        </is>
      </c>
      <c r="B43" t="inlineStr">
        <is>
          <t>Ireland</t>
        </is>
      </c>
      <c r="C43" t="inlineStr">
        <is>
          <t>Prop</t>
        </is>
      </c>
    </row>
    <row r="44" ht="16" customHeight="1" thickBot="1">
      <c r="A44" s="17" t="inlineStr">
        <is>
          <t>T. O'Toole</t>
        </is>
      </c>
      <c r="B44" t="inlineStr">
        <is>
          <t>Ireland</t>
        </is>
      </c>
      <c r="C44" t="inlineStr">
        <is>
          <t>Prop</t>
        </is>
      </c>
    </row>
    <row r="45" ht="16" customHeight="1" thickBot="1">
      <c r="A45" s="18" t="inlineStr">
        <is>
          <t>A. Porter</t>
        </is>
      </c>
      <c r="B45" t="inlineStr">
        <is>
          <t>Ireland</t>
        </is>
      </c>
      <c r="C45" t="inlineStr">
        <is>
          <t>Prop</t>
        </is>
      </c>
    </row>
    <row r="46" ht="16" customHeight="1" thickBot="1">
      <c r="A46" s="19" t="inlineStr">
        <is>
          <t>R. Herring</t>
        </is>
      </c>
      <c r="B46" t="inlineStr">
        <is>
          <t>Ireland</t>
        </is>
      </c>
      <c r="C46" t="inlineStr">
        <is>
          <t>Hooker</t>
        </is>
      </c>
    </row>
    <row r="47" ht="16" customHeight="1" thickBot="1">
      <c r="A47" s="20" t="inlineStr">
        <is>
          <t>D. Sheehan</t>
        </is>
      </c>
      <c r="B47" t="inlineStr">
        <is>
          <t>Ireland</t>
        </is>
      </c>
      <c r="C47" t="inlineStr">
        <is>
          <t>Hooker</t>
        </is>
      </c>
    </row>
    <row r="48" ht="16" customHeight="1" thickBot="1">
      <c r="A48" s="1" t="inlineStr">
        <is>
          <t>O. Hassell-Collins</t>
        </is>
      </c>
      <c r="B48" t="inlineStr">
        <is>
          <t>England</t>
        </is>
      </c>
      <c r="C48" t="inlineStr">
        <is>
          <t>Back Three</t>
        </is>
      </c>
    </row>
    <row r="49" ht="16" customHeight="1" thickBot="1">
      <c r="A49" s="4" t="inlineStr">
        <is>
          <t>M. Malins</t>
        </is>
      </c>
      <c r="B49" t="inlineStr">
        <is>
          <t>England</t>
        </is>
      </c>
      <c r="C49" t="inlineStr">
        <is>
          <t>Back Three</t>
        </is>
      </c>
    </row>
    <row r="50" ht="16" customHeight="1" thickBot="1">
      <c r="A50" s="1" t="inlineStr">
        <is>
          <t>F. Steward</t>
        </is>
      </c>
      <c r="B50" t="inlineStr">
        <is>
          <t>England</t>
        </is>
      </c>
      <c r="C50" t="inlineStr">
        <is>
          <t>Back Three</t>
        </is>
      </c>
    </row>
    <row r="51" ht="16" customHeight="1" thickBot="1">
      <c r="A51" s="4" t="inlineStr">
        <is>
          <t>A. Watson</t>
        </is>
      </c>
      <c r="B51" t="inlineStr">
        <is>
          <t>England</t>
        </is>
      </c>
      <c r="C51" t="inlineStr">
        <is>
          <t>Back Three</t>
        </is>
      </c>
    </row>
    <row r="52" ht="16" customHeight="1" thickBot="1">
      <c r="A52" s="7" t="inlineStr">
        <is>
          <t>O. Farrell</t>
        </is>
      </c>
      <c r="B52" t="inlineStr">
        <is>
          <t>England</t>
        </is>
      </c>
      <c r="C52" t="inlineStr">
        <is>
          <t>Centre</t>
        </is>
      </c>
    </row>
    <row r="53" ht="16" customHeight="1" thickBot="1">
      <c r="A53" s="8" t="inlineStr">
        <is>
          <t>O. Lawrence</t>
        </is>
      </c>
      <c r="B53" t="inlineStr">
        <is>
          <t>England</t>
        </is>
      </c>
      <c r="C53" t="inlineStr">
        <is>
          <t>Centre</t>
        </is>
      </c>
    </row>
    <row r="54" ht="16" customHeight="1" thickBot="1">
      <c r="A54" s="7" t="inlineStr">
        <is>
          <t>J. Marchant</t>
        </is>
      </c>
      <c r="B54" t="inlineStr">
        <is>
          <t>England</t>
        </is>
      </c>
      <c r="C54" t="inlineStr">
        <is>
          <t>Centre</t>
        </is>
      </c>
    </row>
    <row r="55" ht="16" customHeight="1" thickBot="1">
      <c r="A55" s="10" t="inlineStr">
        <is>
          <t>M. Smith</t>
        </is>
      </c>
      <c r="B55" t="inlineStr">
        <is>
          <t>England</t>
        </is>
      </c>
      <c r="C55" t="inlineStr">
        <is>
          <t>Fly Half</t>
        </is>
      </c>
    </row>
    <row r="56" ht="16" customHeight="1" thickBot="1">
      <c r="A56" s="11" t="inlineStr">
        <is>
          <t>J. van Poortvliet</t>
        </is>
      </c>
      <c r="B56" t="inlineStr">
        <is>
          <t>England</t>
        </is>
      </c>
      <c r="C56" t="inlineStr">
        <is>
          <t>Scrum Half</t>
        </is>
      </c>
    </row>
    <row r="57" ht="16" customHeight="1" thickBot="1">
      <c r="A57" s="12" t="inlineStr">
        <is>
          <t>B. Youngs</t>
        </is>
      </c>
      <c r="B57" t="inlineStr">
        <is>
          <t>England</t>
        </is>
      </c>
      <c r="C57" t="inlineStr">
        <is>
          <t>Scrum Half</t>
        </is>
      </c>
    </row>
    <row r="58" ht="16" customHeight="1" thickBot="1">
      <c r="A58" s="13" t="inlineStr">
        <is>
          <t>B. Curry</t>
        </is>
      </c>
      <c r="B58" t="inlineStr">
        <is>
          <t>England</t>
        </is>
      </c>
      <c r="C58" t="inlineStr">
        <is>
          <t>Back Row</t>
        </is>
      </c>
    </row>
    <row r="59" ht="16" customHeight="1" thickBot="1">
      <c r="A59" s="14" t="inlineStr">
        <is>
          <t>A. Dombrandt</t>
        </is>
      </c>
      <c r="B59" t="inlineStr">
        <is>
          <t>England</t>
        </is>
      </c>
      <c r="C59" t="inlineStr">
        <is>
          <t>Back Row</t>
        </is>
      </c>
    </row>
    <row r="60" ht="16" customHeight="1" thickBot="1">
      <c r="A60" s="13" t="inlineStr">
        <is>
          <t>B. Earl</t>
        </is>
      </c>
      <c r="B60" t="inlineStr">
        <is>
          <t>England</t>
        </is>
      </c>
      <c r="C60" t="inlineStr">
        <is>
          <t>Back Row</t>
        </is>
      </c>
    </row>
    <row r="61" ht="16" customHeight="1" thickBot="1">
      <c r="A61" s="14" t="inlineStr">
        <is>
          <t>L. Ludlam</t>
        </is>
      </c>
      <c r="B61" t="inlineStr">
        <is>
          <t>England</t>
        </is>
      </c>
      <c r="C61" t="inlineStr">
        <is>
          <t>Back Row</t>
        </is>
      </c>
    </row>
    <row r="62" ht="16" customHeight="1" thickBot="1">
      <c r="A62" s="15" t="inlineStr">
        <is>
          <t>O. Chessum</t>
        </is>
      </c>
      <c r="B62" t="inlineStr">
        <is>
          <t>England</t>
        </is>
      </c>
      <c r="C62" t="inlineStr">
        <is>
          <t>Second Row</t>
        </is>
      </c>
    </row>
    <row r="63" ht="16" customHeight="1" thickBot="1">
      <c r="A63" s="16" t="inlineStr">
        <is>
          <t>N. Isiekwe</t>
        </is>
      </c>
      <c r="B63" t="inlineStr">
        <is>
          <t>England</t>
        </is>
      </c>
      <c r="C63" t="inlineStr">
        <is>
          <t>Second Row</t>
        </is>
      </c>
    </row>
    <row r="64" ht="16" customHeight="1" thickBot="1">
      <c r="A64" s="15" t="inlineStr">
        <is>
          <t>M. Itoje</t>
        </is>
      </c>
      <c r="B64" t="inlineStr">
        <is>
          <t>England</t>
        </is>
      </c>
      <c r="C64" t="inlineStr">
        <is>
          <t>Second Row</t>
        </is>
      </c>
    </row>
    <row r="65" ht="16" customHeight="1" thickBot="1">
      <c r="A65" s="17" t="inlineStr">
        <is>
          <t>D. Cole</t>
        </is>
      </c>
      <c r="B65" t="inlineStr">
        <is>
          <t>England</t>
        </is>
      </c>
      <c r="C65" t="inlineStr">
        <is>
          <t>Prop</t>
        </is>
      </c>
    </row>
    <row r="66" ht="16" customHeight="1" thickBot="1">
      <c r="A66" s="18" t="inlineStr">
        <is>
          <t>E. Genge</t>
        </is>
      </c>
      <c r="B66" t="inlineStr">
        <is>
          <t>England</t>
        </is>
      </c>
      <c r="C66" t="inlineStr">
        <is>
          <t>Prop</t>
        </is>
      </c>
    </row>
    <row r="67" ht="16" customHeight="1" thickBot="1">
      <c r="A67" s="17" t="inlineStr">
        <is>
          <t>K. Sinckler</t>
        </is>
      </c>
      <c r="B67" t="inlineStr">
        <is>
          <t>England</t>
        </is>
      </c>
      <c r="C67" t="inlineStr">
        <is>
          <t>Prop</t>
        </is>
      </c>
    </row>
    <row r="68" ht="16" customHeight="1" thickBot="1">
      <c r="A68" s="18" t="inlineStr">
        <is>
          <t>M. Vunipola</t>
        </is>
      </c>
      <c r="B68" t="inlineStr">
        <is>
          <t>England</t>
        </is>
      </c>
      <c r="C68" t="inlineStr">
        <is>
          <t>Prop</t>
        </is>
      </c>
    </row>
    <row r="69" ht="16" customHeight="1" thickBot="1">
      <c r="A69" s="19" t="inlineStr">
        <is>
          <t>J. George</t>
        </is>
      </c>
      <c r="B69" t="inlineStr">
        <is>
          <t>England</t>
        </is>
      </c>
      <c r="C69" t="inlineStr">
        <is>
          <t>Hooker</t>
        </is>
      </c>
    </row>
    <row r="70" ht="16" customHeight="1" thickBot="1">
      <c r="A70" s="1" t="inlineStr">
        <is>
          <t>S. Hogg</t>
        </is>
      </c>
      <c r="B70" t="inlineStr">
        <is>
          <t>Scotland</t>
        </is>
      </c>
      <c r="C70" t="inlineStr">
        <is>
          <t>Back Three</t>
        </is>
      </c>
    </row>
    <row r="71" ht="16" customHeight="1" thickBot="1">
      <c r="A71" s="4" t="inlineStr">
        <is>
          <t>B. Kinghorn</t>
        </is>
      </c>
      <c r="B71" t="inlineStr">
        <is>
          <t>Scotland</t>
        </is>
      </c>
      <c r="C71" t="inlineStr">
        <is>
          <t>Back Three</t>
        </is>
      </c>
    </row>
    <row r="72" ht="16" customHeight="1" thickBot="1">
      <c r="A72" s="1" t="inlineStr">
        <is>
          <t>K. Steyn</t>
        </is>
      </c>
      <c r="B72" t="inlineStr">
        <is>
          <t>Scotland</t>
        </is>
      </c>
      <c r="C72" t="inlineStr">
        <is>
          <t>Back Three</t>
        </is>
      </c>
    </row>
    <row r="73" ht="16" customHeight="1" thickBot="1">
      <c r="A73" s="4" t="inlineStr">
        <is>
          <t>D. van der Merwe</t>
        </is>
      </c>
      <c r="B73" t="inlineStr">
        <is>
          <t>Scotland</t>
        </is>
      </c>
      <c r="C73" t="inlineStr">
        <is>
          <t>Back Three</t>
        </is>
      </c>
    </row>
    <row r="74" ht="16" customHeight="1" thickBot="1">
      <c r="A74" s="7" t="inlineStr">
        <is>
          <t>C. Harris</t>
        </is>
      </c>
      <c r="B74" t="inlineStr">
        <is>
          <t>Scotland</t>
        </is>
      </c>
      <c r="C74" t="inlineStr">
        <is>
          <t>Centre</t>
        </is>
      </c>
    </row>
    <row r="75" ht="16" customHeight="1" thickBot="1">
      <c r="A75" s="8" t="inlineStr">
        <is>
          <t>H. Jones</t>
        </is>
      </c>
      <c r="B75" t="inlineStr">
        <is>
          <t>Scotland</t>
        </is>
      </c>
      <c r="C75" t="inlineStr">
        <is>
          <t>Centre</t>
        </is>
      </c>
    </row>
    <row r="76" ht="16" customHeight="1" thickBot="1">
      <c r="A76" s="7" t="inlineStr">
        <is>
          <t>S. Tuipulotu</t>
        </is>
      </c>
      <c r="B76" t="inlineStr">
        <is>
          <t>Scotland</t>
        </is>
      </c>
      <c r="C76" t="inlineStr">
        <is>
          <t>Centre</t>
        </is>
      </c>
    </row>
    <row r="77" ht="16" customHeight="1" thickBot="1">
      <c r="A77" s="10" t="inlineStr">
        <is>
          <t>F. Russell</t>
        </is>
      </c>
      <c r="B77" t="inlineStr">
        <is>
          <t>Scotland</t>
        </is>
      </c>
      <c r="C77" t="inlineStr">
        <is>
          <t>Fly Half</t>
        </is>
      </c>
    </row>
    <row r="78" ht="16" customHeight="1" thickBot="1">
      <c r="A78" s="11" t="inlineStr">
        <is>
          <t>G. Horne</t>
        </is>
      </c>
      <c r="B78" t="inlineStr">
        <is>
          <t>Scotland</t>
        </is>
      </c>
      <c r="C78" t="inlineStr">
        <is>
          <t>Scrum Half</t>
        </is>
      </c>
    </row>
    <row r="79" ht="16" customHeight="1" thickBot="1">
      <c r="A79" s="12" t="inlineStr">
        <is>
          <t>B. White</t>
        </is>
      </c>
      <c r="B79" t="inlineStr">
        <is>
          <t>Scotland</t>
        </is>
      </c>
      <c r="C79" t="inlineStr">
        <is>
          <t>Scrum Half</t>
        </is>
      </c>
    </row>
    <row r="80" ht="16" customHeight="1" thickBot="1">
      <c r="A80" s="13" t="inlineStr">
        <is>
          <t>L. Crosbie</t>
        </is>
      </c>
      <c r="B80" t="inlineStr">
        <is>
          <t>Scotland</t>
        </is>
      </c>
      <c r="C80" t="inlineStr">
        <is>
          <t>Back Row</t>
        </is>
      </c>
    </row>
    <row r="81" ht="16" customHeight="1" thickBot="1">
      <c r="A81" s="14" t="inlineStr">
        <is>
          <t>J. Dempsey</t>
        </is>
      </c>
      <c r="B81" t="inlineStr">
        <is>
          <t>Scotland</t>
        </is>
      </c>
      <c r="C81" t="inlineStr">
        <is>
          <t>Back Row</t>
        </is>
      </c>
    </row>
    <row r="82" ht="16" customHeight="1" thickBot="1">
      <c r="A82" s="13" t="inlineStr">
        <is>
          <t>M. Fagerson</t>
        </is>
      </c>
      <c r="B82" t="inlineStr">
        <is>
          <t>Scotland</t>
        </is>
      </c>
      <c r="C82" t="inlineStr">
        <is>
          <t>Back Row</t>
        </is>
      </c>
    </row>
    <row r="83" ht="16" customHeight="1" thickBot="1">
      <c r="A83" s="14" t="inlineStr">
        <is>
          <t>J. Ritchie</t>
        </is>
      </c>
      <c r="B83" t="inlineStr">
        <is>
          <t>Scotland</t>
        </is>
      </c>
      <c r="C83" t="inlineStr">
        <is>
          <t>Back Row</t>
        </is>
      </c>
    </row>
    <row r="84" ht="16" customHeight="1" thickBot="1">
      <c r="A84" s="15" t="inlineStr">
        <is>
          <t>G. Gilchrist</t>
        </is>
      </c>
      <c r="B84" t="inlineStr">
        <is>
          <t>Scotland</t>
        </is>
      </c>
      <c r="C84" t="inlineStr">
        <is>
          <t>Second Row</t>
        </is>
      </c>
    </row>
    <row r="85" ht="16" customHeight="1" thickBot="1">
      <c r="A85" s="16" t="inlineStr">
        <is>
          <t>J. Gray</t>
        </is>
      </c>
      <c r="B85" t="inlineStr">
        <is>
          <t>Scotland</t>
        </is>
      </c>
      <c r="C85" t="inlineStr">
        <is>
          <t>Second Row</t>
        </is>
      </c>
    </row>
    <row r="86" ht="16" customHeight="1" thickBot="1">
      <c r="A86" s="15" t="inlineStr">
        <is>
          <t>R. Gray</t>
        </is>
      </c>
      <c r="B86" t="inlineStr">
        <is>
          <t>Scotland</t>
        </is>
      </c>
      <c r="C86" t="inlineStr">
        <is>
          <t>Second Row</t>
        </is>
      </c>
    </row>
    <row r="87" ht="16" customHeight="1" thickBot="1">
      <c r="A87" s="17" t="inlineStr">
        <is>
          <t>S. Berghan</t>
        </is>
      </c>
      <c r="B87" t="inlineStr">
        <is>
          <t>Scotland</t>
        </is>
      </c>
      <c r="C87" t="inlineStr">
        <is>
          <t>Prop</t>
        </is>
      </c>
    </row>
    <row r="88" ht="16" customHeight="1" thickBot="1">
      <c r="A88" s="18" t="inlineStr">
        <is>
          <t>J. Bhatti</t>
        </is>
      </c>
      <c r="B88" t="inlineStr">
        <is>
          <t>Scotland</t>
        </is>
      </c>
      <c r="C88" t="inlineStr">
        <is>
          <t>Prop</t>
        </is>
      </c>
    </row>
    <row r="89" ht="16" customHeight="1" thickBot="1">
      <c r="A89" s="17" t="inlineStr">
        <is>
          <t>W. Nel</t>
        </is>
      </c>
      <c r="B89" t="inlineStr">
        <is>
          <t>Scotland</t>
        </is>
      </c>
      <c r="C89" t="inlineStr">
        <is>
          <t>Prop</t>
        </is>
      </c>
    </row>
    <row r="90" ht="16" customHeight="1" thickBot="1">
      <c r="A90" s="18" t="inlineStr">
        <is>
          <t>P. Schoeman</t>
        </is>
      </c>
      <c r="B90" t="inlineStr">
        <is>
          <t>Scotland</t>
        </is>
      </c>
      <c r="C90" t="inlineStr">
        <is>
          <t>Prop</t>
        </is>
      </c>
    </row>
    <row r="91" ht="16" customHeight="1" thickBot="1">
      <c r="A91" s="19" t="inlineStr">
        <is>
          <t>F. Brown</t>
        </is>
      </c>
      <c r="B91" t="inlineStr">
        <is>
          <t>Scotland</t>
        </is>
      </c>
      <c r="C91" t="inlineStr">
        <is>
          <t>Hooker</t>
        </is>
      </c>
    </row>
    <row r="92" ht="16" customHeight="1" thickBot="1">
      <c r="A92" s="20" t="inlineStr">
        <is>
          <t>G. Turner</t>
        </is>
      </c>
      <c r="B92" t="inlineStr">
        <is>
          <t>Scotland</t>
        </is>
      </c>
      <c r="C92" t="inlineStr">
        <is>
          <t>Hooker</t>
        </is>
      </c>
    </row>
    <row r="93" ht="16" customHeight="1" thickBot="1">
      <c r="A93" s="1" t="inlineStr">
        <is>
          <t>P. Bruno</t>
        </is>
      </c>
      <c r="B93" t="inlineStr">
        <is>
          <t>Italy</t>
        </is>
      </c>
      <c r="C93" t="inlineStr">
        <is>
          <t>Back Three</t>
        </is>
      </c>
    </row>
    <row r="94" ht="16" customHeight="1" thickBot="1">
      <c r="A94" s="4" t="inlineStr">
        <is>
          <t>A. Capuozzo</t>
        </is>
      </c>
      <c r="B94" t="inlineStr">
        <is>
          <t>Italy</t>
        </is>
      </c>
      <c r="C94" t="inlineStr">
        <is>
          <t>Back Three</t>
        </is>
      </c>
    </row>
    <row r="95" ht="16" customHeight="1" thickBot="1">
      <c r="A95" s="1" t="inlineStr">
        <is>
          <t>A. Fusco</t>
        </is>
      </c>
      <c r="B95" t="inlineStr">
        <is>
          <t>Italy</t>
        </is>
      </c>
      <c r="C95" t="inlineStr">
        <is>
          <t>Back Three</t>
        </is>
      </c>
    </row>
    <row r="96" ht="16" customHeight="1" thickBot="1">
      <c r="A96" s="4" t="inlineStr">
        <is>
          <t>T. Menoncello</t>
        </is>
      </c>
      <c r="B96" t="inlineStr">
        <is>
          <t>Italy</t>
        </is>
      </c>
      <c r="C96" t="inlineStr">
        <is>
          <t>Back Three</t>
        </is>
      </c>
    </row>
    <row r="97" ht="16" customHeight="1" thickBot="1">
      <c r="A97" s="1" t="inlineStr">
        <is>
          <t>E. Padovani</t>
        </is>
      </c>
      <c r="B97" t="inlineStr">
        <is>
          <t>Italy</t>
        </is>
      </c>
      <c r="C97" t="inlineStr">
        <is>
          <t>Back Three</t>
        </is>
      </c>
    </row>
    <row r="98" ht="16" customHeight="1" thickBot="1">
      <c r="A98" s="8" t="inlineStr">
        <is>
          <t>J. Brex</t>
        </is>
      </c>
      <c r="B98" t="inlineStr">
        <is>
          <t>Italy</t>
        </is>
      </c>
      <c r="C98" t="inlineStr">
        <is>
          <t>Centre</t>
        </is>
      </c>
    </row>
    <row r="99" ht="16" customHeight="1" thickBot="1">
      <c r="A99" s="7" t="inlineStr">
        <is>
          <t>L. Morisi</t>
        </is>
      </c>
      <c r="B99" t="inlineStr">
        <is>
          <t>Italy</t>
        </is>
      </c>
      <c r="C99" t="inlineStr">
        <is>
          <t>Centre</t>
        </is>
      </c>
    </row>
    <row r="100" ht="16" customHeight="1" thickBot="1">
      <c r="A100" s="10" t="inlineStr">
        <is>
          <t>T. Allan</t>
        </is>
      </c>
      <c r="B100" t="inlineStr">
        <is>
          <t>Italy</t>
        </is>
      </c>
      <c r="C100" t="inlineStr">
        <is>
          <t>Fly Half</t>
        </is>
      </c>
    </row>
    <row r="101" ht="16" customHeight="1" thickBot="1">
      <c r="A101" s="11" t="inlineStr">
        <is>
          <t>S. Varney</t>
        </is>
      </c>
      <c r="B101" t="inlineStr">
        <is>
          <t>Italy</t>
        </is>
      </c>
      <c r="C101" t="inlineStr">
        <is>
          <t>Scrum Half</t>
        </is>
      </c>
    </row>
    <row r="102" ht="16" customHeight="1" thickBot="1">
      <c r="A102" s="14" t="inlineStr">
        <is>
          <t>E. Iachizzi</t>
        </is>
      </c>
      <c r="B102" t="inlineStr">
        <is>
          <t>Italy</t>
        </is>
      </c>
      <c r="C102" t="inlineStr">
        <is>
          <t>Back Row</t>
        </is>
      </c>
    </row>
    <row r="103" ht="16" customHeight="1" thickBot="1">
      <c r="A103" s="13" t="inlineStr">
        <is>
          <t>M. Lamaro</t>
        </is>
      </c>
      <c r="B103" t="inlineStr">
        <is>
          <t>Italy</t>
        </is>
      </c>
      <c r="C103" t="inlineStr">
        <is>
          <t>Back Row</t>
        </is>
      </c>
    </row>
    <row r="104" ht="16" customHeight="1" thickBot="1">
      <c r="A104" s="14" t="inlineStr">
        <is>
          <t>S. Negri</t>
        </is>
      </c>
      <c r="B104" t="inlineStr">
        <is>
          <t>Italy</t>
        </is>
      </c>
      <c r="C104" t="inlineStr">
        <is>
          <t>Back Row</t>
        </is>
      </c>
    </row>
    <row r="105" ht="16" customHeight="1" thickBot="1">
      <c r="A105" s="13" t="inlineStr">
        <is>
          <t>G. Pettinelli</t>
        </is>
      </c>
      <c r="B105" t="inlineStr">
        <is>
          <t>Italy</t>
        </is>
      </c>
      <c r="C105" t="inlineStr">
        <is>
          <t>Back Row</t>
        </is>
      </c>
    </row>
    <row r="106" ht="16" customHeight="1" thickBot="1">
      <c r="A106" s="16" t="inlineStr">
        <is>
          <t>N. Cannone</t>
        </is>
      </c>
      <c r="B106" t="inlineStr">
        <is>
          <t>Italy</t>
        </is>
      </c>
      <c r="C106" t="inlineStr">
        <is>
          <t>Second Row</t>
        </is>
      </c>
    </row>
    <row r="107" ht="16" customHeight="1" thickBot="1">
      <c r="A107" s="15" t="inlineStr">
        <is>
          <t>L. Cannone</t>
        </is>
      </c>
      <c r="B107" t="inlineStr">
        <is>
          <t>Italy</t>
        </is>
      </c>
      <c r="C107" t="inlineStr">
        <is>
          <t>Second Row</t>
        </is>
      </c>
    </row>
    <row r="108" ht="16" customHeight="1" thickBot="1">
      <c r="A108" s="16" t="inlineStr">
        <is>
          <t>F. Ruzza</t>
        </is>
      </c>
      <c r="B108" t="inlineStr">
        <is>
          <t>Italy</t>
        </is>
      </c>
      <c r="C108" t="inlineStr">
        <is>
          <t>Second Row</t>
        </is>
      </c>
    </row>
    <row r="109" ht="16" customHeight="1" thickBot="1">
      <c r="A109" s="15" t="inlineStr">
        <is>
          <t>M. Zuliani</t>
        </is>
      </c>
      <c r="B109" t="inlineStr">
        <is>
          <t>Italy</t>
        </is>
      </c>
      <c r="C109" t="inlineStr">
        <is>
          <t>Second Row</t>
        </is>
      </c>
    </row>
    <row r="110" ht="16" customHeight="1" thickBot="1">
      <c r="A110" s="17" t="inlineStr">
        <is>
          <t>P. Ceccarelli</t>
        </is>
      </c>
      <c r="B110" t="inlineStr">
        <is>
          <t>Italy</t>
        </is>
      </c>
      <c r="C110" t="inlineStr">
        <is>
          <t>Prop</t>
        </is>
      </c>
    </row>
    <row r="111" ht="16" customHeight="1" thickBot="1">
      <c r="A111" s="18" t="inlineStr">
        <is>
          <t>S. Ferrari</t>
        </is>
      </c>
      <c r="B111" t="inlineStr">
        <is>
          <t>Italy</t>
        </is>
      </c>
      <c r="C111" t="inlineStr">
        <is>
          <t>Prop</t>
        </is>
      </c>
    </row>
    <row r="112" ht="16" customHeight="1" thickBot="1">
      <c r="A112" s="17" t="inlineStr">
        <is>
          <t>D. Fischetti</t>
        </is>
      </c>
      <c r="B112" t="inlineStr">
        <is>
          <t>Italy</t>
        </is>
      </c>
      <c r="C112" t="inlineStr">
        <is>
          <t>Prop</t>
        </is>
      </c>
    </row>
    <row r="113" ht="16" customHeight="1" thickBot="1">
      <c r="A113" s="18" t="inlineStr">
        <is>
          <t>F. Zani</t>
        </is>
      </c>
      <c r="B113" t="inlineStr">
        <is>
          <t>Italy</t>
        </is>
      </c>
      <c r="C113" t="inlineStr">
        <is>
          <t>Prop</t>
        </is>
      </c>
    </row>
    <row r="114" ht="16" customHeight="1" thickBot="1">
      <c r="A114" s="19" t="inlineStr">
        <is>
          <t>L. Bigi</t>
        </is>
      </c>
      <c r="B114" t="inlineStr">
        <is>
          <t>Italy</t>
        </is>
      </c>
      <c r="C114" t="inlineStr">
        <is>
          <t>Hooker</t>
        </is>
      </c>
    </row>
    <row r="115" ht="16" customHeight="1" thickBot="1">
      <c r="A115" s="20" t="inlineStr">
        <is>
          <t>G. Nicotera</t>
        </is>
      </c>
      <c r="B115" t="inlineStr">
        <is>
          <t>Italy</t>
        </is>
      </c>
      <c r="C115" t="inlineStr">
        <is>
          <t>Hooker</t>
        </is>
      </c>
    </row>
    <row r="116" ht="16" customHeight="1" thickBot="1">
      <c r="A116" s="1" t="inlineStr">
        <is>
          <t>D. Penaud</t>
        </is>
      </c>
      <c r="B116" t="inlineStr">
        <is>
          <t>France</t>
        </is>
      </c>
      <c r="C116" t="inlineStr">
        <is>
          <t>Back Three</t>
        </is>
      </c>
    </row>
    <row r="117" ht="16" customHeight="1" thickBot="1">
      <c r="A117" s="4" t="inlineStr">
        <is>
          <t>T. Ramos</t>
        </is>
      </c>
      <c r="B117" t="inlineStr">
        <is>
          <t>France</t>
        </is>
      </c>
      <c r="C117" t="inlineStr">
        <is>
          <t>Back Three</t>
        </is>
      </c>
    </row>
    <row r="118" ht="16" customHeight="1" thickBot="1">
      <c r="A118" s="7" t="inlineStr">
        <is>
          <t>E. Dumortier</t>
        </is>
      </c>
      <c r="B118" t="inlineStr">
        <is>
          <t>France</t>
        </is>
      </c>
      <c r="C118" t="inlineStr">
        <is>
          <t>Centre</t>
        </is>
      </c>
    </row>
    <row r="119" ht="16" customHeight="1" thickBot="1">
      <c r="A119" s="8" t="inlineStr">
        <is>
          <t>G. Fickou</t>
        </is>
      </c>
      <c r="B119" t="inlineStr">
        <is>
          <t>France</t>
        </is>
      </c>
      <c r="C119" t="inlineStr">
        <is>
          <t>Centre</t>
        </is>
      </c>
    </row>
    <row r="120" ht="16" customHeight="1" thickBot="1">
      <c r="A120" s="7" t="inlineStr">
        <is>
          <t>Y. Moefana</t>
        </is>
      </c>
      <c r="B120" t="inlineStr">
        <is>
          <t>France</t>
        </is>
      </c>
      <c r="C120" t="inlineStr">
        <is>
          <t>Centre</t>
        </is>
      </c>
    </row>
    <row r="121" ht="16" customHeight="1" thickBot="1">
      <c r="A121" s="10" t="inlineStr">
        <is>
          <t>M. Jalibert</t>
        </is>
      </c>
      <c r="B121" t="inlineStr">
        <is>
          <t>France</t>
        </is>
      </c>
      <c r="C121" t="inlineStr">
        <is>
          <t>Fly Half</t>
        </is>
      </c>
    </row>
    <row r="122" ht="16" customHeight="1" thickBot="1">
      <c r="A122" s="9" t="inlineStr">
        <is>
          <t>R. Ntamack</t>
        </is>
      </c>
      <c r="B122" t="inlineStr">
        <is>
          <t>France</t>
        </is>
      </c>
      <c r="C122" t="inlineStr">
        <is>
          <t>Fly Half</t>
        </is>
      </c>
    </row>
    <row r="123" ht="16" customHeight="1" thickBot="1">
      <c r="A123" s="12" t="inlineStr">
        <is>
          <t>A. Dupont</t>
        </is>
      </c>
      <c r="B123" t="inlineStr">
        <is>
          <t>France</t>
        </is>
      </c>
      <c r="C123" t="inlineStr">
        <is>
          <t>Scrum Half</t>
        </is>
      </c>
    </row>
    <row r="124" ht="16" customHeight="1" thickBot="1">
      <c r="A124" s="13" t="inlineStr">
        <is>
          <t>G. Alldritt</t>
        </is>
      </c>
      <c r="B124" t="inlineStr">
        <is>
          <t>France</t>
        </is>
      </c>
      <c r="C124" t="inlineStr">
        <is>
          <t>Back Row</t>
        </is>
      </c>
    </row>
    <row r="125" ht="16" customHeight="1" thickBot="1">
      <c r="A125" s="14" t="inlineStr">
        <is>
          <t>A. Jelonch</t>
        </is>
      </c>
      <c r="B125" t="inlineStr">
        <is>
          <t>France</t>
        </is>
      </c>
      <c r="C125" t="inlineStr">
        <is>
          <t>Back Row</t>
        </is>
      </c>
    </row>
    <row r="126" ht="16" customHeight="1" thickBot="1">
      <c r="A126" s="13" t="inlineStr">
        <is>
          <t>S. Macalou</t>
        </is>
      </c>
      <c r="B126" t="inlineStr">
        <is>
          <t>France</t>
        </is>
      </c>
      <c r="C126" t="inlineStr">
        <is>
          <t>Back Row</t>
        </is>
      </c>
    </row>
    <row r="127" ht="16" customHeight="1" thickBot="1">
      <c r="A127" s="14" t="inlineStr">
        <is>
          <t>C. Ollivon</t>
        </is>
      </c>
      <c r="B127" t="inlineStr">
        <is>
          <t>France</t>
        </is>
      </c>
      <c r="C127" t="inlineStr">
        <is>
          <t>Back Row</t>
        </is>
      </c>
    </row>
    <row r="128" ht="16" customHeight="1" thickBot="1">
      <c r="A128" s="15" t="inlineStr">
        <is>
          <t>T. Flament</t>
        </is>
      </c>
      <c r="B128" t="inlineStr">
        <is>
          <t>France</t>
        </is>
      </c>
      <c r="C128" t="inlineStr">
        <is>
          <t>Second Row</t>
        </is>
      </c>
    </row>
    <row r="129" ht="16" customHeight="1" thickBot="1">
      <c r="A129" s="16" t="inlineStr">
        <is>
          <t>R. Taofifenua</t>
        </is>
      </c>
      <c r="B129" t="inlineStr">
        <is>
          <t>France</t>
        </is>
      </c>
      <c r="C129" t="inlineStr">
        <is>
          <t>Second Row</t>
        </is>
      </c>
    </row>
    <row r="130" ht="16" customHeight="1" thickBot="1">
      <c r="A130" s="15" t="inlineStr">
        <is>
          <t>P. Willemse</t>
        </is>
      </c>
      <c r="B130" t="inlineStr">
        <is>
          <t>France</t>
        </is>
      </c>
      <c r="C130" t="inlineStr">
        <is>
          <t>Second Row</t>
        </is>
      </c>
    </row>
    <row r="131" ht="16" customHeight="1" thickBot="1">
      <c r="A131" s="17" t="inlineStr">
        <is>
          <t>U. Atonio</t>
        </is>
      </c>
      <c r="B131" t="inlineStr">
        <is>
          <t>France</t>
        </is>
      </c>
      <c r="C131" t="inlineStr">
        <is>
          <t>Prop</t>
        </is>
      </c>
    </row>
    <row r="132" ht="16" customHeight="1" thickBot="1">
      <c r="A132" s="18" t="inlineStr">
        <is>
          <t>C. Baille</t>
        </is>
      </c>
      <c r="B132" t="inlineStr">
        <is>
          <t>France</t>
        </is>
      </c>
      <c r="C132" t="inlineStr">
        <is>
          <t>Prop</t>
        </is>
      </c>
    </row>
    <row r="133" ht="16" customHeight="1" thickBot="1">
      <c r="A133" s="17" t="inlineStr">
        <is>
          <t>S. Falatea</t>
        </is>
      </c>
      <c r="B133" t="inlineStr">
        <is>
          <t>France</t>
        </is>
      </c>
      <c r="C133" t="inlineStr">
        <is>
          <t>Prop</t>
        </is>
      </c>
    </row>
    <row r="134" ht="16" customHeight="1" thickBot="1">
      <c r="A134" s="18" t="inlineStr">
        <is>
          <t>R. Wardi</t>
        </is>
      </c>
      <c r="B134" t="inlineStr">
        <is>
          <t>France</t>
        </is>
      </c>
      <c r="C134" t="inlineStr">
        <is>
          <t>Prop</t>
        </is>
      </c>
    </row>
    <row r="135" ht="16" customHeight="1" thickBot="1">
      <c r="A135" s="19" t="inlineStr">
        <is>
          <t>G. Barlot</t>
        </is>
      </c>
      <c r="B135" t="inlineStr">
        <is>
          <t>France</t>
        </is>
      </c>
      <c r="C135" t="inlineStr">
        <is>
          <t>Hooker</t>
        </is>
      </c>
    </row>
    <row r="136" ht="16" customHeight="1" thickBot="1">
      <c r="A136" s="20" t="inlineStr">
        <is>
          <t>J. Marchand</t>
        </is>
      </c>
      <c r="B136" t="inlineStr">
        <is>
          <t>France</t>
        </is>
      </c>
      <c r="C136" t="inlineStr">
        <is>
          <t>Hooker</t>
        </is>
      </c>
    </row>
    <row r="137" ht="16" customHeight="1" thickBot="1">
      <c r="A137" s="1" t="inlineStr">
        <is>
          <t>R. Kelleher</t>
        </is>
      </c>
      <c r="B137" t="inlineStr">
        <is>
          <t>Ireland</t>
        </is>
      </c>
      <c r="C137" t="inlineStr">
        <is>
          <t>Hooker</t>
        </is>
      </c>
    </row>
    <row r="138" ht="16" customHeight="1" thickBot="1">
      <c r="A138" s="4" t="inlineStr">
        <is>
          <t>F. Cros</t>
        </is>
      </c>
      <c r="B138" t="inlineStr">
        <is>
          <t>France</t>
        </is>
      </c>
      <c r="C138" t="inlineStr">
        <is>
          <t>Back Row</t>
        </is>
      </c>
    </row>
    <row r="139" ht="16" customHeight="1" thickBot="1">
      <c r="A139" s="1" t="inlineStr">
        <is>
          <t>Z. Fagerson</t>
        </is>
      </c>
      <c r="B139" t="inlineStr">
        <is>
          <t>Scotland</t>
        </is>
      </c>
      <c r="C139" t="inlineStr">
        <is>
          <t>Prop</t>
        </is>
      </c>
    </row>
    <row r="140" ht="16" customHeight="1" thickBot="1">
      <c r="A140" s="8" t="inlineStr">
        <is>
          <t>R. Patchell</t>
        </is>
      </c>
      <c r="B140" t="inlineStr">
        <is>
          <t>Wales</t>
        </is>
      </c>
      <c r="C140" t="inlineStr">
        <is>
          <t>Fly Half</t>
        </is>
      </c>
    </row>
    <row r="141" ht="16" customHeight="1" thickBot="1">
      <c r="A141" s="7" t="inlineStr">
        <is>
          <t>R. Davies</t>
        </is>
      </c>
      <c r="B141" t="inlineStr">
        <is>
          <t>Wales</t>
        </is>
      </c>
      <c r="C141" t="inlineStr">
        <is>
          <t>Second Row</t>
        </is>
      </c>
    </row>
    <row r="142" ht="16" customHeight="1" thickBot="1">
      <c r="A142" s="22" t="inlineStr">
        <is>
          <t>C. Tshiunza</t>
        </is>
      </c>
      <c r="B142" t="inlineStr">
        <is>
          <t>Wales</t>
        </is>
      </c>
      <c r="C142" t="inlineStr">
        <is>
          <t>Second Row</t>
        </is>
      </c>
    </row>
    <row r="143" ht="16" customHeight="1" thickBot="1">
      <c r="A143" s="28" t="inlineStr">
        <is>
          <t>L. Brown</t>
        </is>
      </c>
      <c r="B143" t="inlineStr">
        <is>
          <t>Wales</t>
        </is>
      </c>
      <c r="C143" t="inlineStr">
        <is>
          <t>Prop</t>
        </is>
      </c>
    </row>
    <row r="144" ht="16" customHeight="1" thickBot="1">
      <c r="A144" s="10" t="inlineStr">
        <is>
          <t>W. Jones</t>
        </is>
      </c>
      <c r="B144" t="inlineStr">
        <is>
          <t>Wales</t>
        </is>
      </c>
      <c r="C144" t="inlineStr">
        <is>
          <t>Prop</t>
        </is>
      </c>
    </row>
    <row r="145" ht="16" customHeight="1" thickBot="1">
      <c r="A145" s="11" t="inlineStr">
        <is>
          <t>H. Arundell</t>
        </is>
      </c>
      <c r="B145" t="inlineStr">
        <is>
          <t>England</t>
        </is>
      </c>
      <c r="C145" t="inlineStr">
        <is>
          <t>Back Three</t>
        </is>
      </c>
    </row>
    <row r="146" ht="16" customHeight="1" thickBot="1">
      <c r="A146" s="25" t="inlineStr">
        <is>
          <t>H. Slade</t>
        </is>
      </c>
      <c r="B146" t="inlineStr">
        <is>
          <t>England</t>
        </is>
      </c>
      <c r="C146" t="inlineStr">
        <is>
          <t>Centre</t>
        </is>
      </c>
    </row>
    <row r="147" ht="16" customHeight="1" thickBot="1">
      <c r="A147" s="13" t="inlineStr">
        <is>
          <t>A. Mitchell</t>
        </is>
      </c>
      <c r="B147" t="inlineStr">
        <is>
          <t>England</t>
        </is>
      </c>
      <c r="C147" t="inlineStr">
        <is>
          <t>Scrum Half</t>
        </is>
      </c>
    </row>
    <row r="148" ht="16" customHeight="1" thickBot="1">
      <c r="A148" s="14" t="inlineStr">
        <is>
          <t>J. Willis</t>
        </is>
      </c>
      <c r="B148" t="inlineStr">
        <is>
          <t>England</t>
        </is>
      </c>
      <c r="C148" t="inlineStr">
        <is>
          <t>Back Row</t>
        </is>
      </c>
    </row>
    <row r="149" ht="16" customHeight="1" thickBot="1">
      <c r="A149" s="13" t="inlineStr">
        <is>
          <t>J. Walker</t>
        </is>
      </c>
      <c r="B149" t="inlineStr">
        <is>
          <t>England</t>
        </is>
      </c>
      <c r="C149" t="inlineStr">
        <is>
          <t>Hooker</t>
        </is>
      </c>
    </row>
    <row r="150" ht="16" customHeight="1" thickBot="1">
      <c r="A150" s="26" t="inlineStr">
        <is>
          <t>J. Polledri</t>
        </is>
      </c>
      <c r="B150" t="inlineStr">
        <is>
          <t>Italy</t>
        </is>
      </c>
      <c r="C150" t="inlineStr">
        <is>
          <t>Back Row</t>
        </is>
      </c>
    </row>
    <row r="151" ht="16" customHeight="1" thickBot="1">
      <c r="A151" s="29" t="inlineStr">
        <is>
          <t>M. Riccioni</t>
        </is>
      </c>
      <c r="B151" t="inlineStr">
        <is>
          <t>Italy</t>
        </is>
      </c>
      <c r="C151" t="inlineStr">
        <is>
          <t>Prop</t>
        </is>
      </c>
    </row>
    <row r="152" ht="16" customHeight="1" thickBot="1">
      <c r="A152" s="16" t="inlineStr">
        <is>
          <t>J. O'Brien</t>
        </is>
      </c>
      <c r="B152" t="inlineStr">
        <is>
          <t>Ireland</t>
        </is>
      </c>
      <c r="C152" t="inlineStr">
        <is>
          <t>Back Three</t>
        </is>
      </c>
    </row>
    <row r="153" ht="16" customHeight="1" thickBot="1">
      <c r="A153" s="29" t="inlineStr">
        <is>
          <t>J. Crowley</t>
        </is>
      </c>
      <c r="B153" t="inlineStr">
        <is>
          <t>Ireland</t>
        </is>
      </c>
      <c r="C153" t="inlineStr">
        <is>
          <t>Fly Half</t>
        </is>
      </c>
    </row>
    <row r="154" ht="16" customHeight="1" thickBot="1">
      <c r="A154" s="23" t="inlineStr">
        <is>
          <t>R. Baird</t>
        </is>
      </c>
      <c r="B154" t="inlineStr">
        <is>
          <t>Ireland</t>
        </is>
      </c>
      <c r="C154" t="inlineStr">
        <is>
          <t>Second Row</t>
        </is>
      </c>
    </row>
    <row r="155" ht="16" customHeight="1" thickBot="1">
      <c r="A155" s="18" t="inlineStr">
        <is>
          <t>P. Garbisi</t>
        </is>
      </c>
      <c r="B155" t="inlineStr">
        <is>
          <t>Italy</t>
        </is>
      </c>
      <c r="C155" t="inlineStr">
        <is>
          <t>Fly Half</t>
        </is>
      </c>
    </row>
    <row r="156" ht="16" customHeight="1" thickBot="1">
      <c r="A156" s="17" t="inlineStr">
        <is>
          <t>L. Halfpenny</t>
        </is>
      </c>
      <c r="B156" t="inlineStr">
        <is>
          <t>Wales</t>
        </is>
      </c>
      <c r="C156" t="inlineStr">
        <is>
          <t>Back Three</t>
        </is>
      </c>
    </row>
    <row r="157" ht="16" customHeight="1" thickBot="1">
      <c r="A157" s="18" t="inlineStr">
        <is>
          <t>L. Rees-Zammit</t>
        </is>
      </c>
      <c r="B157" t="inlineStr">
        <is>
          <t>Wales</t>
        </is>
      </c>
      <c r="C157" t="inlineStr">
        <is>
          <t>Back Three</t>
        </is>
      </c>
    </row>
    <row r="158" ht="16" customHeight="1" thickBot="1">
      <c r="A158" s="19" t="inlineStr">
        <is>
          <t>M. Grady</t>
        </is>
      </c>
      <c r="B158" t="inlineStr">
        <is>
          <t>Wales</t>
        </is>
      </c>
      <c r="C158" t="inlineStr">
        <is>
          <t>Centre</t>
        </is>
      </c>
    </row>
    <row r="159" ht="16" customHeight="1" thickBot="1">
      <c r="A159" s="21" t="inlineStr">
        <is>
          <t>N. Tompkins</t>
        </is>
      </c>
      <c r="B159" t="inlineStr">
        <is>
          <t>Wales</t>
        </is>
      </c>
      <c r="C159" t="inlineStr">
        <is>
          <t>Centre</t>
        </is>
      </c>
    </row>
    <row r="160" ht="16" customHeight="1" thickBot="1">
      <c r="A160" s="1" t="inlineStr">
        <is>
          <t>K. Hardy</t>
        </is>
      </c>
      <c r="B160" t="inlineStr">
        <is>
          <t>Wales</t>
        </is>
      </c>
      <c r="C160" t="inlineStr">
        <is>
          <t>Scrum Half</t>
        </is>
      </c>
    </row>
    <row r="161" ht="16" customHeight="1" thickBot="1">
      <c r="A161" s="30" t="inlineStr">
        <is>
          <t>B. Roberts</t>
        </is>
      </c>
      <c r="B161" t="inlineStr">
        <is>
          <t>Wales</t>
        </is>
      </c>
      <c r="C161" t="inlineStr">
        <is>
          <t>Hooker</t>
        </is>
      </c>
    </row>
    <row r="162" ht="16" customHeight="1" thickBot="1">
      <c r="A162" s="7" t="inlineStr">
        <is>
          <t>C. Lawes</t>
        </is>
      </c>
      <c r="B162" t="inlineStr">
        <is>
          <t>England</t>
        </is>
      </c>
      <c r="C162" t="inlineStr">
        <is>
          <t>Second Row</t>
        </is>
      </c>
    </row>
    <row r="163" ht="16" customHeight="1" thickBot="1">
      <c r="A163" s="8" t="inlineStr">
        <is>
          <t>M. Haouas</t>
        </is>
      </c>
      <c r="B163" t="inlineStr">
        <is>
          <t>France</t>
        </is>
      </c>
      <c r="C163" t="inlineStr">
        <is>
          <t>Prop</t>
        </is>
      </c>
    </row>
    <row r="164" ht="16" customHeight="1" thickBot="1">
      <c r="A164" s="33" t="inlineStr">
        <is>
          <t>A. Price</t>
        </is>
      </c>
      <c r="B164" t="inlineStr">
        <is>
          <t>Scotland</t>
        </is>
      </c>
      <c r="C164" t="inlineStr">
        <is>
          <t>Scrum Half</t>
        </is>
      </c>
    </row>
    <row r="165" ht="16" customHeight="1" thickBot="1">
      <c r="A165" s="31" t="inlineStr">
        <is>
          <t>S. Skinner</t>
        </is>
      </c>
      <c r="B165" t="inlineStr">
        <is>
          <t>Scotland</t>
        </is>
      </c>
      <c r="C165" t="inlineStr">
        <is>
          <t>Back Row</t>
        </is>
      </c>
    </row>
    <row r="166" ht="16" customHeight="1" thickBot="1">
      <c r="A166" s="28" t="inlineStr">
        <is>
          <t>H. Watson</t>
        </is>
      </c>
      <c r="B166" t="inlineStr">
        <is>
          <t>Scotland</t>
        </is>
      </c>
      <c r="C166" t="inlineStr">
        <is>
          <t>Back Row</t>
        </is>
      </c>
    </row>
    <row r="167" ht="16" customHeight="1" thickBot="1">
      <c r="A167" s="25" t="inlineStr">
        <is>
          <t>D. Ribbans</t>
        </is>
      </c>
      <c r="B167" t="inlineStr">
        <is>
          <t>England</t>
        </is>
      </c>
      <c r="C167" t="inlineStr">
        <is>
          <t>Second Row</t>
        </is>
      </c>
    </row>
    <row r="168" ht="16" customHeight="1" thickBot="1">
      <c r="A168" s="13" t="inlineStr">
        <is>
          <t>M. Jaminet</t>
        </is>
      </c>
      <c r="B168" t="inlineStr">
        <is>
          <t>France</t>
        </is>
      </c>
      <c r="C168" t="inlineStr">
        <is>
          <t>Back Three</t>
        </is>
      </c>
    </row>
    <row r="169" ht="16" customHeight="1" thickBot="1">
      <c r="A169" s="14" t="inlineStr">
        <is>
          <t>J. Danty</t>
        </is>
      </c>
      <c r="B169" t="inlineStr">
        <is>
          <t>France</t>
        </is>
      </c>
      <c r="C169" t="inlineStr">
        <is>
          <t>Centre</t>
        </is>
      </c>
    </row>
    <row r="170" ht="16" customHeight="1" thickBot="1">
      <c r="A170" s="24" t="inlineStr">
        <is>
          <t>M. Lucu</t>
        </is>
      </c>
      <c r="B170" t="inlineStr">
        <is>
          <t>France</t>
        </is>
      </c>
      <c r="C170" t="inlineStr">
        <is>
          <t>Scrum Half</t>
        </is>
      </c>
    </row>
    <row r="171" ht="16" customHeight="1" thickBot="1">
      <c r="A171" s="14" t="inlineStr">
        <is>
          <t>D. Aldegheri</t>
        </is>
      </c>
      <c r="B171" t="inlineStr">
        <is>
          <t>France</t>
        </is>
      </c>
      <c r="C171" t="inlineStr">
        <is>
          <t>Prop</t>
        </is>
      </c>
    </row>
    <row r="172" ht="16" customHeight="1" thickBot="1">
      <c r="A172" s="13" t="inlineStr">
        <is>
          <t>P. Mauvaka</t>
        </is>
      </c>
      <c r="B172" t="inlineStr">
        <is>
          <t>France</t>
        </is>
      </c>
      <c r="C172" t="inlineStr">
        <is>
          <t>Hooker</t>
        </is>
      </c>
    </row>
    <row r="173" ht="16" customHeight="1" thickBot="1">
      <c r="A173" s="27" t="inlineStr">
        <is>
          <t>S. Cummings</t>
        </is>
      </c>
      <c r="B173" t="inlineStr">
        <is>
          <t>Scotland</t>
        </is>
      </c>
      <c r="C173" t="inlineStr">
        <is>
          <t>Second Row</t>
        </is>
      </c>
    </row>
    <row r="174" ht="16" customHeight="1" thickBot="1">
      <c r="A174" s="15" t="inlineStr">
        <is>
          <t>R. Henshaw</t>
        </is>
      </c>
      <c r="B174" t="inlineStr">
        <is>
          <t>Ireland</t>
        </is>
      </c>
      <c r="C174" t="inlineStr">
        <is>
          <t>Centre</t>
        </is>
      </c>
    </row>
    <row r="175" ht="16" customHeight="1" thickBot="1">
      <c r="A175" s="27" t="inlineStr">
        <is>
          <t>J. Gibson-Park</t>
        </is>
      </c>
      <c r="B175" t="inlineStr">
        <is>
          <t>Ireland</t>
        </is>
      </c>
      <c r="C175" t="inlineStr">
        <is>
          <t>Scrum Half</t>
        </is>
      </c>
    </row>
    <row r="176" ht="16" customHeight="1" thickBot="1">
      <c r="A176" s="32" t="inlineStr">
        <is>
          <t>T. Furlong</t>
        </is>
      </c>
      <c r="B176" t="inlineStr">
        <is>
          <t>Ireland</t>
        </is>
      </c>
      <c r="C176" t="inlineStr">
        <is>
          <t>Prop</t>
        </is>
      </c>
    </row>
    <row r="177" ht="16" customHeight="1" thickBot="1">
      <c r="A177" s="23" t="inlineStr">
        <is>
          <t>C. Healy</t>
        </is>
      </c>
      <c r="B177" t="inlineStr">
        <is>
          <t>Ireland</t>
        </is>
      </c>
      <c r="C177" t="inlineStr">
        <is>
          <t>Prop</t>
        </is>
      </c>
    </row>
  </sheetData>
  <autoFilter ref="A1:B1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Z144"/>
  <sheetViews>
    <sheetView tabSelected="1" topLeftCell="B1" workbookViewId="0">
      <selection activeCell="K2" sqref="K2"/>
    </sheetView>
  </sheetViews>
  <sheetFormatPr baseColWidth="10" defaultColWidth="8.83203125" defaultRowHeight="15"/>
  <cols>
    <col width="11.1640625" customWidth="1" min="5" max="5"/>
    <col width="11" customWidth="1" min="12" max="12"/>
    <col width="10.5" customWidth="1" min="15" max="15"/>
  </cols>
  <sheetData>
    <row r="1" ht="30" customHeight="1">
      <c r="K1" t="inlineStr">
        <is>
          <t>Win</t>
        </is>
      </c>
      <c r="L1" s="35" t="inlineStr">
        <is>
          <t>Tackles</t>
        </is>
      </c>
      <c r="M1" s="35" t="inlineStr">
        <is>
          <t>Dominant Tackles</t>
        </is>
      </c>
      <c r="N1" s="35" t="inlineStr">
        <is>
          <t>Line Breaks</t>
        </is>
      </c>
      <c r="O1" s="35" t="inlineStr">
        <is>
          <t>Metres Carried</t>
        </is>
      </c>
      <c r="P1" s="35" t="inlineStr">
        <is>
          <t>50-22</t>
        </is>
      </c>
      <c r="Q1" s="35" t="inlineStr">
        <is>
          <t>Lineout Steal</t>
        </is>
      </c>
      <c r="R1" s="35" t="inlineStr">
        <is>
          <t>Breakdown Steal</t>
        </is>
      </c>
      <c r="S1" s="35" t="inlineStr">
        <is>
          <t>Try</t>
        </is>
      </c>
      <c r="T1" s="35" t="inlineStr">
        <is>
          <t>Assists</t>
        </is>
      </c>
      <c r="U1" s="35" t="inlineStr">
        <is>
          <t>Conversion</t>
        </is>
      </c>
      <c r="V1" s="35" t="inlineStr">
        <is>
          <t>Penalty</t>
        </is>
      </c>
      <c r="W1" s="35" t="inlineStr">
        <is>
          <t>Drop Goal</t>
        </is>
      </c>
      <c r="X1" s="35" t="inlineStr">
        <is>
          <t>Yellow Card</t>
        </is>
      </c>
      <c r="Y1" s="35" t="inlineStr">
        <is>
          <t>Red Card</t>
        </is>
      </c>
      <c r="Z1" s="35" t="inlineStr">
        <is>
          <t>MOM</t>
        </is>
      </c>
    </row>
    <row r="2">
      <c r="B2" t="inlineStr">
        <is>
          <t>Scotland</t>
        </is>
      </c>
      <c r="C2" t="inlineStr">
        <is>
          <t>Win</t>
        </is>
      </c>
      <c r="E2" t="inlineStr">
        <is>
          <t>Wales</t>
        </is>
      </c>
      <c r="F2" t="n">
        <v>10</v>
      </c>
      <c r="G2" t="n">
        <v>34</v>
      </c>
      <c r="H2" t="inlineStr">
        <is>
          <t>Ireland</t>
        </is>
      </c>
      <c r="J2" t="inlineStr">
        <is>
          <t>Points</t>
        </is>
      </c>
      <c r="K2" t="n">
        <v>8</v>
      </c>
      <c r="L2" t="n">
        <v>1</v>
      </c>
      <c r="M2" t="n">
        <v>7</v>
      </c>
      <c r="N2" t="n">
        <v>7</v>
      </c>
      <c r="O2" t="n">
        <v>0.2</v>
      </c>
      <c r="P2" t="n">
        <v>10</v>
      </c>
      <c r="Q2" t="n">
        <v>7</v>
      </c>
      <c r="R2" t="n">
        <v>7</v>
      </c>
      <c r="S2" t="n">
        <v>15</v>
      </c>
      <c r="T2" t="n">
        <v>7</v>
      </c>
      <c r="U2" t="n">
        <v>2</v>
      </c>
      <c r="V2" t="n">
        <v>5</v>
      </c>
      <c r="W2" t="n">
        <v>7</v>
      </c>
      <c r="X2" t="n">
        <v>-5</v>
      </c>
      <c r="Y2" t="n">
        <v>-10</v>
      </c>
      <c r="Z2" t="n">
        <v>15</v>
      </c>
    </row>
    <row r="3">
      <c r="B3" t="inlineStr">
        <is>
          <t>Wales</t>
        </is>
      </c>
      <c r="C3" t="inlineStr">
        <is>
          <t>Loss</t>
        </is>
      </c>
      <c r="E3" t="inlineStr">
        <is>
          <t>England</t>
        </is>
      </c>
      <c r="F3" t="n">
        <v>23</v>
      </c>
      <c r="G3" t="n">
        <v>29</v>
      </c>
      <c r="H3" t="inlineStr">
        <is>
          <t>Scotland</t>
        </is>
      </c>
    </row>
    <row r="4">
      <c r="B4" t="inlineStr">
        <is>
          <t>Ireland</t>
        </is>
      </c>
      <c r="C4" t="inlineStr">
        <is>
          <t>Win</t>
        </is>
      </c>
      <c r="E4" t="inlineStr">
        <is>
          <t>Italy</t>
        </is>
      </c>
      <c r="F4" t="n">
        <v>24</v>
      </c>
      <c r="G4" t="n">
        <v>29</v>
      </c>
      <c r="H4" t="inlineStr">
        <is>
          <t>France</t>
        </is>
      </c>
    </row>
    <row r="5">
      <c r="B5" t="inlineStr">
        <is>
          <t>England</t>
        </is>
      </c>
      <c r="C5" t="inlineStr">
        <is>
          <t>Loss</t>
        </is>
      </c>
    </row>
    <row r="6">
      <c r="B6" t="inlineStr">
        <is>
          <t>France</t>
        </is>
      </c>
      <c r="C6" t="inlineStr">
        <is>
          <t>Win</t>
        </is>
      </c>
    </row>
    <row r="7">
      <c r="B7" t="inlineStr">
        <is>
          <t>Italy</t>
        </is>
      </c>
      <c r="C7" t="inlineStr">
        <is>
          <t>Loss</t>
        </is>
      </c>
    </row>
    <row r="8" ht="16" customHeight="1" thickBot="1"/>
    <row r="9" ht="31" customHeight="1" thickBot="1">
      <c r="A9" s="39" t="inlineStr">
        <is>
          <t>Name</t>
        </is>
      </c>
      <c r="B9" s="40" t="inlineStr">
        <is>
          <t>Nation</t>
        </is>
      </c>
      <c r="C9" s="40" t="inlineStr">
        <is>
          <t>Position</t>
        </is>
      </c>
      <c r="D9" s="40" t="inlineStr">
        <is>
          <t>Time Played</t>
        </is>
      </c>
      <c r="E9" s="40" t="n"/>
      <c r="F9" s="41" t="inlineStr">
        <is>
          <t>Tackles</t>
        </is>
      </c>
      <c r="G9" s="41" t="inlineStr">
        <is>
          <t>Dominant Tackles</t>
        </is>
      </c>
      <c r="H9" s="41" t="inlineStr">
        <is>
          <t>Line Breaks</t>
        </is>
      </c>
      <c r="I9" s="41" t="inlineStr">
        <is>
          <t>Metres Carried</t>
        </is>
      </c>
      <c r="J9" s="41" t="inlineStr">
        <is>
          <t>50-22</t>
        </is>
      </c>
      <c r="K9" s="41" t="inlineStr">
        <is>
          <t>Lineout Steal</t>
        </is>
      </c>
      <c r="L9" s="41" t="inlineStr">
        <is>
          <t>Breakdown Steal</t>
        </is>
      </c>
      <c r="M9" s="41" t="inlineStr">
        <is>
          <t>Try</t>
        </is>
      </c>
      <c r="N9" s="41" t="inlineStr">
        <is>
          <t>Assists</t>
        </is>
      </c>
      <c r="O9" s="41" t="inlineStr">
        <is>
          <t>Conversion</t>
        </is>
      </c>
      <c r="P9" s="41" t="inlineStr">
        <is>
          <t>Penalty</t>
        </is>
      </c>
      <c r="Q9" s="41" t="inlineStr">
        <is>
          <t>Drop Goal</t>
        </is>
      </c>
      <c r="R9" s="41" t="inlineStr">
        <is>
          <t>Yellow Card</t>
        </is>
      </c>
      <c r="S9" s="41" t="inlineStr">
        <is>
          <t>Red Card</t>
        </is>
      </c>
      <c r="T9" s="41" t="inlineStr">
        <is>
          <t>Game Total</t>
        </is>
      </c>
      <c r="U9" s="41" t="inlineStr">
        <is>
          <t>MoM</t>
        </is>
      </c>
      <c r="V9" s="41" t="inlineStr">
        <is>
          <t>Win Points</t>
        </is>
      </c>
      <c r="W9" s="42" t="inlineStr">
        <is>
          <t>Total Points</t>
        </is>
      </c>
    </row>
    <row r="10">
      <c r="A10" s="36" t="inlineStr">
        <is>
          <t>J. Adams</t>
        </is>
      </c>
      <c r="B10" s="36">
        <f t="array" ref="B10:C10">_xlfn.XLOOKUP(A10,'Player List'!$A$2:$A$177,'Player List'!$B$2:$C$177)</f>
        <v/>
      </c>
      <c r="C10" s="36" t="inlineStr">
        <is>
          <t>Back Three</t>
        </is>
      </c>
      <c r="D10" s="37" t="n">
        <v>80</v>
      </c>
      <c r="F10" s="37" t="n">
        <v>3</v>
      </c>
      <c r="G10" s="37" t="n">
        <v>21</v>
      </c>
      <c r="H10" s="37" t="n">
        <v>0</v>
      </c>
      <c r="I10" s="37" t="n">
        <v>7.2</v>
      </c>
      <c r="J10" s="37" t="n">
        <v>0</v>
      </c>
      <c r="K10" s="37" t="n">
        <v>0</v>
      </c>
      <c r="L10" s="37" t="n">
        <v>0</v>
      </c>
      <c r="M10" s="37" t="n">
        <v>0</v>
      </c>
      <c r="N10" s="37" t="n">
        <v>0</v>
      </c>
      <c r="O10" s="37" t="n">
        <v>0</v>
      </c>
      <c r="P10" s="37" t="n">
        <v>0</v>
      </c>
      <c r="Q10" s="37" t="n">
        <v>0</v>
      </c>
      <c r="R10" s="37" t="n">
        <v>0</v>
      </c>
      <c r="S10" s="37" t="n">
        <v>0</v>
      </c>
      <c r="T10" s="38" t="n">
        <v>31.2</v>
      </c>
      <c r="U10" s="37" t="n">
        <v>0</v>
      </c>
      <c r="V10" s="36" t="n">
        <v>0</v>
      </c>
      <c r="W10" t="n">
        <v>31.2</v>
      </c>
    </row>
    <row r="11">
      <c r="A11" s="36" t="inlineStr">
        <is>
          <t>A. Cuthbert</t>
        </is>
      </c>
      <c r="B11" s="36">
        <f t="array" ref="B11:C11">_xlfn.XLOOKUP(A11,'Player List'!$A$2:$A$177,'Player List'!$B$2:$C$177)</f>
        <v/>
      </c>
      <c r="C11" s="36" t="inlineStr">
        <is>
          <t>Back Three</t>
        </is>
      </c>
      <c r="D11" s="37" t="n">
        <v>12</v>
      </c>
      <c r="F11" s="37" t="n">
        <v>1</v>
      </c>
      <c r="G11" s="37" t="n">
        <v>0</v>
      </c>
      <c r="H11" s="37" t="n">
        <v>0</v>
      </c>
      <c r="I11" s="37" t="n">
        <v>5.6</v>
      </c>
      <c r="J11" s="37" t="n">
        <v>0</v>
      </c>
      <c r="K11" s="37" t="n">
        <v>0</v>
      </c>
      <c r="L11" s="37" t="n">
        <v>0</v>
      </c>
      <c r="M11" s="37" t="n">
        <v>0</v>
      </c>
      <c r="N11" s="37" t="n">
        <v>0</v>
      </c>
      <c r="O11" s="37" t="n">
        <v>0</v>
      </c>
      <c r="P11" s="37" t="n">
        <v>0</v>
      </c>
      <c r="Q11" s="37" t="n">
        <v>0</v>
      </c>
      <c r="R11" s="37" t="n">
        <v>0</v>
      </c>
      <c r="S11" s="37" t="n">
        <v>0</v>
      </c>
      <c r="T11" s="38" t="n">
        <v>6.6</v>
      </c>
      <c r="U11" s="37" t="n">
        <v>0</v>
      </c>
      <c r="V11" s="36" t="n">
        <v>0</v>
      </c>
      <c r="W11" t="n">
        <v>6.6</v>
      </c>
    </row>
    <row r="12">
      <c r="A12" s="36" t="inlineStr">
        <is>
          <t>R. Dyer</t>
        </is>
      </c>
      <c r="B12" s="36">
        <f t="array" ref="B12:C12">_xlfn.XLOOKUP(A12,'Player List'!$A$2:$A$177,'Player List'!$B$2:$C$177)</f>
        <v/>
      </c>
      <c r="C12" s="36" t="inlineStr">
        <is>
          <t>Back Three</t>
        </is>
      </c>
      <c r="D12" s="37" t="n">
        <v>68</v>
      </c>
      <c r="F12" s="37" t="n">
        <v>4</v>
      </c>
      <c r="G12" s="37" t="n">
        <v>0</v>
      </c>
      <c r="H12" s="37" t="n">
        <v>14</v>
      </c>
      <c r="I12" s="37" t="n">
        <v>21.4</v>
      </c>
      <c r="J12" s="37" t="n">
        <v>0</v>
      </c>
      <c r="K12" s="37" t="n">
        <v>0</v>
      </c>
      <c r="L12" s="37" t="n">
        <v>0</v>
      </c>
      <c r="M12" s="37" t="n">
        <v>0</v>
      </c>
      <c r="N12" s="37" t="n">
        <v>0</v>
      </c>
      <c r="O12" s="37" t="n">
        <v>0</v>
      </c>
      <c r="P12" s="37" t="n">
        <v>0</v>
      </c>
      <c r="Q12" s="37" t="n">
        <v>0</v>
      </c>
      <c r="R12" s="37" t="n">
        <v>0</v>
      </c>
      <c r="S12" s="37" t="n">
        <v>0</v>
      </c>
      <c r="T12" s="38" t="n">
        <v>39.4</v>
      </c>
      <c r="U12" s="37" t="n">
        <v>0</v>
      </c>
      <c r="V12" s="36" t="n">
        <v>0</v>
      </c>
      <c r="W12" t="n">
        <v>39.4</v>
      </c>
    </row>
    <row r="13">
      <c r="A13" s="36" t="inlineStr">
        <is>
          <t>L. Williams</t>
        </is>
      </c>
      <c r="B13" s="36">
        <f t="array" ref="B13:C13">_xlfn.XLOOKUP(A13,'Player List'!$A$2:$A$177,'Player List'!$B$2:$C$177)</f>
        <v/>
      </c>
      <c r="C13" s="36" t="inlineStr">
        <is>
          <t>Back Three</t>
        </is>
      </c>
      <c r="D13" s="37" t="n">
        <v>70</v>
      </c>
      <c r="F13" s="37" t="n">
        <v>2</v>
      </c>
      <c r="G13" s="37" t="n">
        <v>0</v>
      </c>
      <c r="H13" s="37" t="n">
        <v>14</v>
      </c>
      <c r="I13" s="37" t="n">
        <v>21.6</v>
      </c>
      <c r="J13" s="37" t="n">
        <v>0</v>
      </c>
      <c r="K13" s="37" t="n">
        <v>0</v>
      </c>
      <c r="L13" s="37" t="n">
        <v>7</v>
      </c>
      <c r="M13" s="37" t="n">
        <v>15</v>
      </c>
      <c r="N13" s="37" t="n">
        <v>0</v>
      </c>
      <c r="O13" s="37" t="n">
        <v>0</v>
      </c>
      <c r="P13" s="37" t="n">
        <v>0</v>
      </c>
      <c r="Q13" s="37" t="n">
        <v>0</v>
      </c>
      <c r="R13" s="37" t="n">
        <v>-5</v>
      </c>
      <c r="S13" s="37" t="n">
        <v>0</v>
      </c>
      <c r="T13" s="38" t="n">
        <v>54.6</v>
      </c>
      <c r="U13" s="37" t="n">
        <v>0</v>
      </c>
      <c r="V13" s="36" t="n">
        <v>0</v>
      </c>
      <c r="W13" t="n">
        <v>54.6</v>
      </c>
    </row>
    <row r="14">
      <c r="A14" s="36" t="inlineStr">
        <is>
          <t>J. Hawkins</t>
        </is>
      </c>
      <c r="B14" s="36">
        <f t="array" ref="B14:C14">_xlfn.XLOOKUP(A14,'Player List'!$A$2:$A$177,'Player List'!$B$2:$C$177)</f>
        <v/>
      </c>
      <c r="C14" s="36" t="inlineStr">
        <is>
          <t>Centre</t>
        </is>
      </c>
      <c r="D14" s="37" t="n">
        <v>80</v>
      </c>
      <c r="F14" s="37" t="n">
        <v>6</v>
      </c>
      <c r="G14" s="37" t="n">
        <v>7</v>
      </c>
      <c r="H14" s="37" t="n">
        <v>7</v>
      </c>
      <c r="I14" s="37" t="n">
        <v>15</v>
      </c>
      <c r="J14" s="37" t="n">
        <v>0</v>
      </c>
      <c r="K14" s="37" t="n">
        <v>0</v>
      </c>
      <c r="L14" s="37" t="n">
        <v>0</v>
      </c>
      <c r="M14" s="37" t="n">
        <v>0</v>
      </c>
      <c r="N14" s="37" t="n">
        <v>0</v>
      </c>
      <c r="O14" s="37" t="n">
        <v>0</v>
      </c>
      <c r="P14" s="37" t="n">
        <v>0</v>
      </c>
      <c r="Q14" s="37" t="n">
        <v>0</v>
      </c>
      <c r="R14" s="37" t="n">
        <v>0</v>
      </c>
      <c r="S14" s="37" t="n">
        <v>0</v>
      </c>
      <c r="T14" s="38" t="n">
        <v>35</v>
      </c>
      <c r="U14" s="37" t="n">
        <v>0</v>
      </c>
      <c r="V14" s="36" t="n">
        <v>0</v>
      </c>
      <c r="W14" t="n">
        <v>35</v>
      </c>
    </row>
    <row r="15">
      <c r="A15" s="36" t="inlineStr">
        <is>
          <t>G. North</t>
        </is>
      </c>
      <c r="B15" s="36">
        <f t="array" ref="B15:C15">_xlfn.XLOOKUP(A15,'Player List'!$A$2:$A$177,'Player List'!$B$2:$C$177)</f>
        <v/>
      </c>
      <c r="C15" s="36" t="inlineStr">
        <is>
          <t>Centre</t>
        </is>
      </c>
      <c r="D15" s="37" t="n">
        <v>80</v>
      </c>
      <c r="F15" s="37" t="n">
        <v>4</v>
      </c>
      <c r="G15" s="37" t="n">
        <v>0</v>
      </c>
      <c r="H15" s="37" t="n">
        <v>0</v>
      </c>
      <c r="I15" s="37" t="n">
        <v>11.6</v>
      </c>
      <c r="J15" s="37" t="n">
        <v>0</v>
      </c>
      <c r="K15" s="37" t="n">
        <v>0</v>
      </c>
      <c r="L15" s="37" t="n">
        <v>0</v>
      </c>
      <c r="M15" s="37" t="n">
        <v>0</v>
      </c>
      <c r="N15" s="37" t="n">
        <v>0</v>
      </c>
      <c r="O15" s="37" t="n">
        <v>0</v>
      </c>
      <c r="P15" s="37" t="n">
        <v>0</v>
      </c>
      <c r="Q15" s="37" t="n">
        <v>0</v>
      </c>
      <c r="R15" s="37" t="n">
        <v>0</v>
      </c>
      <c r="S15" s="37" t="n">
        <v>0</v>
      </c>
      <c r="T15" s="38" t="n">
        <v>15.6</v>
      </c>
      <c r="U15" s="37" t="n">
        <v>0</v>
      </c>
      <c r="V15" s="36" t="n">
        <v>0</v>
      </c>
      <c r="W15" t="n">
        <v>15.6</v>
      </c>
    </row>
    <row r="16">
      <c r="A16" s="36" t="inlineStr">
        <is>
          <t>D. Biggar</t>
        </is>
      </c>
      <c r="B16" s="36">
        <f t="array" ref="B16:C16">_xlfn.XLOOKUP(A16,'Player List'!$A$2:$A$177,'Player List'!$B$2:$C$177)</f>
        <v/>
      </c>
      <c r="C16" s="36" t="inlineStr">
        <is>
          <t>Fly Half</t>
        </is>
      </c>
      <c r="D16" s="37" t="n">
        <v>67</v>
      </c>
      <c r="F16" s="37" t="n">
        <v>9</v>
      </c>
      <c r="G16" s="37" t="n">
        <v>0</v>
      </c>
      <c r="H16" s="37" t="n">
        <v>7</v>
      </c>
      <c r="I16" s="37" t="n">
        <v>7</v>
      </c>
      <c r="J16" s="37" t="n">
        <v>0</v>
      </c>
      <c r="K16" s="37" t="n">
        <v>0</v>
      </c>
      <c r="L16" s="37" t="n">
        <v>0</v>
      </c>
      <c r="M16" s="37" t="n">
        <v>0</v>
      </c>
      <c r="N16" s="37" t="n">
        <v>7</v>
      </c>
      <c r="O16" s="37" t="n">
        <v>2</v>
      </c>
      <c r="P16" s="37" t="n">
        <v>5</v>
      </c>
      <c r="Q16" s="37" t="n">
        <v>0</v>
      </c>
      <c r="R16" s="37" t="n">
        <v>0</v>
      </c>
      <c r="S16" s="37" t="n">
        <v>0</v>
      </c>
      <c r="T16" s="38" t="n">
        <v>37</v>
      </c>
      <c r="U16" s="37" t="n">
        <v>0</v>
      </c>
      <c r="V16" s="36" t="n">
        <v>0</v>
      </c>
      <c r="W16" t="n">
        <v>37</v>
      </c>
    </row>
    <row r="17">
      <c r="A17" s="36" t="inlineStr">
        <is>
          <t>O. Williams</t>
        </is>
      </c>
      <c r="B17" s="36">
        <f t="array" ref="B17:C17">_xlfn.XLOOKUP(A17,'Player List'!$A$2:$A$177,'Player List'!$B$2:$C$177)</f>
        <v/>
      </c>
      <c r="C17" s="36" t="inlineStr">
        <is>
          <t>Fly Half</t>
        </is>
      </c>
      <c r="D17" s="37" t="n">
        <v>13</v>
      </c>
      <c r="F17" s="37" t="n">
        <v>1</v>
      </c>
      <c r="G17" s="37" t="n">
        <v>0</v>
      </c>
      <c r="H17" s="37" t="n">
        <v>0</v>
      </c>
      <c r="I17" s="37" t="n">
        <v>0.8</v>
      </c>
      <c r="J17" s="37" t="n">
        <v>0</v>
      </c>
      <c r="K17" s="37" t="n">
        <v>0</v>
      </c>
      <c r="L17" s="37" t="n">
        <v>0</v>
      </c>
      <c r="M17" s="37" t="n">
        <v>0</v>
      </c>
      <c r="N17" s="37" t="n">
        <v>0</v>
      </c>
      <c r="O17" s="37" t="n">
        <v>0</v>
      </c>
      <c r="P17" s="37" t="n">
        <v>0</v>
      </c>
      <c r="Q17" s="37" t="n">
        <v>0</v>
      </c>
      <c r="R17" s="37" t="n">
        <v>0</v>
      </c>
      <c r="S17" s="37" t="n">
        <v>0</v>
      </c>
      <c r="T17" s="38" t="n">
        <v>1.8</v>
      </c>
      <c r="U17" s="37" t="n">
        <v>0</v>
      </c>
      <c r="V17" s="36" t="n">
        <v>0</v>
      </c>
      <c r="W17" t="n">
        <v>1.8</v>
      </c>
    </row>
    <row r="18">
      <c r="A18" s="36" t="inlineStr">
        <is>
          <t>R. Webb</t>
        </is>
      </c>
      <c r="B18" s="36">
        <f t="array" ref="B18:C18">_xlfn.XLOOKUP(A18,'Player List'!$A$2:$A$177,'Player List'!$B$2:$C$177)</f>
        <v/>
      </c>
      <c r="C18" s="36" t="inlineStr">
        <is>
          <t>Scrum Half</t>
        </is>
      </c>
      <c r="D18" s="37" t="n">
        <v>17</v>
      </c>
      <c r="F18" s="37" t="n">
        <v>2</v>
      </c>
      <c r="G18" s="37" t="n">
        <v>7</v>
      </c>
      <c r="H18" s="37" t="n">
        <v>0</v>
      </c>
      <c r="I18" s="37" t="n">
        <v>0.2</v>
      </c>
      <c r="J18" s="37" t="n">
        <v>0</v>
      </c>
      <c r="K18" s="37" t="n">
        <v>0</v>
      </c>
      <c r="L18" s="37" t="n">
        <v>0</v>
      </c>
      <c r="M18" s="37" t="n">
        <v>0</v>
      </c>
      <c r="N18" s="37" t="n">
        <v>0</v>
      </c>
      <c r="O18" s="37" t="n">
        <v>0</v>
      </c>
      <c r="P18" s="37" t="n">
        <v>0</v>
      </c>
      <c r="Q18" s="37" t="n">
        <v>0</v>
      </c>
      <c r="R18" s="37" t="n">
        <v>0</v>
      </c>
      <c r="S18" s="37" t="n">
        <v>0</v>
      </c>
      <c r="T18" s="38" t="n">
        <v>9.199999999999999</v>
      </c>
      <c r="U18" s="37" t="n">
        <v>0</v>
      </c>
      <c r="V18" s="36" t="n">
        <v>0</v>
      </c>
      <c r="W18" t="n">
        <v>9.199999999999999</v>
      </c>
    </row>
    <row r="19">
      <c r="A19" s="36" t="inlineStr">
        <is>
          <t>T. Williams</t>
        </is>
      </c>
      <c r="B19" s="36">
        <f t="array" ref="B19:C19">_xlfn.XLOOKUP(A19,'Player List'!$A$2:$A$177,'Player List'!$B$2:$C$177)</f>
        <v/>
      </c>
      <c r="C19" s="36" t="inlineStr">
        <is>
          <t>Scrum Half</t>
        </is>
      </c>
      <c r="D19" s="37" t="n">
        <v>63</v>
      </c>
      <c r="F19" s="37" t="n">
        <v>6</v>
      </c>
      <c r="G19" s="37" t="n">
        <v>0</v>
      </c>
      <c r="H19" s="37" t="n">
        <v>0</v>
      </c>
      <c r="I19" s="37" t="n">
        <v>3.8</v>
      </c>
      <c r="J19" s="37" t="n">
        <v>0</v>
      </c>
      <c r="K19" s="37" t="n">
        <v>0</v>
      </c>
      <c r="L19" s="37" t="n">
        <v>0</v>
      </c>
      <c r="M19" s="37" t="n">
        <v>0</v>
      </c>
      <c r="N19" s="37" t="n">
        <v>0</v>
      </c>
      <c r="O19" s="37" t="n">
        <v>0</v>
      </c>
      <c r="P19" s="37" t="n">
        <v>0</v>
      </c>
      <c r="Q19" s="37" t="n">
        <v>0</v>
      </c>
      <c r="R19" s="37" t="n">
        <v>0</v>
      </c>
      <c r="S19" s="37" t="n">
        <v>0</v>
      </c>
      <c r="T19" s="38" t="n">
        <v>9.800000000000001</v>
      </c>
      <c r="U19" s="37" t="n">
        <v>0</v>
      </c>
      <c r="V19" s="36" t="n">
        <v>0</v>
      </c>
      <c r="W19" t="n">
        <v>9.800000000000001</v>
      </c>
    </row>
    <row r="20">
      <c r="A20" s="36" t="inlineStr">
        <is>
          <t>T. Faletau</t>
        </is>
      </c>
      <c r="B20" s="36">
        <f t="array" ref="B20:C20">_xlfn.XLOOKUP(A20,'Player List'!$A$2:$A$177,'Player List'!$B$2:$C$177)</f>
        <v/>
      </c>
      <c r="C20" s="36" t="inlineStr">
        <is>
          <t>Back Row</t>
        </is>
      </c>
      <c r="D20" s="37" t="n">
        <v>80</v>
      </c>
      <c r="F20" s="37" t="n">
        <v>20</v>
      </c>
      <c r="G20" s="37" t="n">
        <v>7</v>
      </c>
      <c r="H20" s="37" t="n">
        <v>0</v>
      </c>
      <c r="I20" s="37" t="n">
        <v>9.800000000000001</v>
      </c>
      <c r="J20" s="37" t="n">
        <v>0</v>
      </c>
      <c r="K20" s="37" t="n">
        <v>0</v>
      </c>
      <c r="L20" s="37" t="n">
        <v>0</v>
      </c>
      <c r="M20" s="37" t="n">
        <v>0</v>
      </c>
      <c r="N20" s="37" t="n">
        <v>0</v>
      </c>
      <c r="O20" s="37" t="n">
        <v>0</v>
      </c>
      <c r="P20" s="37" t="n">
        <v>0</v>
      </c>
      <c r="Q20" s="37" t="n">
        <v>0</v>
      </c>
      <c r="R20" s="37" t="n">
        <v>0</v>
      </c>
      <c r="S20" s="37" t="n">
        <v>0</v>
      </c>
      <c r="T20" s="38" t="n">
        <v>36.8</v>
      </c>
      <c r="U20" s="37" t="n">
        <v>0</v>
      </c>
      <c r="V20" s="36" t="n">
        <v>0</v>
      </c>
      <c r="W20" t="n">
        <v>36.8</v>
      </c>
    </row>
    <row r="21">
      <c r="A21" s="36" t="inlineStr">
        <is>
          <t>J. Morgan</t>
        </is>
      </c>
      <c r="B21" s="36">
        <f t="array" ref="B21:C21">_xlfn.XLOOKUP(A21,'Player List'!$A$2:$A$177,'Player List'!$B$2:$C$177)</f>
        <v/>
      </c>
      <c r="C21" s="36" t="inlineStr">
        <is>
          <t>Back Row</t>
        </is>
      </c>
      <c r="D21" s="37" t="n">
        <v>80</v>
      </c>
      <c r="F21" s="37" t="n">
        <v>14</v>
      </c>
      <c r="G21" s="37" t="n">
        <v>21</v>
      </c>
      <c r="H21" s="37" t="n">
        <v>0</v>
      </c>
      <c r="I21" s="37" t="n">
        <v>8.6</v>
      </c>
      <c r="J21" s="37" t="n">
        <v>0</v>
      </c>
      <c r="K21" s="37" t="n">
        <v>0</v>
      </c>
      <c r="L21" s="37" t="n">
        <v>7</v>
      </c>
      <c r="M21" s="37" t="n">
        <v>0</v>
      </c>
      <c r="N21" s="37" t="n">
        <v>0</v>
      </c>
      <c r="O21" s="37" t="n">
        <v>0</v>
      </c>
      <c r="P21" s="37" t="n">
        <v>0</v>
      </c>
      <c r="Q21" s="37" t="n">
        <v>0</v>
      </c>
      <c r="R21" s="37" t="n">
        <v>0</v>
      </c>
      <c r="S21" s="37" t="n">
        <v>0</v>
      </c>
      <c r="T21" s="38" t="n">
        <v>50.6</v>
      </c>
      <c r="U21" s="37" t="n">
        <v>0</v>
      </c>
      <c r="V21" s="36" t="n">
        <v>0</v>
      </c>
      <c r="W21" t="n">
        <v>50.6</v>
      </c>
    </row>
    <row r="22">
      <c r="A22" s="36" t="inlineStr">
        <is>
          <t>T. Reffell</t>
        </is>
      </c>
      <c r="B22" s="36">
        <f t="array" ref="B22:C22">_xlfn.XLOOKUP(A22,'Player List'!$A$2:$A$177,'Player List'!$B$2:$C$177)</f>
        <v/>
      </c>
      <c r="C22" s="36" t="inlineStr">
        <is>
          <t>Back Row</t>
        </is>
      </c>
      <c r="D22" s="37" t="n">
        <v>26</v>
      </c>
      <c r="F22" s="37" t="n">
        <v>8</v>
      </c>
      <c r="G22" s="37" t="n">
        <v>0</v>
      </c>
      <c r="H22" s="37" t="n">
        <v>0</v>
      </c>
      <c r="I22" s="37" t="n">
        <v>0</v>
      </c>
      <c r="J22" s="37" t="n">
        <v>0</v>
      </c>
      <c r="K22" s="37" t="n">
        <v>0</v>
      </c>
      <c r="L22" s="37" t="n">
        <v>0</v>
      </c>
      <c r="M22" s="37" t="n">
        <v>0</v>
      </c>
      <c r="N22" s="37" t="n">
        <v>0</v>
      </c>
      <c r="O22" s="37" t="n">
        <v>0</v>
      </c>
      <c r="P22" s="37" t="n">
        <v>0</v>
      </c>
      <c r="Q22" s="37" t="n">
        <v>0</v>
      </c>
      <c r="R22" s="37" t="n">
        <v>0</v>
      </c>
      <c r="S22" s="37" t="n">
        <v>0</v>
      </c>
      <c r="T22" s="38" t="n">
        <v>8</v>
      </c>
      <c r="U22" s="37" t="n">
        <v>0</v>
      </c>
      <c r="V22" s="36" t="n">
        <v>0</v>
      </c>
      <c r="W22" t="n">
        <v>8</v>
      </c>
    </row>
    <row r="23">
      <c r="A23" s="36" t="inlineStr">
        <is>
          <t>J. Tipuric</t>
        </is>
      </c>
      <c r="B23" s="36">
        <f t="array" ref="B23:C23">_xlfn.XLOOKUP(A23,'Player List'!$A$2:$A$177,'Player List'!$B$2:$C$177)</f>
        <v/>
      </c>
      <c r="C23" s="36" t="inlineStr">
        <is>
          <t>Back Row</t>
        </is>
      </c>
      <c r="D23" s="37" t="n">
        <v>54</v>
      </c>
      <c r="F23" s="37" t="n">
        <v>11</v>
      </c>
      <c r="G23" s="37" t="n">
        <v>21</v>
      </c>
      <c r="H23" s="37" t="n">
        <v>0</v>
      </c>
      <c r="I23" s="37" t="n">
        <v>3.6</v>
      </c>
      <c r="J23" s="37" t="n">
        <v>0</v>
      </c>
      <c r="K23" s="37" t="n">
        <v>0</v>
      </c>
      <c r="L23" s="37" t="n">
        <v>0</v>
      </c>
      <c r="M23" s="37" t="n">
        <v>0</v>
      </c>
      <c r="N23" s="37" t="n">
        <v>0</v>
      </c>
      <c r="O23" s="37" t="n">
        <v>0</v>
      </c>
      <c r="P23" s="37" t="n">
        <v>0</v>
      </c>
      <c r="Q23" s="37" t="n">
        <v>0</v>
      </c>
      <c r="R23" s="37" t="n">
        <v>0</v>
      </c>
      <c r="S23" s="37" t="n">
        <v>0</v>
      </c>
      <c r="T23" s="38" t="n">
        <v>35.6</v>
      </c>
      <c r="U23" s="37" t="n">
        <v>0</v>
      </c>
      <c r="V23" s="36" t="n">
        <v>0</v>
      </c>
      <c r="W23" t="n">
        <v>35.6</v>
      </c>
    </row>
    <row r="24">
      <c r="A24" s="36" t="inlineStr">
        <is>
          <t>A. Beard</t>
        </is>
      </c>
      <c r="B24" s="36">
        <f t="array" ref="B24:C24">_xlfn.XLOOKUP(A24,'Player List'!$A$2:$A$177,'Player List'!$B$2:$C$177)</f>
        <v/>
      </c>
      <c r="C24" s="36" t="inlineStr">
        <is>
          <t>Second Row</t>
        </is>
      </c>
      <c r="D24" s="37" t="n">
        <v>80</v>
      </c>
      <c r="F24" s="37" t="n">
        <v>13</v>
      </c>
      <c r="G24" s="37" t="n">
        <v>14</v>
      </c>
      <c r="H24" s="37" t="n">
        <v>0</v>
      </c>
      <c r="I24" s="37" t="n">
        <v>1.4</v>
      </c>
      <c r="J24" s="37" t="n">
        <v>0</v>
      </c>
      <c r="K24" s="37" t="n">
        <v>0</v>
      </c>
      <c r="L24" s="37" t="n">
        <v>0</v>
      </c>
      <c r="M24" s="37" t="n">
        <v>0</v>
      </c>
      <c r="N24" s="37" t="n">
        <v>0</v>
      </c>
      <c r="O24" s="37" t="n">
        <v>0</v>
      </c>
      <c r="P24" s="37" t="n">
        <v>0</v>
      </c>
      <c r="Q24" s="37" t="n">
        <v>0</v>
      </c>
      <c r="R24" s="37" t="n">
        <v>0</v>
      </c>
      <c r="S24" s="37" t="n">
        <v>0</v>
      </c>
      <c r="T24" s="38" t="n">
        <v>28.4</v>
      </c>
      <c r="U24" s="37" t="n">
        <v>0</v>
      </c>
      <c r="V24" s="36" t="n">
        <v>0</v>
      </c>
      <c r="W24" t="n">
        <v>28.4</v>
      </c>
    </row>
    <row r="25">
      <c r="A25" s="36" t="inlineStr">
        <is>
          <t>D. Jenkins</t>
        </is>
      </c>
      <c r="B25" s="36">
        <f t="array" ref="B25:C25">_xlfn.XLOOKUP(A25,'Player List'!$A$2:$A$177,'Player List'!$B$2:$C$177)</f>
        <v/>
      </c>
      <c r="C25" s="36" t="inlineStr">
        <is>
          <t>Second Row</t>
        </is>
      </c>
      <c r="D25" s="37" t="n">
        <v>19</v>
      </c>
      <c r="F25" s="37" t="n">
        <v>3</v>
      </c>
      <c r="G25" s="37" t="n">
        <v>0</v>
      </c>
      <c r="H25" s="37" t="n">
        <v>0</v>
      </c>
      <c r="I25" s="37" t="n">
        <v>7</v>
      </c>
      <c r="J25" s="37" t="n">
        <v>0</v>
      </c>
      <c r="K25" s="37" t="n">
        <v>0</v>
      </c>
      <c r="L25" s="37" t="n">
        <v>0</v>
      </c>
      <c r="M25" s="37" t="n">
        <v>0</v>
      </c>
      <c r="N25" s="37" t="n">
        <v>0</v>
      </c>
      <c r="O25" s="37" t="n">
        <v>0</v>
      </c>
      <c r="P25" s="37" t="n">
        <v>0</v>
      </c>
      <c r="Q25" s="37" t="n">
        <v>0</v>
      </c>
      <c r="R25" s="37" t="n">
        <v>0</v>
      </c>
      <c r="S25" s="37" t="n">
        <v>0</v>
      </c>
      <c r="T25" s="38" t="n">
        <v>10</v>
      </c>
      <c r="U25" s="37" t="n">
        <v>0</v>
      </c>
      <c r="V25" s="36" t="n">
        <v>0</v>
      </c>
      <c r="W25" t="n">
        <v>10</v>
      </c>
    </row>
    <row r="26">
      <c r="A26" s="36" t="inlineStr">
        <is>
          <t>A. Jones</t>
        </is>
      </c>
      <c r="B26" s="36">
        <f t="array" ref="B26:C26">_xlfn.XLOOKUP(A26,'Player List'!$A$2:$A$177,'Player List'!$B$2:$C$177)</f>
        <v/>
      </c>
      <c r="C26" s="36" t="inlineStr">
        <is>
          <t>Second Row</t>
        </is>
      </c>
      <c r="D26" s="37" t="n">
        <v>61</v>
      </c>
      <c r="F26" s="37" t="n">
        <v>10</v>
      </c>
      <c r="G26" s="37" t="n">
        <v>7</v>
      </c>
      <c r="H26" s="37" t="n">
        <v>0</v>
      </c>
      <c r="I26" s="37" t="n">
        <v>5.8</v>
      </c>
      <c r="J26" s="37" t="n">
        <v>0</v>
      </c>
      <c r="K26" s="37" t="n">
        <v>0</v>
      </c>
      <c r="L26" s="37" t="n">
        <v>0</v>
      </c>
      <c r="M26" s="37" t="n">
        <v>0</v>
      </c>
      <c r="N26" s="37" t="n">
        <v>0</v>
      </c>
      <c r="O26" s="37" t="n">
        <v>0</v>
      </c>
      <c r="P26" s="37" t="n">
        <v>0</v>
      </c>
      <c r="Q26" s="37" t="n">
        <v>0</v>
      </c>
      <c r="R26" s="37" t="n">
        <v>0</v>
      </c>
      <c r="S26" s="37" t="n">
        <v>0</v>
      </c>
      <c r="T26" s="38" t="n">
        <v>22.8</v>
      </c>
      <c r="U26" s="37" t="n">
        <v>0</v>
      </c>
      <c r="V26" s="36" t="n">
        <v>0</v>
      </c>
      <c r="W26" t="n">
        <v>22.8</v>
      </c>
    </row>
    <row r="27">
      <c r="A27" s="36" t="inlineStr">
        <is>
          <t>R. Carre</t>
        </is>
      </c>
      <c r="B27" s="36">
        <f t="array" ref="B27:C27">_xlfn.XLOOKUP(A27,'Player List'!$A$2:$A$177,'Player List'!$B$2:$C$177)</f>
        <v/>
      </c>
      <c r="C27" s="36" t="inlineStr">
        <is>
          <t>Prop</t>
        </is>
      </c>
      <c r="D27" s="37" t="n">
        <v>26</v>
      </c>
      <c r="F27" s="37" t="n">
        <v>3</v>
      </c>
      <c r="G27" s="37" t="n">
        <v>0</v>
      </c>
      <c r="H27" s="37" t="n">
        <v>0</v>
      </c>
      <c r="I27" s="37" t="n">
        <v>0</v>
      </c>
      <c r="J27" s="37" t="n">
        <v>0</v>
      </c>
      <c r="K27" s="37" t="n">
        <v>0</v>
      </c>
      <c r="L27" s="37" t="n">
        <v>7</v>
      </c>
      <c r="M27" s="37" t="n">
        <v>0</v>
      </c>
      <c r="N27" s="37" t="n">
        <v>0</v>
      </c>
      <c r="O27" s="37" t="n">
        <v>0</v>
      </c>
      <c r="P27" s="37" t="n">
        <v>0</v>
      </c>
      <c r="Q27" s="37" t="n">
        <v>0</v>
      </c>
      <c r="R27" s="37" t="n">
        <v>0</v>
      </c>
      <c r="S27" s="37" t="n">
        <v>0</v>
      </c>
      <c r="T27" s="38" t="n">
        <v>10</v>
      </c>
      <c r="U27" s="37" t="n">
        <v>0</v>
      </c>
      <c r="V27" s="36" t="n">
        <v>0</v>
      </c>
      <c r="W27" t="n">
        <v>10</v>
      </c>
    </row>
    <row r="28">
      <c r="A28" s="36" t="inlineStr">
        <is>
          <t>T. Francis</t>
        </is>
      </c>
      <c r="B28" s="36">
        <f t="array" ref="B28:C28">_xlfn.XLOOKUP(A28,'Player List'!$A$2:$A$177,'Player List'!$B$2:$C$177)</f>
        <v/>
      </c>
      <c r="C28" s="36" t="inlineStr">
        <is>
          <t>Prop</t>
        </is>
      </c>
      <c r="D28" s="37" t="n">
        <v>40</v>
      </c>
      <c r="F28" s="37" t="n">
        <v>9</v>
      </c>
      <c r="G28" s="37" t="n">
        <v>21</v>
      </c>
      <c r="H28" s="37" t="n">
        <v>0</v>
      </c>
      <c r="I28" s="37" t="n">
        <v>0</v>
      </c>
      <c r="J28" s="37" t="n">
        <v>0</v>
      </c>
      <c r="K28" s="37" t="n">
        <v>0</v>
      </c>
      <c r="L28" s="37" t="n">
        <v>0</v>
      </c>
      <c r="M28" s="37" t="n">
        <v>0</v>
      </c>
      <c r="N28" s="37" t="n">
        <v>0</v>
      </c>
      <c r="O28" s="37" t="n">
        <v>0</v>
      </c>
      <c r="P28" s="37" t="n">
        <v>0</v>
      </c>
      <c r="Q28" s="37" t="n">
        <v>0</v>
      </c>
      <c r="R28" s="37" t="n">
        <v>0</v>
      </c>
      <c r="S28" s="37" t="n">
        <v>0</v>
      </c>
      <c r="T28" s="38" t="n">
        <v>30</v>
      </c>
      <c r="U28" s="37" t="n">
        <v>0</v>
      </c>
      <c r="V28" s="36" t="n">
        <v>0</v>
      </c>
      <c r="W28" t="n">
        <v>30</v>
      </c>
    </row>
    <row r="29">
      <c r="A29" s="36" t="inlineStr">
        <is>
          <t>D. Lewis</t>
        </is>
      </c>
      <c r="B29" s="36">
        <f t="array" ref="B29:C29">_xlfn.XLOOKUP(A29,'Player List'!$A$2:$A$177,'Player List'!$B$2:$C$177)</f>
        <v/>
      </c>
      <c r="C29" s="36" t="inlineStr">
        <is>
          <t>Prop</t>
        </is>
      </c>
      <c r="D29" s="37" t="n">
        <v>40</v>
      </c>
      <c r="F29" s="37" t="n">
        <v>5</v>
      </c>
      <c r="G29" s="37" t="n">
        <v>0</v>
      </c>
      <c r="H29" s="37" t="n">
        <v>0</v>
      </c>
      <c r="I29" s="37" t="n">
        <v>1.4</v>
      </c>
      <c r="J29" s="37" t="n">
        <v>0</v>
      </c>
      <c r="K29" s="37" t="n">
        <v>0</v>
      </c>
      <c r="L29" s="37" t="n">
        <v>0</v>
      </c>
      <c r="M29" s="37" t="n">
        <v>0</v>
      </c>
      <c r="N29" s="37" t="n">
        <v>0</v>
      </c>
      <c r="O29" s="37" t="n">
        <v>0</v>
      </c>
      <c r="P29" s="37" t="n">
        <v>0</v>
      </c>
      <c r="Q29" s="37" t="n">
        <v>0</v>
      </c>
      <c r="R29" s="37" t="n">
        <v>0</v>
      </c>
      <c r="S29" s="37" t="n">
        <v>0</v>
      </c>
      <c r="T29" s="38" t="n">
        <v>6.4</v>
      </c>
      <c r="U29" s="37" t="n">
        <v>0</v>
      </c>
      <c r="V29" s="36" t="n">
        <v>0</v>
      </c>
      <c r="W29" t="n">
        <v>6.4</v>
      </c>
    </row>
    <row r="30">
      <c r="A30" s="36" t="inlineStr">
        <is>
          <t>G. Thomas</t>
        </is>
      </c>
      <c r="B30" s="36">
        <f t="array" ref="B30:C30">_xlfn.XLOOKUP(A30,'Player List'!$A$2:$A$177,'Player List'!$B$2:$C$177)</f>
        <v/>
      </c>
      <c r="C30" s="36" t="inlineStr">
        <is>
          <t>Prop</t>
        </is>
      </c>
      <c r="D30" s="37" t="n">
        <v>54</v>
      </c>
      <c r="F30" s="37" t="n">
        <v>11</v>
      </c>
      <c r="G30" s="37" t="n">
        <v>14</v>
      </c>
      <c r="H30" s="37" t="n">
        <v>0</v>
      </c>
      <c r="I30" s="37" t="n">
        <v>4.2</v>
      </c>
      <c r="J30" s="37" t="n">
        <v>0</v>
      </c>
      <c r="K30" s="37" t="n">
        <v>0</v>
      </c>
      <c r="L30" s="37" t="n">
        <v>0</v>
      </c>
      <c r="M30" s="37" t="n">
        <v>0</v>
      </c>
      <c r="N30" s="37" t="n">
        <v>0</v>
      </c>
      <c r="O30" s="37" t="n">
        <v>0</v>
      </c>
      <c r="P30" s="37" t="n">
        <v>0</v>
      </c>
      <c r="Q30" s="37" t="n">
        <v>0</v>
      </c>
      <c r="R30" s="37" t="n">
        <v>0</v>
      </c>
      <c r="S30" s="37" t="n">
        <v>0</v>
      </c>
      <c r="T30" s="38" t="n">
        <v>29.2</v>
      </c>
      <c r="U30" s="37" t="n">
        <v>0</v>
      </c>
      <c r="V30" s="36" t="n">
        <v>0</v>
      </c>
      <c r="W30" t="n">
        <v>29.2</v>
      </c>
    </row>
    <row r="31">
      <c r="A31" s="36" t="inlineStr">
        <is>
          <t>S. Baldwin</t>
        </is>
      </c>
      <c r="B31" s="36">
        <f t="array" ref="B31:C31">_xlfn.XLOOKUP(A31,'Player List'!$A$2:$A$177,'Player List'!$B$2:$C$177)</f>
        <v/>
      </c>
      <c r="C31" s="36" t="inlineStr">
        <is>
          <t>Hooker</t>
        </is>
      </c>
      <c r="D31" s="37" t="n">
        <v>19</v>
      </c>
      <c r="F31" s="37" t="n">
        <v>2</v>
      </c>
      <c r="G31" s="37" t="n">
        <v>0</v>
      </c>
      <c r="H31" s="37" t="n">
        <v>0</v>
      </c>
      <c r="I31" s="37" t="n">
        <v>3.8</v>
      </c>
      <c r="J31" s="37" t="n">
        <v>0</v>
      </c>
      <c r="K31" s="37" t="n">
        <v>0</v>
      </c>
      <c r="L31" s="37" t="n">
        <v>0</v>
      </c>
      <c r="M31" s="37" t="n">
        <v>0</v>
      </c>
      <c r="N31" s="37" t="n">
        <v>0</v>
      </c>
      <c r="O31" s="37" t="n">
        <v>0</v>
      </c>
      <c r="P31" s="37" t="n">
        <v>0</v>
      </c>
      <c r="Q31" s="37" t="n">
        <v>0</v>
      </c>
      <c r="R31" s="37" t="n">
        <v>0</v>
      </c>
      <c r="S31" s="37" t="n">
        <v>0</v>
      </c>
      <c r="T31" s="38" t="n">
        <v>5.8</v>
      </c>
      <c r="U31" s="37" t="n">
        <v>0</v>
      </c>
      <c r="V31" s="36" t="n">
        <v>0</v>
      </c>
      <c r="W31" t="n">
        <v>5.8</v>
      </c>
    </row>
    <row r="32">
      <c r="A32" s="36" t="inlineStr">
        <is>
          <t>K. Owens</t>
        </is>
      </c>
      <c r="B32" s="36">
        <f t="array" ref="B32:C32">_xlfn.XLOOKUP(A32,'Player List'!$A$2:$A$177,'Player List'!$B$2:$C$177)</f>
        <v/>
      </c>
      <c r="C32" s="36" t="inlineStr">
        <is>
          <t>Hooker</t>
        </is>
      </c>
      <c r="D32" s="37" t="n">
        <v>61</v>
      </c>
      <c r="F32" s="37" t="n">
        <v>12</v>
      </c>
      <c r="G32" s="37" t="n">
        <v>21</v>
      </c>
      <c r="H32" s="37" t="n">
        <v>0</v>
      </c>
      <c r="I32" s="37" t="n">
        <v>7.6</v>
      </c>
      <c r="J32" s="37" t="n">
        <v>0</v>
      </c>
      <c r="K32" s="37" t="n">
        <v>0</v>
      </c>
      <c r="L32" s="37" t="n">
        <v>0</v>
      </c>
      <c r="M32" s="37" t="n">
        <v>0</v>
      </c>
      <c r="N32" s="37" t="n">
        <v>0</v>
      </c>
      <c r="O32" s="37" t="n">
        <v>0</v>
      </c>
      <c r="P32" s="37" t="n">
        <v>0</v>
      </c>
      <c r="Q32" s="37" t="n">
        <v>0</v>
      </c>
      <c r="R32" s="37" t="n">
        <v>0</v>
      </c>
      <c r="S32" s="37" t="n">
        <v>0</v>
      </c>
      <c r="T32" s="38" t="n">
        <v>40.6</v>
      </c>
      <c r="U32" s="37" t="n">
        <v>0</v>
      </c>
      <c r="V32" s="36" t="n">
        <v>0</v>
      </c>
      <c r="W32" t="n">
        <v>40.6</v>
      </c>
    </row>
    <row r="33">
      <c r="A33" s="36" t="inlineStr">
        <is>
          <t>M. Hansen</t>
        </is>
      </c>
      <c r="B33" s="36">
        <f t="array" ref="B33:C33">_xlfn.XLOOKUP(A33,'Player List'!$A$2:$A$177,'Player List'!$B$2:$C$177)</f>
        <v/>
      </c>
      <c r="C33" s="36" t="inlineStr">
        <is>
          <t>Back Three</t>
        </is>
      </c>
      <c r="D33" s="37" t="n">
        <v>80</v>
      </c>
      <c r="F33" s="37" t="n">
        <v>5</v>
      </c>
      <c r="G33" s="37" t="n">
        <v>14</v>
      </c>
      <c r="H33" s="37" t="n">
        <v>7</v>
      </c>
      <c r="I33" s="37" t="n">
        <v>6.8</v>
      </c>
      <c r="J33" s="37" t="n">
        <v>0</v>
      </c>
      <c r="K33" s="37" t="n">
        <v>0</v>
      </c>
      <c r="L33" s="37" t="n">
        <v>0</v>
      </c>
      <c r="M33" s="37" t="n">
        <v>0</v>
      </c>
      <c r="N33" s="37" t="n">
        <v>0</v>
      </c>
      <c r="O33" s="37" t="n">
        <v>0</v>
      </c>
      <c r="P33" s="37" t="n">
        <v>0</v>
      </c>
      <c r="Q33" s="37" t="n">
        <v>0</v>
      </c>
      <c r="R33" s="37" t="n">
        <v>0</v>
      </c>
      <c r="S33" s="37" t="n">
        <v>0</v>
      </c>
      <c r="T33" s="38" t="n">
        <v>32.8</v>
      </c>
      <c r="U33" s="37" t="n">
        <v>0</v>
      </c>
      <c r="V33" s="36" t="n">
        <v>0</v>
      </c>
      <c r="W33" t="n">
        <v>32.8</v>
      </c>
    </row>
    <row r="34">
      <c r="A34" s="36" t="inlineStr">
        <is>
          <t>H. Keenan</t>
        </is>
      </c>
      <c r="B34" s="36">
        <f t="array" ref="B34:C34">_xlfn.XLOOKUP(A34,'Player List'!$A$2:$A$177,'Player List'!$B$2:$C$177)</f>
        <v/>
      </c>
      <c r="C34" s="36" t="inlineStr">
        <is>
          <t>Back Three</t>
        </is>
      </c>
      <c r="D34" s="37" t="n">
        <v>80</v>
      </c>
      <c r="F34" s="37" t="n">
        <v>0</v>
      </c>
      <c r="G34" s="37" t="n">
        <v>0</v>
      </c>
      <c r="H34" s="37" t="n">
        <v>0</v>
      </c>
      <c r="I34" s="37" t="n">
        <v>17.2</v>
      </c>
      <c r="J34" s="37" t="n">
        <v>0</v>
      </c>
      <c r="K34" s="37" t="n">
        <v>0</v>
      </c>
      <c r="L34" s="37" t="n">
        <v>0</v>
      </c>
      <c r="M34" s="37" t="n">
        <v>0</v>
      </c>
      <c r="N34" s="37" t="n">
        <v>0</v>
      </c>
      <c r="O34" s="37" t="n">
        <v>0</v>
      </c>
      <c r="P34" s="37" t="n">
        <v>0</v>
      </c>
      <c r="Q34" s="37" t="n">
        <v>0</v>
      </c>
      <c r="R34" s="37" t="n">
        <v>0</v>
      </c>
      <c r="S34" s="37" t="n">
        <v>0</v>
      </c>
      <c r="T34" s="38" t="n">
        <v>17.2</v>
      </c>
      <c r="U34" s="37" t="n">
        <v>15</v>
      </c>
      <c r="V34" s="36" t="n">
        <v>0</v>
      </c>
      <c r="W34" t="n">
        <v>32.2</v>
      </c>
    </row>
    <row r="35">
      <c r="A35" s="36" t="inlineStr">
        <is>
          <t>J. Lowe</t>
        </is>
      </c>
      <c r="B35" s="36">
        <f t="array" ref="B35:C35">_xlfn.XLOOKUP(A35,'Player List'!$A$2:$A$177,'Player List'!$B$2:$C$177)</f>
        <v/>
      </c>
      <c r="C35" s="36" t="inlineStr">
        <is>
          <t>Back Three</t>
        </is>
      </c>
      <c r="D35" s="37" t="n">
        <v>80</v>
      </c>
      <c r="F35" s="37" t="n">
        <v>4</v>
      </c>
      <c r="G35" s="37">
        <f>'Round 1 Data'!G35*'Round 1 Points'!M$2</f>
        <v/>
      </c>
      <c r="H35" s="37">
        <f>'Round 1 Data'!H35*'Round 1 Points'!N$2</f>
        <v/>
      </c>
      <c r="I35" s="37">
        <f>'Round 1 Data'!I35*'Round 1 Points'!O$2</f>
        <v/>
      </c>
      <c r="J35" s="37">
        <f>'Round 1 Data'!J35*'Round 1 Points'!P$2</f>
        <v/>
      </c>
      <c r="K35" s="37">
        <f>'Round 1 Data'!K35*'Round 1 Points'!Q$2</f>
        <v/>
      </c>
      <c r="L35" s="37">
        <f>'Round 1 Data'!L35*'Round 1 Points'!R$2</f>
        <v/>
      </c>
      <c r="M35" s="37">
        <f>'Round 1 Data'!M35*'Round 1 Points'!S$2</f>
        <v/>
      </c>
      <c r="N35" s="37">
        <f>'Round 1 Data'!N35*'Round 1 Points'!T$2</f>
        <v/>
      </c>
      <c r="O35" s="37">
        <f>'Round 1 Data'!O35*'Round 1 Points'!U$2</f>
        <v/>
      </c>
      <c r="P35" s="37">
        <f>'Round 1 Data'!P35*'Round 1 Points'!V$2</f>
        <v/>
      </c>
      <c r="Q35" s="37">
        <f>'Round 1 Data'!Q35*'Round 1 Points'!W$2</f>
        <v/>
      </c>
      <c r="R35" s="37">
        <f>'Round 1 Data'!R35*'Round 1 Points'!X$2</f>
        <v/>
      </c>
      <c r="S35" s="37">
        <f>'Round 1 Data'!S35*'Round 1 Points'!Y$2</f>
        <v/>
      </c>
      <c r="T35" s="38">
        <f>SUM(F35:S35)</f>
        <v/>
      </c>
      <c r="U35" s="37">
        <f>'Round 1 Data'!U35*'Round 1 Points'!$Z$2</f>
        <v/>
      </c>
      <c r="V35" s="36">
        <f>IF('Round 1 Data'!D35='Round 1 Points'!$K$1,'Round 1 Points'!$K$2*D35/80,0)</f>
        <v/>
      </c>
      <c r="W35">
        <f>SUM(T35:V35)</f>
        <v/>
      </c>
    </row>
    <row r="36">
      <c r="A36" s="36" t="inlineStr">
        <is>
          <t>B. Aki</t>
        </is>
      </c>
      <c r="B36" s="36">
        <f t="array" ref="B36:C36">_xlfn.XLOOKUP(A36,'Player List'!$A$2:$A$177,'Player List'!$B$2:$C$177)</f>
        <v/>
      </c>
      <c r="C36" s="36" t="inlineStr">
        <is>
          <t>Centre</t>
        </is>
      </c>
      <c r="D36" s="37" t="n">
        <v>20</v>
      </c>
      <c r="F36" s="37" t="n">
        <v>4</v>
      </c>
      <c r="G36" s="37" t="n">
        <v>0</v>
      </c>
      <c r="H36" s="37" t="n">
        <v>7</v>
      </c>
      <c r="I36" s="37" t="n">
        <v>22.4</v>
      </c>
      <c r="J36" s="37" t="n">
        <v>0</v>
      </c>
      <c r="K36" s="37" t="n">
        <v>0</v>
      </c>
      <c r="L36" s="37" t="n">
        <v>7</v>
      </c>
      <c r="M36" s="37" t="n">
        <v>15</v>
      </c>
      <c r="N36" s="37" t="n">
        <v>0</v>
      </c>
      <c r="O36" s="37" t="n">
        <v>0</v>
      </c>
      <c r="P36" s="37" t="n">
        <v>0</v>
      </c>
      <c r="Q36" s="37" t="n">
        <v>0</v>
      </c>
      <c r="R36" s="37" t="n">
        <v>0</v>
      </c>
      <c r="S36" s="37" t="n">
        <v>0</v>
      </c>
      <c r="T36" s="38" t="n">
        <v>55.4</v>
      </c>
      <c r="U36" s="37" t="n">
        <v>0</v>
      </c>
      <c r="V36" s="36" t="n">
        <v>0</v>
      </c>
      <c r="W36" t="n">
        <v>55.4</v>
      </c>
    </row>
    <row r="37">
      <c r="A37" s="36" t="inlineStr">
        <is>
          <t>S. McCloskey</t>
        </is>
      </c>
      <c r="B37" s="36">
        <f t="array" ref="B37:C37">_xlfn.XLOOKUP(A37,'Player List'!$A$2:$A$177,'Player List'!$B$2:$C$177)</f>
        <v/>
      </c>
      <c r="C37" s="36" t="inlineStr">
        <is>
          <t>Centre</t>
        </is>
      </c>
      <c r="D37" s="37" t="n">
        <v>60</v>
      </c>
      <c r="F37" s="37" t="n">
        <v>2</v>
      </c>
      <c r="G37" s="37" t="n">
        <v>0</v>
      </c>
      <c r="H37" s="37" t="n">
        <v>0</v>
      </c>
      <c r="I37" s="37" t="n">
        <v>2.6</v>
      </c>
      <c r="J37" s="37" t="n">
        <v>0</v>
      </c>
      <c r="K37" s="37" t="n">
        <v>0</v>
      </c>
      <c r="L37" s="37" t="n">
        <v>7</v>
      </c>
      <c r="M37" s="37" t="n">
        <v>0</v>
      </c>
      <c r="N37" s="37" t="n">
        <v>0</v>
      </c>
      <c r="O37" s="37" t="n">
        <v>0</v>
      </c>
      <c r="P37" s="37" t="n">
        <v>0</v>
      </c>
      <c r="Q37" s="37" t="n">
        <v>0</v>
      </c>
      <c r="R37" s="37" t="n">
        <v>0</v>
      </c>
      <c r="S37" s="37" t="n">
        <v>0</v>
      </c>
      <c r="T37" s="38" t="n">
        <v>11.6</v>
      </c>
      <c r="U37" s="37" t="n">
        <v>0</v>
      </c>
      <c r="V37" s="36" t="n">
        <v>0</v>
      </c>
      <c r="W37" t="n">
        <v>11.6</v>
      </c>
    </row>
    <row r="38">
      <c r="A38" s="36" t="inlineStr">
        <is>
          <t>G. Ringrose</t>
        </is>
      </c>
      <c r="B38" s="36">
        <f t="array" ref="B38:C38">_xlfn.XLOOKUP(A38,'Player List'!$A$2:$A$177,'Player List'!$B$2:$C$177)</f>
        <v/>
      </c>
      <c r="C38" s="36" t="inlineStr">
        <is>
          <t>Centre</t>
        </is>
      </c>
      <c r="D38" s="37" t="n">
        <v>80</v>
      </c>
      <c r="F38" s="37" t="n">
        <v>7</v>
      </c>
      <c r="G38" s="37" t="n">
        <v>0</v>
      </c>
      <c r="H38" s="37" t="n">
        <v>0</v>
      </c>
      <c r="I38" s="37" t="n">
        <v>13.2</v>
      </c>
      <c r="J38" s="37" t="n">
        <v>0</v>
      </c>
      <c r="K38" s="37" t="n">
        <v>0</v>
      </c>
      <c r="L38" s="37" t="n">
        <v>0</v>
      </c>
      <c r="M38" s="37" t="n">
        <v>0</v>
      </c>
      <c r="N38" s="37" t="n">
        <v>0</v>
      </c>
      <c r="O38" s="37" t="n">
        <v>0</v>
      </c>
      <c r="P38" s="37" t="n">
        <v>0</v>
      </c>
      <c r="Q38" s="37" t="n">
        <v>0</v>
      </c>
      <c r="R38" s="37" t="n">
        <v>0</v>
      </c>
      <c r="S38" s="37" t="n">
        <v>0</v>
      </c>
      <c r="T38" s="38" t="n">
        <v>20.2</v>
      </c>
      <c r="U38" s="37" t="n">
        <v>0</v>
      </c>
      <c r="V38" s="36" t="n">
        <v>0</v>
      </c>
      <c r="W38" t="n">
        <v>20.2</v>
      </c>
    </row>
    <row r="39">
      <c r="A39" s="36" t="inlineStr">
        <is>
          <t>R. Byrne</t>
        </is>
      </c>
      <c r="B39" s="36">
        <f t="array" ref="B39:C39">_xlfn.XLOOKUP(A39,'Player List'!$A$2:$A$177,'Player List'!$B$2:$C$177)</f>
        <v/>
      </c>
      <c r="C39" s="36" t="inlineStr">
        <is>
          <t>Fly Half</t>
        </is>
      </c>
      <c r="D39" s="37" t="n">
        <v>12</v>
      </c>
      <c r="F39" s="37" t="n">
        <v>10</v>
      </c>
      <c r="G39" s="37" t="n">
        <v>0</v>
      </c>
      <c r="H39" s="37" t="n">
        <v>0</v>
      </c>
      <c r="I39" s="37" t="n">
        <v>9.800000000000001</v>
      </c>
      <c r="J39" s="37" t="n">
        <v>0</v>
      </c>
      <c r="K39" s="37" t="n">
        <v>0</v>
      </c>
      <c r="L39" s="37" t="n">
        <v>0</v>
      </c>
      <c r="M39" s="37" t="n">
        <v>0</v>
      </c>
      <c r="N39" s="37" t="n">
        <v>0</v>
      </c>
      <c r="O39" s="37" t="n">
        <v>0</v>
      </c>
      <c r="P39" s="37" t="n">
        <v>0</v>
      </c>
      <c r="Q39" s="37" t="n">
        <v>0</v>
      </c>
      <c r="R39" s="37" t="n">
        <v>0</v>
      </c>
      <c r="S39" s="37" t="n">
        <v>0</v>
      </c>
      <c r="T39" s="38" t="n">
        <v>19.8</v>
      </c>
      <c r="U39" s="37" t="n">
        <v>0</v>
      </c>
      <c r="V39" s="36" t="n">
        <v>0</v>
      </c>
      <c r="W39" t="n">
        <v>19.8</v>
      </c>
    </row>
    <row r="40">
      <c r="A40" s="36" t="inlineStr">
        <is>
          <t>J. Sexton</t>
        </is>
      </c>
      <c r="B40" s="36">
        <f t="array" ref="B40:C40">_xlfn.XLOOKUP(A40,'Player List'!$A$2:$A$177,'Player List'!$B$2:$C$177)</f>
        <v/>
      </c>
      <c r="C40" s="36" t="inlineStr">
        <is>
          <t>Fly Half</t>
        </is>
      </c>
      <c r="D40" s="37" t="n">
        <v>68</v>
      </c>
      <c r="F40" s="37" t="n">
        <v>0</v>
      </c>
      <c r="G40" s="37" t="n">
        <v>0</v>
      </c>
      <c r="H40" s="37" t="n">
        <v>0</v>
      </c>
      <c r="I40" s="37" t="n">
        <v>2.2</v>
      </c>
      <c r="J40" s="37" t="n">
        <v>0</v>
      </c>
      <c r="K40" s="37" t="n">
        <v>0</v>
      </c>
      <c r="L40" s="37" t="n">
        <v>0</v>
      </c>
      <c r="M40" s="37" t="n">
        <v>0</v>
      </c>
      <c r="N40" s="37" t="n">
        <v>0</v>
      </c>
      <c r="O40" s="37" t="n">
        <v>2</v>
      </c>
      <c r="P40" s="37" t="n">
        <v>0</v>
      </c>
      <c r="Q40" s="37" t="n">
        <v>0</v>
      </c>
      <c r="R40" s="37" t="n">
        <v>0</v>
      </c>
      <c r="S40" s="37" t="n">
        <v>0</v>
      </c>
      <c r="T40" s="38" t="n">
        <v>4.2</v>
      </c>
      <c r="U40" s="37" t="n">
        <v>0</v>
      </c>
      <c r="V40" s="36" t="n">
        <v>0</v>
      </c>
      <c r="W40" t="n">
        <v>4.2</v>
      </c>
    </row>
    <row r="41">
      <c r="A41" s="36" t="inlineStr">
        <is>
          <t>C. Casey</t>
        </is>
      </c>
      <c r="B41" s="36">
        <f t="array" ref="B41:C41">_xlfn.XLOOKUP(A41,'Player List'!$A$2:$A$177,'Player List'!$B$2:$C$177)</f>
        <v/>
      </c>
      <c r="C41" s="36" t="inlineStr">
        <is>
          <t>Scrum Half</t>
        </is>
      </c>
      <c r="D41" s="37" t="n">
        <v>16</v>
      </c>
      <c r="F41" s="37" t="n">
        <v>7</v>
      </c>
      <c r="G41" s="37" t="n">
        <v>0</v>
      </c>
      <c r="H41" s="37" t="n">
        <v>0</v>
      </c>
      <c r="I41" s="37" t="n">
        <v>6</v>
      </c>
      <c r="J41" s="37" t="n">
        <v>0</v>
      </c>
      <c r="K41" s="37" t="n">
        <v>0</v>
      </c>
      <c r="L41" s="37" t="n">
        <v>7</v>
      </c>
      <c r="M41" s="37" t="n">
        <v>0</v>
      </c>
      <c r="N41" s="37" t="n">
        <v>0</v>
      </c>
      <c r="O41" s="37" t="n">
        <v>6</v>
      </c>
      <c r="P41" s="37" t="n">
        <v>10</v>
      </c>
      <c r="Q41" s="37" t="n">
        <v>0</v>
      </c>
      <c r="R41" s="37" t="n">
        <v>0</v>
      </c>
      <c r="S41" s="37" t="n">
        <v>0</v>
      </c>
      <c r="T41" s="38" t="n">
        <v>36</v>
      </c>
      <c r="U41" s="37" t="n">
        <v>0</v>
      </c>
      <c r="V41" s="36" t="n">
        <v>0</v>
      </c>
      <c r="W41" t="n">
        <v>36</v>
      </c>
    </row>
    <row r="42">
      <c r="A42" s="36" t="inlineStr">
        <is>
          <t>C. Murray</t>
        </is>
      </c>
      <c r="B42" s="36">
        <f t="array" ref="B42:C42">_xlfn.XLOOKUP(A42,'Player List'!$A$2:$A$177,'Player List'!$B$2:$C$177)</f>
        <v/>
      </c>
      <c r="C42" s="36" t="inlineStr">
        <is>
          <t>Scrum Half</t>
        </is>
      </c>
      <c r="D42" s="37" t="n">
        <v>64</v>
      </c>
      <c r="F42" s="37" t="n">
        <v>1</v>
      </c>
      <c r="G42" s="37" t="n">
        <v>0</v>
      </c>
      <c r="H42" s="37" t="n">
        <v>0</v>
      </c>
      <c r="I42" s="37" t="n">
        <v>0.2</v>
      </c>
      <c r="J42" s="37" t="n">
        <v>0</v>
      </c>
      <c r="K42" s="37" t="n">
        <v>0</v>
      </c>
      <c r="L42" s="37" t="n">
        <v>0</v>
      </c>
      <c r="M42" s="37" t="n">
        <v>0</v>
      </c>
      <c r="N42" s="37" t="n">
        <v>7</v>
      </c>
      <c r="O42" s="37" t="n">
        <v>0</v>
      </c>
      <c r="P42" s="37" t="n">
        <v>0</v>
      </c>
      <c r="Q42" s="37" t="n">
        <v>0</v>
      </c>
      <c r="R42" s="37" t="n">
        <v>0</v>
      </c>
      <c r="S42" s="37" t="n">
        <v>0</v>
      </c>
      <c r="T42" s="38" t="n">
        <v>8.199999999999999</v>
      </c>
      <c r="U42" s="37" t="n">
        <v>0</v>
      </c>
      <c r="V42" s="36" t="n">
        <v>0</v>
      </c>
      <c r="W42" t="n">
        <v>8.199999999999999</v>
      </c>
    </row>
    <row r="43">
      <c r="A43" s="36" t="inlineStr">
        <is>
          <t>J. Conan</t>
        </is>
      </c>
      <c r="B43" s="36">
        <f t="array" ref="B43:C43">_xlfn.XLOOKUP(A43,'Player List'!$A$2:$A$177,'Player List'!$B$2:$C$177)</f>
        <v/>
      </c>
      <c r="C43" s="36" t="inlineStr">
        <is>
          <t>Back Row</t>
        </is>
      </c>
      <c r="D43" s="37" t="n">
        <v>20</v>
      </c>
      <c r="F43" s="37" t="n">
        <v>1</v>
      </c>
      <c r="G43" s="37" t="n">
        <v>7</v>
      </c>
      <c r="H43" s="37" t="n">
        <v>7</v>
      </c>
      <c r="I43" s="37" t="n">
        <v>2.4</v>
      </c>
      <c r="J43" s="37" t="n">
        <v>0</v>
      </c>
      <c r="K43" s="37" t="n">
        <v>0</v>
      </c>
      <c r="L43" s="37" t="n">
        <v>0</v>
      </c>
      <c r="M43" s="37" t="n">
        <v>0</v>
      </c>
      <c r="N43" s="37" t="n">
        <v>7</v>
      </c>
      <c r="O43" s="37" t="n">
        <v>0</v>
      </c>
      <c r="P43" s="37" t="n">
        <v>0</v>
      </c>
      <c r="Q43" s="37" t="n">
        <v>0</v>
      </c>
      <c r="R43" s="37" t="n">
        <v>0</v>
      </c>
      <c r="S43" s="37" t="n">
        <v>0</v>
      </c>
      <c r="T43" s="38" t="n">
        <v>24.4</v>
      </c>
      <c r="U43" s="37" t="n">
        <v>0</v>
      </c>
      <c r="V43" s="36" t="n">
        <v>0</v>
      </c>
      <c r="W43" t="n">
        <v>24.4</v>
      </c>
    </row>
    <row r="44">
      <c r="A44" s="36" t="inlineStr">
        <is>
          <t>C. Doris</t>
        </is>
      </c>
      <c r="B44" s="36">
        <f t="array" ref="B44:C44">_xlfn.XLOOKUP(A44,'Player List'!$A$2:$A$177,'Player List'!$B$2:$C$177)</f>
        <v/>
      </c>
      <c r="C44" s="36" t="inlineStr">
        <is>
          <t>Back Row</t>
        </is>
      </c>
      <c r="D44" s="37" t="n">
        <v>80</v>
      </c>
      <c r="F44" s="37" t="n">
        <v>4</v>
      </c>
      <c r="G44" s="37" t="n">
        <v>0</v>
      </c>
      <c r="H44" s="37" t="n">
        <v>0</v>
      </c>
      <c r="I44" s="37" t="n">
        <v>1.4</v>
      </c>
      <c r="J44" s="37" t="n">
        <v>0</v>
      </c>
      <c r="K44" s="37" t="n">
        <v>0</v>
      </c>
      <c r="L44" s="37" t="n">
        <v>7</v>
      </c>
      <c r="M44" s="37" t="n">
        <v>0</v>
      </c>
      <c r="N44" s="37" t="n">
        <v>0</v>
      </c>
      <c r="O44" s="37" t="n">
        <v>0</v>
      </c>
      <c r="P44" s="37" t="n">
        <v>0</v>
      </c>
      <c r="Q44" s="37" t="n">
        <v>0</v>
      </c>
      <c r="R44" s="37" t="n">
        <v>0</v>
      </c>
      <c r="S44" s="37" t="n">
        <v>0</v>
      </c>
      <c r="T44" s="38" t="n">
        <v>12.4</v>
      </c>
      <c r="U44" s="37" t="n">
        <v>0</v>
      </c>
      <c r="V44" s="36" t="n">
        <v>0</v>
      </c>
      <c r="W44" t="n">
        <v>12.4</v>
      </c>
    </row>
    <row r="45">
      <c r="A45" s="36" t="inlineStr">
        <is>
          <t>P. O'Mahony</t>
        </is>
      </c>
      <c r="B45" s="36">
        <f t="array" ref="B45:C45">_xlfn.XLOOKUP(A45,'Player List'!$A$2:$A$177,'Player List'!$B$2:$C$177)</f>
        <v/>
      </c>
      <c r="C45" s="36" t="inlineStr">
        <is>
          <t>Back Row</t>
        </is>
      </c>
      <c r="D45" s="37" t="n">
        <v>60</v>
      </c>
      <c r="F45" s="37" t="n">
        <v>17</v>
      </c>
      <c r="G45" s="37" t="n">
        <v>7</v>
      </c>
      <c r="H45" s="37" t="n">
        <v>0</v>
      </c>
      <c r="I45" s="37" t="n">
        <v>9</v>
      </c>
      <c r="J45" s="37" t="n">
        <v>0</v>
      </c>
      <c r="K45" s="37" t="n">
        <v>0</v>
      </c>
      <c r="L45" s="37" t="n">
        <v>7</v>
      </c>
      <c r="M45" s="37" t="n">
        <v>15</v>
      </c>
      <c r="N45" s="37" t="n">
        <v>0</v>
      </c>
      <c r="O45" s="37" t="n">
        <v>0</v>
      </c>
      <c r="P45" s="37" t="n">
        <v>0</v>
      </c>
      <c r="Q45" s="37" t="n">
        <v>0</v>
      </c>
      <c r="R45" s="37" t="n">
        <v>0</v>
      </c>
      <c r="S45" s="37" t="n">
        <v>0</v>
      </c>
      <c r="T45" s="38" t="n">
        <v>55</v>
      </c>
      <c r="U45" s="37" t="n">
        <v>0</v>
      </c>
      <c r="V45" s="36" t="n">
        <v>0</v>
      </c>
      <c r="W45" t="n">
        <v>55</v>
      </c>
    </row>
    <row r="46">
      <c r="A46" s="36" t="inlineStr">
        <is>
          <t>J. van der Flier</t>
        </is>
      </c>
      <c r="B46" s="36">
        <f t="array" ref="B46:C46">_xlfn.XLOOKUP(A46,'Player List'!$A$2:$A$177,'Player List'!$B$2:$C$177)</f>
        <v/>
      </c>
      <c r="C46" s="36" t="inlineStr">
        <is>
          <t>Back Row</t>
        </is>
      </c>
      <c r="D46" s="37" t="n">
        <v>80</v>
      </c>
      <c r="F46" s="37" t="n">
        <v>4</v>
      </c>
      <c r="G46" s="37" t="n">
        <v>7</v>
      </c>
      <c r="H46" s="37" t="n">
        <v>0</v>
      </c>
      <c r="I46" s="37" t="n">
        <v>5</v>
      </c>
      <c r="J46" s="37" t="n">
        <v>0</v>
      </c>
      <c r="K46" s="37" t="n">
        <v>0</v>
      </c>
      <c r="L46" s="37" t="n">
        <v>0</v>
      </c>
      <c r="M46" s="37" t="n">
        <v>0</v>
      </c>
      <c r="N46" s="37" t="n">
        <v>0</v>
      </c>
      <c r="O46" s="37" t="n">
        <v>0</v>
      </c>
      <c r="P46" s="37" t="n">
        <v>0</v>
      </c>
      <c r="Q46" s="37" t="n">
        <v>0</v>
      </c>
      <c r="R46" s="37" t="n">
        <v>0</v>
      </c>
      <c r="S46" s="37" t="n">
        <v>0</v>
      </c>
      <c r="T46" s="38" t="n">
        <v>16</v>
      </c>
      <c r="U46" s="37" t="n">
        <v>0</v>
      </c>
      <c r="V46" s="36" t="n">
        <v>0</v>
      </c>
      <c r="W46" t="n">
        <v>16</v>
      </c>
    </row>
    <row r="47">
      <c r="A47" s="36" t="inlineStr">
        <is>
          <t>T. Beirne</t>
        </is>
      </c>
      <c r="B47" s="36">
        <f t="array" ref="B47:C47">_xlfn.XLOOKUP(A47,'Player List'!$A$2:$A$177,'Player List'!$B$2:$C$177)</f>
        <v/>
      </c>
      <c r="C47" s="36" t="inlineStr">
        <is>
          <t>Second Row</t>
        </is>
      </c>
      <c r="D47" s="37" t="n">
        <v>54</v>
      </c>
      <c r="F47" s="37" t="n">
        <v>12</v>
      </c>
      <c r="G47" s="37" t="n">
        <v>7</v>
      </c>
      <c r="H47" s="37" t="n">
        <v>7</v>
      </c>
      <c r="I47" s="37" t="n">
        <v>6.2</v>
      </c>
      <c r="J47" s="37" t="n">
        <v>0</v>
      </c>
      <c r="K47" s="37" t="n">
        <v>0</v>
      </c>
      <c r="L47" s="37" t="n">
        <v>0</v>
      </c>
      <c r="M47" s="37" t="n">
        <v>15</v>
      </c>
      <c r="N47" s="37" t="n">
        <v>0</v>
      </c>
      <c r="O47" s="37" t="n">
        <v>0</v>
      </c>
      <c r="P47" s="37" t="n">
        <v>0</v>
      </c>
      <c r="Q47" s="37" t="n">
        <v>0</v>
      </c>
      <c r="R47" s="37" t="n">
        <v>0</v>
      </c>
      <c r="S47" s="37" t="n">
        <v>0</v>
      </c>
      <c r="T47" s="38" t="n">
        <v>47.2</v>
      </c>
      <c r="U47" s="37" t="n">
        <v>0</v>
      </c>
      <c r="V47" s="36" t="n">
        <v>0</v>
      </c>
      <c r="W47" t="n">
        <v>47.2</v>
      </c>
    </row>
    <row r="48">
      <c r="A48" s="36" t="inlineStr">
        <is>
          <t>I. Henderson</t>
        </is>
      </c>
      <c r="B48" s="36">
        <f t="array" ref="B48:C48">_xlfn.XLOOKUP(A48,'Player List'!$A$2:$A$177,'Player List'!$B$2:$C$177)</f>
        <v/>
      </c>
      <c r="C48" s="36" t="inlineStr">
        <is>
          <t>Second Row</t>
        </is>
      </c>
      <c r="D48" s="37" t="n">
        <v>26</v>
      </c>
      <c r="F48" s="37" t="n">
        <v>8</v>
      </c>
      <c r="G48" s="37" t="n">
        <v>7</v>
      </c>
      <c r="H48" s="37" t="n">
        <v>0</v>
      </c>
      <c r="I48" s="37" t="n">
        <v>5.4</v>
      </c>
      <c r="J48" s="37" t="n">
        <v>0</v>
      </c>
      <c r="K48" s="37" t="n">
        <v>0</v>
      </c>
      <c r="L48" s="37" t="n">
        <v>0</v>
      </c>
      <c r="M48" s="37" t="n">
        <v>0</v>
      </c>
      <c r="N48" s="37" t="n">
        <v>0</v>
      </c>
      <c r="O48" s="37" t="n">
        <v>0</v>
      </c>
      <c r="P48" s="37" t="n">
        <v>0</v>
      </c>
      <c r="Q48" s="37" t="n">
        <v>0</v>
      </c>
      <c r="R48" s="37" t="n">
        <v>0</v>
      </c>
      <c r="S48" s="37" t="n">
        <v>0</v>
      </c>
      <c r="T48" s="38" t="n">
        <v>20.4</v>
      </c>
      <c r="U48" s="37" t="n">
        <v>0</v>
      </c>
      <c r="V48" s="36" t="n">
        <v>0</v>
      </c>
      <c r="W48" t="n">
        <v>20.4</v>
      </c>
    </row>
    <row r="49">
      <c r="A49" s="36" t="inlineStr">
        <is>
          <t>J. Ryan</t>
        </is>
      </c>
      <c r="B49" s="36">
        <f t="array" ref="B49:C49">_xlfn.XLOOKUP(A49,'Player List'!$A$2:$A$177,'Player List'!$B$2:$C$177)</f>
        <v/>
      </c>
      <c r="C49" s="36" t="inlineStr">
        <is>
          <t>Second Row</t>
        </is>
      </c>
      <c r="D49" s="37" t="n">
        <v>80</v>
      </c>
      <c r="F49" s="37" t="n">
        <v>3</v>
      </c>
      <c r="G49" s="37" t="n">
        <v>0</v>
      </c>
      <c r="H49" s="37" t="n">
        <v>0</v>
      </c>
      <c r="I49" s="37" t="n">
        <v>2</v>
      </c>
      <c r="J49" s="37" t="n">
        <v>0</v>
      </c>
      <c r="K49" s="37" t="n">
        <v>0</v>
      </c>
      <c r="L49" s="37" t="n">
        <v>0</v>
      </c>
      <c r="M49" s="37" t="n">
        <v>0</v>
      </c>
      <c r="N49" s="37" t="n">
        <v>0</v>
      </c>
      <c r="O49" s="37" t="n">
        <v>0</v>
      </c>
      <c r="P49" s="37" t="n">
        <v>0</v>
      </c>
      <c r="Q49" s="37" t="n">
        <v>0</v>
      </c>
      <c r="R49" s="37" t="n">
        <v>0</v>
      </c>
      <c r="S49" s="37" t="n">
        <v>0</v>
      </c>
      <c r="T49" s="38" t="n">
        <v>5</v>
      </c>
      <c r="U49" s="37" t="n">
        <v>0</v>
      </c>
      <c r="V49" s="36" t="n">
        <v>0</v>
      </c>
      <c r="W49" t="n">
        <v>5</v>
      </c>
    </row>
    <row r="50">
      <c r="A50" s="36" t="inlineStr">
        <is>
          <t>F. Bealham</t>
        </is>
      </c>
      <c r="B50" s="36">
        <f t="array" ref="B50:C50">_xlfn.XLOOKUP(A50,'Player List'!$A$2:$A$177,'Player List'!$B$2:$C$177)</f>
        <v/>
      </c>
      <c r="C50" s="36" t="inlineStr">
        <is>
          <t>Prop</t>
        </is>
      </c>
      <c r="D50" s="37" t="n">
        <v>60</v>
      </c>
      <c r="F50" s="37" t="n">
        <v>14</v>
      </c>
      <c r="G50" s="37" t="n">
        <v>0</v>
      </c>
      <c r="H50" s="37" t="n">
        <v>0</v>
      </c>
      <c r="I50" s="37" t="n">
        <v>3.8</v>
      </c>
      <c r="J50" s="37" t="n">
        <v>0</v>
      </c>
      <c r="K50" s="37" t="n">
        <v>7</v>
      </c>
      <c r="L50" s="37" t="n">
        <v>0</v>
      </c>
      <c r="M50" s="37" t="n">
        <v>15</v>
      </c>
      <c r="N50" s="37" t="n">
        <v>0</v>
      </c>
      <c r="O50" s="37" t="n">
        <v>0</v>
      </c>
      <c r="P50" s="37" t="n">
        <v>0</v>
      </c>
      <c r="Q50" s="37" t="n">
        <v>0</v>
      </c>
      <c r="R50" s="37" t="n">
        <v>0</v>
      </c>
      <c r="S50" s="37" t="n">
        <v>0</v>
      </c>
      <c r="T50" s="38" t="n">
        <v>39.8</v>
      </c>
      <c r="U50" s="37" t="n">
        <v>0</v>
      </c>
      <c r="V50" s="36" t="n">
        <v>0</v>
      </c>
      <c r="W50" t="n">
        <v>39.8</v>
      </c>
    </row>
    <row r="51">
      <c r="A51" s="36" t="inlineStr">
        <is>
          <t>D. Kilcoyne</t>
        </is>
      </c>
      <c r="B51" s="36">
        <f t="array" ref="B51:C51">_xlfn.XLOOKUP(A51,'Player List'!$A$2:$A$177,'Player List'!$B$2:$C$177)</f>
        <v/>
      </c>
      <c r="C51" s="36" t="inlineStr">
        <is>
          <t>Prop</t>
        </is>
      </c>
      <c r="D51" s="37" t="n">
        <v>7</v>
      </c>
      <c r="F51" s="37" t="n">
        <v>12</v>
      </c>
      <c r="G51" s="37" t="n">
        <v>7</v>
      </c>
      <c r="H51" s="37" t="n">
        <v>0</v>
      </c>
      <c r="I51" s="37" t="n">
        <v>3</v>
      </c>
      <c r="J51" s="37" t="n">
        <v>0</v>
      </c>
      <c r="K51" s="37" t="n">
        <v>0</v>
      </c>
      <c r="L51" s="37" t="n">
        <v>0</v>
      </c>
      <c r="M51" s="37" t="n">
        <v>0</v>
      </c>
      <c r="N51" s="37" t="n">
        <v>7</v>
      </c>
      <c r="O51" s="37" t="n">
        <v>0</v>
      </c>
      <c r="P51" s="37" t="n">
        <v>0</v>
      </c>
      <c r="Q51" s="37" t="n">
        <v>0</v>
      </c>
      <c r="R51" s="37" t="n">
        <v>0</v>
      </c>
      <c r="S51" s="37" t="n">
        <v>0</v>
      </c>
      <c r="T51" s="38" t="n">
        <v>29</v>
      </c>
      <c r="U51" s="37" t="n">
        <v>0</v>
      </c>
      <c r="V51" s="36" t="n">
        <v>0</v>
      </c>
      <c r="W51" t="n">
        <v>29</v>
      </c>
    </row>
    <row r="52">
      <c r="A52" s="36" t="inlineStr">
        <is>
          <t>T. O'Toole</t>
        </is>
      </c>
      <c r="B52" s="36">
        <f t="array" ref="B52:C52">_xlfn.XLOOKUP(A52,'Player List'!$A$2:$A$177,'Player List'!$B$2:$C$177)</f>
        <v/>
      </c>
      <c r="C52" s="36" t="inlineStr">
        <is>
          <t>Prop</t>
        </is>
      </c>
      <c r="D52" s="37" t="n">
        <v>20</v>
      </c>
      <c r="F52" s="37" t="n">
        <v>5</v>
      </c>
      <c r="G52" s="37" t="n">
        <v>0</v>
      </c>
      <c r="H52" s="37" t="n">
        <v>0</v>
      </c>
      <c r="I52" s="37" t="n">
        <v>0.4</v>
      </c>
      <c r="J52" s="37" t="n">
        <v>0</v>
      </c>
      <c r="K52" s="37" t="n">
        <v>0</v>
      </c>
      <c r="L52" s="37" t="n">
        <v>0</v>
      </c>
      <c r="M52" s="37" t="n">
        <v>0</v>
      </c>
      <c r="N52" s="37" t="n">
        <v>0</v>
      </c>
      <c r="O52" s="37" t="n">
        <v>0</v>
      </c>
      <c r="P52" s="37" t="n">
        <v>0</v>
      </c>
      <c r="Q52" s="37" t="n">
        <v>0</v>
      </c>
      <c r="R52" s="37" t="n">
        <v>0</v>
      </c>
      <c r="S52" s="37" t="n">
        <v>0</v>
      </c>
      <c r="T52" s="38" t="n">
        <v>5.4</v>
      </c>
      <c r="U52" s="37" t="n">
        <v>0</v>
      </c>
      <c r="V52" s="36" t="n">
        <v>0</v>
      </c>
      <c r="W52" t="n">
        <v>5.4</v>
      </c>
    </row>
    <row r="53">
      <c r="A53" s="36" t="inlineStr">
        <is>
          <t>A. Porter</t>
        </is>
      </c>
      <c r="B53" s="36">
        <f t="array" ref="B53:C53">_xlfn.XLOOKUP(A53,'Player List'!$A$2:$A$177,'Player List'!$B$2:$C$177)</f>
        <v/>
      </c>
      <c r="C53" s="36" t="inlineStr">
        <is>
          <t>Prop</t>
        </is>
      </c>
      <c r="D53" s="37" t="n">
        <v>73</v>
      </c>
      <c r="F53" s="37" t="n">
        <v>5</v>
      </c>
      <c r="G53" s="37" t="n">
        <v>0</v>
      </c>
      <c r="H53" s="37" t="n">
        <v>0</v>
      </c>
      <c r="I53" s="37" t="n">
        <v>0</v>
      </c>
      <c r="J53" s="37" t="n">
        <v>0</v>
      </c>
      <c r="K53" s="37" t="n">
        <v>0</v>
      </c>
      <c r="L53" s="37" t="n">
        <v>0</v>
      </c>
      <c r="M53" s="37" t="n">
        <v>0</v>
      </c>
      <c r="N53" s="37" t="n">
        <v>0</v>
      </c>
      <c r="O53" s="37" t="n">
        <v>0</v>
      </c>
      <c r="P53" s="37" t="n">
        <v>0</v>
      </c>
      <c r="Q53" s="37" t="n">
        <v>0</v>
      </c>
      <c r="R53" s="37" t="n">
        <v>0</v>
      </c>
      <c r="S53" s="37" t="n">
        <v>0</v>
      </c>
      <c r="T53" s="38" t="n">
        <v>5</v>
      </c>
      <c r="U53" s="37" t="n">
        <v>0</v>
      </c>
      <c r="V53" s="36" t="n">
        <v>0</v>
      </c>
      <c r="W53" t="n">
        <v>5</v>
      </c>
    </row>
    <row r="54">
      <c r="A54" s="36" t="inlineStr">
        <is>
          <t>R. Herring</t>
        </is>
      </c>
      <c r="B54" s="36">
        <f t="array" ref="B54:C54">_xlfn.XLOOKUP(A54,'Player List'!$A$2:$A$177,'Player List'!$B$2:$C$177)</f>
        <v/>
      </c>
      <c r="C54" s="36" t="inlineStr">
        <is>
          <t>Hooker</t>
        </is>
      </c>
      <c r="D54" s="37" t="n">
        <v>7</v>
      </c>
      <c r="F54" s="37" t="n">
        <v>11</v>
      </c>
      <c r="G54" s="37" t="n">
        <v>0</v>
      </c>
      <c r="H54" s="37" t="n">
        <v>0</v>
      </c>
      <c r="I54" s="37" t="n">
        <v>5</v>
      </c>
      <c r="J54" s="37" t="n">
        <v>0</v>
      </c>
      <c r="K54" s="37" t="n">
        <v>0</v>
      </c>
      <c r="L54" s="37" t="n">
        <v>0</v>
      </c>
      <c r="M54" s="37" t="n">
        <v>0</v>
      </c>
      <c r="N54" s="37" t="n">
        <v>0</v>
      </c>
      <c r="O54" s="37" t="n">
        <v>0</v>
      </c>
      <c r="P54" s="37" t="n">
        <v>0</v>
      </c>
      <c r="Q54" s="37" t="n">
        <v>0</v>
      </c>
      <c r="R54" s="37" t="n">
        <v>0</v>
      </c>
      <c r="S54" s="37" t="n">
        <v>0</v>
      </c>
      <c r="T54" s="38" t="n">
        <v>16</v>
      </c>
      <c r="U54" s="37" t="n">
        <v>0</v>
      </c>
      <c r="V54" s="36" t="n">
        <v>0</v>
      </c>
      <c r="W54" t="n">
        <v>16</v>
      </c>
    </row>
    <row r="55">
      <c r="A55" s="36" t="inlineStr">
        <is>
          <t>D. Sheehan</t>
        </is>
      </c>
      <c r="B55" s="36">
        <f t="array" ref="B55:C55">_xlfn.XLOOKUP(A55,'Player List'!$A$2:$A$177,'Player List'!$B$2:$C$177)</f>
        <v/>
      </c>
      <c r="C55" s="36" t="inlineStr">
        <is>
          <t>Hooker</t>
        </is>
      </c>
      <c r="D55" s="37" t="n">
        <v>73</v>
      </c>
      <c r="F55" s="37" t="n">
        <v>4</v>
      </c>
      <c r="G55" s="37" t="n">
        <v>0</v>
      </c>
      <c r="H55" s="37" t="n">
        <v>0</v>
      </c>
      <c r="I55" s="37" t="n">
        <v>0.8</v>
      </c>
      <c r="J55" s="37" t="n">
        <v>0</v>
      </c>
      <c r="K55" s="37" t="n">
        <v>0</v>
      </c>
      <c r="L55" s="37" t="n">
        <v>0</v>
      </c>
      <c r="M55" s="37" t="n">
        <v>0</v>
      </c>
      <c r="N55" s="37" t="n">
        <v>0</v>
      </c>
      <c r="O55" s="37" t="n">
        <v>0</v>
      </c>
      <c r="P55" s="37" t="n">
        <v>0</v>
      </c>
      <c r="Q55" s="37" t="n">
        <v>0</v>
      </c>
      <c r="R55" s="37" t="n">
        <v>0</v>
      </c>
      <c r="S55" s="37" t="n">
        <v>0</v>
      </c>
      <c r="T55" s="38" t="n">
        <v>4.8</v>
      </c>
      <c r="U55" s="37" t="n">
        <v>0</v>
      </c>
      <c r="V55" s="36" t="n">
        <v>0</v>
      </c>
      <c r="W55" t="n">
        <v>4.8</v>
      </c>
    </row>
    <row r="56">
      <c r="A56" s="36" t="inlineStr">
        <is>
          <t>O. Hassell-Collins</t>
        </is>
      </c>
      <c r="B56" s="36">
        <f t="array" ref="B56:C56">_xlfn.XLOOKUP(A56,'Player List'!$A$2:$A$177,'Player List'!$B$2:$C$177)</f>
        <v/>
      </c>
      <c r="C56" s="36" t="inlineStr">
        <is>
          <t>Back Three</t>
        </is>
      </c>
      <c r="D56" s="37" t="n">
        <v>64</v>
      </c>
      <c r="F56" s="37" t="n">
        <v>5</v>
      </c>
      <c r="G56" s="37" t="n">
        <v>14</v>
      </c>
      <c r="H56" s="37" t="n">
        <v>14</v>
      </c>
      <c r="I56" s="37" t="n">
        <v>10.8</v>
      </c>
      <c r="J56" s="37" t="n">
        <v>0</v>
      </c>
      <c r="K56" s="37" t="n">
        <v>7</v>
      </c>
      <c r="L56" s="37" t="n">
        <v>0</v>
      </c>
      <c r="M56" s="37" t="n">
        <v>0</v>
      </c>
      <c r="N56" s="37" t="n">
        <v>0</v>
      </c>
      <c r="O56" s="37" t="n">
        <v>0</v>
      </c>
      <c r="P56" s="37" t="n">
        <v>0</v>
      </c>
      <c r="Q56" s="37" t="n">
        <v>0</v>
      </c>
      <c r="R56" s="37" t="n">
        <v>0</v>
      </c>
      <c r="S56" s="37" t="n">
        <v>0</v>
      </c>
      <c r="T56" s="38" t="n">
        <v>50.8</v>
      </c>
      <c r="U56" s="37" t="n">
        <v>0</v>
      </c>
      <c r="V56" s="36" t="n">
        <v>0</v>
      </c>
      <c r="W56" t="n">
        <v>50.8</v>
      </c>
    </row>
    <row r="57">
      <c r="A57" s="36" t="inlineStr">
        <is>
          <t>M. Malins</t>
        </is>
      </c>
      <c r="B57" s="36">
        <f t="array" ref="B57:C57">_xlfn.XLOOKUP(A57,'Player List'!$A$2:$A$177,'Player List'!$B$2:$C$177)</f>
        <v/>
      </c>
      <c r="C57" s="36" t="inlineStr">
        <is>
          <t>Back Three</t>
        </is>
      </c>
      <c r="D57" s="37" t="n">
        <v>80</v>
      </c>
      <c r="F57" s="37" t="n">
        <v>2</v>
      </c>
      <c r="G57" s="37" t="n">
        <v>0</v>
      </c>
      <c r="H57" s="37" t="n">
        <v>0</v>
      </c>
      <c r="I57" s="37" t="n">
        <v>18.2</v>
      </c>
      <c r="J57" s="37" t="n">
        <v>0</v>
      </c>
      <c r="K57" s="37" t="n">
        <v>0</v>
      </c>
      <c r="L57" s="37" t="n">
        <v>0</v>
      </c>
      <c r="M57" s="37" t="n">
        <v>0</v>
      </c>
      <c r="N57" s="37" t="n">
        <v>0</v>
      </c>
      <c r="O57" s="37" t="n">
        <v>0</v>
      </c>
      <c r="P57" s="37" t="n">
        <v>0</v>
      </c>
      <c r="Q57" s="37" t="n">
        <v>0</v>
      </c>
      <c r="R57" s="37" t="n">
        <v>0</v>
      </c>
      <c r="S57" s="37" t="n">
        <v>0</v>
      </c>
      <c r="T57" s="38" t="n">
        <v>20.2</v>
      </c>
      <c r="U57" s="37" t="n">
        <v>0</v>
      </c>
      <c r="V57" s="36" t="n">
        <v>0</v>
      </c>
      <c r="W57" t="n">
        <v>20.2</v>
      </c>
    </row>
    <row r="58">
      <c r="A58" s="36" t="inlineStr">
        <is>
          <t>F. Steward</t>
        </is>
      </c>
      <c r="B58" s="36">
        <f t="array" ref="B58:C58">_xlfn.XLOOKUP(A58,'Player List'!$A$2:$A$177,'Player List'!$B$2:$C$177)</f>
        <v/>
      </c>
      <c r="C58" s="36" t="inlineStr">
        <is>
          <t>Back Three</t>
        </is>
      </c>
      <c r="D58" s="37" t="n">
        <v>80</v>
      </c>
      <c r="F58" s="37" t="n">
        <v>5</v>
      </c>
      <c r="G58" s="37" t="n">
        <v>7</v>
      </c>
      <c r="H58" s="37" t="n">
        <v>0</v>
      </c>
      <c r="I58" s="37" t="n">
        <v>13.4</v>
      </c>
      <c r="J58" s="37" t="n">
        <v>0</v>
      </c>
      <c r="K58" s="37" t="n">
        <v>0</v>
      </c>
      <c r="L58" s="37" t="n">
        <v>0</v>
      </c>
      <c r="M58" s="37" t="n">
        <v>30</v>
      </c>
      <c r="N58" s="37" t="n">
        <v>0</v>
      </c>
      <c r="O58" s="37" t="n">
        <v>0</v>
      </c>
      <c r="P58" s="37" t="n">
        <v>0</v>
      </c>
      <c r="Q58" s="37" t="n">
        <v>0</v>
      </c>
      <c r="R58" s="37" t="n">
        <v>0</v>
      </c>
      <c r="S58" s="37" t="n">
        <v>0</v>
      </c>
      <c r="T58" s="38" t="n">
        <v>55.4</v>
      </c>
      <c r="U58" s="37" t="n">
        <v>0</v>
      </c>
      <c r="V58" s="36" t="n">
        <v>0</v>
      </c>
      <c r="W58" t="n">
        <v>55.4</v>
      </c>
    </row>
    <row r="59">
      <c r="A59" s="36" t="inlineStr">
        <is>
          <t>A. Watson</t>
        </is>
      </c>
      <c r="B59" s="36">
        <f t="array" ref="B59:C59">_xlfn.XLOOKUP(A59,'Player List'!$A$2:$A$177,'Player List'!$B$2:$C$177)</f>
        <v/>
      </c>
      <c r="C59" s="36" t="inlineStr">
        <is>
          <t>Back Three</t>
        </is>
      </c>
      <c r="D59" s="37" t="n">
        <v>16</v>
      </c>
      <c r="F59" s="37" t="n">
        <v>2</v>
      </c>
      <c r="G59" s="37" t="n">
        <v>0</v>
      </c>
      <c r="H59" s="37" t="n">
        <v>0</v>
      </c>
      <c r="I59" s="37" t="n">
        <v>20.2</v>
      </c>
      <c r="J59" s="37" t="n">
        <v>0</v>
      </c>
      <c r="K59" s="37" t="n">
        <v>0</v>
      </c>
      <c r="L59" s="37" t="n">
        <v>0</v>
      </c>
      <c r="M59" s="37" t="n">
        <v>0</v>
      </c>
      <c r="N59" s="37" t="n">
        <v>0</v>
      </c>
      <c r="O59" s="37" t="n">
        <v>0</v>
      </c>
      <c r="P59" s="37" t="n">
        <v>0</v>
      </c>
      <c r="Q59" s="37" t="n">
        <v>0</v>
      </c>
      <c r="R59" s="37" t="n">
        <v>0</v>
      </c>
      <c r="S59" s="37" t="n">
        <v>0</v>
      </c>
      <c r="T59" s="38" t="n">
        <v>22.2</v>
      </c>
      <c r="U59" s="37" t="n">
        <v>0</v>
      </c>
      <c r="V59" s="36" t="n">
        <v>0</v>
      </c>
      <c r="W59" t="n">
        <v>22.2</v>
      </c>
    </row>
    <row r="60">
      <c r="A60" s="36" t="inlineStr">
        <is>
          <t>O. Farrell</t>
        </is>
      </c>
      <c r="B60" s="36">
        <f t="array" ref="B60:C60">_xlfn.XLOOKUP(A60,'Player List'!$A$2:$A$177,'Player List'!$B$2:$C$177)</f>
        <v/>
      </c>
      <c r="C60" s="36" t="inlineStr">
        <is>
          <t>Centre</t>
        </is>
      </c>
      <c r="D60" s="37" t="n">
        <v>80</v>
      </c>
      <c r="F60" s="37" t="n">
        <v>2</v>
      </c>
      <c r="G60" s="37" t="n">
        <v>0</v>
      </c>
      <c r="H60" s="37" t="n">
        <v>0</v>
      </c>
      <c r="I60" s="37" t="n">
        <v>3.6</v>
      </c>
      <c r="J60" s="37" t="n">
        <v>0</v>
      </c>
      <c r="K60" s="37" t="n">
        <v>0</v>
      </c>
      <c r="L60" s="37" t="n">
        <v>0</v>
      </c>
      <c r="M60" s="37" t="n">
        <v>0</v>
      </c>
      <c r="N60" s="37" t="n">
        <v>0</v>
      </c>
      <c r="O60" s="37" t="n">
        <v>0</v>
      </c>
      <c r="P60" s="37" t="n">
        <v>0</v>
      </c>
      <c r="Q60" s="37" t="n">
        <v>0</v>
      </c>
      <c r="R60" s="37" t="n">
        <v>0</v>
      </c>
      <c r="S60" s="37" t="n">
        <v>0</v>
      </c>
      <c r="T60" s="38" t="n">
        <v>5.6</v>
      </c>
      <c r="U60" s="37" t="n">
        <v>0</v>
      </c>
      <c r="V60" s="36" t="n">
        <v>0</v>
      </c>
      <c r="W60" t="n">
        <v>5.6</v>
      </c>
    </row>
    <row r="61">
      <c r="A61" s="36" t="inlineStr">
        <is>
          <t>O. Lawrence</t>
        </is>
      </c>
      <c r="B61" s="36">
        <f t="array" ref="B61:C61">_xlfn.XLOOKUP(A61,'Player List'!$A$2:$A$177,'Player List'!$B$2:$C$177)</f>
        <v/>
      </c>
      <c r="C61" s="36" t="inlineStr">
        <is>
          <t>Centre</t>
        </is>
      </c>
      <c r="D61" s="37" t="n">
        <v>4</v>
      </c>
      <c r="F61" s="37" t="n">
        <v>3</v>
      </c>
      <c r="G61" s="37" t="n">
        <v>0</v>
      </c>
      <c r="H61" s="37" t="n">
        <v>0</v>
      </c>
      <c r="I61" s="37" t="n">
        <v>11.2</v>
      </c>
      <c r="J61" s="37" t="n">
        <v>0</v>
      </c>
      <c r="K61" s="37" t="n">
        <v>0</v>
      </c>
      <c r="L61" s="37" t="n">
        <v>0</v>
      </c>
      <c r="M61" s="37" t="n">
        <v>0</v>
      </c>
      <c r="N61" s="37" t="n">
        <v>0</v>
      </c>
      <c r="O61" s="37" t="n">
        <v>2</v>
      </c>
      <c r="P61" s="37" t="n">
        <v>10</v>
      </c>
      <c r="Q61" s="37" t="n">
        <v>0</v>
      </c>
      <c r="R61" s="37" t="n">
        <v>0</v>
      </c>
      <c r="S61" s="37" t="n">
        <v>0</v>
      </c>
      <c r="T61" s="38" t="n">
        <v>26.2</v>
      </c>
      <c r="U61" s="37" t="n">
        <v>0</v>
      </c>
      <c r="V61" s="36" t="n">
        <v>0</v>
      </c>
      <c r="W61" t="n">
        <v>26.2</v>
      </c>
    </row>
    <row r="62">
      <c r="A62" s="36" t="inlineStr">
        <is>
          <t>J. Marchant</t>
        </is>
      </c>
      <c r="B62" s="36">
        <f t="array" ref="B62:C62">_xlfn.XLOOKUP(A62,'Player List'!$A$2:$A$177,'Player List'!$B$2:$C$177)</f>
        <v/>
      </c>
      <c r="C62" s="36" t="inlineStr">
        <is>
          <t>Centre</t>
        </is>
      </c>
      <c r="D62" s="37" t="n">
        <v>76</v>
      </c>
      <c r="F62" s="37" t="n">
        <v>0</v>
      </c>
      <c r="G62" s="37" t="n">
        <v>0</v>
      </c>
      <c r="H62" s="37" t="n">
        <v>0</v>
      </c>
      <c r="I62" s="37" t="n">
        <v>2</v>
      </c>
      <c r="J62" s="37" t="n">
        <v>0</v>
      </c>
      <c r="K62" s="37" t="n">
        <v>0</v>
      </c>
      <c r="L62" s="37" t="n">
        <v>0</v>
      </c>
      <c r="M62" s="37" t="n">
        <v>0</v>
      </c>
      <c r="N62" s="37" t="n">
        <v>0</v>
      </c>
      <c r="O62" s="37" t="n">
        <v>0</v>
      </c>
      <c r="P62" s="37" t="n">
        <v>0</v>
      </c>
      <c r="Q62" s="37" t="n">
        <v>0</v>
      </c>
      <c r="R62" s="37" t="n">
        <v>0</v>
      </c>
      <c r="S62" s="37" t="n">
        <v>0</v>
      </c>
      <c r="T62" s="38" t="n">
        <v>2</v>
      </c>
      <c r="U62" s="37" t="n">
        <v>0</v>
      </c>
      <c r="V62" s="36" t="n">
        <v>0</v>
      </c>
      <c r="W62" t="n">
        <v>2</v>
      </c>
    </row>
    <row r="63">
      <c r="A63" s="36" t="inlineStr">
        <is>
          <t>M. Smith</t>
        </is>
      </c>
      <c r="B63" s="36">
        <f t="array" ref="B63:C63">_xlfn.XLOOKUP(A63,'Player List'!$A$2:$A$177,'Player List'!$B$2:$C$177)</f>
        <v/>
      </c>
      <c r="C63" s="36" t="inlineStr">
        <is>
          <t>Fly Half</t>
        </is>
      </c>
      <c r="D63" s="37" t="n">
        <v>80</v>
      </c>
      <c r="F63" s="37" t="n">
        <v>6</v>
      </c>
      <c r="G63" s="37" t="n">
        <v>0</v>
      </c>
      <c r="H63" s="37" t="n">
        <v>0</v>
      </c>
      <c r="I63" s="37" t="n">
        <v>11.6</v>
      </c>
      <c r="J63" s="37" t="n">
        <v>0</v>
      </c>
      <c r="K63" s="37" t="n">
        <v>0</v>
      </c>
      <c r="L63" s="37" t="n">
        <v>0</v>
      </c>
      <c r="M63" s="37" t="n">
        <v>0</v>
      </c>
      <c r="N63" s="37" t="n">
        <v>0</v>
      </c>
      <c r="O63" s="37" t="n">
        <v>0</v>
      </c>
      <c r="P63" s="37" t="n">
        <v>0</v>
      </c>
      <c r="Q63" s="37" t="n">
        <v>0</v>
      </c>
      <c r="R63" s="37" t="n">
        <v>0</v>
      </c>
      <c r="S63" s="37" t="n">
        <v>0</v>
      </c>
      <c r="T63" s="38" t="n">
        <v>17.6</v>
      </c>
      <c r="U63" s="37" t="n">
        <v>0</v>
      </c>
      <c r="V63" s="36" t="n">
        <v>0</v>
      </c>
      <c r="W63" t="n">
        <v>17.6</v>
      </c>
    </row>
    <row r="64">
      <c r="A64" s="36" t="inlineStr">
        <is>
          <t>J. van Poortvliet</t>
        </is>
      </c>
      <c r="B64" s="36">
        <f t="array" ref="B64:C64">_xlfn.XLOOKUP(A64,'Player List'!$A$2:$A$177,'Player List'!$B$2:$C$177)</f>
        <v/>
      </c>
      <c r="C64" s="36" t="inlineStr">
        <is>
          <t>Scrum Half</t>
        </is>
      </c>
      <c r="D64" s="37" t="n">
        <v>58</v>
      </c>
      <c r="F64" s="37" t="n">
        <v>6</v>
      </c>
      <c r="G64" s="37" t="n">
        <v>0</v>
      </c>
      <c r="H64" s="37" t="n">
        <v>0</v>
      </c>
      <c r="I64" s="37" t="n">
        <v>22.4</v>
      </c>
      <c r="J64" s="37" t="n">
        <v>0</v>
      </c>
      <c r="K64" s="37" t="n">
        <v>0</v>
      </c>
      <c r="L64" s="37" t="n">
        <v>0</v>
      </c>
      <c r="M64" s="37" t="n">
        <v>0</v>
      </c>
      <c r="N64" s="37" t="n">
        <v>7</v>
      </c>
      <c r="O64" s="37" t="n">
        <v>0</v>
      </c>
      <c r="P64" s="37" t="n">
        <v>0</v>
      </c>
      <c r="Q64" s="37" t="n">
        <v>0</v>
      </c>
      <c r="R64" s="37" t="n">
        <v>0</v>
      </c>
      <c r="S64" s="37" t="n">
        <v>0</v>
      </c>
      <c r="T64" s="38" t="n">
        <v>35.4</v>
      </c>
      <c r="U64" s="37" t="n">
        <v>0</v>
      </c>
      <c r="V64" s="36" t="n">
        <v>0</v>
      </c>
      <c r="W64" t="n">
        <v>35.4</v>
      </c>
    </row>
    <row r="65">
      <c r="A65" s="36" t="inlineStr">
        <is>
          <t>B. Youngs</t>
        </is>
      </c>
      <c r="B65" s="36">
        <f t="array" ref="B65:C65">_xlfn.XLOOKUP(A65,'Player List'!$A$2:$A$177,'Player List'!$B$2:$C$177)</f>
        <v/>
      </c>
      <c r="C65" s="36" t="inlineStr">
        <is>
          <t>Scrum Half</t>
        </is>
      </c>
      <c r="D65" s="37" t="n">
        <v>22</v>
      </c>
      <c r="F65" s="37" t="n">
        <v>3</v>
      </c>
      <c r="G65" s="37" t="n">
        <v>0</v>
      </c>
      <c r="H65" s="37" t="n">
        <v>7</v>
      </c>
      <c r="I65" s="37" t="n">
        <v>4</v>
      </c>
      <c r="J65" s="37" t="n">
        <v>0</v>
      </c>
      <c r="K65" s="37" t="n">
        <v>0</v>
      </c>
      <c r="L65" s="37" t="n">
        <v>0</v>
      </c>
      <c r="M65" s="37" t="n">
        <v>0</v>
      </c>
      <c r="N65" s="37" t="n">
        <v>7</v>
      </c>
      <c r="O65" s="37" t="n">
        <v>0</v>
      </c>
      <c r="P65" s="37" t="n">
        <v>0</v>
      </c>
      <c r="Q65" s="37" t="n">
        <v>0</v>
      </c>
      <c r="R65" s="37" t="n">
        <v>0</v>
      </c>
      <c r="S65" s="37" t="n">
        <v>0</v>
      </c>
      <c r="T65" s="38" t="n">
        <v>21</v>
      </c>
      <c r="U65" s="37" t="n">
        <v>0</v>
      </c>
      <c r="V65" s="36" t="n">
        <v>0</v>
      </c>
      <c r="W65" t="n">
        <v>21</v>
      </c>
    </row>
    <row r="66">
      <c r="A66" s="36" t="inlineStr">
        <is>
          <t>B. Curry</t>
        </is>
      </c>
      <c r="B66" s="36">
        <f t="array" ref="B66:C66">_xlfn.XLOOKUP(A66,'Player List'!$A$2:$A$177,'Player List'!$B$2:$C$177)</f>
        <v/>
      </c>
      <c r="C66" s="36" t="inlineStr">
        <is>
          <t>Back Row</t>
        </is>
      </c>
      <c r="D66" s="37" t="n">
        <v>61</v>
      </c>
      <c r="F66" s="37" t="n">
        <v>1</v>
      </c>
      <c r="G66" s="37" t="n">
        <v>0</v>
      </c>
      <c r="H66" s="37" t="n">
        <v>0</v>
      </c>
      <c r="I66" s="37" t="n">
        <v>5</v>
      </c>
      <c r="J66" s="37" t="n">
        <v>0</v>
      </c>
      <c r="K66" s="37" t="n">
        <v>0</v>
      </c>
      <c r="L66" s="37" t="n">
        <v>0</v>
      </c>
      <c r="M66" s="37" t="n">
        <v>0</v>
      </c>
      <c r="N66" s="37" t="n">
        <v>0</v>
      </c>
      <c r="O66" s="37" t="n">
        <v>0</v>
      </c>
      <c r="P66" s="37" t="n">
        <v>0</v>
      </c>
      <c r="Q66" s="37" t="n">
        <v>0</v>
      </c>
      <c r="R66" s="37" t="n">
        <v>0</v>
      </c>
      <c r="S66" s="37" t="n">
        <v>0</v>
      </c>
      <c r="T66" s="38" t="n">
        <v>6</v>
      </c>
      <c r="U66" s="37" t="n">
        <v>0</v>
      </c>
      <c r="V66" s="36" t="n">
        <v>0</v>
      </c>
      <c r="W66" t="n">
        <v>6</v>
      </c>
    </row>
    <row r="67">
      <c r="A67" s="36" t="inlineStr">
        <is>
          <t>A. Dombrandt</t>
        </is>
      </c>
      <c r="B67" s="36">
        <f t="array" ref="B67:C67">_xlfn.XLOOKUP(A67,'Player List'!$A$2:$A$177,'Player List'!$B$2:$C$177)</f>
        <v/>
      </c>
      <c r="C67" s="36" t="inlineStr">
        <is>
          <t>Back Row</t>
        </is>
      </c>
      <c r="D67" s="37" t="n">
        <v>56</v>
      </c>
      <c r="F67" s="37" t="n">
        <v>9</v>
      </c>
      <c r="G67" s="37" t="n">
        <v>28</v>
      </c>
      <c r="H67" s="37" t="n">
        <v>0</v>
      </c>
      <c r="I67" s="37" t="n">
        <v>7.4</v>
      </c>
      <c r="J67" s="37" t="n">
        <v>0</v>
      </c>
      <c r="K67" s="37" t="n">
        <v>0</v>
      </c>
      <c r="L67" s="37" t="n">
        <v>0</v>
      </c>
      <c r="M67" s="37" t="n">
        <v>0</v>
      </c>
      <c r="N67" s="37" t="n">
        <v>0</v>
      </c>
      <c r="O67" s="37" t="n">
        <v>0</v>
      </c>
      <c r="P67" s="37" t="n">
        <v>0</v>
      </c>
      <c r="Q67" s="37" t="n">
        <v>0</v>
      </c>
      <c r="R67" s="37" t="n">
        <v>0</v>
      </c>
      <c r="S67" s="37" t="n">
        <v>0</v>
      </c>
      <c r="T67" s="38" t="n">
        <v>44.4</v>
      </c>
      <c r="U67" s="37" t="n">
        <v>0</v>
      </c>
      <c r="V67" s="36" t="n">
        <v>0</v>
      </c>
      <c r="W67" t="n">
        <v>44.4</v>
      </c>
    </row>
    <row r="68">
      <c r="A68" s="36" t="inlineStr">
        <is>
          <t>B. Earl</t>
        </is>
      </c>
      <c r="B68" s="36">
        <f t="array" ref="B68:C68">_xlfn.XLOOKUP(A68,'Player List'!$A$2:$A$177,'Player List'!$B$2:$C$177)</f>
        <v/>
      </c>
      <c r="C68" s="36" t="inlineStr">
        <is>
          <t>Back Row</t>
        </is>
      </c>
      <c r="D68" s="37" t="n">
        <v>24</v>
      </c>
      <c r="F68" s="37" t="n">
        <v>4</v>
      </c>
      <c r="G68" s="37" t="n">
        <v>0</v>
      </c>
      <c r="H68" s="37" t="n">
        <v>0</v>
      </c>
      <c r="I68" s="37" t="n">
        <v>12.8</v>
      </c>
      <c r="J68" s="37" t="n">
        <v>0</v>
      </c>
      <c r="K68" s="37" t="n">
        <v>0</v>
      </c>
      <c r="L68" s="37" t="n">
        <v>7</v>
      </c>
      <c r="M68" s="37" t="n">
        <v>0</v>
      </c>
      <c r="N68" s="37" t="n">
        <v>0</v>
      </c>
      <c r="O68" s="37" t="n">
        <v>0</v>
      </c>
      <c r="P68" s="37" t="n">
        <v>0</v>
      </c>
      <c r="Q68" s="37" t="n">
        <v>0</v>
      </c>
      <c r="R68" s="37" t="n">
        <v>0</v>
      </c>
      <c r="S68" s="37" t="n">
        <v>0</v>
      </c>
      <c r="T68" s="38" t="n">
        <v>23.8</v>
      </c>
      <c r="U68" s="37" t="n">
        <v>0</v>
      </c>
      <c r="V68" s="36" t="n">
        <v>0</v>
      </c>
      <c r="W68" t="n">
        <v>23.8</v>
      </c>
    </row>
    <row r="69">
      <c r="A69" s="36" t="inlineStr">
        <is>
          <t>L. Ludlam</t>
        </is>
      </c>
      <c r="B69" s="36">
        <f t="array" ref="B69:C69">_xlfn.XLOOKUP(A69,'Player List'!$A$2:$A$177,'Player List'!$B$2:$C$177)</f>
        <v/>
      </c>
      <c r="C69" s="36" t="inlineStr">
        <is>
          <t>Back Row</t>
        </is>
      </c>
      <c r="D69" s="37" t="n">
        <v>80</v>
      </c>
      <c r="F69" s="37" t="n">
        <v>2</v>
      </c>
      <c r="G69" s="37" t="n">
        <v>7</v>
      </c>
      <c r="H69" s="37" t="n">
        <v>0</v>
      </c>
      <c r="I69" s="37" t="n">
        <v>8.4</v>
      </c>
      <c r="J69" s="37" t="n">
        <v>0</v>
      </c>
      <c r="K69" s="37" t="n">
        <v>0</v>
      </c>
      <c r="L69" s="37" t="n">
        <v>0</v>
      </c>
      <c r="M69" s="37" t="n">
        <v>0</v>
      </c>
      <c r="N69" s="37" t="n">
        <v>0</v>
      </c>
      <c r="O69" s="37" t="n">
        <v>0</v>
      </c>
      <c r="P69" s="37" t="n">
        <v>0</v>
      </c>
      <c r="Q69" s="37" t="n">
        <v>0</v>
      </c>
      <c r="R69" s="37" t="n">
        <v>0</v>
      </c>
      <c r="S69" s="37" t="n">
        <v>0</v>
      </c>
      <c r="T69" s="38" t="n">
        <v>17.4</v>
      </c>
      <c r="U69" s="37" t="n">
        <v>0</v>
      </c>
      <c r="V69" s="36" t="n">
        <v>0</v>
      </c>
      <c r="W69" t="n">
        <v>17.4</v>
      </c>
    </row>
    <row r="70">
      <c r="A70" s="36" t="inlineStr">
        <is>
          <t>O. Chessum</t>
        </is>
      </c>
      <c r="B70" s="36">
        <f t="array" ref="B70:C70">_xlfn.XLOOKUP(A70,'Player List'!$A$2:$A$177,'Player List'!$B$2:$C$177)</f>
        <v/>
      </c>
      <c r="C70" s="36" t="inlineStr">
        <is>
          <t>Second Row</t>
        </is>
      </c>
      <c r="D70" s="37" t="n">
        <v>80</v>
      </c>
      <c r="F70" s="37" t="n">
        <v>6</v>
      </c>
      <c r="G70" s="37" t="n">
        <v>7</v>
      </c>
      <c r="H70" s="37" t="n">
        <v>7</v>
      </c>
      <c r="I70" s="37" t="n">
        <v>15.4</v>
      </c>
      <c r="J70" s="37" t="n">
        <v>0</v>
      </c>
      <c r="K70" s="37" t="n">
        <v>0</v>
      </c>
      <c r="L70" s="37" t="n">
        <v>0</v>
      </c>
      <c r="M70" s="37" t="n">
        <v>0</v>
      </c>
      <c r="N70" s="37" t="n">
        <v>7</v>
      </c>
      <c r="O70" s="37" t="n">
        <v>0</v>
      </c>
      <c r="P70" s="37" t="n">
        <v>0</v>
      </c>
      <c r="Q70" s="37" t="n">
        <v>0</v>
      </c>
      <c r="R70" s="37" t="n">
        <v>0</v>
      </c>
      <c r="S70" s="37" t="n">
        <v>0</v>
      </c>
      <c r="T70" s="38" t="n">
        <v>42.4</v>
      </c>
      <c r="U70" s="37" t="n">
        <v>0</v>
      </c>
      <c r="V70" s="36" t="n">
        <v>0</v>
      </c>
      <c r="W70" t="n">
        <v>42.4</v>
      </c>
    </row>
    <row r="71">
      <c r="A71" s="36" t="inlineStr">
        <is>
          <t>N. Isiekwe</t>
        </is>
      </c>
      <c r="B71" s="36">
        <f t="array" ref="B71:C71">_xlfn.XLOOKUP(A71,'Player List'!$A$2:$A$177,'Player List'!$B$2:$C$177)</f>
        <v/>
      </c>
      <c r="C71" s="36" t="inlineStr">
        <is>
          <t>Second Row</t>
        </is>
      </c>
      <c r="D71" s="37" t="n">
        <v>19</v>
      </c>
      <c r="F71" s="37" t="n">
        <v>6</v>
      </c>
      <c r="G71" s="37" t="n">
        <v>0</v>
      </c>
      <c r="H71" s="37" t="n">
        <v>0</v>
      </c>
      <c r="I71" s="37" t="n">
        <v>14.4</v>
      </c>
      <c r="J71" s="37" t="n">
        <v>0</v>
      </c>
      <c r="K71" s="37" t="n">
        <v>0</v>
      </c>
      <c r="L71" s="37" t="n">
        <v>0</v>
      </c>
      <c r="M71" s="37" t="n">
        <v>0</v>
      </c>
      <c r="N71" s="37" t="n">
        <v>0</v>
      </c>
      <c r="O71" s="37" t="n">
        <v>0</v>
      </c>
      <c r="P71" s="37" t="n">
        <v>0</v>
      </c>
      <c r="Q71" s="37" t="n">
        <v>0</v>
      </c>
      <c r="R71" s="37" t="n">
        <v>0</v>
      </c>
      <c r="S71" s="37" t="n">
        <v>0</v>
      </c>
      <c r="T71" s="38" t="n">
        <v>20.4</v>
      </c>
      <c r="U71" s="37" t="n">
        <v>0</v>
      </c>
      <c r="V71" s="36" t="n">
        <v>0</v>
      </c>
      <c r="W71" t="n">
        <v>20.4</v>
      </c>
    </row>
    <row r="72">
      <c r="A72" s="36" t="inlineStr">
        <is>
          <t>M. Itoje</t>
        </is>
      </c>
      <c r="B72" s="36">
        <f t="array" ref="B72:C72">_xlfn.XLOOKUP(A72,'Player List'!$A$2:$A$177,'Player List'!$B$2:$C$177)</f>
        <v/>
      </c>
      <c r="C72" s="36" t="inlineStr">
        <is>
          <t>Second Row</t>
        </is>
      </c>
      <c r="D72" s="37" t="n">
        <v>80</v>
      </c>
      <c r="F72" s="37" t="n">
        <v>1</v>
      </c>
      <c r="G72" s="37" t="n">
        <v>7</v>
      </c>
      <c r="H72" s="37" t="n">
        <v>0</v>
      </c>
      <c r="I72" s="37" t="n">
        <v>0.6</v>
      </c>
      <c r="J72" s="37" t="n">
        <v>0</v>
      </c>
      <c r="K72" s="37" t="n">
        <v>0</v>
      </c>
      <c r="L72" s="37" t="n">
        <v>0</v>
      </c>
      <c r="M72" s="37" t="n">
        <v>0</v>
      </c>
      <c r="N72" s="37" t="n">
        <v>0</v>
      </c>
      <c r="O72" s="37" t="n">
        <v>0</v>
      </c>
      <c r="P72" s="37" t="n">
        <v>0</v>
      </c>
      <c r="Q72" s="37" t="n">
        <v>0</v>
      </c>
      <c r="R72" s="37" t="n">
        <v>0</v>
      </c>
      <c r="S72" s="37" t="n">
        <v>0</v>
      </c>
      <c r="T72" s="38" t="n">
        <v>8.6</v>
      </c>
      <c r="U72" s="37" t="n">
        <v>0</v>
      </c>
      <c r="V72" s="36" t="n">
        <v>0</v>
      </c>
      <c r="W72" t="n">
        <v>8.6</v>
      </c>
    </row>
    <row r="73">
      <c r="A73" s="36" t="inlineStr">
        <is>
          <t>D. Cole</t>
        </is>
      </c>
      <c r="B73" s="36">
        <f t="array" ref="B73:C73">_xlfn.XLOOKUP(A73,'Player List'!$A$2:$A$177,'Player List'!$B$2:$C$177)</f>
        <v/>
      </c>
      <c r="C73" s="36" t="inlineStr">
        <is>
          <t>Prop</t>
        </is>
      </c>
      <c r="D73" s="37" t="n">
        <v>19</v>
      </c>
      <c r="F73" s="37" t="n">
        <v>10</v>
      </c>
      <c r="G73" s="37" t="n">
        <v>14</v>
      </c>
      <c r="H73" s="37" t="n">
        <v>0</v>
      </c>
      <c r="I73" s="37" t="n">
        <v>2.2</v>
      </c>
      <c r="J73" s="37" t="n">
        <v>0</v>
      </c>
      <c r="K73" s="37" t="n">
        <v>0</v>
      </c>
      <c r="L73" s="37" t="n">
        <v>0</v>
      </c>
      <c r="M73" s="37" t="n">
        <v>0</v>
      </c>
      <c r="N73" s="37" t="n">
        <v>0</v>
      </c>
      <c r="O73" s="37" t="n">
        <v>0</v>
      </c>
      <c r="P73" s="37" t="n">
        <v>0</v>
      </c>
      <c r="Q73" s="37" t="n">
        <v>0</v>
      </c>
      <c r="R73" s="37" t="n">
        <v>0</v>
      </c>
      <c r="S73" s="37" t="n">
        <v>0</v>
      </c>
      <c r="T73" s="38" t="n">
        <v>26.2</v>
      </c>
      <c r="U73" s="37" t="n">
        <v>0</v>
      </c>
      <c r="V73" s="36" t="n">
        <v>0</v>
      </c>
      <c r="W73" t="n">
        <v>26.2</v>
      </c>
    </row>
    <row r="74">
      <c r="A74" s="36" t="inlineStr">
        <is>
          <t>E. Genge</t>
        </is>
      </c>
      <c r="B74" s="36">
        <f t="array" ref="B74:C74">_xlfn.XLOOKUP(A74,'Player List'!$A$2:$A$177,'Player List'!$B$2:$C$177)</f>
        <v/>
      </c>
      <c r="C74" s="36" t="inlineStr">
        <is>
          <t>Prop</t>
        </is>
      </c>
      <c r="D74" s="37" t="n">
        <v>61</v>
      </c>
      <c r="F74" s="37" t="n">
        <v>1</v>
      </c>
      <c r="G74" s="37" t="n">
        <v>0</v>
      </c>
      <c r="H74" s="37" t="n">
        <v>0</v>
      </c>
      <c r="I74" s="37" t="n">
        <v>0</v>
      </c>
      <c r="J74" s="37" t="n">
        <v>0</v>
      </c>
      <c r="K74" s="37" t="n">
        <v>0</v>
      </c>
      <c r="L74" s="37" t="n">
        <v>0</v>
      </c>
      <c r="M74" s="37" t="n">
        <v>0</v>
      </c>
      <c r="N74" s="37" t="n">
        <v>0</v>
      </c>
      <c r="O74" s="37" t="n">
        <v>0</v>
      </c>
      <c r="P74" s="37" t="n">
        <v>0</v>
      </c>
      <c r="Q74" s="37" t="n">
        <v>0</v>
      </c>
      <c r="R74" s="37" t="n">
        <v>0</v>
      </c>
      <c r="S74" s="37" t="n">
        <v>0</v>
      </c>
      <c r="T74" s="38" t="n">
        <v>1</v>
      </c>
      <c r="U74" s="37" t="n">
        <v>0</v>
      </c>
      <c r="V74" s="36" t="n">
        <v>0</v>
      </c>
      <c r="W74" t="n">
        <v>1</v>
      </c>
    </row>
    <row r="75">
      <c r="A75" s="36" t="inlineStr">
        <is>
          <t>K. Sinckler</t>
        </is>
      </c>
      <c r="B75" s="36">
        <f t="array" ref="B75:C75">_xlfn.XLOOKUP(A75,'Player List'!$A$2:$A$177,'Player List'!$B$2:$C$177)</f>
        <v/>
      </c>
      <c r="C75" s="36" t="inlineStr">
        <is>
          <t>Prop</t>
        </is>
      </c>
      <c r="D75" s="37" t="n">
        <v>61</v>
      </c>
      <c r="F75" s="37" t="n">
        <v>3</v>
      </c>
      <c r="G75" s="37" t="n">
        <v>0</v>
      </c>
      <c r="H75" s="37" t="n">
        <v>0</v>
      </c>
      <c r="I75" s="37" t="n">
        <v>16.6</v>
      </c>
      <c r="J75" s="37" t="n">
        <v>0</v>
      </c>
      <c r="K75" s="37" t="n">
        <v>0</v>
      </c>
      <c r="L75" s="37" t="n">
        <v>0</v>
      </c>
      <c r="M75" s="37" t="n">
        <v>15</v>
      </c>
      <c r="N75" s="37" t="n">
        <v>0</v>
      </c>
      <c r="O75" s="37" t="n">
        <v>0</v>
      </c>
      <c r="P75" s="37" t="n">
        <v>0</v>
      </c>
      <c r="Q75" s="37" t="n">
        <v>0</v>
      </c>
      <c r="R75" s="37" t="n">
        <v>0</v>
      </c>
      <c r="S75" s="37" t="n">
        <v>0</v>
      </c>
      <c r="T75" s="38" t="n">
        <v>34.6</v>
      </c>
      <c r="U75" s="37" t="n">
        <v>0</v>
      </c>
      <c r="V75" s="36" t="n">
        <v>0</v>
      </c>
      <c r="W75" t="n">
        <v>34.6</v>
      </c>
    </row>
    <row r="76">
      <c r="A76" s="36" t="inlineStr">
        <is>
          <t>M. Vunipola</t>
        </is>
      </c>
      <c r="B76" s="36">
        <f t="array" ref="B76:C76">_xlfn.XLOOKUP(A76,'Player List'!$A$2:$A$177,'Player List'!$B$2:$C$177)</f>
        <v/>
      </c>
      <c r="C76" s="36" t="inlineStr">
        <is>
          <t>Prop</t>
        </is>
      </c>
      <c r="D76" s="37" t="n">
        <v>19</v>
      </c>
      <c r="F76" s="37" t="n">
        <v>5</v>
      </c>
      <c r="G76" s="37" t="n">
        <v>7</v>
      </c>
      <c r="H76" s="37" t="n">
        <v>0</v>
      </c>
      <c r="I76" s="37" t="n">
        <v>7</v>
      </c>
      <c r="J76" s="37" t="n">
        <v>0</v>
      </c>
      <c r="K76" s="37" t="n">
        <v>0</v>
      </c>
      <c r="L76" s="37" t="n">
        <v>0</v>
      </c>
      <c r="M76" s="37" t="n">
        <v>0</v>
      </c>
      <c r="N76" s="37" t="n">
        <v>0</v>
      </c>
      <c r="O76" s="37" t="n">
        <v>0</v>
      </c>
      <c r="P76" s="37" t="n">
        <v>0</v>
      </c>
      <c r="Q76" s="37" t="n">
        <v>0</v>
      </c>
      <c r="R76" s="37" t="n">
        <v>0</v>
      </c>
      <c r="S76" s="37" t="n">
        <v>0</v>
      </c>
      <c r="T76" s="38" t="n">
        <v>19</v>
      </c>
      <c r="U76" s="37" t="n">
        <v>0</v>
      </c>
      <c r="V76" s="36" t="n">
        <v>0</v>
      </c>
      <c r="W76" t="n">
        <v>19</v>
      </c>
    </row>
    <row r="77">
      <c r="A77" s="36" t="inlineStr">
        <is>
          <t>J. George</t>
        </is>
      </c>
      <c r="B77" s="36">
        <f t="array" ref="B77:C77">_xlfn.XLOOKUP(A77,'Player List'!$A$2:$A$177,'Player List'!$B$2:$C$177)</f>
        <v/>
      </c>
      <c r="C77" s="36" t="inlineStr">
        <is>
          <t>Hooker</t>
        </is>
      </c>
      <c r="D77" s="37" t="n">
        <v>80</v>
      </c>
      <c r="F77" s="37" t="n">
        <v>2</v>
      </c>
      <c r="G77" s="37" t="n">
        <v>0</v>
      </c>
      <c r="H77" s="37" t="n">
        <v>0</v>
      </c>
      <c r="I77" s="37" t="n">
        <v>5.4</v>
      </c>
      <c r="J77" s="37" t="n">
        <v>0</v>
      </c>
      <c r="K77" s="37" t="n">
        <v>0</v>
      </c>
      <c r="L77" s="37" t="n">
        <v>0</v>
      </c>
      <c r="M77" s="37" t="n">
        <v>0</v>
      </c>
      <c r="N77" s="37" t="n">
        <v>0</v>
      </c>
      <c r="O77" s="37" t="n">
        <v>0</v>
      </c>
      <c r="P77" s="37" t="n">
        <v>0</v>
      </c>
      <c r="Q77" s="37" t="n">
        <v>0</v>
      </c>
      <c r="R77" s="37" t="n">
        <v>0</v>
      </c>
      <c r="S77" s="37" t="n">
        <v>0</v>
      </c>
      <c r="T77" s="38" t="n">
        <v>7.4</v>
      </c>
      <c r="U77" s="37" t="n">
        <v>0</v>
      </c>
      <c r="V77" s="36" t="n">
        <v>0</v>
      </c>
      <c r="W77" t="n">
        <v>7.4</v>
      </c>
    </row>
    <row r="78">
      <c r="A78" s="36" t="inlineStr">
        <is>
          <t>S. Hogg</t>
        </is>
      </c>
      <c r="B78" s="36">
        <f t="array" ref="B78:C78">_xlfn.XLOOKUP(A78,'Player List'!$A$2:$A$177,'Player List'!$B$2:$C$177)</f>
        <v/>
      </c>
      <c r="C78" s="36" t="inlineStr">
        <is>
          <t>Back Three</t>
        </is>
      </c>
      <c r="D78" s="37" t="n">
        <v>66</v>
      </c>
      <c r="F78" s="37" t="n">
        <v>10</v>
      </c>
      <c r="G78" s="37" t="n">
        <v>0</v>
      </c>
      <c r="H78" s="37" t="n">
        <v>0</v>
      </c>
      <c r="I78" s="37" t="n">
        <v>4.2</v>
      </c>
      <c r="J78" s="37" t="n">
        <v>0</v>
      </c>
      <c r="K78" s="37" t="n">
        <v>0</v>
      </c>
      <c r="L78" s="37" t="n">
        <v>0</v>
      </c>
      <c r="M78" s="37" t="n">
        <v>0</v>
      </c>
      <c r="N78" s="37" t="n">
        <v>0</v>
      </c>
      <c r="O78" s="37" t="n">
        <v>0</v>
      </c>
      <c r="P78" s="37" t="n">
        <v>0</v>
      </c>
      <c r="Q78" s="37" t="n">
        <v>0</v>
      </c>
      <c r="R78" s="37" t="n">
        <v>0</v>
      </c>
      <c r="S78" s="37" t="n">
        <v>0</v>
      </c>
      <c r="T78" s="38" t="n">
        <v>14.2</v>
      </c>
      <c r="U78" s="37" t="n">
        <v>0</v>
      </c>
      <c r="V78" s="36" t="n">
        <v>0</v>
      </c>
      <c r="W78" t="n">
        <v>14.2</v>
      </c>
    </row>
    <row r="79">
      <c r="A79" s="36" t="inlineStr">
        <is>
          <t>B. Kinghorn</t>
        </is>
      </c>
      <c r="B79" s="36">
        <f t="array" ref="B79:C79">_xlfn.XLOOKUP(A79,'Player List'!$A$2:$A$177,'Player List'!$B$2:$C$177)</f>
        <v/>
      </c>
      <c r="C79" s="36" t="inlineStr">
        <is>
          <t>Back Three</t>
        </is>
      </c>
      <c r="D79" s="37" t="n">
        <v>14</v>
      </c>
      <c r="F79" s="37" t="n">
        <v>3</v>
      </c>
      <c r="G79" s="37" t="n">
        <v>7</v>
      </c>
      <c r="H79" s="37" t="n">
        <v>0</v>
      </c>
      <c r="I79" s="37" t="n">
        <v>10.8</v>
      </c>
      <c r="J79" s="37" t="n">
        <v>0</v>
      </c>
      <c r="K79" s="37" t="n">
        <v>0</v>
      </c>
      <c r="L79" s="37" t="n">
        <v>7</v>
      </c>
      <c r="M79" s="37" t="n">
        <v>0</v>
      </c>
      <c r="N79" s="37" t="n">
        <v>0</v>
      </c>
      <c r="O79" s="37" t="n">
        <v>0</v>
      </c>
      <c r="P79" s="37" t="n">
        <v>0</v>
      </c>
      <c r="Q79" s="37" t="n">
        <v>0</v>
      </c>
      <c r="R79" s="37" t="n">
        <v>0</v>
      </c>
      <c r="S79" s="37" t="n">
        <v>0</v>
      </c>
      <c r="T79" s="38" t="n">
        <v>27.8</v>
      </c>
      <c r="U79" s="37" t="n">
        <v>0</v>
      </c>
      <c r="V79" s="36" t="n">
        <v>0</v>
      </c>
      <c r="W79" t="n">
        <v>27.8</v>
      </c>
    </row>
    <row r="80">
      <c r="A80" s="36" t="inlineStr">
        <is>
          <t>K. Steyn</t>
        </is>
      </c>
      <c r="B80" s="36">
        <f t="array" ref="B80:C80">_xlfn.XLOOKUP(A80,'Player List'!$A$2:$A$177,'Player List'!$B$2:$C$177)</f>
        <v/>
      </c>
      <c r="C80" s="36" t="inlineStr">
        <is>
          <t>Back Three</t>
        </is>
      </c>
      <c r="D80" s="37" t="n">
        <v>80</v>
      </c>
      <c r="F80" s="37" t="n">
        <v>0</v>
      </c>
      <c r="G80" s="37" t="n">
        <v>0</v>
      </c>
      <c r="H80" s="37" t="n">
        <v>0</v>
      </c>
      <c r="I80" s="37" t="n">
        <v>6.8</v>
      </c>
      <c r="J80" s="37" t="n">
        <v>0</v>
      </c>
      <c r="K80" s="37" t="n">
        <v>0</v>
      </c>
      <c r="L80" s="37" t="n">
        <v>0</v>
      </c>
      <c r="M80" s="37" t="n">
        <v>0</v>
      </c>
      <c r="N80" s="37" t="n">
        <v>0</v>
      </c>
      <c r="O80" s="37" t="n">
        <v>0</v>
      </c>
      <c r="P80" s="37" t="n">
        <v>0</v>
      </c>
      <c r="Q80" s="37" t="n">
        <v>0</v>
      </c>
      <c r="R80" s="37" t="n">
        <v>0</v>
      </c>
      <c r="S80" s="37" t="n">
        <v>0</v>
      </c>
      <c r="T80" s="38" t="n">
        <v>6.8</v>
      </c>
      <c r="U80" s="37" t="n">
        <v>0</v>
      </c>
      <c r="V80" s="36" t="n">
        <v>0</v>
      </c>
      <c r="W80" t="n">
        <v>6.8</v>
      </c>
    </row>
    <row r="81">
      <c r="A81" s="36" t="inlineStr">
        <is>
          <t>D. van der Merwe</t>
        </is>
      </c>
      <c r="B81" s="36">
        <f t="array" ref="B81:C81">_xlfn.XLOOKUP(A81,'Player List'!$A$2:$A$177,'Player List'!$B$2:$C$177)</f>
        <v/>
      </c>
      <c r="C81" s="36" t="inlineStr">
        <is>
          <t>Back Three</t>
        </is>
      </c>
      <c r="D81" s="37" t="n">
        <v>80</v>
      </c>
      <c r="F81" s="37" t="n">
        <v>6</v>
      </c>
      <c r="G81" s="37" t="n">
        <v>7</v>
      </c>
      <c r="H81" s="37" t="n">
        <v>14</v>
      </c>
      <c r="I81" s="37" t="n">
        <v>12.8</v>
      </c>
      <c r="J81" s="37" t="n">
        <v>0</v>
      </c>
      <c r="K81" s="37" t="n">
        <v>0</v>
      </c>
      <c r="L81" s="37" t="n">
        <v>0</v>
      </c>
      <c r="M81" s="37" t="n">
        <v>0</v>
      </c>
      <c r="N81" s="37" t="n">
        <v>7</v>
      </c>
      <c r="O81" s="37" t="n">
        <v>0</v>
      </c>
      <c r="P81" s="37" t="n">
        <v>0</v>
      </c>
      <c r="Q81" s="37" t="n">
        <v>0</v>
      </c>
      <c r="R81" s="37" t="n">
        <v>0</v>
      </c>
      <c r="S81" s="37" t="n">
        <v>0</v>
      </c>
      <c r="T81" s="38" t="n">
        <v>46.8</v>
      </c>
      <c r="U81" s="37" t="n">
        <v>0</v>
      </c>
      <c r="V81" s="36" t="n">
        <v>0</v>
      </c>
      <c r="W81" t="n">
        <v>46.8</v>
      </c>
    </row>
    <row r="82">
      <c r="A82" s="36" t="inlineStr">
        <is>
          <t>C. Harris</t>
        </is>
      </c>
      <c r="B82" s="36">
        <f t="array" ref="B82:C82">_xlfn.XLOOKUP(A82,'Player List'!$A$2:$A$177,'Player List'!$B$2:$C$177)</f>
        <v/>
      </c>
      <c r="C82" s="36" t="inlineStr">
        <is>
          <t>Centre</t>
        </is>
      </c>
      <c r="D82" s="37" t="n">
        <v>4</v>
      </c>
      <c r="F82" s="37" t="n">
        <v>2</v>
      </c>
      <c r="G82" s="37" t="n">
        <v>0</v>
      </c>
      <c r="H82" s="37" t="n">
        <v>14</v>
      </c>
      <c r="I82" s="37" t="n">
        <v>20.8</v>
      </c>
      <c r="J82" s="37" t="n">
        <v>0</v>
      </c>
      <c r="K82" s="37" t="n">
        <v>0</v>
      </c>
      <c r="L82" s="37" t="n">
        <v>0</v>
      </c>
      <c r="M82" s="37" t="n">
        <v>30</v>
      </c>
      <c r="N82" s="37" t="n">
        <v>0</v>
      </c>
      <c r="O82" s="37" t="n">
        <v>0</v>
      </c>
      <c r="P82" s="37" t="n">
        <v>0</v>
      </c>
      <c r="Q82" s="37" t="n">
        <v>0</v>
      </c>
      <c r="R82" s="37" t="n">
        <v>0</v>
      </c>
      <c r="S82" s="37" t="n">
        <v>0</v>
      </c>
      <c r="T82" s="38" t="n">
        <v>66.8</v>
      </c>
      <c r="U82" s="37" t="n">
        <v>15</v>
      </c>
      <c r="V82" s="36" t="n">
        <v>0</v>
      </c>
      <c r="W82" t="n">
        <v>81.8</v>
      </c>
    </row>
    <row r="83">
      <c r="A83" s="36" t="inlineStr">
        <is>
          <t>H. Jones</t>
        </is>
      </c>
      <c r="B83" s="36">
        <f t="array" ref="B83:C83">_xlfn.XLOOKUP(A83,'Player List'!$A$2:$A$177,'Player List'!$B$2:$C$177)</f>
        <v/>
      </c>
      <c r="C83" s="36" t="inlineStr">
        <is>
          <t>Centre</t>
        </is>
      </c>
      <c r="D83" s="37" t="n">
        <v>76</v>
      </c>
      <c r="F83" s="37" t="n">
        <v>1</v>
      </c>
      <c r="G83" s="37" t="n">
        <v>0</v>
      </c>
      <c r="H83" s="37" t="n">
        <v>0</v>
      </c>
      <c r="I83" s="37" t="n">
        <v>0</v>
      </c>
      <c r="J83" s="37" t="n">
        <v>0</v>
      </c>
      <c r="K83" s="37" t="n">
        <v>0</v>
      </c>
      <c r="L83" s="37" t="n">
        <v>0</v>
      </c>
      <c r="M83" s="37" t="n">
        <v>0</v>
      </c>
      <c r="N83" s="37" t="n">
        <v>0</v>
      </c>
      <c r="O83" s="37" t="n">
        <v>0</v>
      </c>
      <c r="P83" s="37" t="n">
        <v>0</v>
      </c>
      <c r="Q83" s="37" t="n">
        <v>0</v>
      </c>
      <c r="R83" s="37" t="n">
        <v>0</v>
      </c>
      <c r="S83" s="37" t="n">
        <v>0</v>
      </c>
      <c r="T83" s="38" t="n">
        <v>1</v>
      </c>
      <c r="U83" s="37" t="n">
        <v>0</v>
      </c>
      <c r="V83" s="36" t="n">
        <v>0</v>
      </c>
      <c r="W83" t="n">
        <v>1</v>
      </c>
    </row>
    <row r="84">
      <c r="A84" s="36" t="inlineStr">
        <is>
          <t>S. Tuipulotu</t>
        </is>
      </c>
      <c r="B84" s="36">
        <f t="array" ref="B84:C84">_xlfn.XLOOKUP(A84,'Player List'!$A$2:$A$177,'Player List'!$B$2:$C$177)</f>
        <v/>
      </c>
      <c r="C84" s="36" t="inlineStr">
        <is>
          <t>Centre</t>
        </is>
      </c>
      <c r="D84" s="37" t="n">
        <v>80</v>
      </c>
      <c r="F84" s="37" t="n">
        <v>12</v>
      </c>
      <c r="G84" s="37" t="n">
        <v>0</v>
      </c>
      <c r="H84" s="37" t="n">
        <v>7</v>
      </c>
      <c r="I84" s="37" t="n">
        <v>9.4</v>
      </c>
      <c r="J84" s="37" t="n">
        <v>0</v>
      </c>
      <c r="K84" s="37" t="n">
        <v>0</v>
      </c>
      <c r="L84" s="37" t="n">
        <v>0</v>
      </c>
      <c r="M84" s="37" t="n">
        <v>15</v>
      </c>
      <c r="N84" s="37" t="n">
        <v>0</v>
      </c>
      <c r="O84" s="37" t="n">
        <v>0</v>
      </c>
      <c r="P84" s="37" t="n">
        <v>0</v>
      </c>
      <c r="Q84" s="37" t="n">
        <v>0</v>
      </c>
      <c r="R84" s="37" t="n">
        <v>0</v>
      </c>
      <c r="S84" s="37" t="n">
        <v>0</v>
      </c>
      <c r="T84" s="38" t="n">
        <v>43.4</v>
      </c>
      <c r="U84" s="37" t="n">
        <v>0</v>
      </c>
      <c r="V84" s="36" t="n">
        <v>0</v>
      </c>
      <c r="W84" t="n">
        <v>43.4</v>
      </c>
    </row>
    <row r="85">
      <c r="A85" s="36" t="inlineStr">
        <is>
          <t>F. Russell</t>
        </is>
      </c>
      <c r="B85" s="36">
        <f t="array" ref="B85:C85">_xlfn.XLOOKUP(A85,'Player List'!$A$2:$A$177,'Player List'!$B$2:$C$177)</f>
        <v/>
      </c>
      <c r="C85" s="36" t="inlineStr">
        <is>
          <t>Fly Half</t>
        </is>
      </c>
      <c r="D85" s="37" t="n">
        <v>80</v>
      </c>
      <c r="F85" s="37" t="n">
        <v>10</v>
      </c>
      <c r="G85" s="37" t="n">
        <v>7</v>
      </c>
      <c r="H85" s="37" t="n">
        <v>0</v>
      </c>
      <c r="I85" s="37" t="n">
        <v>12.6</v>
      </c>
      <c r="J85" s="37" t="n">
        <v>0</v>
      </c>
      <c r="K85" s="37" t="n">
        <v>0</v>
      </c>
      <c r="L85" s="37" t="n">
        <v>0</v>
      </c>
      <c r="M85" s="37" t="n">
        <v>0</v>
      </c>
      <c r="N85" s="37" t="n">
        <v>7</v>
      </c>
      <c r="O85" s="37" t="n">
        <v>0</v>
      </c>
      <c r="P85" s="37" t="n">
        <v>0</v>
      </c>
      <c r="Q85" s="37" t="n">
        <v>0</v>
      </c>
      <c r="R85" s="37" t="n">
        <v>0</v>
      </c>
      <c r="S85" s="37" t="n">
        <v>0</v>
      </c>
      <c r="T85" s="38" t="n">
        <v>36.6</v>
      </c>
      <c r="U85" s="37" t="n">
        <v>0</v>
      </c>
      <c r="V85" s="36" t="n">
        <v>0</v>
      </c>
      <c r="W85" t="n">
        <v>36.6</v>
      </c>
    </row>
    <row r="86">
      <c r="A86" s="36" t="inlineStr">
        <is>
          <t>G. Horne</t>
        </is>
      </c>
      <c r="B86" s="36">
        <f t="array" ref="B86:C86">_xlfn.XLOOKUP(A86,'Player List'!$A$2:$A$177,'Player List'!$B$2:$C$177)</f>
        <v/>
      </c>
      <c r="C86" s="36" t="inlineStr">
        <is>
          <t>Scrum Half</t>
        </is>
      </c>
      <c r="D86" s="37" t="n">
        <v>11</v>
      </c>
      <c r="F86" s="37" t="n">
        <v>10</v>
      </c>
      <c r="G86" s="37" t="n">
        <v>7</v>
      </c>
      <c r="H86" s="37" t="n">
        <v>0</v>
      </c>
      <c r="I86" s="37" t="n">
        <v>17</v>
      </c>
      <c r="J86" s="37" t="n">
        <v>0</v>
      </c>
      <c r="K86" s="37" t="n">
        <v>0</v>
      </c>
      <c r="L86" s="37" t="n">
        <v>0</v>
      </c>
      <c r="M86" s="37" t="n">
        <v>0</v>
      </c>
      <c r="N86" s="37" t="n">
        <v>0</v>
      </c>
      <c r="O86" s="37" t="n">
        <v>6</v>
      </c>
      <c r="P86" s="37" t="n">
        <v>5</v>
      </c>
      <c r="Q86" s="37" t="n">
        <v>0</v>
      </c>
      <c r="R86" s="37" t="n">
        <v>0</v>
      </c>
      <c r="S86" s="37" t="n">
        <v>0</v>
      </c>
      <c r="T86" s="38" t="n">
        <v>45</v>
      </c>
      <c r="U86" s="37" t="n">
        <v>0</v>
      </c>
      <c r="V86" s="36" t="n">
        <v>0</v>
      </c>
      <c r="W86" t="n">
        <v>45</v>
      </c>
    </row>
    <row r="87">
      <c r="A87" s="36" t="inlineStr">
        <is>
          <t>B. White</t>
        </is>
      </c>
      <c r="B87" s="36">
        <f t="array" ref="B87:C87">_xlfn.XLOOKUP(A87,'Player List'!$A$2:$A$177,'Player List'!$B$2:$C$177)</f>
        <v/>
      </c>
      <c r="C87" s="36" t="inlineStr">
        <is>
          <t>Scrum Half</t>
        </is>
      </c>
      <c r="D87" s="37" t="n">
        <v>69</v>
      </c>
      <c r="F87" s="37" t="n">
        <v>1</v>
      </c>
      <c r="G87" s="37" t="n">
        <v>0</v>
      </c>
      <c r="H87" s="37" t="n">
        <v>0</v>
      </c>
      <c r="I87" s="37" t="n">
        <v>0</v>
      </c>
      <c r="J87" s="37" t="n">
        <v>0</v>
      </c>
      <c r="K87" s="37" t="n">
        <v>0</v>
      </c>
      <c r="L87" s="37" t="n">
        <v>0</v>
      </c>
      <c r="M87" s="37" t="n">
        <v>0</v>
      </c>
      <c r="N87" s="37" t="n">
        <v>0</v>
      </c>
      <c r="O87" s="37" t="n">
        <v>0</v>
      </c>
      <c r="P87" s="37" t="n">
        <v>0</v>
      </c>
      <c r="Q87" s="37" t="n">
        <v>0</v>
      </c>
      <c r="R87" s="37" t="n">
        <v>0</v>
      </c>
      <c r="S87" s="37" t="n">
        <v>0</v>
      </c>
      <c r="T87" s="38" t="n">
        <v>1</v>
      </c>
      <c r="U87" s="37" t="n">
        <v>0</v>
      </c>
      <c r="V87" s="36" t="n">
        <v>0</v>
      </c>
      <c r="W87" t="n">
        <v>1</v>
      </c>
    </row>
    <row r="88">
      <c r="A88" s="36" t="inlineStr">
        <is>
          <t>L. Crosbie</t>
        </is>
      </c>
      <c r="B88" s="36">
        <f t="array" ref="B88:C88">_xlfn.XLOOKUP(A88,'Player List'!$A$2:$A$177,'Player List'!$B$2:$C$177)</f>
        <v/>
      </c>
      <c r="C88" s="36" t="inlineStr">
        <is>
          <t>Back Row</t>
        </is>
      </c>
      <c r="D88" s="37" t="n">
        <v>58</v>
      </c>
      <c r="F88" s="37" t="n">
        <v>9</v>
      </c>
      <c r="G88" s="37" t="n">
        <v>7</v>
      </c>
      <c r="H88" s="37" t="n">
        <v>7</v>
      </c>
      <c r="I88" s="37" t="n">
        <v>4.2</v>
      </c>
      <c r="J88" s="37" t="n">
        <v>0</v>
      </c>
      <c r="K88" s="37" t="n">
        <v>0</v>
      </c>
      <c r="L88" s="37" t="n">
        <v>0</v>
      </c>
      <c r="M88" s="37" t="n">
        <v>15</v>
      </c>
      <c r="N88" s="37" t="n">
        <v>0</v>
      </c>
      <c r="O88" s="37" t="n">
        <v>0</v>
      </c>
      <c r="P88" s="37" t="n">
        <v>0</v>
      </c>
      <c r="Q88" s="37" t="n">
        <v>0</v>
      </c>
      <c r="R88" s="37" t="n">
        <v>0</v>
      </c>
      <c r="S88" s="37" t="n">
        <v>0</v>
      </c>
      <c r="T88" s="38" t="n">
        <v>42.2</v>
      </c>
      <c r="U88" s="37" t="n">
        <v>0</v>
      </c>
      <c r="V88" s="36" t="n">
        <v>0</v>
      </c>
      <c r="W88" t="n">
        <v>42.2</v>
      </c>
    </row>
    <row r="89">
      <c r="A89" s="36" t="inlineStr">
        <is>
          <t>J. Dempsey</t>
        </is>
      </c>
      <c r="B89" s="36">
        <f t="array" ref="B89:C89">_xlfn.XLOOKUP(A89,'Player List'!$A$2:$A$177,'Player List'!$B$2:$C$177)</f>
        <v/>
      </c>
      <c r="C89" s="36" t="inlineStr">
        <is>
          <t>Back Row</t>
        </is>
      </c>
      <c r="D89" s="37" t="n">
        <v>22</v>
      </c>
      <c r="F89" s="37" t="n">
        <v>17</v>
      </c>
      <c r="G89" s="37" t="n">
        <v>21</v>
      </c>
      <c r="H89" s="37" t="n">
        <v>0</v>
      </c>
      <c r="I89" s="37" t="n">
        <v>1.8</v>
      </c>
      <c r="J89" s="37" t="n">
        <v>0</v>
      </c>
      <c r="K89" s="37" t="n">
        <v>0</v>
      </c>
      <c r="L89" s="37" t="n">
        <v>0</v>
      </c>
      <c r="M89" s="37" t="n">
        <v>0</v>
      </c>
      <c r="N89" s="37" t="n">
        <v>0</v>
      </c>
      <c r="O89" s="37" t="n">
        <v>0</v>
      </c>
      <c r="P89" s="37" t="n">
        <v>0</v>
      </c>
      <c r="Q89" s="37" t="n">
        <v>0</v>
      </c>
      <c r="R89" s="37" t="n">
        <v>0</v>
      </c>
      <c r="S89" s="37" t="n">
        <v>0</v>
      </c>
      <c r="T89" s="38" t="n">
        <v>39.8</v>
      </c>
      <c r="U89" s="37" t="n">
        <v>0</v>
      </c>
      <c r="V89" s="36" t="n">
        <v>0</v>
      </c>
      <c r="W89" t="n">
        <v>39.8</v>
      </c>
    </row>
    <row r="90">
      <c r="A90" s="36" t="inlineStr">
        <is>
          <t>M. Fagerson</t>
        </is>
      </c>
      <c r="B90" s="36">
        <f t="array" ref="B90:C90">_xlfn.XLOOKUP(A90,'Player List'!$A$2:$A$177,'Player List'!$B$2:$C$177)</f>
        <v/>
      </c>
      <c r="C90" s="36" t="inlineStr">
        <is>
          <t>Back Row</t>
        </is>
      </c>
      <c r="D90" s="37" t="n">
        <v>80</v>
      </c>
      <c r="F90" s="37" t="n">
        <v>6</v>
      </c>
      <c r="G90" s="37" t="n">
        <v>0</v>
      </c>
      <c r="H90" s="37" t="n">
        <v>0</v>
      </c>
      <c r="I90" s="37" t="n">
        <v>2.6</v>
      </c>
      <c r="J90" s="37" t="n">
        <v>0</v>
      </c>
      <c r="K90" s="37" t="n">
        <v>0</v>
      </c>
      <c r="L90" s="37" t="n">
        <v>0</v>
      </c>
      <c r="M90" s="37" t="n">
        <v>0</v>
      </c>
      <c r="N90" s="37" t="n">
        <v>0</v>
      </c>
      <c r="O90" s="37" t="n">
        <v>0</v>
      </c>
      <c r="P90" s="37" t="n">
        <v>0</v>
      </c>
      <c r="Q90" s="37" t="n">
        <v>0</v>
      </c>
      <c r="R90" s="37" t="n">
        <v>0</v>
      </c>
      <c r="S90" s="37" t="n">
        <v>0</v>
      </c>
      <c r="T90" s="38" t="n">
        <v>8.6</v>
      </c>
      <c r="U90" s="37" t="n">
        <v>0</v>
      </c>
      <c r="V90" s="36" t="n">
        <v>0</v>
      </c>
      <c r="W90" t="n">
        <v>8.6</v>
      </c>
    </row>
    <row r="91">
      <c r="A91" s="36" t="inlineStr">
        <is>
          <t>J. Ritchie</t>
        </is>
      </c>
      <c r="B91" s="36">
        <f t="array" ref="B91:C91">_xlfn.XLOOKUP(A91,'Player List'!$A$2:$A$177,'Player List'!$B$2:$C$177)</f>
        <v/>
      </c>
      <c r="C91" s="36" t="inlineStr">
        <is>
          <t>Back Row</t>
        </is>
      </c>
      <c r="D91" s="37" t="n">
        <v>80</v>
      </c>
      <c r="F91" s="37" t="n">
        <v>24</v>
      </c>
      <c r="G91" s="37" t="n">
        <v>14</v>
      </c>
      <c r="H91" s="37" t="n">
        <v>0</v>
      </c>
      <c r="I91" s="37" t="n">
        <v>6.2</v>
      </c>
      <c r="J91" s="37" t="n">
        <v>0</v>
      </c>
      <c r="K91" s="37" t="n">
        <v>0</v>
      </c>
      <c r="L91" s="37" t="n">
        <v>0</v>
      </c>
      <c r="M91" s="37" t="n">
        <v>0</v>
      </c>
      <c r="N91" s="37" t="n">
        <v>7</v>
      </c>
      <c r="O91" s="37" t="n">
        <v>0</v>
      </c>
      <c r="P91" s="37" t="n">
        <v>0</v>
      </c>
      <c r="Q91" s="37" t="n">
        <v>0</v>
      </c>
      <c r="R91" s="37" t="n">
        <v>0</v>
      </c>
      <c r="S91" s="37" t="n">
        <v>0</v>
      </c>
      <c r="T91" s="38" t="n">
        <v>51.2</v>
      </c>
      <c r="U91" s="37" t="n">
        <v>0</v>
      </c>
      <c r="V91" s="36" t="n">
        <v>0</v>
      </c>
      <c r="W91" t="n">
        <v>51.2</v>
      </c>
    </row>
    <row r="92">
      <c r="A92" s="36" t="inlineStr">
        <is>
          <t>G. Gilchrist</t>
        </is>
      </c>
      <c r="B92" s="36">
        <f t="array" ref="B92:C92">_xlfn.XLOOKUP(A92,'Player List'!$A$2:$A$177,'Player List'!$B$2:$C$177)</f>
        <v/>
      </c>
      <c r="C92" s="36" t="inlineStr">
        <is>
          <t>Second Row</t>
        </is>
      </c>
      <c r="D92" s="37" t="n">
        <v>66</v>
      </c>
      <c r="F92" s="37" t="n">
        <v>11</v>
      </c>
      <c r="G92" s="37" t="n">
        <v>14</v>
      </c>
      <c r="H92" s="37" t="n">
        <v>0</v>
      </c>
      <c r="I92" s="37" t="n">
        <v>6.2</v>
      </c>
      <c r="J92" s="37" t="n">
        <v>0</v>
      </c>
      <c r="K92" s="37" t="n">
        <v>0</v>
      </c>
      <c r="L92" s="37" t="n">
        <v>7</v>
      </c>
      <c r="M92" s="37" t="n">
        <v>0</v>
      </c>
      <c r="N92" s="37" t="n">
        <v>0</v>
      </c>
      <c r="O92" s="37" t="n">
        <v>0</v>
      </c>
      <c r="P92" s="37" t="n">
        <v>0</v>
      </c>
      <c r="Q92" s="37" t="n">
        <v>0</v>
      </c>
      <c r="R92" s="37" t="n">
        <v>0</v>
      </c>
      <c r="S92" s="37" t="n">
        <v>0</v>
      </c>
      <c r="T92" s="38" t="n">
        <v>38.2</v>
      </c>
      <c r="U92" s="37" t="n">
        <v>0</v>
      </c>
      <c r="V92" s="36" t="n">
        <v>0</v>
      </c>
      <c r="W92" t="n">
        <v>38.2</v>
      </c>
    </row>
    <row r="93">
      <c r="A93" s="36" t="inlineStr">
        <is>
          <t>J. Gray</t>
        </is>
      </c>
      <c r="B93" s="36">
        <f t="array" ref="B93:C93">_xlfn.XLOOKUP(A93,'Player List'!$A$2:$A$177,'Player List'!$B$2:$C$177)</f>
        <v/>
      </c>
      <c r="C93" s="36" t="inlineStr">
        <is>
          <t>Second Row</t>
        </is>
      </c>
      <c r="D93" s="37" t="n">
        <v>14</v>
      </c>
      <c r="F93" s="37" t="n">
        <v>13</v>
      </c>
      <c r="G93" s="37" t="n">
        <v>7</v>
      </c>
      <c r="H93" s="37" t="n">
        <v>0</v>
      </c>
      <c r="I93" s="37" t="n">
        <v>0.8</v>
      </c>
      <c r="J93" s="37" t="n">
        <v>0</v>
      </c>
      <c r="K93" s="37" t="n">
        <v>7</v>
      </c>
      <c r="L93" s="37" t="n">
        <v>0</v>
      </c>
      <c r="M93" s="37" t="n">
        <v>0</v>
      </c>
      <c r="N93" s="37" t="n">
        <v>0</v>
      </c>
      <c r="O93" s="37" t="n">
        <v>0</v>
      </c>
      <c r="P93" s="37" t="n">
        <v>0</v>
      </c>
      <c r="Q93" s="37" t="n">
        <v>0</v>
      </c>
      <c r="R93" s="37" t="n">
        <v>0</v>
      </c>
      <c r="S93" s="37" t="n">
        <v>0</v>
      </c>
      <c r="T93" s="38" t="n">
        <v>27.8</v>
      </c>
      <c r="U93" s="37" t="n">
        <v>0</v>
      </c>
      <c r="V93" s="36" t="n">
        <v>0</v>
      </c>
      <c r="W93" t="n">
        <v>27.8</v>
      </c>
    </row>
    <row r="94">
      <c r="A94" s="36" t="inlineStr">
        <is>
          <t>R. Gray</t>
        </is>
      </c>
      <c r="B94" s="36">
        <f t="array" ref="B94:C94">_xlfn.XLOOKUP(A94,'Player List'!$A$2:$A$177,'Player List'!$B$2:$C$177)</f>
        <v/>
      </c>
      <c r="C94" s="36" t="inlineStr">
        <is>
          <t>Second Row</t>
        </is>
      </c>
      <c r="D94" s="37" t="n">
        <v>80</v>
      </c>
      <c r="F94" s="37" t="n">
        <v>3</v>
      </c>
      <c r="G94" s="37" t="n">
        <v>7</v>
      </c>
      <c r="H94" s="37" t="n">
        <v>0</v>
      </c>
      <c r="I94" s="37" t="n">
        <v>1.4</v>
      </c>
      <c r="J94" s="37" t="n">
        <v>0</v>
      </c>
      <c r="K94" s="37" t="n">
        <v>0</v>
      </c>
      <c r="L94" s="37" t="n">
        <v>0</v>
      </c>
      <c r="M94" s="37" t="n">
        <v>0</v>
      </c>
      <c r="N94" s="37" t="n">
        <v>0</v>
      </c>
      <c r="O94" s="37" t="n">
        <v>0</v>
      </c>
      <c r="P94" s="37" t="n">
        <v>0</v>
      </c>
      <c r="Q94" s="37" t="n">
        <v>0</v>
      </c>
      <c r="R94" s="37" t="n">
        <v>0</v>
      </c>
      <c r="S94" s="37" t="n">
        <v>0</v>
      </c>
      <c r="T94" s="38" t="n">
        <v>11.4</v>
      </c>
      <c r="U94" s="37" t="n">
        <v>0</v>
      </c>
      <c r="V94" s="36" t="n">
        <v>0</v>
      </c>
      <c r="W94" t="n">
        <v>11.4</v>
      </c>
    </row>
    <row r="95">
      <c r="A95" s="36" t="inlineStr">
        <is>
          <t>S. Berghan</t>
        </is>
      </c>
      <c r="B95" s="36">
        <f t="array" ref="B95:C95">_xlfn.XLOOKUP(A95,'Player List'!$A$2:$A$177,'Player List'!$B$2:$C$177)</f>
        <v/>
      </c>
      <c r="C95" s="36" t="inlineStr">
        <is>
          <t>Prop</t>
        </is>
      </c>
      <c r="D95" s="37" t="n">
        <v>22</v>
      </c>
      <c r="F95" s="37" t="n">
        <v>15</v>
      </c>
      <c r="G95" s="37" t="n">
        <v>14</v>
      </c>
      <c r="H95" s="37" t="n">
        <v>0</v>
      </c>
      <c r="I95" s="37" t="n">
        <v>1.2</v>
      </c>
      <c r="J95" s="37" t="n">
        <v>0</v>
      </c>
      <c r="K95" s="37" t="n">
        <v>0</v>
      </c>
      <c r="L95" s="37" t="n">
        <v>0</v>
      </c>
      <c r="M95" s="37" t="n">
        <v>0</v>
      </c>
      <c r="N95" s="37" t="n">
        <v>0</v>
      </c>
      <c r="O95" s="37" t="n">
        <v>0</v>
      </c>
      <c r="P95" s="37" t="n">
        <v>0</v>
      </c>
      <c r="Q95" s="37" t="n">
        <v>0</v>
      </c>
      <c r="R95" s="37" t="n">
        <v>0</v>
      </c>
      <c r="S95" s="37" t="n">
        <v>0</v>
      </c>
      <c r="T95" s="38" t="n">
        <v>30.2</v>
      </c>
      <c r="U95" s="37" t="n">
        <v>0</v>
      </c>
      <c r="V95" s="36" t="n">
        <v>0</v>
      </c>
      <c r="W95" t="n">
        <v>30.2</v>
      </c>
    </row>
    <row r="96">
      <c r="A96" s="36" t="inlineStr">
        <is>
          <t>J. Bhatti</t>
        </is>
      </c>
      <c r="B96" s="36">
        <f t="array" ref="B96:C96">_xlfn.XLOOKUP(A96,'Player List'!$A$2:$A$177,'Player List'!$B$2:$C$177)</f>
        <v/>
      </c>
      <c r="C96" s="36" t="inlineStr">
        <is>
          <t>Prop</t>
        </is>
      </c>
      <c r="D96" s="37" t="n">
        <v>14</v>
      </c>
      <c r="F96" s="37" t="n">
        <v>8</v>
      </c>
      <c r="G96" s="37" t="n">
        <v>0</v>
      </c>
      <c r="H96" s="37" t="n">
        <v>0</v>
      </c>
      <c r="I96" s="37" t="n">
        <v>0</v>
      </c>
      <c r="J96" s="37" t="n">
        <v>0</v>
      </c>
      <c r="K96" s="37" t="n">
        <v>0</v>
      </c>
      <c r="L96" s="37" t="n">
        <v>0</v>
      </c>
      <c r="M96" s="37" t="n">
        <v>0</v>
      </c>
      <c r="N96" s="37" t="n">
        <v>0</v>
      </c>
      <c r="O96" s="37" t="n">
        <v>0</v>
      </c>
      <c r="P96" s="37" t="n">
        <v>0</v>
      </c>
      <c r="Q96" s="37" t="n">
        <v>0</v>
      </c>
      <c r="R96" s="37" t="n">
        <v>0</v>
      </c>
      <c r="S96" s="37" t="n">
        <v>0</v>
      </c>
      <c r="T96" s="38" t="n">
        <v>8</v>
      </c>
      <c r="U96" s="37" t="n">
        <v>0</v>
      </c>
      <c r="V96" s="36" t="n">
        <v>0</v>
      </c>
      <c r="W96" t="n">
        <v>8</v>
      </c>
    </row>
    <row r="97">
      <c r="A97" s="36" t="inlineStr">
        <is>
          <t>W. Nel</t>
        </is>
      </c>
      <c r="B97" s="36">
        <f t="array" ref="B97:C97">_xlfn.XLOOKUP(A97,'Player List'!$A$2:$A$177,'Player List'!$B$2:$C$177)</f>
        <v/>
      </c>
      <c r="C97" s="36" t="inlineStr">
        <is>
          <t>Prop</t>
        </is>
      </c>
      <c r="D97" s="37" t="n">
        <v>58</v>
      </c>
      <c r="F97" s="37" t="n">
        <v>3</v>
      </c>
      <c r="G97" s="37" t="n">
        <v>0</v>
      </c>
      <c r="H97" s="37" t="n">
        <v>0</v>
      </c>
      <c r="I97" s="37" t="n">
        <v>0.4</v>
      </c>
      <c r="J97" s="37" t="n">
        <v>0</v>
      </c>
      <c r="K97" s="37" t="n">
        <v>0</v>
      </c>
      <c r="L97" s="37" t="n">
        <v>0</v>
      </c>
      <c r="M97" s="37" t="n">
        <v>0</v>
      </c>
      <c r="N97" s="37" t="n">
        <v>0</v>
      </c>
      <c r="O97" s="37" t="n">
        <v>0</v>
      </c>
      <c r="P97" s="37" t="n">
        <v>0</v>
      </c>
      <c r="Q97" s="37" t="n">
        <v>0</v>
      </c>
      <c r="R97" s="37" t="n">
        <v>0</v>
      </c>
      <c r="S97" s="37" t="n">
        <v>0</v>
      </c>
      <c r="T97" s="38" t="n">
        <v>3.4</v>
      </c>
      <c r="U97" s="37" t="n">
        <v>0</v>
      </c>
      <c r="V97" s="36" t="n">
        <v>0</v>
      </c>
      <c r="W97" t="n">
        <v>3.4</v>
      </c>
    </row>
    <row r="98">
      <c r="A98" s="36" t="inlineStr">
        <is>
          <t>P. Schoeman</t>
        </is>
      </c>
      <c r="B98" s="36">
        <f t="array" ref="B98:C98">_xlfn.XLOOKUP(A98,'Player List'!$A$2:$A$177,'Player List'!$B$2:$C$177)</f>
        <v/>
      </c>
      <c r="C98" s="36" t="inlineStr">
        <is>
          <t>Prop</t>
        </is>
      </c>
      <c r="D98" s="37" t="n">
        <v>66</v>
      </c>
      <c r="F98" s="37" t="n">
        <v>11</v>
      </c>
      <c r="G98" s="37" t="n">
        <v>0</v>
      </c>
      <c r="H98" s="37" t="n">
        <v>0</v>
      </c>
      <c r="I98" s="37" t="n">
        <v>0.6</v>
      </c>
      <c r="J98" s="37" t="n">
        <v>0</v>
      </c>
      <c r="K98" s="37" t="n">
        <v>0</v>
      </c>
      <c r="L98" s="37" t="n">
        <v>0</v>
      </c>
      <c r="M98" s="37" t="n">
        <v>0</v>
      </c>
      <c r="N98" s="37" t="n">
        <v>0</v>
      </c>
      <c r="O98" s="37" t="n">
        <v>0</v>
      </c>
      <c r="P98" s="37" t="n">
        <v>0</v>
      </c>
      <c r="Q98" s="37" t="n">
        <v>0</v>
      </c>
      <c r="R98" s="37" t="n">
        <v>0</v>
      </c>
      <c r="S98" s="37" t="n">
        <v>0</v>
      </c>
      <c r="T98" s="38" t="n">
        <v>11.6</v>
      </c>
      <c r="U98" s="37" t="n">
        <v>0</v>
      </c>
      <c r="V98" s="36" t="n">
        <v>0</v>
      </c>
      <c r="W98" t="n">
        <v>11.6</v>
      </c>
    </row>
    <row r="99">
      <c r="A99" s="36" t="inlineStr">
        <is>
          <t>F. Brown</t>
        </is>
      </c>
      <c r="B99" s="36">
        <f t="array" ref="B99:C99">_xlfn.XLOOKUP(A99,'Player List'!$A$2:$A$177,'Player List'!$B$2:$C$177)</f>
        <v/>
      </c>
      <c r="C99" s="36" t="inlineStr">
        <is>
          <t>Hooker</t>
        </is>
      </c>
      <c r="D99" s="37" t="n">
        <v>22</v>
      </c>
      <c r="F99" s="37" t="n">
        <v>15</v>
      </c>
      <c r="G99" s="37" t="n">
        <v>0</v>
      </c>
      <c r="H99" s="37" t="n">
        <v>0</v>
      </c>
      <c r="I99" s="37" t="n">
        <v>5</v>
      </c>
      <c r="J99" s="37" t="n">
        <v>0</v>
      </c>
      <c r="K99" s="37" t="n">
        <v>0</v>
      </c>
      <c r="L99" s="37" t="n">
        <v>0</v>
      </c>
      <c r="M99" s="37" t="n">
        <v>0</v>
      </c>
      <c r="N99" s="37" t="n">
        <v>0</v>
      </c>
      <c r="O99" s="37" t="n">
        <v>0</v>
      </c>
      <c r="P99" s="37" t="n">
        <v>0</v>
      </c>
      <c r="Q99" s="37" t="n">
        <v>0</v>
      </c>
      <c r="R99" s="37" t="n">
        <v>0</v>
      </c>
      <c r="S99" s="37" t="n">
        <v>0</v>
      </c>
      <c r="T99" s="38" t="n">
        <v>20</v>
      </c>
      <c r="U99" s="37" t="n">
        <v>0</v>
      </c>
      <c r="V99" s="36" t="n">
        <v>0</v>
      </c>
      <c r="W99" t="n">
        <v>20</v>
      </c>
    </row>
    <row r="100">
      <c r="A100" s="36" t="inlineStr">
        <is>
          <t>G. Turner</t>
        </is>
      </c>
      <c r="B100" s="36">
        <f t="array" ref="B100:C100">_xlfn.XLOOKUP(A100,'Player List'!$A$2:$A$177,'Player List'!$B$2:$C$177)</f>
        <v/>
      </c>
      <c r="C100" s="36" t="inlineStr">
        <is>
          <t>Hooker</t>
        </is>
      </c>
      <c r="D100" s="37" t="n">
        <v>58</v>
      </c>
      <c r="F100" s="37" t="n">
        <v>3</v>
      </c>
      <c r="G100" s="37" t="n">
        <v>0</v>
      </c>
      <c r="H100" s="37" t="n">
        <v>0</v>
      </c>
      <c r="I100" s="37" t="n">
        <v>0.4</v>
      </c>
      <c r="J100" s="37" t="n">
        <v>0</v>
      </c>
      <c r="K100" s="37" t="n">
        <v>0</v>
      </c>
      <c r="L100" s="37" t="n">
        <v>0</v>
      </c>
      <c r="M100" s="37" t="n">
        <v>0</v>
      </c>
      <c r="N100" s="37" t="n">
        <v>0</v>
      </c>
      <c r="O100" s="37" t="n">
        <v>0</v>
      </c>
      <c r="P100" s="37" t="n">
        <v>0</v>
      </c>
      <c r="Q100" s="37" t="n">
        <v>0</v>
      </c>
      <c r="R100" s="37" t="n">
        <v>0</v>
      </c>
      <c r="S100" s="37" t="n">
        <v>0</v>
      </c>
      <c r="T100" s="38" t="n">
        <v>3.4</v>
      </c>
      <c r="U100" s="37" t="n">
        <v>0</v>
      </c>
      <c r="V100" s="36" t="n">
        <v>0</v>
      </c>
      <c r="W100" t="n">
        <v>3.4</v>
      </c>
    </row>
    <row r="101">
      <c r="A101" s="36" t="inlineStr">
        <is>
          <t>P. Bruno</t>
        </is>
      </c>
      <c r="B101" s="36">
        <f t="array" ref="B101:C101">_xlfn.XLOOKUP(A101,'Player List'!$A$2:$A$177,'Player List'!$B$2:$C$177)</f>
        <v/>
      </c>
      <c r="C101" s="36" t="inlineStr">
        <is>
          <t>Back Three</t>
        </is>
      </c>
      <c r="D101" s="37" t="n">
        <v>66</v>
      </c>
      <c r="F101" s="37" t="n">
        <v>11</v>
      </c>
      <c r="G101" s="37" t="n">
        <v>14</v>
      </c>
      <c r="H101" s="37" t="n">
        <v>0</v>
      </c>
      <c r="I101" s="37" t="n">
        <v>4.2</v>
      </c>
      <c r="J101" s="37" t="n">
        <v>0</v>
      </c>
      <c r="K101" s="37" t="n">
        <v>7</v>
      </c>
      <c r="L101" s="37" t="n">
        <v>0</v>
      </c>
      <c r="M101" s="37" t="n">
        <v>0</v>
      </c>
      <c r="N101" s="37" t="n">
        <v>0</v>
      </c>
      <c r="O101" s="37" t="n">
        <v>0</v>
      </c>
      <c r="P101" s="37" t="n">
        <v>0</v>
      </c>
      <c r="Q101" s="37" t="n">
        <v>0</v>
      </c>
      <c r="R101" s="37" t="n">
        <v>0</v>
      </c>
      <c r="S101" s="37" t="n">
        <v>0</v>
      </c>
      <c r="T101" s="38" t="n">
        <v>36.2</v>
      </c>
      <c r="U101" s="37" t="n">
        <v>0</v>
      </c>
      <c r="V101" s="36" t="n">
        <v>0</v>
      </c>
      <c r="W101" t="n">
        <v>36.2</v>
      </c>
    </row>
    <row r="102">
      <c r="A102" s="36" t="inlineStr">
        <is>
          <t>A. Capuozzo</t>
        </is>
      </c>
      <c r="B102" s="36">
        <f t="array" ref="B102:C102">_xlfn.XLOOKUP(A102,'Player List'!$A$2:$A$177,'Player List'!$B$2:$C$177)</f>
        <v/>
      </c>
      <c r="C102" s="36" t="inlineStr">
        <is>
          <t>Back Three</t>
        </is>
      </c>
      <c r="D102" s="37" t="n">
        <v>80</v>
      </c>
      <c r="F102" s="37" t="n">
        <v>6</v>
      </c>
      <c r="G102" s="37" t="n">
        <v>0</v>
      </c>
      <c r="H102" s="37" t="n">
        <v>0</v>
      </c>
      <c r="I102" s="37" t="n">
        <v>9.199999999999999</v>
      </c>
      <c r="J102" s="37" t="n">
        <v>0</v>
      </c>
      <c r="K102" s="37" t="n">
        <v>0</v>
      </c>
      <c r="L102" s="37" t="n">
        <v>0</v>
      </c>
      <c r="M102" s="37" t="n">
        <v>0</v>
      </c>
      <c r="N102" s="37" t="n">
        <v>0</v>
      </c>
      <c r="O102" s="37" t="n">
        <v>0</v>
      </c>
      <c r="P102" s="37" t="n">
        <v>0</v>
      </c>
      <c r="Q102" s="37" t="n">
        <v>0</v>
      </c>
      <c r="R102" s="37" t="n">
        <v>0</v>
      </c>
      <c r="S102" s="37" t="n">
        <v>0</v>
      </c>
      <c r="T102" s="38" t="n">
        <v>15.2</v>
      </c>
      <c r="U102" s="37" t="n">
        <v>0</v>
      </c>
      <c r="V102" s="36" t="n">
        <v>0</v>
      </c>
      <c r="W102" t="n">
        <v>15.2</v>
      </c>
    </row>
    <row r="103">
      <c r="A103" s="36" t="inlineStr">
        <is>
          <t>A. Fusco</t>
        </is>
      </c>
      <c r="B103" s="36">
        <f t="array" ref="B103:C103">_xlfn.XLOOKUP(A103,'Player List'!$A$2:$A$177,'Player List'!$B$2:$C$177)</f>
        <v/>
      </c>
      <c r="C103" s="36" t="inlineStr">
        <is>
          <t>Back Three</t>
        </is>
      </c>
      <c r="D103" s="37" t="n">
        <v>6</v>
      </c>
      <c r="F103" s="37" t="n">
        <v>0</v>
      </c>
      <c r="G103" s="37" t="n">
        <v>0</v>
      </c>
      <c r="H103" s="37" t="n">
        <v>0</v>
      </c>
      <c r="I103" s="37" t="n">
        <v>22.8</v>
      </c>
      <c r="J103" s="37" t="n">
        <v>0</v>
      </c>
      <c r="K103" s="37" t="n">
        <v>0</v>
      </c>
      <c r="L103" s="37" t="n">
        <v>0</v>
      </c>
      <c r="M103" s="37" t="n">
        <v>15</v>
      </c>
      <c r="N103" s="37" t="n">
        <v>0</v>
      </c>
      <c r="O103" s="37" t="n">
        <v>0</v>
      </c>
      <c r="P103" s="37" t="n">
        <v>0</v>
      </c>
      <c r="Q103" s="37" t="n">
        <v>0</v>
      </c>
      <c r="R103" s="37" t="n">
        <v>0</v>
      </c>
      <c r="S103" s="37" t="n">
        <v>0</v>
      </c>
      <c r="T103" s="38" t="n">
        <v>37.8</v>
      </c>
      <c r="U103" s="37" t="n">
        <v>0</v>
      </c>
      <c r="V103" s="36" t="n">
        <v>0</v>
      </c>
      <c r="W103" t="n">
        <v>37.8</v>
      </c>
    </row>
    <row r="104">
      <c r="A104" s="36" t="inlineStr">
        <is>
          <t>T. Menoncello</t>
        </is>
      </c>
      <c r="B104" s="36">
        <f t="array" ref="B104:C104">_xlfn.XLOOKUP(A104,'Player List'!$A$2:$A$177,'Player List'!$B$2:$C$177)</f>
        <v/>
      </c>
      <c r="C104" s="36" t="inlineStr">
        <is>
          <t>Back Three</t>
        </is>
      </c>
      <c r="D104" s="37" t="n">
        <v>80</v>
      </c>
      <c r="F104" s="37" t="n">
        <v>0</v>
      </c>
      <c r="G104" s="37" t="n">
        <v>0</v>
      </c>
      <c r="H104" s="37" t="n">
        <v>0</v>
      </c>
      <c r="I104" s="37" t="n">
        <v>0</v>
      </c>
      <c r="J104" s="37" t="n">
        <v>0</v>
      </c>
      <c r="K104" s="37" t="n">
        <v>0</v>
      </c>
      <c r="L104" s="37" t="n">
        <v>0</v>
      </c>
      <c r="M104" s="37" t="n">
        <v>0</v>
      </c>
      <c r="N104" s="37" t="n">
        <v>0</v>
      </c>
      <c r="O104" s="37" t="n">
        <v>0</v>
      </c>
      <c r="P104" s="37" t="n">
        <v>0</v>
      </c>
      <c r="Q104" s="37" t="n">
        <v>0</v>
      </c>
      <c r="R104" s="37" t="n">
        <v>0</v>
      </c>
      <c r="S104" s="37" t="n">
        <v>0</v>
      </c>
      <c r="T104" s="38" t="n">
        <v>0</v>
      </c>
      <c r="U104" s="37" t="n">
        <v>0</v>
      </c>
      <c r="V104" s="36" t="n">
        <v>0</v>
      </c>
      <c r="W104" t="n">
        <v>0</v>
      </c>
    </row>
    <row r="105">
      <c r="A105" s="36" t="inlineStr">
        <is>
          <t>E. Padovani</t>
        </is>
      </c>
      <c r="B105" s="36">
        <f t="array" ref="B105:C105">_xlfn.XLOOKUP(A105,'Player List'!$A$2:$A$177,'Player List'!$B$2:$C$177)</f>
        <v/>
      </c>
      <c r="C105" s="36" t="inlineStr">
        <is>
          <t>Back Three</t>
        </is>
      </c>
      <c r="D105" s="37" t="n">
        <v>14</v>
      </c>
      <c r="F105" s="37" t="n">
        <v>0</v>
      </c>
      <c r="G105" s="37" t="n">
        <v>0</v>
      </c>
      <c r="H105" s="37" t="n">
        <v>7</v>
      </c>
      <c r="I105" s="37" t="n">
        <v>7.6</v>
      </c>
      <c r="J105" s="37" t="n">
        <v>0</v>
      </c>
      <c r="K105" s="37" t="n">
        <v>0</v>
      </c>
      <c r="L105" s="37" t="n">
        <v>0</v>
      </c>
      <c r="M105" s="37" t="n">
        <v>0</v>
      </c>
      <c r="N105" s="37" t="n">
        <v>0</v>
      </c>
      <c r="O105" s="37" t="n">
        <v>0</v>
      </c>
      <c r="P105" s="37" t="n">
        <v>0</v>
      </c>
      <c r="Q105" s="37" t="n">
        <v>0</v>
      </c>
      <c r="R105" s="37" t="n">
        <v>0</v>
      </c>
      <c r="S105" s="37" t="n">
        <v>0</v>
      </c>
      <c r="T105" s="38" t="n">
        <v>14.6</v>
      </c>
      <c r="U105" s="37" t="n">
        <v>0</v>
      </c>
      <c r="V105" s="36" t="n">
        <v>0</v>
      </c>
      <c r="W105" t="n">
        <v>14.6</v>
      </c>
    </row>
    <row r="106">
      <c r="A106" s="36" t="inlineStr">
        <is>
          <t>J. Brex</t>
        </is>
      </c>
      <c r="B106" s="36">
        <f t="array" ref="B106:C106">_xlfn.XLOOKUP(A106,'Player List'!$A$2:$A$177,'Player List'!$B$2:$C$177)</f>
        <v/>
      </c>
      <c r="C106" s="36" t="inlineStr">
        <is>
          <t>Centre</t>
        </is>
      </c>
      <c r="D106" s="37" t="n">
        <v>80</v>
      </c>
      <c r="F106" s="37" t="n">
        <v>1</v>
      </c>
      <c r="G106" s="37" t="n">
        <v>0</v>
      </c>
      <c r="H106" s="37" t="n">
        <v>0</v>
      </c>
      <c r="I106" s="37" t="n">
        <v>2.8</v>
      </c>
      <c r="J106" s="37" t="n">
        <v>0</v>
      </c>
      <c r="K106" s="37" t="n">
        <v>0</v>
      </c>
      <c r="L106" s="37" t="n">
        <v>0</v>
      </c>
      <c r="M106" s="37" t="n">
        <v>0</v>
      </c>
      <c r="N106" s="37" t="n">
        <v>0</v>
      </c>
      <c r="O106" s="37" t="n">
        <v>0</v>
      </c>
      <c r="P106" s="37" t="n">
        <v>0</v>
      </c>
      <c r="Q106" s="37" t="n">
        <v>0</v>
      </c>
      <c r="R106" s="37" t="n">
        <v>0</v>
      </c>
      <c r="S106" s="37" t="n">
        <v>0</v>
      </c>
      <c r="T106" s="38" t="n">
        <v>3.8</v>
      </c>
      <c r="U106" s="37" t="n">
        <v>0</v>
      </c>
      <c r="V106" s="36" t="n">
        <v>0</v>
      </c>
      <c r="W106" t="n">
        <v>3.8</v>
      </c>
    </row>
    <row r="107">
      <c r="A107" s="36" t="inlineStr">
        <is>
          <t>L. Morisi</t>
        </is>
      </c>
      <c r="B107" s="36">
        <f t="array" ref="B107:C107">_xlfn.XLOOKUP(A107,'Player List'!$A$2:$A$177,'Player List'!$B$2:$C$177)</f>
        <v/>
      </c>
      <c r="C107" s="36" t="inlineStr">
        <is>
          <t>Centre</t>
        </is>
      </c>
      <c r="D107" s="37" t="n">
        <v>80</v>
      </c>
      <c r="F107" s="37" t="n">
        <v>4</v>
      </c>
      <c r="G107" s="37" t="n">
        <v>0</v>
      </c>
      <c r="H107" s="37" t="n">
        <v>0</v>
      </c>
      <c r="I107" s="37" t="n">
        <v>18</v>
      </c>
      <c r="J107" s="37" t="n">
        <v>0</v>
      </c>
      <c r="K107" s="37" t="n">
        <v>0</v>
      </c>
      <c r="L107" s="37" t="n">
        <v>0</v>
      </c>
      <c r="M107" s="37" t="n">
        <v>0</v>
      </c>
      <c r="N107" s="37" t="n">
        <v>0</v>
      </c>
      <c r="O107" s="37" t="n">
        <v>0</v>
      </c>
      <c r="P107" s="37" t="n">
        <v>0</v>
      </c>
      <c r="Q107" s="37" t="n">
        <v>0</v>
      </c>
      <c r="R107" s="37" t="n">
        <v>0</v>
      </c>
      <c r="S107" s="37" t="n">
        <v>0</v>
      </c>
      <c r="T107" s="38" t="n">
        <v>22</v>
      </c>
      <c r="U107" s="37" t="n">
        <v>0</v>
      </c>
      <c r="V107" s="36" t="n">
        <v>0</v>
      </c>
      <c r="W107" t="n">
        <v>22</v>
      </c>
    </row>
    <row r="108">
      <c r="A108" s="36" t="inlineStr">
        <is>
          <t>T. Allan</t>
        </is>
      </c>
      <c r="B108" s="36">
        <f t="array" ref="B108:C108">_xlfn.XLOOKUP(A108,'Player List'!$A$2:$A$177,'Player List'!$B$2:$C$177)</f>
        <v/>
      </c>
      <c r="C108" s="36" t="inlineStr">
        <is>
          <t>Fly Half</t>
        </is>
      </c>
      <c r="D108" s="37" t="n">
        <v>80</v>
      </c>
      <c r="F108" s="37" t="n">
        <v>11</v>
      </c>
      <c r="G108" s="37" t="n">
        <v>7</v>
      </c>
      <c r="H108" s="37" t="n">
        <v>0</v>
      </c>
      <c r="I108" s="37" t="n">
        <v>14.6</v>
      </c>
      <c r="J108" s="37" t="n">
        <v>0</v>
      </c>
      <c r="K108" s="37" t="n">
        <v>0</v>
      </c>
      <c r="L108" s="37" t="n">
        <v>0</v>
      </c>
      <c r="M108" s="37" t="n">
        <v>0</v>
      </c>
      <c r="N108" s="37" t="n">
        <v>0</v>
      </c>
      <c r="O108" s="37" t="n">
        <v>0</v>
      </c>
      <c r="P108" s="37" t="n">
        <v>0</v>
      </c>
      <c r="Q108" s="37" t="n">
        <v>0</v>
      </c>
      <c r="R108" s="37" t="n">
        <v>0</v>
      </c>
      <c r="S108" s="37" t="n">
        <v>0</v>
      </c>
      <c r="T108" s="38" t="n">
        <v>32.6</v>
      </c>
      <c r="U108" s="37" t="n">
        <v>0</v>
      </c>
      <c r="V108" s="36" t="n">
        <v>0</v>
      </c>
      <c r="W108" t="n">
        <v>32.6</v>
      </c>
    </row>
    <row r="109">
      <c r="A109" s="36" t="inlineStr">
        <is>
          <t>S. Varney</t>
        </is>
      </c>
      <c r="B109" s="36">
        <f t="array" ref="B109:C109">_xlfn.XLOOKUP(A109,'Player List'!$A$2:$A$177,'Player List'!$B$2:$C$177)</f>
        <v/>
      </c>
      <c r="C109" s="36" t="inlineStr">
        <is>
          <t>Scrum Half</t>
        </is>
      </c>
      <c r="D109" s="37" t="n">
        <v>74</v>
      </c>
      <c r="F109" s="37" t="n">
        <v>5</v>
      </c>
      <c r="G109" s="37" t="n">
        <v>0</v>
      </c>
      <c r="H109" s="37" t="n">
        <v>0</v>
      </c>
      <c r="I109" s="37" t="n">
        <v>18.6</v>
      </c>
      <c r="J109" s="37" t="n">
        <v>0</v>
      </c>
      <c r="K109" s="37" t="n">
        <v>0</v>
      </c>
      <c r="L109" s="37" t="n">
        <v>0</v>
      </c>
      <c r="M109" s="37" t="n">
        <v>0</v>
      </c>
      <c r="N109" s="37" t="n">
        <v>0</v>
      </c>
      <c r="O109" s="37" t="n">
        <v>0</v>
      </c>
      <c r="P109" s="37" t="n">
        <v>20</v>
      </c>
      <c r="Q109" s="37" t="n">
        <v>0</v>
      </c>
      <c r="R109" s="37" t="n">
        <v>0</v>
      </c>
      <c r="S109" s="37" t="n">
        <v>0</v>
      </c>
      <c r="T109" s="38" t="n">
        <v>43.6</v>
      </c>
      <c r="U109" s="37" t="n">
        <v>0</v>
      </c>
      <c r="V109" s="36" t="n">
        <v>0</v>
      </c>
      <c r="W109" t="n">
        <v>43.6</v>
      </c>
    </row>
    <row r="110">
      <c r="A110" s="36" t="inlineStr">
        <is>
          <t>E. Iachizzi</t>
        </is>
      </c>
      <c r="B110" s="36">
        <f t="array" ref="B110:C110">_xlfn.XLOOKUP(A110,'Player List'!$A$2:$A$177,'Player List'!$B$2:$C$177)</f>
        <v/>
      </c>
      <c r="C110" s="36" t="inlineStr">
        <is>
          <t>Back Row</t>
        </is>
      </c>
      <c r="D110" s="37" t="n">
        <v>11</v>
      </c>
      <c r="F110" s="37" t="n">
        <v>2</v>
      </c>
      <c r="G110" s="37" t="n">
        <v>0</v>
      </c>
      <c r="H110" s="37" t="n">
        <v>0</v>
      </c>
      <c r="I110" s="37" t="n">
        <v>0.4</v>
      </c>
      <c r="J110" s="37" t="n">
        <v>0</v>
      </c>
      <c r="K110" s="37" t="n">
        <v>0</v>
      </c>
      <c r="L110" s="37" t="n">
        <v>0</v>
      </c>
      <c r="M110" s="37" t="n">
        <v>0</v>
      </c>
      <c r="N110" s="37" t="n">
        <v>7</v>
      </c>
      <c r="O110" s="37" t="n">
        <v>0</v>
      </c>
      <c r="P110" s="37" t="n">
        <v>0</v>
      </c>
      <c r="Q110" s="37" t="n">
        <v>0</v>
      </c>
      <c r="R110" s="37" t="n">
        <v>0</v>
      </c>
      <c r="S110" s="37" t="n">
        <v>0</v>
      </c>
      <c r="T110" s="38" t="n">
        <v>9.4</v>
      </c>
      <c r="U110" s="37" t="n">
        <v>0</v>
      </c>
      <c r="V110" s="36" t="n">
        <v>0</v>
      </c>
      <c r="W110" t="n">
        <v>9.4</v>
      </c>
    </row>
    <row r="111">
      <c r="A111" s="36" t="inlineStr">
        <is>
          <t>M. Lamaro</t>
        </is>
      </c>
      <c r="B111" s="36">
        <f t="array" ref="B111:C111">_xlfn.XLOOKUP(A111,'Player List'!$A$2:$A$177,'Player List'!$B$2:$C$177)</f>
        <v/>
      </c>
      <c r="C111" s="36" t="inlineStr">
        <is>
          <t>Back Row</t>
        </is>
      </c>
      <c r="D111" s="37" t="n">
        <v>80</v>
      </c>
      <c r="F111" s="37" t="n">
        <v>0</v>
      </c>
      <c r="G111" s="37" t="n">
        <v>0</v>
      </c>
      <c r="H111" s="37" t="n">
        <v>0</v>
      </c>
      <c r="I111" s="37" t="n">
        <v>1.8</v>
      </c>
      <c r="J111" s="37" t="n">
        <v>0</v>
      </c>
      <c r="K111" s="37" t="n">
        <v>0</v>
      </c>
      <c r="L111" s="37" t="n">
        <v>0</v>
      </c>
      <c r="M111" s="37" t="n">
        <v>0</v>
      </c>
      <c r="N111" s="37" t="n">
        <v>0</v>
      </c>
      <c r="O111" s="37" t="n">
        <v>0</v>
      </c>
      <c r="P111" s="37" t="n">
        <v>0</v>
      </c>
      <c r="Q111" s="37" t="n">
        <v>0</v>
      </c>
      <c r="R111" s="37" t="n">
        <v>0</v>
      </c>
      <c r="S111" s="37" t="n">
        <v>0</v>
      </c>
      <c r="T111" s="38" t="n">
        <v>1.8</v>
      </c>
      <c r="U111" s="37" t="n">
        <v>0</v>
      </c>
      <c r="V111" s="36" t="n">
        <v>0</v>
      </c>
      <c r="W111" t="n">
        <v>1.8</v>
      </c>
    </row>
    <row r="112">
      <c r="A112" s="36" t="inlineStr">
        <is>
          <t>S. Negri</t>
        </is>
      </c>
      <c r="B112" s="36">
        <f t="array" ref="B112:C112">_xlfn.XLOOKUP(A112,'Player List'!$A$2:$A$177,'Player List'!$B$2:$C$177)</f>
        <v/>
      </c>
      <c r="C112" s="36" t="inlineStr">
        <is>
          <t>Back Row</t>
        </is>
      </c>
      <c r="D112" s="37" t="n">
        <v>65</v>
      </c>
      <c r="F112" s="37" t="n">
        <v>10</v>
      </c>
      <c r="G112" s="37" t="n">
        <v>0</v>
      </c>
      <c r="H112" s="37" t="n">
        <v>0</v>
      </c>
      <c r="I112" s="37" t="n">
        <v>9</v>
      </c>
      <c r="J112" s="37" t="n">
        <v>0</v>
      </c>
      <c r="K112" s="37" t="n">
        <v>0</v>
      </c>
      <c r="L112" s="37" t="n">
        <v>0</v>
      </c>
      <c r="M112" s="37" t="n">
        <v>0</v>
      </c>
      <c r="N112" s="37" t="n">
        <v>0</v>
      </c>
      <c r="O112" s="37" t="n">
        <v>0</v>
      </c>
      <c r="P112" s="37" t="n">
        <v>0</v>
      </c>
      <c r="Q112" s="37" t="n">
        <v>0</v>
      </c>
      <c r="R112" s="37" t="n">
        <v>0</v>
      </c>
      <c r="S112" s="37" t="n">
        <v>0</v>
      </c>
      <c r="T112" s="38" t="n">
        <v>19</v>
      </c>
      <c r="U112" s="37" t="n">
        <v>0</v>
      </c>
      <c r="V112" s="36" t="n">
        <v>0</v>
      </c>
      <c r="W112" t="n">
        <v>19</v>
      </c>
    </row>
    <row r="113">
      <c r="A113" s="36" t="inlineStr">
        <is>
          <t>G. Pettinelli</t>
        </is>
      </c>
      <c r="B113" s="36">
        <f t="array" ref="B113:C113">_xlfn.XLOOKUP(A113,'Player List'!$A$2:$A$177,'Player List'!$B$2:$C$177)</f>
        <v/>
      </c>
      <c r="C113" s="36" t="inlineStr">
        <is>
          <t>Back Row</t>
        </is>
      </c>
      <c r="D113" s="37" t="n">
        <v>11</v>
      </c>
      <c r="F113" s="37" t="n">
        <v>7</v>
      </c>
      <c r="G113" s="37" t="n">
        <v>7</v>
      </c>
      <c r="H113" s="37" t="n">
        <v>0</v>
      </c>
      <c r="I113" s="37" t="n">
        <v>13</v>
      </c>
      <c r="J113" s="37" t="n">
        <v>0</v>
      </c>
      <c r="K113" s="37" t="n">
        <v>0</v>
      </c>
      <c r="L113" s="37" t="n">
        <v>0</v>
      </c>
      <c r="M113" s="37" t="n">
        <v>0</v>
      </c>
      <c r="N113" s="37" t="n">
        <v>0</v>
      </c>
      <c r="O113" s="37" t="n">
        <v>0</v>
      </c>
      <c r="P113" s="37" t="n">
        <v>0</v>
      </c>
      <c r="Q113" s="37" t="n">
        <v>0</v>
      </c>
      <c r="R113" s="37" t="n">
        <v>0</v>
      </c>
      <c r="S113" s="37" t="n">
        <v>0</v>
      </c>
      <c r="T113" s="38" t="n">
        <v>27</v>
      </c>
      <c r="U113" s="37" t="n">
        <v>0</v>
      </c>
      <c r="V113" s="36" t="n">
        <v>0</v>
      </c>
      <c r="W113" t="n">
        <v>27</v>
      </c>
    </row>
    <row r="114">
      <c r="A114" s="36" t="inlineStr">
        <is>
          <t>N. Cannone</t>
        </is>
      </c>
      <c r="B114" s="36">
        <f t="array" ref="B114:C114">_xlfn.XLOOKUP(A114,'Player List'!$A$2:$A$177,'Player List'!$B$2:$C$177)</f>
        <v/>
      </c>
      <c r="C114" s="36" t="inlineStr">
        <is>
          <t>Second Row</t>
        </is>
      </c>
      <c r="D114" s="37" t="n">
        <v>69</v>
      </c>
      <c r="F114" s="37" t="n">
        <v>0</v>
      </c>
      <c r="G114" s="37" t="n">
        <v>0</v>
      </c>
      <c r="H114" s="37" t="n">
        <v>0</v>
      </c>
      <c r="I114" s="37" t="n">
        <v>2</v>
      </c>
      <c r="J114" s="37" t="n">
        <v>0</v>
      </c>
      <c r="K114" s="37" t="n">
        <v>0</v>
      </c>
      <c r="L114" s="37" t="n">
        <v>0</v>
      </c>
      <c r="M114" s="37" t="n">
        <v>0</v>
      </c>
      <c r="N114" s="37" t="n">
        <v>0</v>
      </c>
      <c r="O114" s="37" t="n">
        <v>0</v>
      </c>
      <c r="P114" s="37" t="n">
        <v>0</v>
      </c>
      <c r="Q114" s="37" t="n">
        <v>0</v>
      </c>
      <c r="R114" s="37" t="n">
        <v>0</v>
      </c>
      <c r="S114" s="37" t="n">
        <v>0</v>
      </c>
      <c r="T114" s="38" t="n">
        <v>2</v>
      </c>
      <c r="U114" s="37" t="n">
        <v>0</v>
      </c>
      <c r="V114" s="36" t="n">
        <v>0</v>
      </c>
      <c r="W114" t="n">
        <v>2</v>
      </c>
    </row>
    <row r="115">
      <c r="A115" s="36" t="inlineStr">
        <is>
          <t>L. Cannone</t>
        </is>
      </c>
      <c r="B115" s="36">
        <f t="array" ref="B115:C115">_xlfn.XLOOKUP(A115,'Player List'!$A$2:$A$177,'Player List'!$B$2:$C$177)</f>
        <v/>
      </c>
      <c r="C115" s="36" t="inlineStr">
        <is>
          <t>Second Row</t>
        </is>
      </c>
      <c r="D115" s="37" t="n">
        <v>69</v>
      </c>
      <c r="F115" s="37" t="n">
        <v>12</v>
      </c>
      <c r="G115" s="37" t="n">
        <v>14</v>
      </c>
      <c r="H115" s="37" t="n">
        <v>0</v>
      </c>
      <c r="I115" s="37" t="n">
        <v>4.2</v>
      </c>
      <c r="J115" s="37" t="n">
        <v>0</v>
      </c>
      <c r="K115" s="37" t="n">
        <v>0</v>
      </c>
      <c r="L115" s="37" t="n">
        <v>0</v>
      </c>
      <c r="M115" s="37" t="n">
        <v>0</v>
      </c>
      <c r="N115" s="37" t="n">
        <v>0</v>
      </c>
      <c r="O115" s="37" t="n">
        <v>0</v>
      </c>
      <c r="P115" s="37" t="n">
        <v>0</v>
      </c>
      <c r="Q115" s="37" t="n">
        <v>0</v>
      </c>
      <c r="R115" s="37" t="n">
        <v>0</v>
      </c>
      <c r="S115" s="37" t="n">
        <v>0</v>
      </c>
      <c r="T115" s="38" t="n">
        <v>30.2</v>
      </c>
      <c r="U115" s="37" t="n">
        <v>0</v>
      </c>
      <c r="V115" s="36" t="n">
        <v>0</v>
      </c>
      <c r="W115" t="n">
        <v>30.2</v>
      </c>
    </row>
    <row r="116">
      <c r="A116" s="36" t="inlineStr">
        <is>
          <t>F. Ruzza</t>
        </is>
      </c>
      <c r="B116" s="36">
        <f t="array" ref="B116:C116">_xlfn.XLOOKUP(A116,'Player List'!$A$2:$A$177,'Player List'!$B$2:$C$177)</f>
        <v/>
      </c>
      <c r="C116" s="36" t="inlineStr">
        <is>
          <t>Second Row</t>
        </is>
      </c>
      <c r="D116" s="37" t="n">
        <v>80</v>
      </c>
      <c r="F116" s="37" t="n">
        <v>12</v>
      </c>
      <c r="G116" s="37" t="n">
        <v>0</v>
      </c>
      <c r="H116" s="37" t="n">
        <v>0</v>
      </c>
      <c r="I116" s="37" t="n">
        <v>9.199999999999999</v>
      </c>
      <c r="J116" s="37" t="n">
        <v>0</v>
      </c>
      <c r="K116" s="37" t="n">
        <v>0</v>
      </c>
      <c r="L116" s="37" t="n">
        <v>7</v>
      </c>
      <c r="M116" s="37" t="n">
        <v>0</v>
      </c>
      <c r="N116" s="37" t="n">
        <v>0</v>
      </c>
      <c r="O116" s="37" t="n">
        <v>0</v>
      </c>
      <c r="P116" s="37" t="n">
        <v>0</v>
      </c>
      <c r="Q116" s="37" t="n">
        <v>0</v>
      </c>
      <c r="R116" s="37" t="n">
        <v>0</v>
      </c>
      <c r="S116" s="37" t="n">
        <v>0</v>
      </c>
      <c r="T116" s="38" t="n">
        <v>28.2</v>
      </c>
      <c r="U116" s="37" t="n">
        <v>0</v>
      </c>
      <c r="V116" s="36" t="n">
        <v>0</v>
      </c>
      <c r="W116" t="n">
        <v>28.2</v>
      </c>
    </row>
    <row r="117">
      <c r="A117" s="36" t="inlineStr">
        <is>
          <t>M. Zuliani</t>
        </is>
      </c>
      <c r="B117" s="36">
        <f t="array" ref="B117:C117">_xlfn.XLOOKUP(A117,'Player List'!$A$2:$A$177,'Player List'!$B$2:$C$177)</f>
        <v/>
      </c>
      <c r="C117" s="36" t="inlineStr">
        <is>
          <t>Second Row</t>
        </is>
      </c>
      <c r="D117" s="37" t="n">
        <v>15</v>
      </c>
      <c r="F117" s="37" t="n">
        <v>10</v>
      </c>
      <c r="G117" s="37" t="n">
        <v>14</v>
      </c>
      <c r="H117" s="37" t="n">
        <v>7</v>
      </c>
      <c r="I117" s="37" t="n">
        <v>7</v>
      </c>
      <c r="J117" s="37" t="n">
        <v>0</v>
      </c>
      <c r="K117" s="37" t="n">
        <v>7</v>
      </c>
      <c r="L117" s="37" t="n">
        <v>0</v>
      </c>
      <c r="M117" s="37" t="n">
        <v>0</v>
      </c>
      <c r="N117" s="37" t="n">
        <v>0</v>
      </c>
      <c r="O117" s="37" t="n">
        <v>0</v>
      </c>
      <c r="P117" s="37" t="n">
        <v>0</v>
      </c>
      <c r="Q117" s="37" t="n">
        <v>0</v>
      </c>
      <c r="R117" s="37" t="n">
        <v>0</v>
      </c>
      <c r="S117" s="37" t="n">
        <v>0</v>
      </c>
      <c r="T117" s="38" t="n">
        <v>45</v>
      </c>
      <c r="U117" s="37" t="n">
        <v>0</v>
      </c>
      <c r="V117" s="36" t="n">
        <v>0</v>
      </c>
      <c r="W117" t="n">
        <v>45</v>
      </c>
    </row>
    <row r="118">
      <c r="A118" s="36" t="inlineStr">
        <is>
          <t>P. Ceccarelli</t>
        </is>
      </c>
      <c r="B118" s="36">
        <f t="array" ref="B118:C118">_xlfn.XLOOKUP(A118,'Player List'!$A$2:$A$177,'Player List'!$B$2:$C$177)</f>
        <v/>
      </c>
      <c r="C118" s="36" t="inlineStr">
        <is>
          <t>Prop</t>
        </is>
      </c>
      <c r="D118" s="37" t="n">
        <v>24</v>
      </c>
      <c r="F118" s="37" t="n">
        <v>0</v>
      </c>
      <c r="G118" s="37" t="n">
        <v>0</v>
      </c>
      <c r="H118" s="37" t="n">
        <v>0</v>
      </c>
      <c r="I118" s="37" t="n">
        <v>3.2</v>
      </c>
      <c r="J118" s="37" t="n">
        <v>0</v>
      </c>
      <c r="K118" s="37" t="n">
        <v>0</v>
      </c>
      <c r="L118" s="37" t="n">
        <v>0</v>
      </c>
      <c r="M118" s="37" t="n">
        <v>0</v>
      </c>
      <c r="N118" s="37" t="n">
        <v>0</v>
      </c>
      <c r="O118" s="37" t="n">
        <v>0</v>
      </c>
      <c r="P118" s="37" t="n">
        <v>0</v>
      </c>
      <c r="Q118" s="37" t="n">
        <v>0</v>
      </c>
      <c r="R118" s="37" t="n">
        <v>0</v>
      </c>
      <c r="S118" s="37" t="n">
        <v>0</v>
      </c>
      <c r="T118" s="38" t="n">
        <v>3.2</v>
      </c>
      <c r="U118" s="37" t="n">
        <v>0</v>
      </c>
      <c r="V118" s="36" t="n">
        <v>0</v>
      </c>
      <c r="W118" t="n">
        <v>3.2</v>
      </c>
    </row>
    <row r="119">
      <c r="A119" s="36" t="inlineStr">
        <is>
          <t>S. Ferrari</t>
        </is>
      </c>
      <c r="B119" s="36">
        <f t="array" ref="B119:C119">_xlfn.XLOOKUP(A119,'Player List'!$A$2:$A$177,'Player List'!$B$2:$C$177)</f>
        <v/>
      </c>
      <c r="C119" s="36" t="inlineStr">
        <is>
          <t>Prop</t>
        </is>
      </c>
      <c r="D119" s="37" t="n">
        <v>56</v>
      </c>
      <c r="F119" s="37" t="n">
        <v>0</v>
      </c>
      <c r="G119" s="37" t="n">
        <v>0</v>
      </c>
      <c r="H119" s="37" t="n">
        <v>0</v>
      </c>
      <c r="I119" s="37" t="n">
        <v>2.4</v>
      </c>
      <c r="J119" s="37" t="n">
        <v>0</v>
      </c>
      <c r="K119" s="37" t="n">
        <v>0</v>
      </c>
      <c r="L119" s="37" t="n">
        <v>0</v>
      </c>
      <c r="M119" s="37" t="n">
        <v>0</v>
      </c>
      <c r="N119" s="37" t="n">
        <v>0</v>
      </c>
      <c r="O119" s="37" t="n">
        <v>0</v>
      </c>
      <c r="P119" s="37" t="n">
        <v>0</v>
      </c>
      <c r="Q119" s="37" t="n">
        <v>0</v>
      </c>
      <c r="R119" s="37" t="n">
        <v>0</v>
      </c>
      <c r="S119" s="37" t="n">
        <v>0</v>
      </c>
      <c r="T119" s="38" t="n">
        <v>2.4</v>
      </c>
      <c r="U119" s="37" t="n">
        <v>0</v>
      </c>
      <c r="V119" s="36" t="n">
        <v>0</v>
      </c>
      <c r="W119" t="n">
        <v>2.4</v>
      </c>
    </row>
    <row r="120">
      <c r="A120" s="36" t="inlineStr">
        <is>
          <t>D. Fischetti</t>
        </is>
      </c>
      <c r="B120" s="36">
        <f t="array" ref="B120:C120">_xlfn.XLOOKUP(A120,'Player List'!$A$2:$A$177,'Player List'!$B$2:$C$177)</f>
        <v/>
      </c>
      <c r="C120" s="36" t="inlineStr">
        <is>
          <t>Prop</t>
        </is>
      </c>
      <c r="D120" s="37" t="n">
        <v>69</v>
      </c>
      <c r="F120" s="37" t="n">
        <v>10</v>
      </c>
      <c r="G120" s="37" t="n">
        <v>0</v>
      </c>
      <c r="H120" s="37" t="n">
        <v>0</v>
      </c>
      <c r="I120" s="37" t="n">
        <v>2.6</v>
      </c>
      <c r="J120" s="37" t="n">
        <v>0</v>
      </c>
      <c r="K120" s="37" t="n">
        <v>0</v>
      </c>
      <c r="L120" s="37" t="n">
        <v>0</v>
      </c>
      <c r="M120" s="37" t="n">
        <v>0</v>
      </c>
      <c r="N120" s="37" t="n">
        <v>0</v>
      </c>
      <c r="O120" s="37" t="n">
        <v>0</v>
      </c>
      <c r="P120" s="37" t="n">
        <v>0</v>
      </c>
      <c r="Q120" s="37" t="n">
        <v>0</v>
      </c>
      <c r="R120" s="37" t="n">
        <v>0</v>
      </c>
      <c r="S120" s="37" t="n">
        <v>0</v>
      </c>
      <c r="T120" s="38" t="n">
        <v>12.6</v>
      </c>
      <c r="U120" s="37" t="n">
        <v>0</v>
      </c>
      <c r="V120" s="36" t="n">
        <v>0</v>
      </c>
      <c r="W120" t="n">
        <v>12.6</v>
      </c>
    </row>
    <row r="121">
      <c r="A121" s="36" t="inlineStr">
        <is>
          <t>F. Zani</t>
        </is>
      </c>
      <c r="B121" s="36">
        <f t="array" ref="B121:C121">_xlfn.XLOOKUP(A121,'Player List'!$A$2:$A$177,'Player List'!$B$2:$C$177)</f>
        <v/>
      </c>
      <c r="C121" s="36" t="inlineStr">
        <is>
          <t>Prop</t>
        </is>
      </c>
      <c r="D121" s="37" t="n">
        <v>11</v>
      </c>
      <c r="F121" s="37" t="n">
        <v>7</v>
      </c>
      <c r="G121" s="37" t="n">
        <v>14</v>
      </c>
      <c r="H121" s="37" t="n">
        <v>7</v>
      </c>
      <c r="I121" s="37" t="n">
        <v>9.199999999999999</v>
      </c>
      <c r="J121" s="37" t="n">
        <v>0</v>
      </c>
      <c r="K121" s="37" t="n">
        <v>0</v>
      </c>
      <c r="L121" s="37" t="n">
        <v>0</v>
      </c>
      <c r="M121" s="37" t="n">
        <v>0</v>
      </c>
      <c r="N121" s="37" t="n">
        <v>0</v>
      </c>
      <c r="O121" s="37" t="n">
        <v>0</v>
      </c>
      <c r="P121" s="37" t="n">
        <v>0</v>
      </c>
      <c r="Q121" s="37" t="n">
        <v>0</v>
      </c>
      <c r="R121" s="37" t="n">
        <v>0</v>
      </c>
      <c r="S121" s="37" t="n">
        <v>0</v>
      </c>
      <c r="T121" s="38" t="n">
        <v>37.2</v>
      </c>
      <c r="U121" s="37" t="n">
        <v>0</v>
      </c>
      <c r="V121" s="36" t="n">
        <v>0</v>
      </c>
      <c r="W121" t="n">
        <v>37.2</v>
      </c>
    </row>
    <row r="122">
      <c r="A122" s="36" t="inlineStr">
        <is>
          <t>L. Bigi</t>
        </is>
      </c>
      <c r="B122" s="36">
        <f t="array" ref="B122:C122">_xlfn.XLOOKUP(A122,'Player List'!$A$2:$A$177,'Player List'!$B$2:$C$177)</f>
        <v/>
      </c>
      <c r="C122" s="36" t="inlineStr">
        <is>
          <t>Hooker</t>
        </is>
      </c>
      <c r="D122" s="37" t="n">
        <v>11</v>
      </c>
      <c r="F122" s="37" t="n">
        <v>0</v>
      </c>
      <c r="G122" s="37" t="n">
        <v>0</v>
      </c>
      <c r="H122" s="37" t="n">
        <v>0</v>
      </c>
      <c r="I122" s="37" t="n">
        <v>1.8</v>
      </c>
      <c r="J122" s="37" t="n">
        <v>0</v>
      </c>
      <c r="K122" s="37" t="n">
        <v>0</v>
      </c>
      <c r="L122" s="37" t="n">
        <v>0</v>
      </c>
      <c r="M122" s="37" t="n">
        <v>0</v>
      </c>
      <c r="N122" s="37" t="n">
        <v>0</v>
      </c>
      <c r="O122" s="37" t="n">
        <v>0</v>
      </c>
      <c r="P122" s="37" t="n">
        <v>0</v>
      </c>
      <c r="Q122" s="37" t="n">
        <v>0</v>
      </c>
      <c r="R122" s="37" t="n">
        <v>0</v>
      </c>
      <c r="S122" s="37" t="n">
        <v>0</v>
      </c>
      <c r="T122" s="38" t="n">
        <v>1.8</v>
      </c>
      <c r="U122" s="37" t="n">
        <v>0</v>
      </c>
      <c r="V122" s="36" t="n">
        <v>0</v>
      </c>
      <c r="W122" t="n">
        <v>1.8</v>
      </c>
    </row>
    <row r="123">
      <c r="A123" s="36" t="inlineStr">
        <is>
          <t>G. Nicotera</t>
        </is>
      </c>
      <c r="B123" s="36">
        <f t="array" ref="B123:C123">_xlfn.XLOOKUP(A123,'Player List'!$A$2:$A$177,'Player List'!$B$2:$C$177)</f>
        <v/>
      </c>
      <c r="C123" s="36" t="inlineStr">
        <is>
          <t>Hooker</t>
        </is>
      </c>
      <c r="D123" s="37" t="n">
        <v>69</v>
      </c>
      <c r="F123" s="37" t="n">
        <v>0</v>
      </c>
      <c r="G123" s="37" t="n">
        <v>0</v>
      </c>
      <c r="H123" s="37" t="n">
        <v>0</v>
      </c>
      <c r="I123" s="37" t="n">
        <v>0</v>
      </c>
      <c r="J123" s="37" t="n">
        <v>0</v>
      </c>
      <c r="K123" s="37" t="n">
        <v>0</v>
      </c>
      <c r="L123" s="37" t="n">
        <v>0</v>
      </c>
      <c r="M123" s="37" t="n">
        <v>0</v>
      </c>
      <c r="N123" s="37" t="n">
        <v>0</v>
      </c>
      <c r="O123" s="37" t="n">
        <v>0</v>
      </c>
      <c r="P123" s="37" t="n">
        <v>0</v>
      </c>
      <c r="Q123" s="37" t="n">
        <v>0</v>
      </c>
      <c r="R123" s="37" t="n">
        <v>0</v>
      </c>
      <c r="S123" s="37" t="n">
        <v>0</v>
      </c>
      <c r="T123" s="38" t="n">
        <v>0</v>
      </c>
      <c r="U123" s="37" t="n">
        <v>0</v>
      </c>
      <c r="V123" s="36" t="n">
        <v>0</v>
      </c>
      <c r="W123" t="n">
        <v>0</v>
      </c>
    </row>
    <row r="124">
      <c r="A124" s="36" t="inlineStr">
        <is>
          <t>D. Penaud</t>
        </is>
      </c>
      <c r="B124" s="36">
        <f t="array" ref="B124:C124">_xlfn.XLOOKUP(A124,'Player List'!$A$2:$A$177,'Player List'!$B$2:$C$177)</f>
        <v/>
      </c>
      <c r="C124" s="36" t="inlineStr">
        <is>
          <t>Back Three</t>
        </is>
      </c>
      <c r="D124" s="37" t="n">
        <v>80</v>
      </c>
      <c r="F124" s="37" t="n">
        <v>12</v>
      </c>
      <c r="G124" s="37" t="n">
        <v>7</v>
      </c>
      <c r="H124" s="37" t="n">
        <v>0</v>
      </c>
      <c r="I124" s="37" t="n">
        <v>4.4</v>
      </c>
      <c r="J124" s="37" t="n">
        <v>0</v>
      </c>
      <c r="K124" s="37" t="n">
        <v>0</v>
      </c>
      <c r="L124" s="37" t="n">
        <v>7</v>
      </c>
      <c r="M124" s="37" t="n">
        <v>0</v>
      </c>
      <c r="N124" s="37" t="n">
        <v>0</v>
      </c>
      <c r="O124" s="37" t="n">
        <v>0</v>
      </c>
      <c r="P124" s="37" t="n">
        <v>0</v>
      </c>
      <c r="Q124" s="37" t="n">
        <v>0</v>
      </c>
      <c r="R124" s="37" t="n">
        <v>0</v>
      </c>
      <c r="S124" s="37" t="n">
        <v>0</v>
      </c>
      <c r="T124" s="38" t="n">
        <v>30.4</v>
      </c>
      <c r="U124" s="37" t="n">
        <v>0</v>
      </c>
      <c r="V124" s="36" t="n">
        <v>0</v>
      </c>
      <c r="W124" t="n">
        <v>30.4</v>
      </c>
    </row>
    <row r="125">
      <c r="A125" s="36" t="inlineStr">
        <is>
          <t>T. Ramos</t>
        </is>
      </c>
      <c r="B125" s="36">
        <f t="array" ref="B125:C125">_xlfn.XLOOKUP(A125,'Player List'!$A$2:$A$177,'Player List'!$B$2:$C$177)</f>
        <v/>
      </c>
      <c r="C125" s="36" t="inlineStr">
        <is>
          <t>Back Three</t>
        </is>
      </c>
      <c r="D125" s="37" t="n">
        <v>80</v>
      </c>
      <c r="F125" s="37" t="n">
        <v>2</v>
      </c>
      <c r="G125" s="37" t="n">
        <v>14</v>
      </c>
      <c r="H125" s="37" t="n">
        <v>14</v>
      </c>
      <c r="I125" s="37" t="n">
        <v>11.2</v>
      </c>
      <c r="J125" s="37" t="n">
        <v>0</v>
      </c>
      <c r="K125" s="37" t="n">
        <v>0</v>
      </c>
      <c r="L125" s="37" t="n">
        <v>0</v>
      </c>
      <c r="M125" s="37" t="n">
        <v>0</v>
      </c>
      <c r="N125" s="37" t="n">
        <v>0</v>
      </c>
      <c r="O125" s="37" t="n">
        <v>0</v>
      </c>
      <c r="P125" s="37" t="n">
        <v>0</v>
      </c>
      <c r="Q125" s="37" t="n">
        <v>0</v>
      </c>
      <c r="R125" s="37" t="n">
        <v>0</v>
      </c>
      <c r="S125" s="37" t="n">
        <v>0</v>
      </c>
      <c r="T125" s="38" t="n">
        <v>41.2</v>
      </c>
      <c r="U125" s="37" t="n">
        <v>0</v>
      </c>
      <c r="V125" s="36" t="n">
        <v>0</v>
      </c>
      <c r="W125" t="n">
        <v>41.2</v>
      </c>
    </row>
    <row r="126">
      <c r="A126" s="36" t="inlineStr">
        <is>
          <t>E. Dumortier</t>
        </is>
      </c>
      <c r="B126" s="36">
        <f t="array" ref="B126:C126">_xlfn.XLOOKUP(A126,'Player List'!$A$2:$A$177,'Player List'!$B$2:$C$177)</f>
        <v/>
      </c>
      <c r="C126" s="36" t="inlineStr">
        <is>
          <t>Centre</t>
        </is>
      </c>
      <c r="D126" s="37" t="n">
        <v>80</v>
      </c>
      <c r="F126" s="37" t="n">
        <v>2</v>
      </c>
      <c r="G126" s="37" t="n">
        <v>0</v>
      </c>
      <c r="H126" s="37" t="n">
        <v>7</v>
      </c>
      <c r="I126" s="37" t="n">
        <v>10.4</v>
      </c>
      <c r="J126" s="37" t="n">
        <v>0</v>
      </c>
      <c r="K126" s="37" t="n">
        <v>0</v>
      </c>
      <c r="L126" s="37" t="n">
        <v>0</v>
      </c>
      <c r="M126" s="37" t="n">
        <v>15</v>
      </c>
      <c r="N126" s="37" t="n">
        <v>0</v>
      </c>
      <c r="O126" s="37" t="n">
        <v>6</v>
      </c>
      <c r="P126" s="37" t="n">
        <v>5</v>
      </c>
      <c r="Q126" s="37" t="n">
        <v>0</v>
      </c>
      <c r="R126" s="37" t="n">
        <v>0</v>
      </c>
      <c r="S126" s="37" t="n">
        <v>0</v>
      </c>
      <c r="T126" s="38" t="n">
        <v>45.4</v>
      </c>
      <c r="U126" s="37" t="n">
        <v>0</v>
      </c>
      <c r="V126" s="36" t="n">
        <v>0</v>
      </c>
      <c r="W126" t="n">
        <v>45.4</v>
      </c>
    </row>
    <row r="127">
      <c r="A127" s="36" t="inlineStr">
        <is>
          <t>G. Fickou</t>
        </is>
      </c>
      <c r="B127" s="36">
        <f t="array" ref="B127:C127">_xlfn.XLOOKUP(A127,'Player List'!$A$2:$A$177,'Player List'!$B$2:$C$177)</f>
        <v/>
      </c>
      <c r="C127" s="36" t="inlineStr">
        <is>
          <t>Centre</t>
        </is>
      </c>
      <c r="D127" s="37" t="n">
        <v>80</v>
      </c>
      <c r="F127" s="37" t="n">
        <v>1</v>
      </c>
      <c r="G127" s="37" t="n">
        <v>0</v>
      </c>
      <c r="H127" s="37" t="n">
        <v>7</v>
      </c>
      <c r="I127" s="37" t="n">
        <v>4.2</v>
      </c>
      <c r="J127" s="37" t="n">
        <v>0</v>
      </c>
      <c r="K127" s="37" t="n">
        <v>0</v>
      </c>
      <c r="L127" s="37" t="n">
        <v>0</v>
      </c>
      <c r="M127" s="37" t="n">
        <v>15</v>
      </c>
      <c r="N127" s="37" t="n">
        <v>0</v>
      </c>
      <c r="O127" s="37" t="n">
        <v>0</v>
      </c>
      <c r="P127" s="37" t="n">
        <v>0</v>
      </c>
      <c r="Q127" s="37" t="n">
        <v>0</v>
      </c>
      <c r="R127" s="37" t="n">
        <v>0</v>
      </c>
      <c r="S127" s="37" t="n">
        <v>0</v>
      </c>
      <c r="T127" s="38" t="n">
        <v>27.2</v>
      </c>
      <c r="U127" s="37" t="n">
        <v>0</v>
      </c>
      <c r="V127" s="36" t="n">
        <v>0</v>
      </c>
      <c r="W127" t="n">
        <v>27.2</v>
      </c>
    </row>
    <row r="128">
      <c r="A128" s="36" t="inlineStr">
        <is>
          <t>Y. Moefana</t>
        </is>
      </c>
      <c r="B128" s="36">
        <f t="array" ref="B128:C128">_xlfn.XLOOKUP(A128,'Player List'!$A$2:$A$177,'Player List'!$B$2:$C$177)</f>
        <v/>
      </c>
      <c r="C128" s="36" t="inlineStr">
        <is>
          <t>Centre</t>
        </is>
      </c>
      <c r="D128" s="37" t="n">
        <v>80</v>
      </c>
      <c r="F128" s="37" t="n">
        <v>16</v>
      </c>
      <c r="G128" s="37" t="n">
        <v>0</v>
      </c>
      <c r="H128" s="37" t="n">
        <v>0</v>
      </c>
      <c r="I128" s="37" t="n">
        <v>13.2</v>
      </c>
      <c r="J128" s="37" t="n">
        <v>0</v>
      </c>
      <c r="K128" s="37" t="n">
        <v>0</v>
      </c>
      <c r="L128" s="37" t="n">
        <v>0</v>
      </c>
      <c r="M128" s="37" t="n">
        <v>0</v>
      </c>
      <c r="N128" s="37" t="n">
        <v>0</v>
      </c>
      <c r="O128" s="37" t="n">
        <v>0</v>
      </c>
      <c r="P128" s="37" t="n">
        <v>0</v>
      </c>
      <c r="Q128" s="37" t="n">
        <v>0</v>
      </c>
      <c r="R128" s="37" t="n">
        <v>0</v>
      </c>
      <c r="S128" s="37" t="n">
        <v>0</v>
      </c>
      <c r="T128" s="38" t="n">
        <v>29.2</v>
      </c>
      <c r="U128" s="37" t="n">
        <v>0</v>
      </c>
      <c r="V128" s="36" t="n">
        <v>0</v>
      </c>
      <c r="W128" t="n">
        <v>29.2</v>
      </c>
    </row>
    <row r="129">
      <c r="A129" s="36" t="inlineStr">
        <is>
          <t>M. Jalibert</t>
        </is>
      </c>
      <c r="B129" s="36">
        <f t="array" ref="B129:C129">_xlfn.XLOOKUP(A129,'Player List'!$A$2:$A$177,'Player List'!$B$2:$C$177)</f>
        <v/>
      </c>
      <c r="C129" s="36" t="inlineStr">
        <is>
          <t>Fly Half</t>
        </is>
      </c>
      <c r="D129" s="37" t="n">
        <v>15</v>
      </c>
      <c r="F129" s="37" t="n">
        <v>3</v>
      </c>
      <c r="G129" s="37" t="n">
        <v>0</v>
      </c>
      <c r="H129" s="37" t="n">
        <v>0</v>
      </c>
      <c r="I129" s="37" t="n">
        <v>9.199999999999999</v>
      </c>
      <c r="J129" s="37" t="n">
        <v>0</v>
      </c>
      <c r="K129" s="37" t="n">
        <v>0</v>
      </c>
      <c r="L129" s="37" t="n">
        <v>0</v>
      </c>
      <c r="M129" s="37" t="n">
        <v>0</v>
      </c>
      <c r="N129" s="37" t="n">
        <v>0</v>
      </c>
      <c r="O129" s="37" t="n">
        <v>0</v>
      </c>
      <c r="P129" s="37" t="n">
        <v>0</v>
      </c>
      <c r="Q129" s="37" t="n">
        <v>0</v>
      </c>
      <c r="R129" s="37" t="n">
        <v>0</v>
      </c>
      <c r="S129" s="37" t="n">
        <v>0</v>
      </c>
      <c r="T129" s="38" t="n">
        <v>12.2</v>
      </c>
      <c r="U129" s="37" t="n">
        <v>0</v>
      </c>
      <c r="V129" s="36" t="n">
        <v>0</v>
      </c>
      <c r="W129" t="n">
        <v>12.2</v>
      </c>
    </row>
    <row r="130">
      <c r="A130" s="36" t="inlineStr">
        <is>
          <t>R. Ntamack</t>
        </is>
      </c>
      <c r="B130" s="36">
        <f t="array" ref="B130:C130">_xlfn.XLOOKUP(A130,'Player List'!$A$2:$A$177,'Player List'!$B$2:$C$177)</f>
        <v/>
      </c>
      <c r="C130" s="36" t="inlineStr">
        <is>
          <t>Fly Half</t>
        </is>
      </c>
      <c r="D130" s="37" t="n">
        <v>65</v>
      </c>
      <c r="F130" s="37" t="n">
        <v>0</v>
      </c>
      <c r="G130" s="37" t="n">
        <v>0</v>
      </c>
      <c r="H130" s="37" t="n">
        <v>0</v>
      </c>
      <c r="I130" s="37" t="n">
        <v>1.6</v>
      </c>
      <c r="J130" s="37" t="n">
        <v>0</v>
      </c>
      <c r="K130" s="37" t="n">
        <v>0</v>
      </c>
      <c r="L130" s="37" t="n">
        <v>0</v>
      </c>
      <c r="M130" s="37" t="n">
        <v>15</v>
      </c>
      <c r="N130" s="37" t="n">
        <v>0</v>
      </c>
      <c r="O130" s="37" t="n">
        <v>0</v>
      </c>
      <c r="P130" s="37" t="n">
        <v>0</v>
      </c>
      <c r="Q130" s="37" t="n">
        <v>0</v>
      </c>
      <c r="R130" s="37" t="n">
        <v>0</v>
      </c>
      <c r="S130" s="37" t="n">
        <v>0</v>
      </c>
      <c r="T130" s="38" t="n">
        <v>16.6</v>
      </c>
      <c r="U130" s="37" t="n">
        <v>0</v>
      </c>
      <c r="V130" s="36" t="n">
        <v>0</v>
      </c>
      <c r="W130" t="n">
        <v>16.6</v>
      </c>
    </row>
    <row r="131">
      <c r="A131" s="36" t="inlineStr">
        <is>
          <t>A. Dupont</t>
        </is>
      </c>
      <c r="B131" s="36">
        <f t="array" ref="B131:C131">_xlfn.XLOOKUP(A131,'Player List'!$A$2:$A$177,'Player List'!$B$2:$C$177)</f>
        <v/>
      </c>
      <c r="C131" s="36" t="inlineStr">
        <is>
          <t>Scrum Half</t>
        </is>
      </c>
      <c r="D131" s="37" t="n">
        <v>80</v>
      </c>
      <c r="F131" s="37" t="n">
        <v>6</v>
      </c>
      <c r="G131" s="37" t="n">
        <v>0</v>
      </c>
      <c r="H131" s="37" t="n">
        <v>0</v>
      </c>
      <c r="I131" s="37" t="n">
        <v>7.6</v>
      </c>
      <c r="J131" s="37" t="n">
        <v>0</v>
      </c>
      <c r="K131" s="37" t="n">
        <v>0</v>
      </c>
      <c r="L131" s="37" t="n">
        <v>0</v>
      </c>
      <c r="M131" s="37" t="n">
        <v>0</v>
      </c>
      <c r="N131" s="37" t="n">
        <v>7</v>
      </c>
      <c r="O131" s="37" t="n">
        <v>0</v>
      </c>
      <c r="P131" s="37" t="n">
        <v>0</v>
      </c>
      <c r="Q131" s="37" t="n">
        <v>0</v>
      </c>
      <c r="R131" s="37" t="n">
        <v>0</v>
      </c>
      <c r="S131" s="37" t="n">
        <v>0</v>
      </c>
      <c r="T131" s="38" t="n">
        <v>20.6</v>
      </c>
      <c r="U131" s="37" t="n">
        <v>0</v>
      </c>
      <c r="V131" s="36" t="n">
        <v>0</v>
      </c>
      <c r="W131" t="n">
        <v>20.6</v>
      </c>
    </row>
    <row r="132">
      <c r="A132" s="36" t="inlineStr">
        <is>
          <t>G. Alldritt</t>
        </is>
      </c>
      <c r="B132" s="36">
        <f t="array" ref="B132:C132">_xlfn.XLOOKUP(A132,'Player List'!$A$2:$A$177,'Player List'!$B$2:$C$177)</f>
        <v/>
      </c>
      <c r="C132" s="36" t="inlineStr">
        <is>
          <t>Back Row</t>
        </is>
      </c>
      <c r="D132" s="37" t="n">
        <v>61</v>
      </c>
      <c r="F132" s="37" t="n">
        <v>11</v>
      </c>
      <c r="G132" s="37" t="n">
        <v>0</v>
      </c>
      <c r="H132" s="37" t="n">
        <v>0</v>
      </c>
      <c r="I132" s="37" t="n">
        <v>10.4</v>
      </c>
      <c r="J132" s="37" t="n">
        <v>0</v>
      </c>
      <c r="K132" s="37" t="n">
        <v>0</v>
      </c>
      <c r="L132" s="37" t="n">
        <v>0</v>
      </c>
      <c r="M132" s="37" t="n">
        <v>0</v>
      </c>
      <c r="N132" s="37" t="n">
        <v>0</v>
      </c>
      <c r="O132" s="37" t="n">
        <v>0</v>
      </c>
      <c r="P132" s="37" t="n">
        <v>0</v>
      </c>
      <c r="Q132" s="37" t="n">
        <v>0</v>
      </c>
      <c r="R132" s="37" t="n">
        <v>0</v>
      </c>
      <c r="S132" s="37" t="n">
        <v>0</v>
      </c>
      <c r="T132" s="38" t="n">
        <v>21.4</v>
      </c>
      <c r="U132" s="37" t="n">
        <v>15</v>
      </c>
      <c r="V132" s="36" t="n">
        <v>0</v>
      </c>
      <c r="W132" t="n">
        <v>36.4</v>
      </c>
    </row>
    <row r="133">
      <c r="A133" s="36" t="inlineStr">
        <is>
          <t>A. Jelonch</t>
        </is>
      </c>
      <c r="B133" s="36">
        <f t="array" ref="B133:C133">_xlfn.XLOOKUP(A133,'Player List'!$A$2:$A$177,'Player List'!$B$2:$C$177)</f>
        <v/>
      </c>
      <c r="C133" s="36" t="inlineStr">
        <is>
          <t>Back Row</t>
        </is>
      </c>
      <c r="D133" s="37" t="n">
        <v>80</v>
      </c>
      <c r="F133" s="37" t="n">
        <v>13</v>
      </c>
      <c r="G133" s="37" t="n">
        <v>7</v>
      </c>
      <c r="H133" s="37" t="n">
        <v>0</v>
      </c>
      <c r="I133" s="37" t="n">
        <v>14.4</v>
      </c>
      <c r="J133" s="37" t="n">
        <v>0</v>
      </c>
      <c r="K133" s="37" t="n">
        <v>0</v>
      </c>
      <c r="L133" s="37" t="n">
        <v>0</v>
      </c>
      <c r="M133" s="37" t="n">
        <v>0</v>
      </c>
      <c r="N133" s="37" t="n">
        <v>0</v>
      </c>
      <c r="O133" s="37" t="n">
        <v>0</v>
      </c>
      <c r="P133" s="37" t="n">
        <v>0</v>
      </c>
      <c r="Q133" s="37" t="n">
        <v>0</v>
      </c>
      <c r="R133" s="37" t="n">
        <v>0</v>
      </c>
      <c r="S133" s="37" t="n">
        <v>0</v>
      </c>
      <c r="T133" s="38" t="n">
        <v>34.4</v>
      </c>
      <c r="U133" s="37" t="n">
        <v>0</v>
      </c>
      <c r="V133" s="36" t="n">
        <v>0</v>
      </c>
      <c r="W133" t="n">
        <v>34.4</v>
      </c>
    </row>
    <row r="134">
      <c r="A134" s="36" t="inlineStr">
        <is>
          <t>S. Macalou</t>
        </is>
      </c>
      <c r="B134" s="36">
        <f t="array" ref="B134:C134">_xlfn.XLOOKUP(A134,'Player List'!$A$2:$A$177,'Player List'!$B$2:$C$177)</f>
        <v/>
      </c>
      <c r="C134" s="36" t="inlineStr">
        <is>
          <t>Back Row</t>
        </is>
      </c>
      <c r="D134" s="37" t="n">
        <v>19</v>
      </c>
      <c r="F134" s="37" t="n">
        <v>19</v>
      </c>
      <c r="G134" s="37" t="n">
        <v>7</v>
      </c>
      <c r="H134" s="37" t="n">
        <v>0</v>
      </c>
      <c r="I134" s="37" t="n">
        <v>2.4</v>
      </c>
      <c r="J134" s="37" t="n">
        <v>0</v>
      </c>
      <c r="K134" s="37" t="n">
        <v>0</v>
      </c>
      <c r="L134" s="37" t="n">
        <v>7</v>
      </c>
      <c r="M134" s="37" t="n">
        <v>0</v>
      </c>
      <c r="N134" s="37" t="n">
        <v>0</v>
      </c>
      <c r="O134" s="37" t="n">
        <v>0</v>
      </c>
      <c r="P134" s="37" t="n">
        <v>0</v>
      </c>
      <c r="Q134" s="37" t="n">
        <v>0</v>
      </c>
      <c r="R134" s="37" t="n">
        <v>0</v>
      </c>
      <c r="S134" s="37" t="n">
        <v>0</v>
      </c>
      <c r="T134" s="38" t="n">
        <v>35.4</v>
      </c>
      <c r="U134" s="37" t="n">
        <v>0</v>
      </c>
      <c r="V134" s="36" t="n">
        <v>0</v>
      </c>
      <c r="W134" t="n">
        <v>35.4</v>
      </c>
    </row>
    <row r="135">
      <c r="A135" s="36" t="inlineStr">
        <is>
          <t>C. Ollivon</t>
        </is>
      </c>
      <c r="B135" s="36">
        <f t="array" ref="B135:C135">_xlfn.XLOOKUP(A135,'Player List'!$A$2:$A$177,'Player List'!$B$2:$C$177)</f>
        <v/>
      </c>
      <c r="C135" s="36" t="inlineStr">
        <is>
          <t>Back Row</t>
        </is>
      </c>
      <c r="D135" s="37" t="n">
        <v>70</v>
      </c>
      <c r="F135" s="37" t="n">
        <v>4</v>
      </c>
      <c r="G135" s="37" t="n">
        <v>0</v>
      </c>
      <c r="H135" s="37" t="n">
        <v>0</v>
      </c>
      <c r="I135" s="37" t="n">
        <v>0</v>
      </c>
      <c r="J135" s="37" t="n">
        <v>0</v>
      </c>
      <c r="K135" s="37" t="n">
        <v>0</v>
      </c>
      <c r="L135" s="37" t="n">
        <v>7</v>
      </c>
      <c r="M135" s="37" t="n">
        <v>0</v>
      </c>
      <c r="N135" s="37" t="n">
        <v>0</v>
      </c>
      <c r="O135" s="37" t="n">
        <v>0</v>
      </c>
      <c r="P135" s="37" t="n">
        <v>0</v>
      </c>
      <c r="Q135" s="37" t="n">
        <v>0</v>
      </c>
      <c r="R135" s="37" t="n">
        <v>0</v>
      </c>
      <c r="S135" s="37" t="n">
        <v>0</v>
      </c>
      <c r="T135" s="38" t="n">
        <v>11</v>
      </c>
      <c r="U135" s="37" t="n">
        <v>0</v>
      </c>
      <c r="V135" s="36" t="n">
        <v>0</v>
      </c>
      <c r="W135" t="n">
        <v>11</v>
      </c>
    </row>
    <row r="136">
      <c r="A136" s="36" t="inlineStr">
        <is>
          <t>T. Flament</t>
        </is>
      </c>
      <c r="B136" s="36">
        <f t="array" ref="B136:C136">_xlfn.XLOOKUP(A136,'Player List'!$A$2:$A$177,'Player List'!$B$2:$C$177)</f>
        <v/>
      </c>
      <c r="C136" s="36" t="inlineStr">
        <is>
          <t>Second Row</t>
        </is>
      </c>
      <c r="D136" s="37" t="n">
        <v>80</v>
      </c>
      <c r="F136" s="37" t="n">
        <v>8</v>
      </c>
      <c r="G136" s="37" t="n">
        <v>0</v>
      </c>
      <c r="H136" s="37" t="n">
        <v>0</v>
      </c>
      <c r="I136" s="37" t="n">
        <v>10.8</v>
      </c>
      <c r="J136" s="37" t="n">
        <v>0</v>
      </c>
      <c r="K136" s="37" t="n">
        <v>7</v>
      </c>
      <c r="L136" s="37" t="n">
        <v>0</v>
      </c>
      <c r="M136" s="37" t="n">
        <v>0</v>
      </c>
      <c r="N136" s="37" t="n">
        <v>0</v>
      </c>
      <c r="O136" s="37" t="n">
        <v>0</v>
      </c>
      <c r="P136" s="37" t="n">
        <v>0</v>
      </c>
      <c r="Q136" s="37" t="n">
        <v>0</v>
      </c>
      <c r="R136" s="37" t="n">
        <v>-5</v>
      </c>
      <c r="S136" s="37" t="n">
        <v>0</v>
      </c>
      <c r="T136" s="38" t="n">
        <v>20.8</v>
      </c>
      <c r="U136" s="37" t="n">
        <v>0</v>
      </c>
      <c r="V136" s="36" t="n">
        <v>0</v>
      </c>
      <c r="W136" t="n">
        <v>20.8</v>
      </c>
    </row>
    <row r="137">
      <c r="A137" s="36" t="inlineStr">
        <is>
          <t>R. Taofifenua</t>
        </is>
      </c>
      <c r="B137" s="36">
        <f t="array" ref="B137:C137">_xlfn.XLOOKUP(A137,'Player List'!$A$2:$A$177,'Player List'!$B$2:$C$177)</f>
        <v/>
      </c>
      <c r="C137" s="36" t="inlineStr">
        <is>
          <t>Second Row</t>
        </is>
      </c>
      <c r="D137" s="37" t="n">
        <v>26</v>
      </c>
      <c r="F137" s="37" t="n">
        <v>17</v>
      </c>
      <c r="G137" s="37" t="n">
        <v>0</v>
      </c>
      <c r="H137" s="37" t="n">
        <v>7</v>
      </c>
      <c r="I137" s="37" t="n">
        <v>7</v>
      </c>
      <c r="J137" s="37" t="n">
        <v>0</v>
      </c>
      <c r="K137" s="37" t="n">
        <v>7</v>
      </c>
      <c r="L137" s="37" t="n">
        <v>0</v>
      </c>
      <c r="M137" s="37" t="n">
        <v>15</v>
      </c>
      <c r="N137" s="37" t="n">
        <v>0</v>
      </c>
      <c r="O137" s="37" t="n">
        <v>0</v>
      </c>
      <c r="P137" s="37" t="n">
        <v>0</v>
      </c>
      <c r="Q137" s="37" t="n">
        <v>0</v>
      </c>
      <c r="R137" s="37" t="n">
        <v>0</v>
      </c>
      <c r="S137" s="37" t="n">
        <v>0</v>
      </c>
      <c r="T137" s="38" t="n">
        <v>53</v>
      </c>
      <c r="U137" s="37" t="n">
        <v>0</v>
      </c>
      <c r="V137" s="36" t="n">
        <v>0</v>
      </c>
      <c r="W137" t="n">
        <v>53</v>
      </c>
    </row>
    <row r="138">
      <c r="A138" s="36" t="inlineStr">
        <is>
          <t>P. Willemse</t>
        </is>
      </c>
      <c r="B138" s="36">
        <f t="array" ref="B138:C138">_xlfn.XLOOKUP(A138,'Player List'!$A$2:$A$177,'Player List'!$B$2:$C$177)</f>
        <v/>
      </c>
      <c r="C138" s="36" t="inlineStr">
        <is>
          <t>Second Row</t>
        </is>
      </c>
      <c r="D138" s="37" t="n">
        <v>54</v>
      </c>
      <c r="F138" s="37" t="n">
        <v>3</v>
      </c>
      <c r="G138" s="37" t="n">
        <v>7</v>
      </c>
      <c r="H138" s="37" t="n">
        <v>0</v>
      </c>
      <c r="I138" s="37" t="n">
        <v>0.6</v>
      </c>
      <c r="J138" s="37" t="n">
        <v>0</v>
      </c>
      <c r="K138" s="37" t="n">
        <v>0</v>
      </c>
      <c r="L138" s="37" t="n">
        <v>7</v>
      </c>
      <c r="M138" s="37" t="n">
        <v>0</v>
      </c>
      <c r="N138" s="37" t="n">
        <v>7</v>
      </c>
      <c r="O138" s="37" t="n">
        <v>0</v>
      </c>
      <c r="P138" s="37" t="n">
        <v>0</v>
      </c>
      <c r="Q138" s="37" t="n">
        <v>0</v>
      </c>
      <c r="R138" s="37" t="n">
        <v>0</v>
      </c>
      <c r="S138" s="37" t="n">
        <v>0</v>
      </c>
      <c r="T138" s="38" t="n">
        <v>24.6</v>
      </c>
      <c r="U138" s="37" t="n">
        <v>0</v>
      </c>
      <c r="V138" s="36" t="n">
        <v>0</v>
      </c>
      <c r="W138" t="n">
        <v>24.6</v>
      </c>
    </row>
    <row r="139">
      <c r="A139" s="36" t="inlineStr">
        <is>
          <t>U. Atonio</t>
        </is>
      </c>
      <c r="B139" s="36">
        <f t="array" ref="B139:C139">_xlfn.XLOOKUP(A139,'Player List'!$A$2:$A$177,'Player List'!$B$2:$C$177)</f>
        <v/>
      </c>
      <c r="C139" s="36" t="inlineStr">
        <is>
          <t>Prop</t>
        </is>
      </c>
      <c r="D139" s="37" t="n">
        <v>51</v>
      </c>
      <c r="F139" s="37" t="n">
        <v>11</v>
      </c>
      <c r="G139" s="37" t="n">
        <v>7</v>
      </c>
      <c r="H139" s="37" t="n">
        <v>0</v>
      </c>
      <c r="I139" s="37" t="n">
        <v>2.4</v>
      </c>
      <c r="J139" s="37" t="n">
        <v>0</v>
      </c>
      <c r="K139" s="37" t="n">
        <v>0</v>
      </c>
      <c r="L139" s="37" t="n">
        <v>0</v>
      </c>
      <c r="M139" s="37" t="n">
        <v>0</v>
      </c>
      <c r="N139" s="37" t="n">
        <v>0</v>
      </c>
      <c r="O139" s="37" t="n">
        <v>0</v>
      </c>
      <c r="P139" s="37" t="n">
        <v>0</v>
      </c>
      <c r="Q139" s="37" t="n">
        <v>0</v>
      </c>
      <c r="R139" s="37" t="n">
        <v>0</v>
      </c>
      <c r="S139" s="37" t="n">
        <v>0</v>
      </c>
      <c r="T139" s="38" t="n">
        <v>20.4</v>
      </c>
      <c r="U139" s="37" t="n">
        <v>0</v>
      </c>
      <c r="V139" s="36" t="n">
        <v>0</v>
      </c>
      <c r="W139" t="n">
        <v>20.4</v>
      </c>
    </row>
    <row r="140">
      <c r="A140" s="36" t="inlineStr">
        <is>
          <t>C. Baille</t>
        </is>
      </c>
      <c r="B140" s="36">
        <f t="array" ref="B140:C140">_xlfn.XLOOKUP(A140,'Player List'!$A$2:$A$177,'Player List'!$B$2:$C$177)</f>
        <v/>
      </c>
      <c r="C140" s="36" t="inlineStr">
        <is>
          <t>Prop</t>
        </is>
      </c>
      <c r="D140" s="37" t="n">
        <v>51</v>
      </c>
      <c r="F140" s="37" t="n">
        <v>9</v>
      </c>
      <c r="G140" s="37" t="n">
        <v>0</v>
      </c>
      <c r="H140" s="37" t="n">
        <v>0</v>
      </c>
      <c r="I140" s="37" t="n">
        <v>3.4</v>
      </c>
      <c r="J140" s="37" t="n">
        <v>0</v>
      </c>
      <c r="K140" s="37" t="n">
        <v>0</v>
      </c>
      <c r="L140" s="37" t="n">
        <v>0</v>
      </c>
      <c r="M140" s="37" t="n">
        <v>0</v>
      </c>
      <c r="N140" s="37" t="n">
        <v>0</v>
      </c>
      <c r="O140" s="37" t="n">
        <v>0</v>
      </c>
      <c r="P140" s="37" t="n">
        <v>0</v>
      </c>
      <c r="Q140" s="37" t="n">
        <v>0</v>
      </c>
      <c r="R140" s="37" t="n">
        <v>0</v>
      </c>
      <c r="S140" s="37" t="n">
        <v>0</v>
      </c>
      <c r="T140" s="38" t="n">
        <v>12.4</v>
      </c>
      <c r="U140" s="37" t="n">
        <v>0</v>
      </c>
      <c r="V140" s="36" t="n">
        <v>0</v>
      </c>
      <c r="W140" t="n">
        <v>12.4</v>
      </c>
    </row>
    <row r="141">
      <c r="A141" s="36" t="inlineStr">
        <is>
          <t>S. Falatea</t>
        </is>
      </c>
      <c r="B141" s="36">
        <f t="array" ref="B141:C141">_xlfn.XLOOKUP(A141,'Player List'!$A$2:$A$177,'Player List'!$B$2:$C$177)</f>
        <v/>
      </c>
      <c r="C141" s="36" t="inlineStr">
        <is>
          <t>Prop</t>
        </is>
      </c>
      <c r="D141" s="37" t="n">
        <v>29</v>
      </c>
      <c r="F141" s="37" t="n">
        <v>8</v>
      </c>
      <c r="G141" s="37" t="n">
        <v>0</v>
      </c>
      <c r="H141" s="37" t="n">
        <v>0</v>
      </c>
      <c r="I141" s="37" t="n">
        <v>7.4</v>
      </c>
      <c r="J141" s="37" t="n">
        <v>0</v>
      </c>
      <c r="K141" s="37" t="n">
        <v>0</v>
      </c>
      <c r="L141" s="37" t="n">
        <v>0</v>
      </c>
      <c r="M141" s="37" t="n">
        <v>0</v>
      </c>
      <c r="N141" s="37" t="n">
        <v>0</v>
      </c>
      <c r="O141" s="37" t="n">
        <v>0</v>
      </c>
      <c r="P141" s="37" t="n">
        <v>0</v>
      </c>
      <c r="Q141" s="37" t="n">
        <v>0</v>
      </c>
      <c r="R141" s="37" t="n">
        <v>0</v>
      </c>
      <c r="S141" s="37" t="n">
        <v>0</v>
      </c>
      <c r="T141" s="38" t="n">
        <v>15.4</v>
      </c>
      <c r="U141" s="37" t="n">
        <v>0</v>
      </c>
      <c r="V141" s="36" t="n">
        <v>0</v>
      </c>
      <c r="W141" t="n">
        <v>15.4</v>
      </c>
    </row>
    <row r="142">
      <c r="A142" s="36" t="inlineStr">
        <is>
          <t>R. Wardi</t>
        </is>
      </c>
      <c r="B142" s="36">
        <f t="array" ref="B142:C142">_xlfn.XLOOKUP(A142,'Player List'!$A$2:$A$177,'Player List'!$B$2:$C$177)</f>
        <v/>
      </c>
      <c r="C142" s="36" t="inlineStr">
        <is>
          <t>Prop</t>
        </is>
      </c>
      <c r="D142" s="37" t="n">
        <v>29</v>
      </c>
      <c r="F142" s="37" t="n">
        <v>3</v>
      </c>
      <c r="G142" s="37" t="n">
        <v>0</v>
      </c>
      <c r="H142" s="37" t="n">
        <v>0</v>
      </c>
      <c r="I142" s="37" t="n">
        <v>0</v>
      </c>
      <c r="J142" s="37" t="n">
        <v>0</v>
      </c>
      <c r="K142" s="37" t="n">
        <v>0</v>
      </c>
      <c r="L142" s="37" t="n">
        <v>0</v>
      </c>
      <c r="M142" s="37" t="n">
        <v>0</v>
      </c>
      <c r="N142" s="37" t="n">
        <v>0</v>
      </c>
      <c r="O142" s="37" t="n">
        <v>0</v>
      </c>
      <c r="P142" s="37" t="n">
        <v>0</v>
      </c>
      <c r="Q142" s="37" t="n">
        <v>0</v>
      </c>
      <c r="R142" s="37" t="n">
        <v>0</v>
      </c>
      <c r="S142" s="37" t="n">
        <v>0</v>
      </c>
      <c r="T142" s="38" t="n">
        <v>3</v>
      </c>
      <c r="U142" s="37" t="n">
        <v>0</v>
      </c>
      <c r="V142" s="36" t="n">
        <v>0</v>
      </c>
      <c r="W142" t="n">
        <v>3</v>
      </c>
    </row>
    <row r="143">
      <c r="A143" s="36" t="inlineStr">
        <is>
          <t>G. Barlot</t>
        </is>
      </c>
      <c r="B143" s="36">
        <f t="array" ref="B143:C143">_xlfn.XLOOKUP(A143,'Player List'!$A$2:$A$177,'Player List'!$B$2:$C$177)</f>
        <v/>
      </c>
      <c r="C143" s="36" t="inlineStr">
        <is>
          <t>Hooker</t>
        </is>
      </c>
      <c r="D143" s="37" t="n">
        <v>19</v>
      </c>
      <c r="F143" s="37" t="n">
        <v>7</v>
      </c>
      <c r="G143" s="37" t="n">
        <v>0</v>
      </c>
      <c r="H143" s="37" t="n">
        <v>0</v>
      </c>
      <c r="I143" s="37" t="n">
        <v>0</v>
      </c>
      <c r="J143" s="37" t="n">
        <v>0</v>
      </c>
      <c r="K143" s="37" t="n">
        <v>0</v>
      </c>
      <c r="L143" s="37" t="n">
        <v>0</v>
      </c>
      <c r="M143" s="37" t="n">
        <v>0</v>
      </c>
      <c r="N143" s="37" t="n">
        <v>0</v>
      </c>
      <c r="O143" s="37" t="n">
        <v>0</v>
      </c>
      <c r="P143" s="37" t="n">
        <v>0</v>
      </c>
      <c r="Q143" s="37" t="n">
        <v>0</v>
      </c>
      <c r="R143" s="37" t="n">
        <v>0</v>
      </c>
      <c r="S143" s="37" t="n">
        <v>0</v>
      </c>
      <c r="T143" s="38" t="n">
        <v>7</v>
      </c>
      <c r="U143" s="37" t="n">
        <v>0</v>
      </c>
      <c r="V143" s="36" t="n">
        <v>0</v>
      </c>
      <c r="W143" t="n">
        <v>7</v>
      </c>
    </row>
    <row r="144">
      <c r="A144" s="36" t="inlineStr">
        <is>
          <t>J. Marchand</t>
        </is>
      </c>
      <c r="B144" s="36">
        <f t="array" ref="B144:C144">_xlfn.XLOOKUP(A144,'Player List'!$A$2:$A$177,'Player List'!$B$2:$C$177)</f>
        <v/>
      </c>
      <c r="C144" s="36" t="inlineStr">
        <is>
          <t>Hooker</t>
        </is>
      </c>
      <c r="D144" s="37" t="n">
        <v>61</v>
      </c>
      <c r="F144" s="37" t="n">
        <v>4</v>
      </c>
      <c r="G144" s="37" t="n">
        <v>7</v>
      </c>
      <c r="H144" s="37" t="n">
        <v>0</v>
      </c>
      <c r="I144" s="37" t="n">
        <v>0</v>
      </c>
      <c r="J144" s="37" t="n">
        <v>0</v>
      </c>
      <c r="K144" s="37" t="n">
        <v>0</v>
      </c>
      <c r="L144" s="37" t="n">
        <v>0</v>
      </c>
      <c r="M144" s="37" t="n">
        <v>0</v>
      </c>
      <c r="N144" s="37" t="n">
        <v>0</v>
      </c>
      <c r="O144" s="37" t="n">
        <v>0</v>
      </c>
      <c r="P144" s="37" t="n">
        <v>0</v>
      </c>
      <c r="Q144" s="37" t="n">
        <v>0</v>
      </c>
      <c r="R144" s="37" t="n">
        <v>0</v>
      </c>
      <c r="S144" s="37" t="n">
        <v>0</v>
      </c>
      <c r="T144" s="38" t="n">
        <v>11</v>
      </c>
      <c r="U144" s="37" t="n">
        <v>0</v>
      </c>
      <c r="V144" s="36" t="n">
        <v>0</v>
      </c>
      <c r="W144" t="n">
        <v>11</v>
      </c>
    </row>
  </sheetData>
  <autoFilter ref="A9:Z144"/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Z146"/>
  <sheetViews>
    <sheetView workbookViewId="0">
      <selection activeCell="E13" sqref="E13"/>
    </sheetView>
  </sheetViews>
  <sheetFormatPr baseColWidth="10" defaultColWidth="8.83203125" defaultRowHeight="15"/>
  <cols>
    <col width="29.1640625" customWidth="1" min="1" max="1"/>
    <col width="16.5" customWidth="1" min="2" max="3"/>
    <col width="10.83203125" customWidth="1" min="4" max="4"/>
    <col width="13.5" customWidth="1" min="12" max="12"/>
    <col width="11" customWidth="1" min="19" max="19"/>
  </cols>
  <sheetData>
    <row r="1" ht="31" customHeight="1" thickBot="1">
      <c r="J1" s="43" t="n"/>
      <c r="K1" s="44" t="inlineStr">
        <is>
          <t>Win</t>
        </is>
      </c>
      <c r="L1" s="45" t="inlineStr">
        <is>
          <t>Tackles</t>
        </is>
      </c>
      <c r="M1" s="45" t="inlineStr">
        <is>
          <t>Dominant Tackles</t>
        </is>
      </c>
      <c r="N1" s="45" t="inlineStr">
        <is>
          <t>Line Breaks</t>
        </is>
      </c>
      <c r="O1" s="45" t="inlineStr">
        <is>
          <t>Metres Carried</t>
        </is>
      </c>
      <c r="P1" s="45" t="inlineStr">
        <is>
          <t>50-22</t>
        </is>
      </c>
      <c r="Q1" s="45" t="inlineStr">
        <is>
          <t>Lineout Steal</t>
        </is>
      </c>
      <c r="R1" s="45" t="inlineStr">
        <is>
          <t>Breakdown Steal</t>
        </is>
      </c>
      <c r="S1" s="45" t="inlineStr">
        <is>
          <t>Try</t>
        </is>
      </c>
      <c r="T1" s="45" t="inlineStr">
        <is>
          <t>Assists</t>
        </is>
      </c>
      <c r="U1" s="45" t="inlineStr">
        <is>
          <t>Conversion</t>
        </is>
      </c>
      <c r="V1" s="45" t="inlineStr">
        <is>
          <t>Penalty</t>
        </is>
      </c>
      <c r="W1" s="45" t="inlineStr">
        <is>
          <t>Drop Goal</t>
        </is>
      </c>
      <c r="X1" s="45" t="inlineStr">
        <is>
          <t>Yellow Card</t>
        </is>
      </c>
      <c r="Y1" s="45" t="inlineStr">
        <is>
          <t>Red Card</t>
        </is>
      </c>
      <c r="Z1" s="46" t="inlineStr">
        <is>
          <t>MOM</t>
        </is>
      </c>
    </row>
    <row r="2" ht="16" customHeight="1" thickBot="1">
      <c r="B2" s="43" t="inlineStr">
        <is>
          <t>Scotland</t>
        </is>
      </c>
      <c r="C2" s="50" t="inlineStr">
        <is>
          <t>Win</t>
        </is>
      </c>
      <c r="E2" s="43" t="inlineStr">
        <is>
          <t>Ireland</t>
        </is>
      </c>
      <c r="F2" s="44" t="n">
        <v>32</v>
      </c>
      <c r="G2" s="44" t="n">
        <v>19</v>
      </c>
      <c r="H2" s="50" t="inlineStr">
        <is>
          <t>France</t>
        </is>
      </c>
      <c r="J2" s="47" t="inlineStr">
        <is>
          <t>Points</t>
        </is>
      </c>
      <c r="K2" s="48" t="n">
        <v>8</v>
      </c>
      <c r="L2" s="48" t="n">
        <v>1</v>
      </c>
      <c r="M2" s="48" t="n">
        <v>7</v>
      </c>
      <c r="N2" s="48" t="n">
        <v>7</v>
      </c>
      <c r="O2" s="48" t="n">
        <v>0.2</v>
      </c>
      <c r="P2" s="48" t="n">
        <v>10</v>
      </c>
      <c r="Q2" s="48" t="n">
        <v>7</v>
      </c>
      <c r="R2" s="48" t="n">
        <v>7</v>
      </c>
      <c r="S2" s="48" t="n">
        <v>15</v>
      </c>
      <c r="T2" s="48" t="n">
        <v>7</v>
      </c>
      <c r="U2" s="48" t="n">
        <v>2</v>
      </c>
      <c r="V2" s="48" t="n">
        <v>5</v>
      </c>
      <c r="W2" s="48" t="n">
        <v>7</v>
      </c>
      <c r="X2" s="48" t="n">
        <v>-5</v>
      </c>
      <c r="Y2" s="48" t="n">
        <v>-10</v>
      </c>
      <c r="Z2" s="49" t="n">
        <v>15</v>
      </c>
    </row>
    <row r="3">
      <c r="B3" s="51" t="inlineStr">
        <is>
          <t>Wales</t>
        </is>
      </c>
      <c r="C3" s="52" t="inlineStr">
        <is>
          <t>Loss</t>
        </is>
      </c>
      <c r="E3" s="51" t="inlineStr">
        <is>
          <t>Scotland</t>
        </is>
      </c>
      <c r="F3" t="n">
        <v>35</v>
      </c>
      <c r="G3" t="n">
        <v>7</v>
      </c>
      <c r="H3" s="52" t="inlineStr">
        <is>
          <t>Wales</t>
        </is>
      </c>
    </row>
    <row r="4" ht="16" customHeight="1" thickBot="1">
      <c r="B4" s="51" t="inlineStr">
        <is>
          <t>Ireland</t>
        </is>
      </c>
      <c r="C4" s="52" t="inlineStr">
        <is>
          <t>Win</t>
        </is>
      </c>
      <c r="E4" s="47" t="inlineStr">
        <is>
          <t>England</t>
        </is>
      </c>
      <c r="F4" s="48" t="n">
        <v>31</v>
      </c>
      <c r="G4" s="48" t="n">
        <v>14</v>
      </c>
      <c r="H4" s="49" t="inlineStr">
        <is>
          <t>Italy</t>
        </is>
      </c>
    </row>
    <row r="5">
      <c r="B5" s="51" t="inlineStr">
        <is>
          <t>England</t>
        </is>
      </c>
      <c r="C5" s="52" t="inlineStr">
        <is>
          <t>Win</t>
        </is>
      </c>
    </row>
    <row r="6">
      <c r="B6" s="51" t="inlineStr">
        <is>
          <t>France</t>
        </is>
      </c>
      <c r="C6" s="52" t="inlineStr">
        <is>
          <t>Loss</t>
        </is>
      </c>
    </row>
    <row r="7" ht="16" customHeight="1" thickBot="1">
      <c r="B7" s="47" t="inlineStr">
        <is>
          <t>Italy</t>
        </is>
      </c>
      <c r="C7" s="49" t="inlineStr">
        <is>
          <t>Loss</t>
        </is>
      </c>
    </row>
    <row r="8" ht="16" customHeight="1" thickBot="1"/>
    <row r="9" ht="31" customHeight="1" thickBot="1">
      <c r="A9" s="39" t="inlineStr">
        <is>
          <t>Name</t>
        </is>
      </c>
      <c r="B9" s="40" t="inlineStr">
        <is>
          <t>Nation</t>
        </is>
      </c>
      <c r="C9" s="40" t="inlineStr">
        <is>
          <t>Position</t>
        </is>
      </c>
      <c r="D9" s="40" t="inlineStr">
        <is>
          <t>Time Played</t>
        </is>
      </c>
      <c r="E9" s="40" t="n"/>
      <c r="F9" s="41" t="inlineStr">
        <is>
          <t>Tackles</t>
        </is>
      </c>
      <c r="G9" s="41" t="inlineStr">
        <is>
          <t>Dominant Tackles</t>
        </is>
      </c>
      <c r="H9" s="41" t="inlineStr">
        <is>
          <t>Line Breaks</t>
        </is>
      </c>
      <c r="I9" s="41" t="inlineStr">
        <is>
          <t>Metres Carried</t>
        </is>
      </c>
      <c r="J9" s="41" t="inlineStr">
        <is>
          <t>50-22</t>
        </is>
      </c>
      <c r="K9" s="41" t="inlineStr">
        <is>
          <t>Lineout Steal</t>
        </is>
      </c>
      <c r="L9" s="41" t="inlineStr">
        <is>
          <t>Breakdown Steal</t>
        </is>
      </c>
      <c r="M9" s="41" t="inlineStr">
        <is>
          <t>Try</t>
        </is>
      </c>
      <c r="N9" s="41" t="inlineStr">
        <is>
          <t>Assists</t>
        </is>
      </c>
      <c r="O9" s="41" t="inlineStr">
        <is>
          <t>Conversion</t>
        </is>
      </c>
      <c r="P9" s="41" t="inlineStr">
        <is>
          <t>Penalty</t>
        </is>
      </c>
      <c r="Q9" s="41" t="inlineStr">
        <is>
          <t>Drop Goal</t>
        </is>
      </c>
      <c r="R9" s="41" t="inlineStr">
        <is>
          <t>Yellow Card</t>
        </is>
      </c>
      <c r="S9" s="41" t="inlineStr">
        <is>
          <t>Red Card</t>
        </is>
      </c>
      <c r="T9" s="41" t="inlineStr">
        <is>
          <t>Game Total</t>
        </is>
      </c>
      <c r="U9" s="41" t="inlineStr">
        <is>
          <t>MoM</t>
        </is>
      </c>
      <c r="V9" s="41" t="inlineStr">
        <is>
          <t>Win Points</t>
        </is>
      </c>
      <c r="W9" s="42" t="inlineStr">
        <is>
          <t>Total Points</t>
        </is>
      </c>
    </row>
    <row r="10" ht="16" customHeight="1" thickBot="1">
      <c r="A10" s="80" t="inlineStr">
        <is>
          <t>M. Hansen</t>
        </is>
      </c>
      <c r="B10" s="36">
        <f t="array" ref="B10:C10">_xlfn.XLOOKUP(A10,'Player List'!$A$2:$A$177,'Player List'!$B$2:$C$177)</f>
        <v/>
      </c>
      <c r="C10" s="36" t="inlineStr">
        <is>
          <t>Back Three</t>
        </is>
      </c>
      <c r="D10" s="37" t="n">
        <v>80</v>
      </c>
      <c r="F10" s="37" t="n">
        <v>5</v>
      </c>
      <c r="G10" s="37" t="n">
        <v>0</v>
      </c>
      <c r="H10" s="37" t="n">
        <v>0</v>
      </c>
      <c r="I10" s="37" t="n">
        <v>12.6</v>
      </c>
      <c r="J10" s="37" t="n">
        <v>0</v>
      </c>
      <c r="K10" s="37" t="n">
        <v>0</v>
      </c>
      <c r="L10" s="37" t="n">
        <v>0</v>
      </c>
      <c r="M10" s="37" t="n">
        <v>0</v>
      </c>
      <c r="N10" s="37" t="n">
        <v>0</v>
      </c>
      <c r="O10" s="37" t="n">
        <v>0</v>
      </c>
      <c r="P10" s="37" t="n">
        <v>0</v>
      </c>
      <c r="Q10" s="37" t="n">
        <v>0</v>
      </c>
      <c r="R10" s="37" t="n">
        <v>0</v>
      </c>
      <c r="S10" s="37" t="n">
        <v>0</v>
      </c>
      <c r="T10" s="38" t="n">
        <v>17.6</v>
      </c>
      <c r="U10" s="37" t="n">
        <v>0</v>
      </c>
      <c r="V10" s="36" t="n">
        <v>0</v>
      </c>
      <c r="W10" s="52" t="n">
        <v>17.6</v>
      </c>
    </row>
    <row r="11" ht="16" customHeight="1" thickBot="1">
      <c r="A11" s="77" t="inlineStr">
        <is>
          <t>H. Keenan</t>
        </is>
      </c>
      <c r="B11" s="36">
        <f t="array" ref="B11:C11">_xlfn.XLOOKUP(A11,'Player List'!$A$2:$A$177,'Player List'!$B$2:$C$177)</f>
        <v/>
      </c>
      <c r="C11" s="36" t="inlineStr">
        <is>
          <t>Back Three</t>
        </is>
      </c>
      <c r="D11" s="37" t="n">
        <v>80</v>
      </c>
      <c r="F11" s="37" t="n">
        <v>3</v>
      </c>
      <c r="G11" s="37" t="n">
        <v>7</v>
      </c>
      <c r="H11" s="37" t="n">
        <v>14</v>
      </c>
      <c r="I11" s="37" t="n">
        <v>41</v>
      </c>
      <c r="J11" s="37" t="n">
        <v>10</v>
      </c>
      <c r="K11" s="37" t="n">
        <v>0</v>
      </c>
      <c r="L11" s="37" t="n">
        <v>0</v>
      </c>
      <c r="M11" s="37" t="n">
        <v>15</v>
      </c>
      <c r="N11" s="37" t="n">
        <v>0</v>
      </c>
      <c r="O11" s="37" t="n">
        <v>0</v>
      </c>
      <c r="P11" s="37" t="n">
        <v>0</v>
      </c>
      <c r="Q11" s="37" t="n">
        <v>0</v>
      </c>
      <c r="R11" s="37" t="n">
        <v>0</v>
      </c>
      <c r="S11" s="37" t="n">
        <v>0</v>
      </c>
      <c r="T11" s="38" t="n">
        <v>90</v>
      </c>
      <c r="U11" s="37" t="n">
        <v>0</v>
      </c>
      <c r="V11" s="36" t="n">
        <v>0</v>
      </c>
      <c r="W11" s="52" t="n">
        <v>90</v>
      </c>
    </row>
    <row r="12" ht="16" customHeight="1" thickBot="1">
      <c r="A12" s="76" t="inlineStr">
        <is>
          <t>J. Lowe</t>
        </is>
      </c>
      <c r="B12" s="36">
        <f t="array" ref="B12:C12">_xlfn.XLOOKUP(A12,'Player List'!$A$2:$A$177,'Player List'!$B$2:$C$177)</f>
        <v/>
      </c>
      <c r="C12" s="36" t="inlineStr">
        <is>
          <t>Back Three</t>
        </is>
      </c>
      <c r="D12" s="37" t="n">
        <v>80</v>
      </c>
      <c r="F12" s="37" t="n">
        <v>4</v>
      </c>
      <c r="G12" s="37" t="n">
        <v>0</v>
      </c>
      <c r="H12" s="37" t="n">
        <v>7</v>
      </c>
      <c r="I12" s="37" t="n">
        <v>18.8</v>
      </c>
      <c r="J12" s="37" t="n">
        <v>0</v>
      </c>
      <c r="K12" s="37" t="n">
        <v>0</v>
      </c>
      <c r="L12" s="37" t="n">
        <v>0</v>
      </c>
      <c r="M12" s="37" t="n">
        <v>15</v>
      </c>
      <c r="N12" s="37" t="n">
        <v>0</v>
      </c>
      <c r="O12" s="37" t="n">
        <v>0</v>
      </c>
      <c r="P12" s="37" t="n">
        <v>0</v>
      </c>
      <c r="Q12" s="37" t="n">
        <v>0</v>
      </c>
      <c r="R12" s="37" t="n">
        <v>0</v>
      </c>
      <c r="S12" s="37" t="n">
        <v>0</v>
      </c>
      <c r="T12" s="38" t="n">
        <v>44.8</v>
      </c>
      <c r="U12" s="37" t="n">
        <v>0</v>
      </c>
      <c r="V12" s="36" t="n">
        <v>0</v>
      </c>
      <c r="W12" s="52" t="n">
        <v>44.8</v>
      </c>
    </row>
    <row r="13" ht="16" customHeight="1" thickBot="1">
      <c r="A13" s="77" t="inlineStr">
        <is>
          <t>B. Aki</t>
        </is>
      </c>
      <c r="B13" s="36">
        <f t="array" ref="B13:C13">_xlfn.XLOOKUP(A13,'Player List'!$A$2:$A$177,'Player List'!$B$2:$C$177)</f>
        <v/>
      </c>
      <c r="C13" s="36" t="inlineStr">
        <is>
          <t>Centre</t>
        </is>
      </c>
      <c r="D13" s="37" t="n">
        <v>14</v>
      </c>
      <c r="F13" s="37" t="n">
        <v>3</v>
      </c>
      <c r="G13" s="37" t="n">
        <v>0</v>
      </c>
      <c r="H13" s="37" t="n">
        <v>0</v>
      </c>
      <c r="I13" s="37" t="n">
        <v>5</v>
      </c>
      <c r="J13" s="37" t="n">
        <v>0</v>
      </c>
      <c r="K13" s="37" t="n">
        <v>0</v>
      </c>
      <c r="L13" s="37" t="n">
        <v>0</v>
      </c>
      <c r="M13" s="37" t="n">
        <v>0</v>
      </c>
      <c r="N13" s="37" t="n">
        <v>0</v>
      </c>
      <c r="O13" s="37" t="n">
        <v>0</v>
      </c>
      <c r="P13" s="37" t="n">
        <v>0</v>
      </c>
      <c r="Q13" s="37" t="n">
        <v>0</v>
      </c>
      <c r="R13" s="37" t="n">
        <v>0</v>
      </c>
      <c r="S13" s="37" t="n">
        <v>0</v>
      </c>
      <c r="T13" s="38" t="n">
        <v>8</v>
      </c>
      <c r="U13" s="37" t="n">
        <v>0</v>
      </c>
      <c r="V13" s="36" t="n">
        <v>0</v>
      </c>
      <c r="W13" s="52" t="n">
        <v>8</v>
      </c>
    </row>
    <row r="14" ht="16" customHeight="1" thickBot="1">
      <c r="A14" s="76" t="inlineStr">
        <is>
          <t>S. McCloskey</t>
        </is>
      </c>
      <c r="B14" s="36">
        <f t="array" ref="B14:C14">_xlfn.XLOOKUP(A14,'Player List'!$A$2:$A$177,'Player List'!$B$2:$C$177)</f>
        <v/>
      </c>
      <c r="C14" s="36" t="inlineStr">
        <is>
          <t>Centre</t>
        </is>
      </c>
      <c r="D14" s="37" t="n">
        <v>66</v>
      </c>
      <c r="F14" s="37" t="n">
        <v>3</v>
      </c>
      <c r="G14" s="37" t="n">
        <v>0</v>
      </c>
      <c r="H14" s="37" t="n">
        <v>0</v>
      </c>
      <c r="I14" s="37" t="n">
        <v>13.8</v>
      </c>
      <c r="J14" s="37" t="n">
        <v>0</v>
      </c>
      <c r="K14" s="37" t="n">
        <v>0</v>
      </c>
      <c r="L14" s="37" t="n">
        <v>7</v>
      </c>
      <c r="M14" s="37" t="n">
        <v>0</v>
      </c>
      <c r="N14" s="37" t="n">
        <v>0</v>
      </c>
      <c r="O14" s="37" t="n">
        <v>0</v>
      </c>
      <c r="P14" s="37" t="n">
        <v>0</v>
      </c>
      <c r="Q14" s="37" t="n">
        <v>0</v>
      </c>
      <c r="R14" s="37" t="n">
        <v>0</v>
      </c>
      <c r="S14" s="37" t="n">
        <v>0</v>
      </c>
      <c r="T14" s="38" t="n">
        <v>23.8</v>
      </c>
      <c r="U14" s="37" t="n">
        <v>0</v>
      </c>
      <c r="V14" s="36" t="n">
        <v>0</v>
      </c>
      <c r="W14" s="52" t="n">
        <v>23.8</v>
      </c>
    </row>
    <row r="15" ht="16" customHeight="1" thickBot="1">
      <c r="A15" s="77" t="inlineStr">
        <is>
          <t>G. Ringrose</t>
        </is>
      </c>
      <c r="B15" s="36">
        <f t="array" ref="B15:C15">_xlfn.XLOOKUP(A15,'Player List'!$A$2:$A$177,'Player List'!$B$2:$C$177)</f>
        <v/>
      </c>
      <c r="C15" s="36" t="inlineStr">
        <is>
          <t>Centre</t>
        </is>
      </c>
      <c r="D15" s="37" t="n">
        <v>80</v>
      </c>
      <c r="F15" s="37" t="n">
        <v>9</v>
      </c>
      <c r="G15" s="37" t="n">
        <v>7</v>
      </c>
      <c r="H15" s="37" t="n">
        <v>7</v>
      </c>
      <c r="I15" s="37" t="n">
        <v>12.8</v>
      </c>
      <c r="J15" s="37" t="n">
        <v>0</v>
      </c>
      <c r="K15" s="37" t="n">
        <v>0</v>
      </c>
      <c r="L15" s="37" t="n">
        <v>0</v>
      </c>
      <c r="M15" s="37" t="n">
        <v>15</v>
      </c>
      <c r="N15" s="37" t="n">
        <v>7</v>
      </c>
      <c r="O15" s="37" t="n">
        <v>0</v>
      </c>
      <c r="P15" s="37" t="n">
        <v>0</v>
      </c>
      <c r="Q15" s="37" t="n">
        <v>0</v>
      </c>
      <c r="R15" s="37" t="n">
        <v>0</v>
      </c>
      <c r="S15" s="37" t="n">
        <v>0</v>
      </c>
      <c r="T15" s="38" t="n">
        <v>57.8</v>
      </c>
      <c r="U15" s="37" t="n">
        <v>0</v>
      </c>
      <c r="V15" s="36" t="n">
        <v>0</v>
      </c>
      <c r="W15" s="52" t="n">
        <v>57.8</v>
      </c>
    </row>
    <row r="16" ht="16" customHeight="1" thickBot="1">
      <c r="A16" s="76" t="inlineStr">
        <is>
          <t>R. Byrne</t>
        </is>
      </c>
      <c r="B16" s="36">
        <f t="array" ref="B16:C16">_xlfn.XLOOKUP(A16,'Player List'!$A$2:$A$177,'Player List'!$B$2:$C$177)</f>
        <v/>
      </c>
      <c r="C16" s="36" t="inlineStr">
        <is>
          <t>Fly Half</t>
        </is>
      </c>
      <c r="D16" s="37" t="n">
        <v>32</v>
      </c>
      <c r="F16" s="37" t="n">
        <v>3</v>
      </c>
      <c r="G16" s="37" t="n">
        <v>0</v>
      </c>
      <c r="H16" s="37" t="n">
        <v>0</v>
      </c>
      <c r="I16" s="37" t="n">
        <v>2</v>
      </c>
      <c r="J16" s="37" t="n">
        <v>0</v>
      </c>
      <c r="K16" s="37" t="n">
        <v>0</v>
      </c>
      <c r="L16" s="37" t="n">
        <v>0</v>
      </c>
      <c r="M16" s="37" t="n">
        <v>0</v>
      </c>
      <c r="N16" s="37" t="n">
        <v>0</v>
      </c>
      <c r="O16" s="37" t="n">
        <v>2</v>
      </c>
      <c r="P16" s="37" t="n">
        <v>5</v>
      </c>
      <c r="Q16" s="37" t="n">
        <v>0</v>
      </c>
      <c r="R16" s="37" t="n">
        <v>0</v>
      </c>
      <c r="S16" s="37" t="n">
        <v>0</v>
      </c>
      <c r="T16" s="38" t="n">
        <v>12</v>
      </c>
      <c r="U16" s="37" t="n">
        <v>0</v>
      </c>
      <c r="V16" s="36" t="n">
        <v>0</v>
      </c>
      <c r="W16" s="52" t="n">
        <v>12</v>
      </c>
    </row>
    <row r="17" ht="16" customHeight="1" thickBot="1">
      <c r="A17" s="77" t="inlineStr">
        <is>
          <t>J. Sexton</t>
        </is>
      </c>
      <c r="B17" s="36">
        <f t="array" ref="B17:C17">_xlfn.XLOOKUP(A17,'Player List'!$A$2:$A$177,'Player List'!$B$2:$C$177)</f>
        <v/>
      </c>
      <c r="C17" s="36" t="inlineStr">
        <is>
          <t>Fly Half</t>
        </is>
      </c>
      <c r="D17" s="37" t="n">
        <v>48</v>
      </c>
      <c r="F17" s="37" t="n">
        <v>3</v>
      </c>
      <c r="G17" s="37" t="n">
        <v>0</v>
      </c>
      <c r="H17" s="37" t="n">
        <v>14</v>
      </c>
      <c r="I17" s="37" t="n">
        <v>16</v>
      </c>
      <c r="J17" s="37" t="n">
        <v>0</v>
      </c>
      <c r="K17" s="37" t="n">
        <v>0</v>
      </c>
      <c r="L17" s="37" t="n">
        <v>0</v>
      </c>
      <c r="M17" s="37" t="n">
        <v>0</v>
      </c>
      <c r="N17" s="37" t="n">
        <v>0</v>
      </c>
      <c r="O17" s="37" t="n">
        <v>4</v>
      </c>
      <c r="P17" s="37" t="n">
        <v>5</v>
      </c>
      <c r="Q17" s="37" t="n">
        <v>0</v>
      </c>
      <c r="R17" s="37" t="n">
        <v>0</v>
      </c>
      <c r="S17" s="37" t="n">
        <v>0</v>
      </c>
      <c r="T17" s="38" t="n">
        <v>42</v>
      </c>
      <c r="U17" s="37" t="n">
        <v>0</v>
      </c>
      <c r="V17" s="36" t="n">
        <v>0</v>
      </c>
      <c r="W17" s="52" t="n">
        <v>42</v>
      </c>
    </row>
    <row r="18" ht="16" customHeight="1" thickBot="1">
      <c r="A18" s="76" t="inlineStr">
        <is>
          <t>C. Casey</t>
        </is>
      </c>
      <c r="B18" s="36">
        <f t="array" ref="B18:C18">_xlfn.XLOOKUP(A18,'Player List'!$A$2:$A$177,'Player List'!$B$2:$C$177)</f>
        <v/>
      </c>
      <c r="C18" s="36" t="inlineStr">
        <is>
          <t>Scrum Half</t>
        </is>
      </c>
      <c r="D18" s="37" t="n">
        <v>24</v>
      </c>
      <c r="F18" s="37" t="n">
        <v>1</v>
      </c>
      <c r="G18" s="37" t="n">
        <v>0</v>
      </c>
      <c r="H18" s="37" t="n">
        <v>0</v>
      </c>
      <c r="I18" s="37" t="n">
        <v>2.8</v>
      </c>
      <c r="J18" s="37" t="n">
        <v>0</v>
      </c>
      <c r="K18" s="37" t="n">
        <v>0</v>
      </c>
      <c r="L18" s="37" t="n">
        <v>0</v>
      </c>
      <c r="M18" s="37" t="n">
        <v>0</v>
      </c>
      <c r="N18" s="37" t="n">
        <v>0</v>
      </c>
      <c r="O18" s="37" t="n">
        <v>0</v>
      </c>
      <c r="P18" s="37" t="n">
        <v>0</v>
      </c>
      <c r="Q18" s="37" t="n">
        <v>0</v>
      </c>
      <c r="R18" s="37" t="n">
        <v>0</v>
      </c>
      <c r="S18" s="37" t="n">
        <v>0</v>
      </c>
      <c r="T18" s="38" t="n">
        <v>3.8</v>
      </c>
      <c r="U18" s="37" t="n">
        <v>0</v>
      </c>
      <c r="V18" s="36" t="n">
        <v>0</v>
      </c>
      <c r="W18" s="52" t="n">
        <v>3.8</v>
      </c>
    </row>
    <row r="19" ht="16" customHeight="1" thickBot="1">
      <c r="A19" s="77" t="inlineStr">
        <is>
          <t>C. Murray</t>
        </is>
      </c>
      <c r="B19" s="36">
        <f t="array" ref="B19:C19">_xlfn.XLOOKUP(A19,'Player List'!$A$2:$A$177,'Player List'!$B$2:$C$177)</f>
        <v/>
      </c>
      <c r="C19" s="36" t="inlineStr">
        <is>
          <t>Scrum Half</t>
        </is>
      </c>
      <c r="D19" s="37" t="n">
        <v>56</v>
      </c>
      <c r="F19" s="37" t="n">
        <v>3</v>
      </c>
      <c r="G19" s="37" t="n">
        <v>0</v>
      </c>
      <c r="H19" s="37" t="n">
        <v>0</v>
      </c>
      <c r="I19" s="37" t="n">
        <v>2.2</v>
      </c>
      <c r="J19" s="37" t="n">
        <v>0</v>
      </c>
      <c r="K19" s="37" t="n">
        <v>0</v>
      </c>
      <c r="L19" s="37" t="n">
        <v>0</v>
      </c>
      <c r="M19" s="37" t="n">
        <v>0</v>
      </c>
      <c r="N19" s="37" t="n">
        <v>0</v>
      </c>
      <c r="O19" s="37" t="n">
        <v>0</v>
      </c>
      <c r="P19" s="37" t="n">
        <v>0</v>
      </c>
      <c r="Q19" s="37" t="n">
        <v>0</v>
      </c>
      <c r="R19" s="37" t="n">
        <v>0</v>
      </c>
      <c r="S19" s="37" t="n">
        <v>0</v>
      </c>
      <c r="T19" s="38" t="n">
        <v>5.2</v>
      </c>
      <c r="U19" s="37" t="n">
        <v>0</v>
      </c>
      <c r="V19" s="36" t="n">
        <v>0</v>
      </c>
      <c r="W19" s="52" t="n">
        <v>5.2</v>
      </c>
    </row>
    <row r="20" ht="16" customHeight="1" thickBot="1">
      <c r="A20" s="76" t="inlineStr">
        <is>
          <t>J. Conan</t>
        </is>
      </c>
      <c r="B20" s="36">
        <f t="array" ref="B20:C20">_xlfn.XLOOKUP(A20,'Player List'!$A$2:$A$177,'Player List'!$B$2:$C$177)</f>
        <v/>
      </c>
      <c r="C20" s="36" t="inlineStr">
        <is>
          <t>Back Row</t>
        </is>
      </c>
      <c r="D20" s="37" t="n">
        <v>24</v>
      </c>
      <c r="F20" s="37" t="n">
        <v>2</v>
      </c>
      <c r="G20" s="37" t="n">
        <v>0</v>
      </c>
      <c r="H20" s="37" t="n">
        <v>0</v>
      </c>
      <c r="I20" s="37" t="n">
        <v>4.4</v>
      </c>
      <c r="J20" s="37" t="n">
        <v>0</v>
      </c>
      <c r="K20" s="37" t="n">
        <v>0</v>
      </c>
      <c r="L20" s="37" t="n">
        <v>0</v>
      </c>
      <c r="M20" s="37" t="n">
        <v>0</v>
      </c>
      <c r="N20" s="37" t="n">
        <v>0</v>
      </c>
      <c r="O20" s="37" t="n">
        <v>0</v>
      </c>
      <c r="P20" s="37" t="n">
        <v>0</v>
      </c>
      <c r="Q20" s="37" t="n">
        <v>0</v>
      </c>
      <c r="R20" s="37" t="n">
        <v>0</v>
      </c>
      <c r="S20" s="37" t="n">
        <v>0</v>
      </c>
      <c r="T20" s="38" t="n">
        <v>6.4</v>
      </c>
      <c r="U20" s="37" t="n">
        <v>0</v>
      </c>
      <c r="V20" s="36" t="n">
        <v>0</v>
      </c>
      <c r="W20" s="52" t="n">
        <v>6.4</v>
      </c>
    </row>
    <row r="21" ht="16" customHeight="1" thickBot="1">
      <c r="A21" s="77" t="inlineStr">
        <is>
          <t>C. Doris</t>
        </is>
      </c>
      <c r="B21" s="36">
        <f t="array" ref="B21:C21">_xlfn.XLOOKUP(A21,'Player List'!$A$2:$A$177,'Player List'!$B$2:$C$177)</f>
        <v/>
      </c>
      <c r="C21" s="36" t="inlineStr">
        <is>
          <t>Back Row</t>
        </is>
      </c>
      <c r="D21" s="37" t="n">
        <v>80</v>
      </c>
      <c r="F21" s="37" t="n">
        <v>6</v>
      </c>
      <c r="G21" s="37" t="n">
        <v>0</v>
      </c>
      <c r="H21" s="37" t="n">
        <v>0</v>
      </c>
      <c r="I21" s="37" t="n">
        <v>23.4</v>
      </c>
      <c r="J21" s="37" t="n">
        <v>0</v>
      </c>
      <c r="K21" s="37" t="n">
        <v>0</v>
      </c>
      <c r="L21" s="37" t="n">
        <v>7</v>
      </c>
      <c r="M21" s="37" t="n">
        <v>0</v>
      </c>
      <c r="N21" s="37" t="n">
        <v>7</v>
      </c>
      <c r="O21" s="37" t="n">
        <v>0</v>
      </c>
      <c r="P21" s="37" t="n">
        <v>0</v>
      </c>
      <c r="Q21" s="37" t="n">
        <v>0</v>
      </c>
      <c r="R21" s="37" t="n">
        <v>0</v>
      </c>
      <c r="S21" s="37" t="n">
        <v>0</v>
      </c>
      <c r="T21" s="38" t="n">
        <v>43.4</v>
      </c>
      <c r="U21" s="37" t="n">
        <v>15</v>
      </c>
      <c r="V21" s="36" t="n">
        <v>0</v>
      </c>
      <c r="W21" s="52" t="n">
        <v>58.4</v>
      </c>
    </row>
    <row r="22" ht="16" customHeight="1" thickBot="1">
      <c r="A22" s="76" t="inlineStr">
        <is>
          <t>P. O'Mahony</t>
        </is>
      </c>
      <c r="B22" s="36">
        <f t="array" ref="B22:C22">_xlfn.XLOOKUP(A22,'Player List'!$A$2:$A$177,'Player List'!$B$2:$C$177)</f>
        <v/>
      </c>
      <c r="C22" s="36" t="inlineStr">
        <is>
          <t>Back Row</t>
        </is>
      </c>
      <c r="D22" s="37" t="n">
        <v>56</v>
      </c>
      <c r="F22" s="37" t="n">
        <v>7</v>
      </c>
      <c r="G22" s="37" t="n">
        <v>0</v>
      </c>
      <c r="H22" s="37" t="n">
        <v>0</v>
      </c>
      <c r="I22" s="37" t="n">
        <v>3</v>
      </c>
      <c r="J22" s="37" t="n">
        <v>0</v>
      </c>
      <c r="K22" s="37" t="n">
        <v>0</v>
      </c>
      <c r="L22" s="37" t="n">
        <v>0</v>
      </c>
      <c r="M22" s="37" t="n">
        <v>0</v>
      </c>
      <c r="N22" s="37" t="n">
        <v>0</v>
      </c>
      <c r="O22" s="37" t="n">
        <v>0</v>
      </c>
      <c r="P22" s="37" t="n">
        <v>0</v>
      </c>
      <c r="Q22" s="37" t="n">
        <v>0</v>
      </c>
      <c r="R22" s="37" t="n">
        <v>0</v>
      </c>
      <c r="S22" s="37" t="n">
        <v>0</v>
      </c>
      <c r="T22" s="38" t="n">
        <v>10</v>
      </c>
      <c r="U22" s="37" t="n">
        <v>0</v>
      </c>
      <c r="V22" s="36" t="n">
        <v>0</v>
      </c>
      <c r="W22" s="52" t="n">
        <v>10</v>
      </c>
    </row>
    <row r="23" ht="16" customHeight="1" thickBot="1">
      <c r="A23" s="77" t="inlineStr">
        <is>
          <t>J. van der Flier</t>
        </is>
      </c>
      <c r="B23" s="36">
        <f t="array" ref="B23:C23">_xlfn.XLOOKUP(A23,'Player List'!$A$2:$A$177,'Player List'!$B$2:$C$177)</f>
        <v/>
      </c>
      <c r="C23" s="36" t="inlineStr">
        <is>
          <t>Back Row</t>
        </is>
      </c>
      <c r="D23" s="37" t="n">
        <v>80</v>
      </c>
      <c r="F23" s="37" t="n">
        <v>12</v>
      </c>
      <c r="G23" s="37" t="n">
        <v>7</v>
      </c>
      <c r="H23" s="37" t="n">
        <v>0</v>
      </c>
      <c r="I23" s="37" t="n">
        <v>10.2</v>
      </c>
      <c r="J23" s="37" t="n">
        <v>0</v>
      </c>
      <c r="K23" s="37" t="n">
        <v>0</v>
      </c>
      <c r="L23" s="37" t="n">
        <v>0</v>
      </c>
      <c r="M23" s="37" t="n">
        <v>0</v>
      </c>
      <c r="N23" s="37" t="n">
        <v>0</v>
      </c>
      <c r="O23" s="37" t="n">
        <v>0</v>
      </c>
      <c r="P23" s="37" t="n">
        <v>0</v>
      </c>
      <c r="Q23" s="37" t="n">
        <v>0</v>
      </c>
      <c r="R23" s="37" t="n">
        <v>0</v>
      </c>
      <c r="S23" s="37" t="n">
        <v>0</v>
      </c>
      <c r="T23" s="38" t="n">
        <v>29.2</v>
      </c>
      <c r="U23" s="37" t="n">
        <v>0</v>
      </c>
      <c r="V23" s="36" t="n">
        <v>0</v>
      </c>
      <c r="W23" s="52" t="n">
        <v>29.2</v>
      </c>
    </row>
    <row r="24" ht="16" customHeight="1" thickBot="1">
      <c r="A24" s="76" t="inlineStr">
        <is>
          <t>T. Beirne</t>
        </is>
      </c>
      <c r="B24" s="36">
        <f t="array" ref="B24:C24">_xlfn.XLOOKUP(A24,'Player List'!$A$2:$A$177,'Player List'!$B$2:$C$177)</f>
        <v/>
      </c>
      <c r="C24" s="36" t="inlineStr">
        <is>
          <t>Second Row</t>
        </is>
      </c>
      <c r="D24" s="37" t="n">
        <v>45</v>
      </c>
      <c r="F24" s="37" t="n">
        <v>10</v>
      </c>
      <c r="G24" s="37" t="n">
        <v>14</v>
      </c>
      <c r="H24" s="37" t="n">
        <v>7</v>
      </c>
      <c r="I24" s="37" t="n">
        <v>6.6</v>
      </c>
      <c r="J24" s="37" t="n">
        <v>0</v>
      </c>
      <c r="K24" s="37" t="n">
        <v>0</v>
      </c>
      <c r="L24" s="37" t="n">
        <v>7</v>
      </c>
      <c r="M24" s="37" t="n">
        <v>0</v>
      </c>
      <c r="N24" s="37" t="n">
        <v>0</v>
      </c>
      <c r="O24" s="37" t="n">
        <v>0</v>
      </c>
      <c r="P24" s="37" t="n">
        <v>0</v>
      </c>
      <c r="Q24" s="37" t="n">
        <v>0</v>
      </c>
      <c r="R24" s="37" t="n">
        <v>0</v>
      </c>
      <c r="S24" s="37" t="n">
        <v>0</v>
      </c>
      <c r="T24" s="38" t="n">
        <v>44.6</v>
      </c>
      <c r="U24" s="37" t="n">
        <v>0</v>
      </c>
      <c r="V24" s="36" t="n">
        <v>0</v>
      </c>
      <c r="W24" s="52" t="n">
        <v>44.6</v>
      </c>
    </row>
    <row r="25" ht="16" customHeight="1" thickBot="1">
      <c r="A25" s="77" t="inlineStr">
        <is>
          <t>I. Henderson</t>
        </is>
      </c>
      <c r="B25" s="36">
        <f t="array" ref="B25:C25">_xlfn.XLOOKUP(A25,'Player List'!$A$2:$A$177,'Player List'!$B$2:$C$177)</f>
        <v/>
      </c>
      <c r="C25" s="36" t="inlineStr">
        <is>
          <t>Second Row</t>
        </is>
      </c>
      <c r="D25" s="37" t="n">
        <v>35</v>
      </c>
      <c r="F25" s="37" t="n">
        <v>4</v>
      </c>
      <c r="G25" s="37" t="n">
        <v>0</v>
      </c>
      <c r="H25" s="37" t="n">
        <v>0</v>
      </c>
      <c r="I25" s="37" t="n">
        <v>4</v>
      </c>
      <c r="J25" s="37" t="n">
        <v>0</v>
      </c>
      <c r="K25" s="37" t="n">
        <v>0</v>
      </c>
      <c r="L25" s="37" t="n">
        <v>0</v>
      </c>
      <c r="M25" s="37" t="n">
        <v>0</v>
      </c>
      <c r="N25" s="37" t="n">
        <v>0</v>
      </c>
      <c r="O25" s="37" t="n">
        <v>0</v>
      </c>
      <c r="P25" s="37" t="n">
        <v>0</v>
      </c>
      <c r="Q25" s="37" t="n">
        <v>0</v>
      </c>
      <c r="R25" s="37" t="n">
        <v>0</v>
      </c>
      <c r="S25" s="37" t="n">
        <v>0</v>
      </c>
      <c r="T25" s="38" t="n">
        <v>8</v>
      </c>
      <c r="U25" s="37" t="n">
        <v>0</v>
      </c>
      <c r="V25" s="36" t="n">
        <v>0</v>
      </c>
      <c r="W25" s="52" t="n">
        <v>8</v>
      </c>
    </row>
    <row r="26" ht="16" customHeight="1" thickBot="1">
      <c r="A26" s="76" t="inlineStr">
        <is>
          <t>J. Ryan</t>
        </is>
      </c>
      <c r="B26" s="36">
        <f t="array" ref="B26:C26">_xlfn.XLOOKUP(A26,'Player List'!$A$2:$A$177,'Player List'!$B$2:$C$177)</f>
        <v/>
      </c>
      <c r="C26" s="36" t="inlineStr">
        <is>
          <t>Second Row</t>
        </is>
      </c>
      <c r="D26" s="37" t="n">
        <v>80</v>
      </c>
      <c r="F26" s="37" t="n">
        <v>15</v>
      </c>
      <c r="G26" s="37" t="n">
        <v>7</v>
      </c>
      <c r="H26" s="37" t="n">
        <v>0</v>
      </c>
      <c r="I26" s="37" t="n">
        <v>10.4</v>
      </c>
      <c r="J26" s="37" t="n">
        <v>0</v>
      </c>
      <c r="K26" s="37" t="n">
        <v>0</v>
      </c>
      <c r="L26" s="37" t="n">
        <v>0</v>
      </c>
      <c r="M26" s="37" t="n">
        <v>0</v>
      </c>
      <c r="N26" s="37" t="n">
        <v>0</v>
      </c>
      <c r="O26" s="37" t="n">
        <v>0</v>
      </c>
      <c r="P26" s="37" t="n">
        <v>0</v>
      </c>
      <c r="Q26" s="37" t="n">
        <v>0</v>
      </c>
      <c r="R26" s="37" t="n">
        <v>0</v>
      </c>
      <c r="S26" s="37" t="n">
        <v>0</v>
      </c>
      <c r="T26" s="38" t="n">
        <v>32.4</v>
      </c>
      <c r="U26" s="37" t="n">
        <v>0</v>
      </c>
      <c r="V26" s="36" t="n">
        <v>0</v>
      </c>
      <c r="W26" s="52" t="n">
        <v>32.4</v>
      </c>
    </row>
    <row r="27" ht="16" customHeight="1" thickBot="1">
      <c r="A27" s="77" t="inlineStr">
        <is>
          <t>F. Bealham</t>
        </is>
      </c>
      <c r="B27" s="36">
        <f t="array" ref="B27:C27">_xlfn.XLOOKUP(A27,'Player List'!$A$2:$A$177,'Player List'!$B$2:$C$177)</f>
        <v/>
      </c>
      <c r="C27" s="36" t="inlineStr">
        <is>
          <t>Prop</t>
        </is>
      </c>
      <c r="D27" s="37" t="n">
        <v>61</v>
      </c>
      <c r="F27" s="37" t="n">
        <v>12</v>
      </c>
      <c r="G27" s="37" t="n">
        <v>7</v>
      </c>
      <c r="H27" s="37" t="n">
        <v>0</v>
      </c>
      <c r="I27" s="37" t="n">
        <v>2.2</v>
      </c>
      <c r="J27" s="37" t="n">
        <v>0</v>
      </c>
      <c r="K27" s="37" t="n">
        <v>0</v>
      </c>
      <c r="L27" s="37" t="n">
        <v>0</v>
      </c>
      <c r="M27" s="37" t="n">
        <v>0</v>
      </c>
      <c r="N27" s="37" t="n">
        <v>7</v>
      </c>
      <c r="O27" s="37" t="n">
        <v>0</v>
      </c>
      <c r="P27" s="37" t="n">
        <v>0</v>
      </c>
      <c r="Q27" s="37" t="n">
        <v>0</v>
      </c>
      <c r="R27" s="37" t="n">
        <v>0</v>
      </c>
      <c r="S27" s="37" t="n">
        <v>0</v>
      </c>
      <c r="T27" s="38" t="n">
        <v>28.2</v>
      </c>
      <c r="U27" s="37" t="n">
        <v>0</v>
      </c>
      <c r="V27" s="36" t="n">
        <v>0</v>
      </c>
      <c r="W27" s="52" t="n">
        <v>28.2</v>
      </c>
    </row>
    <row r="28" ht="16" customHeight="1" thickBot="1">
      <c r="A28" s="76" t="inlineStr">
        <is>
          <t>D. Kilcoyne</t>
        </is>
      </c>
      <c r="B28" s="36">
        <f t="array" ref="B28:C28">_xlfn.XLOOKUP(A28,'Player List'!$A$2:$A$177,'Player List'!$B$2:$C$177)</f>
        <v/>
      </c>
      <c r="C28" s="36" t="inlineStr">
        <is>
          <t>Prop</t>
        </is>
      </c>
      <c r="D28" s="37" t="n">
        <v>11</v>
      </c>
      <c r="F28" s="37" t="n">
        <v>3</v>
      </c>
      <c r="G28" s="37" t="n">
        <v>0</v>
      </c>
      <c r="H28" s="37" t="n">
        <v>0</v>
      </c>
      <c r="I28" s="37" t="n">
        <v>1.8</v>
      </c>
      <c r="J28" s="37" t="n">
        <v>0</v>
      </c>
      <c r="K28" s="37" t="n">
        <v>0</v>
      </c>
      <c r="L28" s="37" t="n">
        <v>0</v>
      </c>
      <c r="M28" s="37" t="n">
        <v>0</v>
      </c>
      <c r="N28" s="37" t="n">
        <v>0</v>
      </c>
      <c r="O28" s="37" t="n">
        <v>0</v>
      </c>
      <c r="P28" s="37" t="n">
        <v>0</v>
      </c>
      <c r="Q28" s="37" t="n">
        <v>0</v>
      </c>
      <c r="R28" s="37" t="n">
        <v>0</v>
      </c>
      <c r="S28" s="37" t="n">
        <v>0</v>
      </c>
      <c r="T28" s="38" t="n">
        <v>4.8</v>
      </c>
      <c r="U28" s="37" t="n">
        <v>0</v>
      </c>
      <c r="V28" s="36" t="n">
        <v>0</v>
      </c>
      <c r="W28" s="52" t="n">
        <v>4.8</v>
      </c>
    </row>
    <row r="29" ht="16" customHeight="1" thickBot="1">
      <c r="A29" s="77" t="inlineStr">
        <is>
          <t>T. O'Toole</t>
        </is>
      </c>
      <c r="B29" s="36">
        <f t="array" ref="B29:C29">_xlfn.XLOOKUP(A29,'Player List'!$A$2:$A$177,'Player List'!$B$2:$C$177)</f>
        <v/>
      </c>
      <c r="C29" s="36" t="inlineStr">
        <is>
          <t>Prop</t>
        </is>
      </c>
      <c r="D29" s="37" t="n">
        <v>19</v>
      </c>
      <c r="F29" s="37" t="n">
        <v>0</v>
      </c>
      <c r="G29" s="37" t="n">
        <v>0</v>
      </c>
      <c r="H29" s="37" t="n">
        <v>0</v>
      </c>
      <c r="I29" s="37" t="n">
        <v>10.4</v>
      </c>
      <c r="J29" s="37" t="n">
        <v>0</v>
      </c>
      <c r="K29" s="37" t="n">
        <v>0</v>
      </c>
      <c r="L29" s="37" t="n">
        <v>0</v>
      </c>
      <c r="M29" s="37" t="n">
        <v>0</v>
      </c>
      <c r="N29" s="37" t="n">
        <v>0</v>
      </c>
      <c r="O29" s="37" t="n">
        <v>0</v>
      </c>
      <c r="P29" s="37" t="n">
        <v>0</v>
      </c>
      <c r="Q29" s="37" t="n">
        <v>0</v>
      </c>
      <c r="R29" s="37" t="n">
        <v>0</v>
      </c>
      <c r="S29" s="37" t="n">
        <v>0</v>
      </c>
      <c r="T29" s="38" t="n">
        <v>10.4</v>
      </c>
      <c r="U29" s="37" t="n">
        <v>0</v>
      </c>
      <c r="V29" s="36" t="n">
        <v>0</v>
      </c>
      <c r="W29" s="52" t="n">
        <v>10.4</v>
      </c>
    </row>
    <row r="30" ht="16" customHeight="1" thickBot="1">
      <c r="A30" s="76" t="inlineStr">
        <is>
          <t>A. Porter</t>
        </is>
      </c>
      <c r="B30" s="36">
        <f t="array" ref="B30:C30">_xlfn.XLOOKUP(A30,'Player List'!$A$2:$A$177,'Player List'!$B$2:$C$177)</f>
        <v/>
      </c>
      <c r="C30" s="36" t="inlineStr">
        <is>
          <t>Prop</t>
        </is>
      </c>
      <c r="D30" s="37" t="n">
        <v>69</v>
      </c>
      <c r="F30" s="37" t="n">
        <v>6</v>
      </c>
      <c r="G30" s="37" t="n">
        <v>0</v>
      </c>
      <c r="H30" s="37" t="n">
        <v>0</v>
      </c>
      <c r="I30" s="37" t="n">
        <v>3.4</v>
      </c>
      <c r="J30" s="37" t="n">
        <v>0</v>
      </c>
      <c r="K30" s="37" t="n">
        <v>0</v>
      </c>
      <c r="L30" s="37" t="n">
        <v>0</v>
      </c>
      <c r="M30" s="37" t="n">
        <v>15</v>
      </c>
      <c r="N30" s="37" t="n">
        <v>0</v>
      </c>
      <c r="O30" s="37" t="n">
        <v>0</v>
      </c>
      <c r="P30" s="37" t="n">
        <v>0</v>
      </c>
      <c r="Q30" s="37" t="n">
        <v>0</v>
      </c>
      <c r="R30" s="37" t="n">
        <v>0</v>
      </c>
      <c r="S30" s="37" t="n">
        <v>0</v>
      </c>
      <c r="T30" s="38" t="n">
        <v>24.4</v>
      </c>
      <c r="U30" s="37" t="n">
        <v>0</v>
      </c>
      <c r="V30" s="36" t="n">
        <v>0</v>
      </c>
      <c r="W30" s="52" t="n">
        <v>24.4</v>
      </c>
    </row>
    <row r="31" ht="16" customHeight="1" thickBot="1">
      <c r="A31" s="77" t="inlineStr">
        <is>
          <t>R. Herring</t>
        </is>
      </c>
      <c r="B31" s="36">
        <f t="array" ref="B31:C31">_xlfn.XLOOKUP(A31,'Player List'!$A$2:$A$177,'Player List'!$B$2:$C$177)</f>
        <v/>
      </c>
      <c r="C31" s="36" t="inlineStr">
        <is>
          <t>Hooker</t>
        </is>
      </c>
      <c r="D31" s="37" t="n">
        <v>25</v>
      </c>
      <c r="F31" s="37" t="n">
        <v>6</v>
      </c>
      <c r="G31" s="37" t="n">
        <v>0</v>
      </c>
      <c r="H31" s="37" t="n">
        <v>0</v>
      </c>
      <c r="I31" s="37" t="n">
        <v>1.4</v>
      </c>
      <c r="J31" s="37" t="n">
        <v>0</v>
      </c>
      <c r="K31" s="37" t="n">
        <v>0</v>
      </c>
      <c r="L31" s="37" t="n">
        <v>0</v>
      </c>
      <c r="M31" s="37" t="n">
        <v>0</v>
      </c>
      <c r="N31" s="37" t="n">
        <v>0</v>
      </c>
      <c r="O31" s="37" t="n">
        <v>0</v>
      </c>
      <c r="P31" s="37" t="n">
        <v>0</v>
      </c>
      <c r="Q31" s="37" t="n">
        <v>0</v>
      </c>
      <c r="R31" s="37" t="n">
        <v>0</v>
      </c>
      <c r="S31" s="37" t="n">
        <v>0</v>
      </c>
      <c r="T31" s="38" t="n">
        <v>7.4</v>
      </c>
      <c r="U31" s="37" t="n">
        <v>0</v>
      </c>
      <c r="V31" s="36" t="n">
        <v>0</v>
      </c>
      <c r="W31" s="52" t="n">
        <v>7.4</v>
      </c>
    </row>
    <row r="32" ht="16" customHeight="1" thickBot="1">
      <c r="A32" s="76" t="inlineStr">
        <is>
          <t>R. Kelleher</t>
        </is>
      </c>
      <c r="B32" s="36">
        <f t="array" ref="B32:C32">_xlfn.XLOOKUP(A32,'Player List'!$A$2:$A$177,'Player List'!$B$2:$C$177)</f>
        <v/>
      </c>
      <c r="C32" s="36" t="inlineStr">
        <is>
          <t>Hooker</t>
        </is>
      </c>
      <c r="D32" s="37" t="n">
        <v>55</v>
      </c>
      <c r="F32" s="37" t="n">
        <v>9</v>
      </c>
      <c r="G32" s="37" t="n">
        <v>14</v>
      </c>
      <c r="H32" s="37" t="n">
        <v>0</v>
      </c>
      <c r="I32" s="37" t="n">
        <v>7.6</v>
      </c>
      <c r="J32" s="37" t="n">
        <v>0</v>
      </c>
      <c r="K32" s="37" t="n">
        <v>0</v>
      </c>
      <c r="L32" s="37" t="n">
        <v>0</v>
      </c>
      <c r="M32" s="37" t="n">
        <v>0</v>
      </c>
      <c r="N32" s="37" t="n">
        <v>0</v>
      </c>
      <c r="O32" s="37" t="n">
        <v>0</v>
      </c>
      <c r="P32" s="37" t="n">
        <v>0</v>
      </c>
      <c r="Q32" s="37" t="n">
        <v>0</v>
      </c>
      <c r="R32" s="37" t="n">
        <v>0</v>
      </c>
      <c r="S32" s="37" t="n">
        <v>0</v>
      </c>
      <c r="T32" s="38" t="n">
        <v>30.6</v>
      </c>
      <c r="U32" s="37" t="n">
        <v>0</v>
      </c>
      <c r="V32" s="36" t="n">
        <v>0</v>
      </c>
      <c r="W32" s="52" t="n">
        <v>30.6</v>
      </c>
    </row>
    <row r="33" ht="16" customHeight="1" thickBot="1">
      <c r="A33" s="76" t="inlineStr">
        <is>
          <t>D. Penaud</t>
        </is>
      </c>
      <c r="B33" s="36">
        <f t="array" ref="B33:C33">_xlfn.XLOOKUP(A33,'Player List'!$A$2:$A$177,'Player List'!$B$2:$C$177)</f>
        <v/>
      </c>
      <c r="C33" s="36" t="inlineStr">
        <is>
          <t>Back Three</t>
        </is>
      </c>
      <c r="D33" s="37" t="n">
        <v>80</v>
      </c>
      <c r="F33" s="37" t="n">
        <v>4</v>
      </c>
      <c r="G33" s="37" t="n">
        <v>0</v>
      </c>
      <c r="H33" s="37" t="n">
        <v>7</v>
      </c>
      <c r="I33" s="37" t="n">
        <v>26.8</v>
      </c>
      <c r="J33" s="37" t="n">
        <v>0</v>
      </c>
      <c r="K33" s="37" t="n">
        <v>0</v>
      </c>
      <c r="L33" s="37" t="n">
        <v>0</v>
      </c>
      <c r="M33" s="37" t="n">
        <v>15</v>
      </c>
      <c r="N33" s="37" t="n">
        <v>0</v>
      </c>
      <c r="O33" s="37" t="n">
        <v>0</v>
      </c>
      <c r="P33" s="37" t="n">
        <v>0</v>
      </c>
      <c r="Q33" s="37" t="n">
        <v>0</v>
      </c>
      <c r="R33" s="37" t="n">
        <v>0</v>
      </c>
      <c r="S33" s="37" t="n">
        <v>0</v>
      </c>
      <c r="T33" s="38" t="n">
        <v>52.8</v>
      </c>
      <c r="U33" s="37" t="n">
        <v>0</v>
      </c>
      <c r="V33" s="36" t="n">
        <v>0</v>
      </c>
      <c r="W33" s="52" t="n">
        <v>52.8</v>
      </c>
    </row>
    <row r="34" ht="16" customHeight="1" thickBot="1">
      <c r="A34" s="77" t="inlineStr">
        <is>
          <t>T. Ramos</t>
        </is>
      </c>
      <c r="B34" s="36">
        <f t="array" ref="B34:C34">_xlfn.XLOOKUP(A34,'Player List'!$A$2:$A$177,'Player List'!$B$2:$C$177)</f>
        <v/>
      </c>
      <c r="C34" s="36" t="inlineStr">
        <is>
          <t>Back Three</t>
        </is>
      </c>
      <c r="D34" s="37" t="n">
        <v>61</v>
      </c>
      <c r="F34" s="37" t="n">
        <v>3</v>
      </c>
      <c r="G34" s="37" t="n">
        <v>0</v>
      </c>
      <c r="H34" s="37" t="n">
        <v>0</v>
      </c>
      <c r="I34" s="37" t="n">
        <v>18</v>
      </c>
      <c r="J34" s="37" t="n">
        <v>0</v>
      </c>
      <c r="K34" s="37" t="n">
        <v>0</v>
      </c>
      <c r="L34" s="37" t="n">
        <v>0</v>
      </c>
      <c r="M34" s="37" t="n">
        <v>0</v>
      </c>
      <c r="N34" s="37" t="n">
        <v>0</v>
      </c>
      <c r="O34" s="37" t="n">
        <v>2</v>
      </c>
      <c r="P34" s="37" t="n">
        <v>15</v>
      </c>
      <c r="Q34" s="37" t="n">
        <v>7</v>
      </c>
      <c r="R34" s="37" t="n">
        <v>0</v>
      </c>
      <c r="S34" s="37" t="n">
        <v>0</v>
      </c>
      <c r="T34" s="38" t="n">
        <v>45</v>
      </c>
      <c r="U34" s="37" t="n">
        <v>0</v>
      </c>
      <c r="V34" s="36" t="n">
        <v>0</v>
      </c>
      <c r="W34" s="52" t="n">
        <v>45</v>
      </c>
    </row>
    <row r="35" ht="16" customHeight="1" thickBot="1">
      <c r="A35" s="76" t="inlineStr">
        <is>
          <t>E. Dumortier</t>
        </is>
      </c>
      <c r="B35" s="36">
        <f t="array" ref="B35:C35">_xlfn.XLOOKUP(A35,'Player List'!$A$2:$A$177,'Player List'!$B$2:$C$177)</f>
        <v/>
      </c>
      <c r="C35" s="36" t="inlineStr">
        <is>
          <t>Centre</t>
        </is>
      </c>
      <c r="D35" s="37" t="n">
        <v>68</v>
      </c>
      <c r="F35" s="37" t="n">
        <v>2</v>
      </c>
      <c r="G35" s="37" t="n">
        <v>0</v>
      </c>
      <c r="H35" s="37" t="n">
        <v>14</v>
      </c>
      <c r="I35" s="37" t="n">
        <v>17.6</v>
      </c>
      <c r="J35" s="37" t="n">
        <v>0</v>
      </c>
      <c r="K35" s="37" t="n">
        <v>0</v>
      </c>
      <c r="L35" s="37" t="n">
        <v>0</v>
      </c>
      <c r="M35" s="37" t="n">
        <v>0</v>
      </c>
      <c r="N35" s="37" t="n">
        <v>0</v>
      </c>
      <c r="O35" s="37" t="n">
        <v>0</v>
      </c>
      <c r="P35" s="37" t="n">
        <v>0</v>
      </c>
      <c r="Q35" s="37" t="n">
        <v>0</v>
      </c>
      <c r="R35" s="37" t="n">
        <v>0</v>
      </c>
      <c r="S35" s="37" t="n">
        <v>0</v>
      </c>
      <c r="T35" s="38" t="n">
        <v>33.6</v>
      </c>
      <c r="U35" s="37" t="n">
        <v>0</v>
      </c>
      <c r="V35" s="36" t="n">
        <v>0</v>
      </c>
      <c r="W35" s="52" t="n">
        <v>33.6</v>
      </c>
    </row>
    <row r="36" ht="16" customHeight="1" thickBot="1">
      <c r="A36" s="77" t="inlineStr">
        <is>
          <t>G. Fickou</t>
        </is>
      </c>
      <c r="B36" s="36">
        <f t="array" ref="B36:C36">_xlfn.XLOOKUP(A36,'Player List'!$A$2:$A$177,'Player List'!$B$2:$C$177)</f>
        <v/>
      </c>
      <c r="C36" s="36" t="inlineStr">
        <is>
          <t>Centre</t>
        </is>
      </c>
      <c r="D36" s="37" t="n">
        <v>80</v>
      </c>
      <c r="F36" s="37" t="n">
        <v>14</v>
      </c>
      <c r="G36" s="37" t="n">
        <v>0</v>
      </c>
      <c r="H36" s="37" t="n">
        <v>0</v>
      </c>
      <c r="I36" s="37" t="n">
        <v>16.6</v>
      </c>
      <c r="J36" s="37" t="n">
        <v>0</v>
      </c>
      <c r="K36" s="37" t="n">
        <v>0</v>
      </c>
      <c r="L36" s="37" t="n">
        <v>0</v>
      </c>
      <c r="M36" s="37" t="n">
        <v>0</v>
      </c>
      <c r="N36" s="37" t="n">
        <v>0</v>
      </c>
      <c r="O36" s="37" t="n">
        <v>0</v>
      </c>
      <c r="P36" s="37" t="n">
        <v>0</v>
      </c>
      <c r="Q36" s="37" t="n">
        <v>0</v>
      </c>
      <c r="R36" s="37" t="n">
        <v>0</v>
      </c>
      <c r="S36" s="37" t="n">
        <v>0</v>
      </c>
      <c r="T36" s="38" t="n">
        <v>30.6</v>
      </c>
      <c r="U36" s="37" t="n">
        <v>0</v>
      </c>
      <c r="V36" s="36" t="n">
        <v>0</v>
      </c>
      <c r="W36" s="52" t="n">
        <v>30.6</v>
      </c>
    </row>
    <row r="37" ht="16" customHeight="1" thickBot="1">
      <c r="A37" s="76" t="inlineStr">
        <is>
          <t>Y. Moefana</t>
        </is>
      </c>
      <c r="B37" s="36">
        <f t="array" ref="B37:C37">_xlfn.XLOOKUP(A37,'Player List'!$A$2:$A$177,'Player List'!$B$2:$C$177)</f>
        <v/>
      </c>
      <c r="C37" s="36" t="inlineStr">
        <is>
          <t>Centre</t>
        </is>
      </c>
      <c r="D37" s="37" t="n">
        <v>80</v>
      </c>
      <c r="F37" s="37" t="n">
        <v>9</v>
      </c>
      <c r="G37" s="37" t="n">
        <v>0</v>
      </c>
      <c r="H37" s="37" t="n">
        <v>0</v>
      </c>
      <c r="I37" s="37" t="n">
        <v>11.4</v>
      </c>
      <c r="J37" s="37" t="n">
        <v>0</v>
      </c>
      <c r="K37" s="37" t="n">
        <v>0</v>
      </c>
      <c r="L37" s="37" t="n">
        <v>0</v>
      </c>
      <c r="M37" s="37" t="n">
        <v>0</v>
      </c>
      <c r="N37" s="37" t="n">
        <v>0</v>
      </c>
      <c r="O37" s="37" t="n">
        <v>0</v>
      </c>
      <c r="P37" s="37" t="n">
        <v>0</v>
      </c>
      <c r="Q37" s="37" t="n">
        <v>0</v>
      </c>
      <c r="R37" s="37" t="n">
        <v>0</v>
      </c>
      <c r="S37" s="37" t="n">
        <v>0</v>
      </c>
      <c r="T37" s="38" t="n">
        <v>20.4</v>
      </c>
      <c r="U37" s="37" t="n">
        <v>0</v>
      </c>
      <c r="V37" s="36" t="n">
        <v>0</v>
      </c>
      <c r="W37" s="52" t="n">
        <v>20.4</v>
      </c>
    </row>
    <row r="38" ht="16" customHeight="1" thickBot="1">
      <c r="A38" s="77" t="inlineStr">
        <is>
          <t>M. Jalibert</t>
        </is>
      </c>
      <c r="B38" s="36">
        <f t="array" ref="B38:C38">_xlfn.XLOOKUP(A38,'Player List'!$A$2:$A$177,'Player List'!$B$2:$C$177)</f>
        <v/>
      </c>
      <c r="C38" s="36" t="inlineStr">
        <is>
          <t>Fly Half</t>
        </is>
      </c>
      <c r="D38" s="37" t="n">
        <v>19</v>
      </c>
      <c r="F38" s="37" t="n">
        <v>2</v>
      </c>
      <c r="G38" s="37" t="n">
        <v>0</v>
      </c>
      <c r="H38" s="37" t="n">
        <v>0</v>
      </c>
      <c r="I38" s="37" t="n">
        <v>3.8</v>
      </c>
      <c r="J38" s="37" t="n">
        <v>0</v>
      </c>
      <c r="K38" s="37" t="n">
        <v>0</v>
      </c>
      <c r="L38" s="37" t="n">
        <v>0</v>
      </c>
      <c r="M38" s="37" t="n">
        <v>0</v>
      </c>
      <c r="N38" s="37" t="n">
        <v>0</v>
      </c>
      <c r="O38" s="37" t="n">
        <v>0</v>
      </c>
      <c r="P38" s="37" t="n">
        <v>0</v>
      </c>
      <c r="Q38" s="37" t="n">
        <v>0</v>
      </c>
      <c r="R38" s="37" t="n">
        <v>0</v>
      </c>
      <c r="S38" s="37" t="n">
        <v>0</v>
      </c>
      <c r="T38" s="38" t="n">
        <v>5.8</v>
      </c>
      <c r="U38" s="37" t="n">
        <v>0</v>
      </c>
      <c r="V38" s="36" t="n">
        <v>0</v>
      </c>
      <c r="W38" s="52" t="n">
        <v>5.8</v>
      </c>
    </row>
    <row r="39" ht="16" customHeight="1" thickBot="1">
      <c r="A39" s="76" t="inlineStr">
        <is>
          <t>R. Ntamack</t>
        </is>
      </c>
      <c r="B39" s="36">
        <f t="array" ref="B39:C39">_xlfn.XLOOKUP(A39,'Player List'!$A$2:$A$177,'Player List'!$B$2:$C$177)</f>
        <v/>
      </c>
      <c r="C39" s="36" t="inlineStr">
        <is>
          <t>Fly Half</t>
        </is>
      </c>
      <c r="D39" s="37" t="n">
        <v>80</v>
      </c>
      <c r="F39" s="37" t="n">
        <v>12</v>
      </c>
      <c r="G39" s="37" t="n">
        <v>0</v>
      </c>
      <c r="H39" s="37" t="n">
        <v>0</v>
      </c>
      <c r="I39" s="37" t="n">
        <v>10.2</v>
      </c>
      <c r="J39" s="37" t="n">
        <v>0</v>
      </c>
      <c r="K39" s="37" t="n">
        <v>0</v>
      </c>
      <c r="L39" s="37" t="n">
        <v>0</v>
      </c>
      <c r="M39" s="37" t="n">
        <v>0</v>
      </c>
      <c r="N39" s="37" t="n">
        <v>0</v>
      </c>
      <c r="O39" s="37" t="n">
        <v>0</v>
      </c>
      <c r="P39" s="37" t="n">
        <v>0</v>
      </c>
      <c r="Q39" s="37" t="n">
        <v>0</v>
      </c>
      <c r="R39" s="37" t="n">
        <v>0</v>
      </c>
      <c r="S39" s="37" t="n">
        <v>0</v>
      </c>
      <c r="T39" s="38" t="n">
        <v>22.2</v>
      </c>
      <c r="U39" s="37" t="n">
        <v>0</v>
      </c>
      <c r="V39" s="36" t="n">
        <v>0</v>
      </c>
      <c r="W39" s="52" t="n">
        <v>22.2</v>
      </c>
    </row>
    <row r="40" ht="16" customHeight="1" thickBot="1">
      <c r="A40" s="77" t="inlineStr">
        <is>
          <t>A. Dupont</t>
        </is>
      </c>
      <c r="B40" s="36">
        <f t="array" ref="B40:C40">_xlfn.XLOOKUP(A40,'Player List'!$A$2:$A$177,'Player List'!$B$2:$C$177)</f>
        <v/>
      </c>
      <c r="C40" s="36" t="inlineStr">
        <is>
          <t>Scrum Half</t>
        </is>
      </c>
      <c r="D40" s="37" t="n">
        <v>80</v>
      </c>
      <c r="F40" s="37" t="n">
        <v>10</v>
      </c>
      <c r="G40" s="37" t="n">
        <v>7</v>
      </c>
      <c r="H40" s="37" t="n">
        <v>14</v>
      </c>
      <c r="I40" s="37" t="n">
        <v>18</v>
      </c>
      <c r="J40" s="37" t="n">
        <v>0</v>
      </c>
      <c r="K40" s="37" t="n">
        <v>0</v>
      </c>
      <c r="L40" s="37" t="n">
        <v>0</v>
      </c>
      <c r="M40" s="37" t="n">
        <v>0</v>
      </c>
      <c r="N40" s="37" t="n">
        <v>0</v>
      </c>
      <c r="O40" s="37" t="n">
        <v>0</v>
      </c>
      <c r="P40" s="37" t="n">
        <v>0</v>
      </c>
      <c r="Q40" s="37" t="n">
        <v>0</v>
      </c>
      <c r="R40" s="37" t="n">
        <v>0</v>
      </c>
      <c r="S40" s="37" t="n">
        <v>0</v>
      </c>
      <c r="T40" s="38" t="n">
        <v>49</v>
      </c>
      <c r="U40" s="37" t="n">
        <v>0</v>
      </c>
      <c r="V40" s="36" t="n">
        <v>0</v>
      </c>
      <c r="W40" s="52" t="n">
        <v>49</v>
      </c>
    </row>
    <row r="41" ht="16" customHeight="1" thickBot="1">
      <c r="A41" s="76" t="inlineStr">
        <is>
          <t>G. Alldritt</t>
        </is>
      </c>
      <c r="B41" s="36">
        <f t="array" ref="B41:C41">_xlfn.XLOOKUP(A41,'Player List'!$A$2:$A$177,'Player List'!$B$2:$C$177)</f>
        <v/>
      </c>
      <c r="C41" s="36" t="inlineStr">
        <is>
          <t>Back Row</t>
        </is>
      </c>
      <c r="D41" s="37" t="n">
        <v>52</v>
      </c>
      <c r="F41" s="37" t="n">
        <v>13</v>
      </c>
      <c r="G41" s="37" t="n">
        <v>0</v>
      </c>
      <c r="H41" s="37" t="n">
        <v>0</v>
      </c>
      <c r="I41" s="37" t="n">
        <v>3.4</v>
      </c>
      <c r="J41" s="37" t="n">
        <v>0</v>
      </c>
      <c r="K41" s="37" t="n">
        <v>0</v>
      </c>
      <c r="L41" s="37" t="n">
        <v>0</v>
      </c>
      <c r="M41" s="37" t="n">
        <v>0</v>
      </c>
      <c r="N41" s="37" t="n">
        <v>0</v>
      </c>
      <c r="O41" s="37" t="n">
        <v>0</v>
      </c>
      <c r="P41" s="37" t="n">
        <v>0</v>
      </c>
      <c r="Q41" s="37" t="n">
        <v>0</v>
      </c>
      <c r="R41" s="37" t="n">
        <v>0</v>
      </c>
      <c r="S41" s="37" t="n">
        <v>0</v>
      </c>
      <c r="T41" s="38" t="n">
        <v>16.4</v>
      </c>
      <c r="U41" s="37" t="n">
        <v>0</v>
      </c>
      <c r="V41" s="36" t="n">
        <v>0</v>
      </c>
      <c r="W41" s="52" t="n">
        <v>16.4</v>
      </c>
    </row>
    <row r="42" ht="16" customHeight="1" thickBot="1">
      <c r="A42" s="77" t="inlineStr">
        <is>
          <t>F. Cros</t>
        </is>
      </c>
      <c r="B42" s="36">
        <f t="array" ref="B42:C42">_xlfn.XLOOKUP(A42,'Player List'!$A$2:$A$177,'Player List'!$B$2:$C$177)</f>
        <v/>
      </c>
      <c r="C42" s="36" t="inlineStr">
        <is>
          <t>Back Row</t>
        </is>
      </c>
      <c r="D42" s="37" t="n">
        <v>11</v>
      </c>
      <c r="F42" s="37" t="n">
        <v>6</v>
      </c>
      <c r="G42" s="37" t="n">
        <v>0</v>
      </c>
      <c r="H42" s="37" t="n">
        <v>0</v>
      </c>
      <c r="I42" s="37" t="n">
        <v>0</v>
      </c>
      <c r="J42" s="37" t="n">
        <v>0</v>
      </c>
      <c r="K42" s="37" t="n">
        <v>0</v>
      </c>
      <c r="L42" s="37" t="n">
        <v>0</v>
      </c>
      <c r="M42" s="37" t="n">
        <v>0</v>
      </c>
      <c r="N42" s="37" t="n">
        <v>0</v>
      </c>
      <c r="O42" s="37" t="n">
        <v>0</v>
      </c>
      <c r="P42" s="37" t="n">
        <v>0</v>
      </c>
      <c r="Q42" s="37" t="n">
        <v>0</v>
      </c>
      <c r="R42" s="37" t="n">
        <v>0</v>
      </c>
      <c r="S42" s="37" t="n">
        <v>0</v>
      </c>
      <c r="T42" s="38" t="n">
        <v>6</v>
      </c>
      <c r="U42" s="37" t="n">
        <v>0</v>
      </c>
      <c r="V42" s="36" t="n">
        <v>0</v>
      </c>
      <c r="W42" s="52" t="n">
        <v>6</v>
      </c>
    </row>
    <row r="43" ht="16" customHeight="1" thickBot="1">
      <c r="A43" s="76" t="inlineStr">
        <is>
          <t>A. Jelonch</t>
        </is>
      </c>
      <c r="B43" s="36">
        <f t="array" ref="B43:C43">_xlfn.XLOOKUP(A43,'Player List'!$A$2:$A$177,'Player List'!$B$2:$C$177)</f>
        <v/>
      </c>
      <c r="C43" s="36" t="inlineStr">
        <is>
          <t>Back Row</t>
        </is>
      </c>
      <c r="D43" s="37" t="n">
        <v>80</v>
      </c>
      <c r="F43" s="37" t="n">
        <v>22</v>
      </c>
      <c r="G43" s="37" t="n">
        <v>0</v>
      </c>
      <c r="H43" s="37" t="n">
        <v>7</v>
      </c>
      <c r="I43" s="37" t="n">
        <v>11.6</v>
      </c>
      <c r="J43" s="37" t="n">
        <v>0</v>
      </c>
      <c r="K43" s="37" t="n">
        <v>0</v>
      </c>
      <c r="L43" s="37" t="n">
        <v>0</v>
      </c>
      <c r="M43" s="37" t="n">
        <v>0</v>
      </c>
      <c r="N43" s="37" t="n">
        <v>7</v>
      </c>
      <c r="O43" s="37" t="n">
        <v>0</v>
      </c>
      <c r="P43" s="37" t="n">
        <v>0</v>
      </c>
      <c r="Q43" s="37" t="n">
        <v>0</v>
      </c>
      <c r="R43" s="37" t="n">
        <v>0</v>
      </c>
      <c r="S43" s="37" t="n">
        <v>0</v>
      </c>
      <c r="T43" s="38" t="n">
        <v>47.6</v>
      </c>
      <c r="U43" s="37" t="n">
        <v>0</v>
      </c>
      <c r="V43" s="36" t="n">
        <v>0</v>
      </c>
      <c r="W43" s="52" t="n">
        <v>47.6</v>
      </c>
    </row>
    <row r="44" ht="16" customHeight="1" thickBot="1">
      <c r="A44" s="77" t="inlineStr">
        <is>
          <t>S. Macalou</t>
        </is>
      </c>
      <c r="B44" s="36">
        <f t="array" ref="B44:C44">_xlfn.XLOOKUP(A44,'Player List'!$A$2:$A$177,'Player List'!$B$2:$C$177)</f>
        <v/>
      </c>
      <c r="C44" s="36" t="inlineStr">
        <is>
          <t>Back Row</t>
        </is>
      </c>
      <c r="D44" s="37" t="n">
        <v>28</v>
      </c>
      <c r="F44" s="37" t="n">
        <v>7</v>
      </c>
      <c r="G44" s="37" t="n">
        <v>0</v>
      </c>
      <c r="H44" s="37" t="n">
        <v>0</v>
      </c>
      <c r="I44" s="37" t="n">
        <v>4.6</v>
      </c>
      <c r="J44" s="37" t="n">
        <v>0</v>
      </c>
      <c r="K44" s="37" t="n">
        <v>0</v>
      </c>
      <c r="L44" s="37" t="n">
        <v>0</v>
      </c>
      <c r="M44" s="37" t="n">
        <v>0</v>
      </c>
      <c r="N44" s="37" t="n">
        <v>0</v>
      </c>
      <c r="O44" s="37" t="n">
        <v>0</v>
      </c>
      <c r="P44" s="37" t="n">
        <v>0</v>
      </c>
      <c r="Q44" s="37" t="n">
        <v>0</v>
      </c>
      <c r="R44" s="37" t="n">
        <v>0</v>
      </c>
      <c r="S44" s="37" t="n">
        <v>0</v>
      </c>
      <c r="T44" s="38" t="n">
        <v>11.6</v>
      </c>
      <c r="U44" s="37" t="n">
        <v>0</v>
      </c>
      <c r="V44" s="36" t="n">
        <v>0</v>
      </c>
      <c r="W44" s="52" t="n">
        <v>11.6</v>
      </c>
    </row>
    <row r="45" ht="16" customHeight="1" thickBot="1">
      <c r="A45" s="76" t="inlineStr">
        <is>
          <t>C. Ollivon</t>
        </is>
      </c>
      <c r="B45" s="36">
        <f t="array" ref="B45:C45">_xlfn.XLOOKUP(A45,'Player List'!$A$2:$A$177,'Player List'!$B$2:$C$177)</f>
        <v/>
      </c>
      <c r="C45" s="36" t="inlineStr">
        <is>
          <t>Back Row</t>
        </is>
      </c>
      <c r="D45" s="37" t="n">
        <v>69</v>
      </c>
      <c r="F45" s="37" t="n">
        <v>21</v>
      </c>
      <c r="G45" s="37" t="n">
        <v>0</v>
      </c>
      <c r="H45" s="37" t="n">
        <v>0</v>
      </c>
      <c r="I45" s="37" t="n">
        <v>5</v>
      </c>
      <c r="J45" s="37" t="n">
        <v>0</v>
      </c>
      <c r="K45" s="37" t="n">
        <v>0</v>
      </c>
      <c r="L45" s="37" t="n">
        <v>7</v>
      </c>
      <c r="M45" s="37" t="n">
        <v>0</v>
      </c>
      <c r="N45" s="37" t="n">
        <v>0</v>
      </c>
      <c r="O45" s="37" t="n">
        <v>0</v>
      </c>
      <c r="P45" s="37" t="n">
        <v>0</v>
      </c>
      <c r="Q45" s="37" t="n">
        <v>0</v>
      </c>
      <c r="R45" s="37" t="n">
        <v>0</v>
      </c>
      <c r="S45" s="37" t="n">
        <v>0</v>
      </c>
      <c r="T45" s="38" t="n">
        <v>33</v>
      </c>
      <c r="U45" s="37" t="n">
        <v>0</v>
      </c>
      <c r="V45" s="36" t="n">
        <v>0</v>
      </c>
      <c r="W45" s="52" t="n">
        <v>33</v>
      </c>
    </row>
    <row r="46" ht="16" customHeight="1" thickBot="1">
      <c r="A46" s="77" t="inlineStr">
        <is>
          <t>T. Flament</t>
        </is>
      </c>
      <c r="B46" s="36">
        <f t="array" ref="B46:C46">_xlfn.XLOOKUP(A46,'Player List'!$A$2:$A$177,'Player List'!$B$2:$C$177)</f>
        <v/>
      </c>
      <c r="C46" s="36" t="inlineStr">
        <is>
          <t>Second Row</t>
        </is>
      </c>
      <c r="D46" s="37" t="n">
        <v>80</v>
      </c>
      <c r="F46" s="37" t="n">
        <v>24</v>
      </c>
      <c r="G46" s="37" t="n">
        <v>14</v>
      </c>
      <c r="H46" s="37" t="n">
        <v>0</v>
      </c>
      <c r="I46" s="37" t="n">
        <v>12</v>
      </c>
      <c r="J46" s="37" t="n">
        <v>0</v>
      </c>
      <c r="K46" s="37" t="n">
        <v>0</v>
      </c>
      <c r="L46" s="37" t="n">
        <v>0</v>
      </c>
      <c r="M46" s="37" t="n">
        <v>0</v>
      </c>
      <c r="N46" s="37" t="n">
        <v>0</v>
      </c>
      <c r="O46" s="37" t="n">
        <v>0</v>
      </c>
      <c r="P46" s="37" t="n">
        <v>0</v>
      </c>
      <c r="Q46" s="37" t="n">
        <v>0</v>
      </c>
      <c r="R46" s="37" t="n">
        <v>0</v>
      </c>
      <c r="S46" s="37" t="n">
        <v>0</v>
      </c>
      <c r="T46" s="38" t="n">
        <v>50</v>
      </c>
      <c r="U46" s="37" t="n">
        <v>0</v>
      </c>
      <c r="V46" s="36" t="n">
        <v>0</v>
      </c>
      <c r="W46" s="52" t="n">
        <v>50</v>
      </c>
    </row>
    <row r="47" ht="16" customHeight="1" thickBot="1">
      <c r="A47" s="76" t="inlineStr">
        <is>
          <t>R. Taofifenua</t>
        </is>
      </c>
      <c r="B47" s="36">
        <f t="array" ref="B47:C47">_xlfn.XLOOKUP(A47,'Player List'!$A$2:$A$177,'Player List'!$B$2:$C$177)</f>
        <v/>
      </c>
      <c r="C47" s="36" t="inlineStr">
        <is>
          <t>Second Row</t>
        </is>
      </c>
      <c r="D47" s="37" t="n">
        <v>35</v>
      </c>
      <c r="F47" s="37" t="n">
        <v>11</v>
      </c>
      <c r="G47" s="37" t="n">
        <v>7</v>
      </c>
      <c r="H47" s="37" t="n">
        <v>0</v>
      </c>
      <c r="I47" s="37" t="n">
        <v>0.6</v>
      </c>
      <c r="J47" s="37" t="n">
        <v>0</v>
      </c>
      <c r="K47" s="37" t="n">
        <v>0</v>
      </c>
      <c r="L47" s="37" t="n">
        <v>7</v>
      </c>
      <c r="M47" s="37" t="n">
        <v>0</v>
      </c>
      <c r="N47" s="37" t="n">
        <v>0</v>
      </c>
      <c r="O47" s="37" t="n">
        <v>0</v>
      </c>
      <c r="P47" s="37" t="n">
        <v>0</v>
      </c>
      <c r="Q47" s="37" t="n">
        <v>0</v>
      </c>
      <c r="R47" s="37" t="n">
        <v>0</v>
      </c>
      <c r="S47" s="37" t="n">
        <v>0</v>
      </c>
      <c r="T47" s="38" t="n">
        <v>25.6</v>
      </c>
      <c r="U47" s="37" t="n">
        <v>0</v>
      </c>
      <c r="V47" s="36" t="n">
        <v>0</v>
      </c>
      <c r="W47" s="52" t="n">
        <v>25.6</v>
      </c>
    </row>
    <row r="48" ht="16" customHeight="1" thickBot="1">
      <c r="A48" s="77" t="inlineStr">
        <is>
          <t>P. Willemse</t>
        </is>
      </c>
      <c r="B48" s="36">
        <f t="array" ref="B48:C48">_xlfn.XLOOKUP(A48,'Player List'!$A$2:$A$177,'Player List'!$B$2:$C$177)</f>
        <v/>
      </c>
      <c r="C48" s="36" t="inlineStr">
        <is>
          <t>Second Row</t>
        </is>
      </c>
      <c r="D48" s="37" t="n">
        <v>45</v>
      </c>
      <c r="F48" s="37" t="n">
        <v>10</v>
      </c>
      <c r="G48" s="37" t="n">
        <v>14</v>
      </c>
      <c r="H48" s="37" t="n">
        <v>0</v>
      </c>
      <c r="I48" s="37" t="n">
        <v>3.2</v>
      </c>
      <c r="J48" s="37" t="n">
        <v>0</v>
      </c>
      <c r="K48" s="37" t="n">
        <v>0</v>
      </c>
      <c r="L48" s="37" t="n">
        <v>0</v>
      </c>
      <c r="M48" s="37" t="n">
        <v>0</v>
      </c>
      <c r="N48" s="37" t="n">
        <v>0</v>
      </c>
      <c r="O48" s="37" t="n">
        <v>0</v>
      </c>
      <c r="P48" s="37" t="n">
        <v>0</v>
      </c>
      <c r="Q48" s="37" t="n">
        <v>0</v>
      </c>
      <c r="R48" s="37" t="n">
        <v>0</v>
      </c>
      <c r="S48" s="37" t="n">
        <v>0</v>
      </c>
      <c r="T48" s="38" t="n">
        <v>27.2</v>
      </c>
      <c r="U48" s="37" t="n">
        <v>0</v>
      </c>
      <c r="V48" s="36" t="n">
        <v>0</v>
      </c>
      <c r="W48" s="52" t="n">
        <v>27.2</v>
      </c>
    </row>
    <row r="49" ht="16" customHeight="1" thickBot="1">
      <c r="A49" s="76" t="inlineStr">
        <is>
          <t>U. Atonio</t>
        </is>
      </c>
      <c r="B49" s="36">
        <f t="array" ref="B49:C49">_xlfn.XLOOKUP(A49,'Player List'!$A$2:$A$177,'Player List'!$B$2:$C$177)</f>
        <v/>
      </c>
      <c r="C49" s="36" t="inlineStr">
        <is>
          <t>Prop</t>
        </is>
      </c>
      <c r="D49" s="37" t="n">
        <v>44</v>
      </c>
      <c r="F49" s="37" t="n">
        <v>8</v>
      </c>
      <c r="G49" s="37" t="n">
        <v>14</v>
      </c>
      <c r="H49" s="37" t="n">
        <v>0</v>
      </c>
      <c r="I49" s="37" t="n">
        <v>1.2</v>
      </c>
      <c r="J49" s="37" t="n">
        <v>0</v>
      </c>
      <c r="K49" s="37" t="n">
        <v>0</v>
      </c>
      <c r="L49" s="37" t="n">
        <v>0</v>
      </c>
      <c r="M49" s="37" t="n">
        <v>0</v>
      </c>
      <c r="N49" s="37" t="n">
        <v>0</v>
      </c>
      <c r="O49" s="37" t="n">
        <v>0</v>
      </c>
      <c r="P49" s="37" t="n">
        <v>0</v>
      </c>
      <c r="Q49" s="37" t="n">
        <v>0</v>
      </c>
      <c r="R49" s="37" t="n">
        <v>-5</v>
      </c>
      <c r="S49" s="37" t="n">
        <v>0</v>
      </c>
      <c r="T49" s="38" t="n">
        <v>18.2</v>
      </c>
      <c r="U49" s="37" t="n">
        <v>0</v>
      </c>
      <c r="V49" s="36" t="n">
        <v>0</v>
      </c>
      <c r="W49" s="52" t="n">
        <v>18.2</v>
      </c>
    </row>
    <row r="50" ht="16" customHeight="1" thickBot="1">
      <c r="A50" s="77" t="inlineStr">
        <is>
          <t>C. Baille</t>
        </is>
      </c>
      <c r="B50" s="36">
        <f t="array" ref="B50:C50">_xlfn.XLOOKUP(A50,'Player List'!$A$2:$A$177,'Player List'!$B$2:$C$177)</f>
        <v/>
      </c>
      <c r="C50" s="36" t="inlineStr">
        <is>
          <t>Prop</t>
        </is>
      </c>
      <c r="D50" s="37" t="n">
        <v>56</v>
      </c>
      <c r="F50" s="37" t="n">
        <v>14</v>
      </c>
      <c r="G50" s="37" t="n">
        <v>0</v>
      </c>
      <c r="H50" s="37" t="n">
        <v>0</v>
      </c>
      <c r="I50" s="37" t="n">
        <v>4.6</v>
      </c>
      <c r="J50" s="37" t="n">
        <v>0</v>
      </c>
      <c r="K50" s="37" t="n">
        <v>0</v>
      </c>
      <c r="L50" s="37" t="n">
        <v>0</v>
      </c>
      <c r="M50" s="37" t="n">
        <v>0</v>
      </c>
      <c r="N50" s="37" t="n">
        <v>0</v>
      </c>
      <c r="O50" s="37" t="n">
        <v>0</v>
      </c>
      <c r="P50" s="37" t="n">
        <v>0</v>
      </c>
      <c r="Q50" s="37" t="n">
        <v>0</v>
      </c>
      <c r="R50" s="37" t="n">
        <v>0</v>
      </c>
      <c r="S50" s="37" t="n">
        <v>0</v>
      </c>
      <c r="T50" s="38" t="n">
        <v>18.6</v>
      </c>
      <c r="U50" s="37" t="n">
        <v>0</v>
      </c>
      <c r="V50" s="36" t="n">
        <v>0</v>
      </c>
      <c r="W50" s="52" t="n">
        <v>18.6</v>
      </c>
    </row>
    <row r="51" ht="16" customHeight="1" thickBot="1">
      <c r="A51" s="76" t="inlineStr">
        <is>
          <t>S. Falatea</t>
        </is>
      </c>
      <c r="B51" s="36">
        <f t="array" ref="B51:C51">_xlfn.XLOOKUP(A51,'Player List'!$A$2:$A$177,'Player List'!$B$2:$C$177)</f>
        <v/>
      </c>
      <c r="C51" s="36" t="inlineStr">
        <is>
          <t>Prop</t>
        </is>
      </c>
      <c r="D51" s="37" t="n">
        <v>36</v>
      </c>
      <c r="F51" s="37" t="n">
        <v>6</v>
      </c>
      <c r="G51" s="37" t="n">
        <v>7</v>
      </c>
      <c r="H51" s="37" t="n">
        <v>0</v>
      </c>
      <c r="I51" s="37" t="n">
        <v>4</v>
      </c>
      <c r="J51" s="37" t="n">
        <v>0</v>
      </c>
      <c r="K51" s="37" t="n">
        <v>0</v>
      </c>
      <c r="L51" s="37" t="n">
        <v>0</v>
      </c>
      <c r="M51" s="37" t="n">
        <v>0</v>
      </c>
      <c r="N51" s="37" t="n">
        <v>0</v>
      </c>
      <c r="O51" s="37" t="n">
        <v>0</v>
      </c>
      <c r="P51" s="37" t="n">
        <v>0</v>
      </c>
      <c r="Q51" s="37" t="n">
        <v>0</v>
      </c>
      <c r="R51" s="37" t="n">
        <v>0</v>
      </c>
      <c r="S51" s="37" t="n">
        <v>0</v>
      </c>
      <c r="T51" s="38" t="n">
        <v>17</v>
      </c>
      <c r="U51" s="37" t="n">
        <v>0</v>
      </c>
      <c r="V51" s="36" t="n">
        <v>0</v>
      </c>
      <c r="W51" s="52" t="n">
        <v>17</v>
      </c>
    </row>
    <row r="52" ht="16" customHeight="1" thickBot="1">
      <c r="A52" s="77" t="inlineStr">
        <is>
          <t>R. Wardi</t>
        </is>
      </c>
      <c r="B52" s="36">
        <f t="array" ref="B52:C52">_xlfn.XLOOKUP(A52,'Player List'!$A$2:$A$177,'Player List'!$B$2:$C$177)</f>
        <v/>
      </c>
      <c r="C52" s="36" t="inlineStr">
        <is>
          <t>Prop</t>
        </is>
      </c>
      <c r="D52" s="37" t="n">
        <v>24</v>
      </c>
      <c r="F52" s="37" t="n">
        <v>6</v>
      </c>
      <c r="G52" s="37" t="n">
        <v>7</v>
      </c>
      <c r="H52" s="37" t="n">
        <v>0</v>
      </c>
      <c r="I52" s="37" t="n">
        <v>2.2</v>
      </c>
      <c r="J52" s="37" t="n">
        <v>0</v>
      </c>
      <c r="K52" s="37" t="n">
        <v>0</v>
      </c>
      <c r="L52" s="37" t="n">
        <v>0</v>
      </c>
      <c r="M52" s="37" t="n">
        <v>0</v>
      </c>
      <c r="N52" s="37" t="n">
        <v>0</v>
      </c>
      <c r="O52" s="37" t="n">
        <v>0</v>
      </c>
      <c r="P52" s="37" t="n">
        <v>0</v>
      </c>
      <c r="Q52" s="37" t="n">
        <v>0</v>
      </c>
      <c r="R52" s="37" t="n">
        <v>0</v>
      </c>
      <c r="S52" s="37" t="n">
        <v>0</v>
      </c>
      <c r="T52" s="38" t="n">
        <v>15.2</v>
      </c>
      <c r="U52" s="37" t="n">
        <v>0</v>
      </c>
      <c r="V52" s="36" t="n">
        <v>0</v>
      </c>
      <c r="W52" s="52" t="n">
        <v>15.2</v>
      </c>
    </row>
    <row r="53" ht="16" customHeight="1" thickBot="1">
      <c r="A53" s="76" t="inlineStr">
        <is>
          <t>G. Barlot</t>
        </is>
      </c>
      <c r="B53" s="36">
        <f t="array" ref="B53:C53">_xlfn.XLOOKUP(A53,'Player List'!$A$2:$A$177,'Player List'!$B$2:$C$177)</f>
        <v/>
      </c>
      <c r="C53" s="36" t="inlineStr">
        <is>
          <t>Hooker</t>
        </is>
      </c>
      <c r="D53" s="37" t="n">
        <v>6</v>
      </c>
      <c r="F53" s="37" t="n">
        <v>2</v>
      </c>
      <c r="G53" s="37" t="n">
        <v>0</v>
      </c>
      <c r="H53" s="37" t="n">
        <v>0</v>
      </c>
      <c r="I53" s="37" t="n">
        <v>3.6</v>
      </c>
      <c r="J53" s="37" t="n">
        <v>0</v>
      </c>
      <c r="K53" s="37" t="n">
        <v>0</v>
      </c>
      <c r="L53" s="37" t="n">
        <v>0</v>
      </c>
      <c r="M53" s="37" t="n">
        <v>0</v>
      </c>
      <c r="N53" s="37" t="n">
        <v>0</v>
      </c>
      <c r="O53" s="37" t="n">
        <v>0</v>
      </c>
      <c r="P53" s="37" t="n">
        <v>0</v>
      </c>
      <c r="Q53" s="37" t="n">
        <v>0</v>
      </c>
      <c r="R53" s="37" t="n">
        <v>0</v>
      </c>
      <c r="S53" s="37" t="n">
        <v>0</v>
      </c>
      <c r="T53" s="38" t="n">
        <v>5.6</v>
      </c>
      <c r="U53" s="37" t="n">
        <v>0</v>
      </c>
      <c r="V53" s="36" t="n">
        <v>0</v>
      </c>
      <c r="W53" s="52" t="n">
        <v>5.6</v>
      </c>
    </row>
    <row r="54" ht="16" customHeight="1" thickBot="1">
      <c r="A54" s="77" t="inlineStr">
        <is>
          <t>J. Marchand</t>
        </is>
      </c>
      <c r="B54" s="36">
        <f t="array" ref="B54:C54">_xlfn.XLOOKUP(A54,'Player List'!$A$2:$A$177,'Player List'!$B$2:$C$177)</f>
        <v/>
      </c>
      <c r="C54" s="36" t="inlineStr">
        <is>
          <t>Hooker</t>
        </is>
      </c>
      <c r="D54" s="37" t="n">
        <v>74</v>
      </c>
      <c r="F54" s="37" t="n">
        <v>19</v>
      </c>
      <c r="G54" s="37" t="n">
        <v>0</v>
      </c>
      <c r="H54" s="37" t="n">
        <v>0</v>
      </c>
      <c r="I54" s="37" t="n">
        <v>4.8</v>
      </c>
      <c r="J54" s="37" t="n">
        <v>0</v>
      </c>
      <c r="K54" s="37" t="n">
        <v>0</v>
      </c>
      <c r="L54" s="37" t="n">
        <v>14</v>
      </c>
      <c r="M54" s="37" t="n">
        <v>0</v>
      </c>
      <c r="N54" s="37" t="n">
        <v>0</v>
      </c>
      <c r="O54" s="37" t="n">
        <v>0</v>
      </c>
      <c r="P54" s="37" t="n">
        <v>0</v>
      </c>
      <c r="Q54" s="37" t="n">
        <v>0</v>
      </c>
      <c r="R54" s="37" t="n">
        <v>0</v>
      </c>
      <c r="S54" s="37" t="n">
        <v>0</v>
      </c>
      <c r="T54" s="38" t="n">
        <v>37.8</v>
      </c>
      <c r="U54" s="37" t="n">
        <v>0</v>
      </c>
      <c r="V54" s="36" t="n">
        <v>0</v>
      </c>
      <c r="W54" s="52" t="n">
        <v>37.8</v>
      </c>
    </row>
    <row r="55" ht="16" customHeight="1" thickBot="1">
      <c r="A55" s="76" t="inlineStr">
        <is>
          <t>S. Hogg</t>
        </is>
      </c>
      <c r="B55" s="36">
        <f t="array" ref="B55:C55">_xlfn.XLOOKUP(A55,'Player List'!$A$2:$A$177,'Player List'!$B$2:$C$177)</f>
        <v/>
      </c>
      <c r="C55" s="36" t="inlineStr">
        <is>
          <t>Back Three</t>
        </is>
      </c>
      <c r="D55" s="37" t="n">
        <v>13</v>
      </c>
      <c r="F55" s="37" t="n">
        <v>1</v>
      </c>
      <c r="G55" s="37" t="n">
        <v>0</v>
      </c>
      <c r="H55" s="37" t="n">
        <v>0</v>
      </c>
      <c r="I55" s="37" t="n">
        <v>3.6</v>
      </c>
      <c r="J55" s="37" t="n">
        <v>0</v>
      </c>
      <c r="K55" s="37" t="n">
        <v>0</v>
      </c>
      <c r="L55" s="37" t="n">
        <v>0</v>
      </c>
      <c r="M55" s="37" t="n">
        <v>0</v>
      </c>
      <c r="N55" s="37" t="n">
        <v>0</v>
      </c>
      <c r="O55" s="37" t="n">
        <v>0</v>
      </c>
      <c r="P55" s="37" t="n">
        <v>0</v>
      </c>
      <c r="Q55" s="37" t="n">
        <v>0</v>
      </c>
      <c r="R55" s="37" t="n">
        <v>0</v>
      </c>
      <c r="S55" s="37" t="n">
        <v>0</v>
      </c>
      <c r="T55" s="38" t="n">
        <v>4.6</v>
      </c>
      <c r="U55" s="37" t="n">
        <v>0</v>
      </c>
      <c r="V55" s="36" t="n">
        <v>0</v>
      </c>
      <c r="W55" s="52" t="n">
        <v>4.6</v>
      </c>
    </row>
    <row r="56" ht="16" customHeight="1" thickBot="1">
      <c r="A56" s="77" t="inlineStr">
        <is>
          <t>B. Kinghorn</t>
        </is>
      </c>
      <c r="B56" s="36">
        <f t="array" ref="B56:C56">_xlfn.XLOOKUP(A56,'Player List'!$A$2:$A$177,'Player List'!$B$2:$C$177)</f>
        <v/>
      </c>
      <c r="C56" s="36" t="inlineStr">
        <is>
          <t>Back Three</t>
        </is>
      </c>
      <c r="D56" s="37" t="n">
        <v>67</v>
      </c>
      <c r="F56" s="37" t="n">
        <v>5</v>
      </c>
      <c r="G56" s="37" t="n">
        <v>0</v>
      </c>
      <c r="H56" s="37" t="n">
        <v>14</v>
      </c>
      <c r="I56" s="37" t="n">
        <v>22</v>
      </c>
      <c r="J56" s="37" t="n">
        <v>0</v>
      </c>
      <c r="K56" s="37" t="n">
        <v>0</v>
      </c>
      <c r="L56" s="37" t="n">
        <v>0</v>
      </c>
      <c r="M56" s="37" t="n">
        <v>15</v>
      </c>
      <c r="N56" s="37" t="n">
        <v>0</v>
      </c>
      <c r="O56" s="37" t="n">
        <v>0</v>
      </c>
      <c r="P56" s="37" t="n">
        <v>0</v>
      </c>
      <c r="Q56" s="37" t="n">
        <v>0</v>
      </c>
      <c r="R56" s="37" t="n">
        <v>0</v>
      </c>
      <c r="S56" s="37" t="n">
        <v>0</v>
      </c>
      <c r="T56" s="38" t="n">
        <v>56</v>
      </c>
      <c r="U56" s="37" t="n">
        <v>0</v>
      </c>
      <c r="V56" s="36" t="n">
        <v>0</v>
      </c>
      <c r="W56" s="52" t="n">
        <v>56</v>
      </c>
    </row>
    <row r="57" ht="16" customHeight="1" thickBot="1">
      <c r="A57" s="76" t="inlineStr">
        <is>
          <t>K. Steyn</t>
        </is>
      </c>
      <c r="B57" s="36">
        <f t="array" ref="B57:C57">_xlfn.XLOOKUP(A57,'Player List'!$A$2:$A$177,'Player List'!$B$2:$C$177)</f>
        <v/>
      </c>
      <c r="C57" s="36" t="inlineStr">
        <is>
          <t>Back Three</t>
        </is>
      </c>
      <c r="D57" s="37" t="n">
        <v>80</v>
      </c>
      <c r="F57" s="37" t="n">
        <v>3</v>
      </c>
      <c r="G57" s="37" t="n">
        <v>0</v>
      </c>
      <c r="H57" s="37" t="n">
        <v>21</v>
      </c>
      <c r="I57" s="37" t="n">
        <v>13</v>
      </c>
      <c r="J57" s="37" t="n">
        <v>0</v>
      </c>
      <c r="K57" s="37" t="n">
        <v>0</v>
      </c>
      <c r="L57" s="37" t="n">
        <v>0</v>
      </c>
      <c r="M57" s="37" t="n">
        <v>30</v>
      </c>
      <c r="N57" s="37" t="n">
        <v>0</v>
      </c>
      <c r="O57" s="37" t="n">
        <v>0</v>
      </c>
      <c r="P57" s="37" t="n">
        <v>0</v>
      </c>
      <c r="Q57" s="37" t="n">
        <v>0</v>
      </c>
      <c r="R57" s="37" t="n">
        <v>0</v>
      </c>
      <c r="S57" s="37" t="n">
        <v>0</v>
      </c>
      <c r="T57" s="38" t="n">
        <v>67</v>
      </c>
      <c r="U57" s="37" t="n">
        <v>0</v>
      </c>
      <c r="V57" s="36" t="n">
        <v>0</v>
      </c>
      <c r="W57" s="52" t="n">
        <v>67</v>
      </c>
    </row>
    <row r="58" ht="16" customHeight="1" thickBot="1">
      <c r="A58" s="77" t="inlineStr">
        <is>
          <t>D. van der Merwe</t>
        </is>
      </c>
      <c r="B58" s="36">
        <f t="array" ref="B58:C58">_xlfn.XLOOKUP(A58,'Player List'!$A$2:$A$177,'Player List'!$B$2:$C$177)</f>
        <v/>
      </c>
      <c r="C58" s="36" t="inlineStr">
        <is>
          <t>Back Three</t>
        </is>
      </c>
      <c r="D58" s="37" t="n">
        <v>80</v>
      </c>
      <c r="F58" s="37" t="n">
        <v>2</v>
      </c>
      <c r="G58" s="37" t="n">
        <v>0</v>
      </c>
      <c r="H58" s="37" t="n">
        <v>21</v>
      </c>
      <c r="I58" s="37" t="n">
        <v>29.8</v>
      </c>
      <c r="J58" s="37" t="n">
        <v>0</v>
      </c>
      <c r="K58" s="37" t="n">
        <v>0</v>
      </c>
      <c r="L58" s="37" t="n">
        <v>0</v>
      </c>
      <c r="M58" s="37" t="n">
        <v>0</v>
      </c>
      <c r="N58" s="37" t="n">
        <v>7</v>
      </c>
      <c r="O58" s="37" t="n">
        <v>0</v>
      </c>
      <c r="P58" s="37" t="n">
        <v>0</v>
      </c>
      <c r="Q58" s="37" t="n">
        <v>0</v>
      </c>
      <c r="R58" s="37" t="n">
        <v>0</v>
      </c>
      <c r="S58" s="37" t="n">
        <v>0</v>
      </c>
      <c r="T58" s="38" t="n">
        <v>59.8</v>
      </c>
      <c r="U58" s="37" t="n">
        <v>0</v>
      </c>
      <c r="V58" s="36" t="n">
        <v>0</v>
      </c>
      <c r="W58" s="52" t="n">
        <v>59.8</v>
      </c>
    </row>
    <row r="59" ht="16" customHeight="1" thickBot="1">
      <c r="A59" s="76" t="inlineStr">
        <is>
          <t>C. Harris</t>
        </is>
      </c>
      <c r="B59" s="36">
        <f t="array" ref="B59:C59">_xlfn.XLOOKUP(A59,'Player List'!$A$2:$A$177,'Player List'!$B$2:$C$177)</f>
        <v/>
      </c>
      <c r="C59" s="36" t="inlineStr">
        <is>
          <t>Centre</t>
        </is>
      </c>
      <c r="D59" s="37" t="n">
        <v>8</v>
      </c>
      <c r="F59" s="37" t="n">
        <v>3</v>
      </c>
      <c r="G59" s="37" t="n">
        <v>0</v>
      </c>
      <c r="H59" s="37" t="n">
        <v>0</v>
      </c>
      <c r="I59" s="37" t="n">
        <v>2.4</v>
      </c>
      <c r="J59" s="37" t="n">
        <v>0</v>
      </c>
      <c r="K59" s="37" t="n">
        <v>0</v>
      </c>
      <c r="L59" s="37" t="n">
        <v>0</v>
      </c>
      <c r="M59" s="37" t="n">
        <v>0</v>
      </c>
      <c r="N59" s="37" t="n">
        <v>0</v>
      </c>
      <c r="O59" s="37" t="n">
        <v>0</v>
      </c>
      <c r="P59" s="37" t="n">
        <v>0</v>
      </c>
      <c r="Q59" s="37" t="n">
        <v>0</v>
      </c>
      <c r="R59" s="37" t="n">
        <v>0</v>
      </c>
      <c r="S59" s="37" t="n">
        <v>0</v>
      </c>
      <c r="T59" s="38" t="n">
        <v>5.4</v>
      </c>
      <c r="U59" s="37" t="n">
        <v>0</v>
      </c>
      <c r="V59" s="36" t="n">
        <v>0</v>
      </c>
      <c r="W59" s="52" t="n">
        <v>5.4</v>
      </c>
    </row>
    <row r="60" ht="16" customHeight="1" thickBot="1">
      <c r="A60" s="77" t="inlineStr">
        <is>
          <t>H. Jones</t>
        </is>
      </c>
      <c r="B60" s="36">
        <f t="array" ref="B60:C60">_xlfn.XLOOKUP(A60,'Player List'!$A$2:$A$177,'Player List'!$B$2:$C$177)</f>
        <v/>
      </c>
      <c r="C60" s="36" t="inlineStr">
        <is>
          <t>Centre</t>
        </is>
      </c>
      <c r="D60" s="37" t="n">
        <v>80</v>
      </c>
      <c r="F60" s="37" t="n">
        <v>10</v>
      </c>
      <c r="G60" s="37" t="n">
        <v>7</v>
      </c>
      <c r="H60" s="37" t="n">
        <v>7</v>
      </c>
      <c r="I60" s="37" t="n">
        <v>14.4</v>
      </c>
      <c r="J60" s="37" t="n">
        <v>0</v>
      </c>
      <c r="K60" s="37" t="n">
        <v>0</v>
      </c>
      <c r="L60" s="37" t="n">
        <v>0</v>
      </c>
      <c r="M60" s="37" t="n">
        <v>0</v>
      </c>
      <c r="N60" s="37" t="n">
        <v>0</v>
      </c>
      <c r="O60" s="37" t="n">
        <v>0</v>
      </c>
      <c r="P60" s="37" t="n">
        <v>0</v>
      </c>
      <c r="Q60" s="37" t="n">
        <v>0</v>
      </c>
      <c r="R60" s="37" t="n">
        <v>0</v>
      </c>
      <c r="S60" s="37" t="n">
        <v>0</v>
      </c>
      <c r="T60" s="38" t="n">
        <v>38.4</v>
      </c>
      <c r="U60" s="37" t="n">
        <v>0</v>
      </c>
      <c r="V60" s="36" t="n">
        <v>0</v>
      </c>
      <c r="W60" s="52" t="n">
        <v>38.4</v>
      </c>
    </row>
    <row r="61" ht="16" customHeight="1" thickBot="1">
      <c r="A61" s="76" t="inlineStr">
        <is>
          <t>S. Tuipulotu</t>
        </is>
      </c>
      <c r="B61" s="36">
        <f t="array" ref="B61:C61">_xlfn.XLOOKUP(A61,'Player List'!$A$2:$A$177,'Player List'!$B$2:$C$177)</f>
        <v/>
      </c>
      <c r="C61" s="36" t="inlineStr">
        <is>
          <t>Centre</t>
        </is>
      </c>
      <c r="D61" s="37" t="n">
        <v>72</v>
      </c>
      <c r="F61" s="37" t="n">
        <v>12</v>
      </c>
      <c r="G61" s="37" t="n">
        <v>0</v>
      </c>
      <c r="H61" s="37" t="n">
        <v>0</v>
      </c>
      <c r="I61" s="37" t="n">
        <v>3.2</v>
      </c>
      <c r="J61" s="37" t="n">
        <v>0</v>
      </c>
      <c r="K61" s="37" t="n">
        <v>0</v>
      </c>
      <c r="L61" s="37" t="n">
        <v>0</v>
      </c>
      <c r="M61" s="37" t="n">
        <v>0</v>
      </c>
      <c r="N61" s="37" t="n">
        <v>0</v>
      </c>
      <c r="O61" s="37" t="n">
        <v>0</v>
      </c>
      <c r="P61" s="37" t="n">
        <v>0</v>
      </c>
      <c r="Q61" s="37" t="n">
        <v>0</v>
      </c>
      <c r="R61" s="37" t="n">
        <v>0</v>
      </c>
      <c r="S61" s="37" t="n">
        <v>0</v>
      </c>
      <c r="T61" s="38" t="n">
        <v>15.2</v>
      </c>
      <c r="U61" s="37" t="n">
        <v>0</v>
      </c>
      <c r="V61" s="36" t="n">
        <v>0</v>
      </c>
      <c r="W61" s="52" t="n">
        <v>15.2</v>
      </c>
    </row>
    <row r="62" ht="16" customHeight="1" thickBot="1">
      <c r="A62" s="77" t="inlineStr">
        <is>
          <t>F. Russell</t>
        </is>
      </c>
      <c r="B62" s="36">
        <f t="array" ref="B62:C62">_xlfn.XLOOKUP(A62,'Player List'!$A$2:$A$177,'Player List'!$B$2:$C$177)</f>
        <v/>
      </c>
      <c r="C62" s="36" t="inlineStr">
        <is>
          <t>Fly Half</t>
        </is>
      </c>
      <c r="D62" s="37" t="n">
        <v>80</v>
      </c>
      <c r="F62" s="37" t="n">
        <v>8</v>
      </c>
      <c r="G62" s="37" t="n">
        <v>0</v>
      </c>
      <c r="H62" s="37" t="n">
        <v>0</v>
      </c>
      <c r="I62" s="37" t="n">
        <v>14.6</v>
      </c>
      <c r="J62" s="37" t="n">
        <v>10</v>
      </c>
      <c r="K62" s="37" t="n">
        <v>0</v>
      </c>
      <c r="L62" s="37" t="n">
        <v>0</v>
      </c>
      <c r="M62" s="37" t="n">
        <v>0</v>
      </c>
      <c r="N62" s="37" t="n">
        <v>21</v>
      </c>
      <c r="O62" s="37" t="n">
        <v>4</v>
      </c>
      <c r="P62" s="37" t="n">
        <v>10</v>
      </c>
      <c r="Q62" s="37" t="n">
        <v>0</v>
      </c>
      <c r="R62" s="37" t="n">
        <v>0</v>
      </c>
      <c r="S62" s="37" t="n">
        <v>0</v>
      </c>
      <c r="T62" s="38" t="n">
        <v>67.59999999999999</v>
      </c>
      <c r="U62" s="37" t="n">
        <v>15</v>
      </c>
      <c r="V62" s="36" t="n">
        <v>0</v>
      </c>
      <c r="W62" s="52" t="n">
        <v>82.59999999999999</v>
      </c>
    </row>
    <row r="63" ht="16" customHeight="1" thickBot="1">
      <c r="A63" s="76" t="inlineStr">
        <is>
          <t>G. Horne</t>
        </is>
      </c>
      <c r="B63" s="36">
        <f t="array" ref="B63:C63">_xlfn.XLOOKUP(A63,'Player List'!$A$2:$A$177,'Player List'!$B$2:$C$177)</f>
        <v/>
      </c>
      <c r="C63" s="36" t="inlineStr">
        <is>
          <t>Scrum Half</t>
        </is>
      </c>
      <c r="D63" s="37" t="n">
        <v>21</v>
      </c>
      <c r="F63" s="37" t="n">
        <v>3</v>
      </c>
      <c r="G63" s="37" t="n">
        <v>0</v>
      </c>
      <c r="H63" s="37" t="n">
        <v>0</v>
      </c>
      <c r="I63" s="37" t="n">
        <v>1.6</v>
      </c>
      <c r="J63" s="37" t="n">
        <v>0</v>
      </c>
      <c r="K63" s="37" t="n">
        <v>0</v>
      </c>
      <c r="L63" s="37" t="n">
        <v>0</v>
      </c>
      <c r="M63" s="37" t="n">
        <v>0</v>
      </c>
      <c r="N63" s="37" t="n">
        <v>0</v>
      </c>
      <c r="O63" s="37" t="n">
        <v>0</v>
      </c>
      <c r="P63" s="37" t="n">
        <v>0</v>
      </c>
      <c r="Q63" s="37" t="n">
        <v>0</v>
      </c>
      <c r="R63" s="37" t="n">
        <v>0</v>
      </c>
      <c r="S63" s="37" t="n">
        <v>0</v>
      </c>
      <c r="T63" s="38" t="n">
        <v>4.6</v>
      </c>
      <c r="U63" s="37" t="n">
        <v>0</v>
      </c>
      <c r="V63" s="36" t="n">
        <v>0</v>
      </c>
      <c r="W63" s="52" t="n">
        <v>4.6</v>
      </c>
    </row>
    <row r="64" ht="16" customHeight="1" thickBot="1">
      <c r="A64" s="77" t="inlineStr">
        <is>
          <t>B. White</t>
        </is>
      </c>
      <c r="B64" s="36">
        <f t="array" ref="B64:C64">_xlfn.XLOOKUP(A64,'Player List'!$A$2:$A$177,'Player List'!$B$2:$C$177)</f>
        <v/>
      </c>
      <c r="C64" s="36" t="inlineStr">
        <is>
          <t>Scrum Half</t>
        </is>
      </c>
      <c r="D64" s="37" t="n">
        <v>59</v>
      </c>
      <c r="F64" s="37" t="n">
        <v>4</v>
      </c>
      <c r="G64" s="37" t="n">
        <v>0</v>
      </c>
      <c r="H64" s="37" t="n">
        <v>0</v>
      </c>
      <c r="I64" s="37" t="n">
        <v>4.6</v>
      </c>
      <c r="J64" s="37" t="n">
        <v>0</v>
      </c>
      <c r="K64" s="37" t="n">
        <v>0</v>
      </c>
      <c r="L64" s="37" t="n">
        <v>0</v>
      </c>
      <c r="M64" s="37" t="n">
        <v>0</v>
      </c>
      <c r="N64" s="37" t="n">
        <v>0</v>
      </c>
      <c r="O64" s="37" t="n">
        <v>0</v>
      </c>
      <c r="P64" s="37" t="n">
        <v>0</v>
      </c>
      <c r="Q64" s="37" t="n">
        <v>0</v>
      </c>
      <c r="R64" s="37" t="n">
        <v>0</v>
      </c>
      <c r="S64" s="37" t="n">
        <v>0</v>
      </c>
      <c r="T64" s="38" t="n">
        <v>8.6</v>
      </c>
      <c r="U64" s="37" t="n">
        <v>0</v>
      </c>
      <c r="V64" s="36" t="n">
        <v>0</v>
      </c>
      <c r="W64" s="52" t="n">
        <v>8.6</v>
      </c>
    </row>
    <row r="65" ht="16" customHeight="1" thickBot="1">
      <c r="A65" s="76" t="inlineStr">
        <is>
          <t>L. Crosbie</t>
        </is>
      </c>
      <c r="B65" s="36">
        <f t="array" ref="B65:C65">_xlfn.XLOOKUP(A65,'Player List'!$A$2:$A$177,'Player List'!$B$2:$C$177)</f>
        <v/>
      </c>
      <c r="C65" s="36" t="inlineStr">
        <is>
          <t>Back Row</t>
        </is>
      </c>
      <c r="D65" s="37" t="n">
        <v>39</v>
      </c>
      <c r="F65" s="37" t="n">
        <v>11</v>
      </c>
      <c r="G65" s="37" t="n">
        <v>7</v>
      </c>
      <c r="H65" s="37" t="n">
        <v>0</v>
      </c>
      <c r="I65" s="37" t="n">
        <v>2</v>
      </c>
      <c r="J65" s="37" t="n">
        <v>0</v>
      </c>
      <c r="K65" s="37" t="n">
        <v>0</v>
      </c>
      <c r="L65" s="37" t="n">
        <v>0</v>
      </c>
      <c r="M65" s="37" t="n">
        <v>0</v>
      </c>
      <c r="N65" s="37" t="n">
        <v>0</v>
      </c>
      <c r="O65" s="37" t="n">
        <v>0</v>
      </c>
      <c r="P65" s="37" t="n">
        <v>0</v>
      </c>
      <c r="Q65" s="37" t="n">
        <v>0</v>
      </c>
      <c r="R65" s="37" t="n">
        <v>0</v>
      </c>
      <c r="S65" s="37" t="n">
        <v>0</v>
      </c>
      <c r="T65" s="38" t="n">
        <v>20</v>
      </c>
      <c r="U65" s="37" t="n">
        <v>0</v>
      </c>
      <c r="V65" s="36" t="n">
        <v>0</v>
      </c>
      <c r="W65" s="52" t="n">
        <v>20</v>
      </c>
    </row>
    <row r="66" ht="16" customHeight="1" thickBot="1">
      <c r="A66" s="77" t="inlineStr">
        <is>
          <t>J. Dempsey</t>
        </is>
      </c>
      <c r="B66" s="36">
        <f t="array" ref="B66:C66">_xlfn.XLOOKUP(A66,'Player List'!$A$2:$A$177,'Player List'!$B$2:$C$177)</f>
        <v/>
      </c>
      <c r="C66" s="36" t="inlineStr">
        <is>
          <t>Back Row</t>
        </is>
      </c>
      <c r="D66" s="37" t="n">
        <v>36</v>
      </c>
      <c r="F66" s="37" t="n">
        <v>2</v>
      </c>
      <c r="G66" s="37" t="n">
        <v>0</v>
      </c>
      <c r="H66" s="37" t="n">
        <v>0</v>
      </c>
      <c r="I66" s="37" t="n">
        <v>2.8</v>
      </c>
      <c r="J66" s="37" t="n">
        <v>0</v>
      </c>
      <c r="K66" s="37" t="n">
        <v>0</v>
      </c>
      <c r="L66" s="37" t="n">
        <v>0</v>
      </c>
      <c r="M66" s="37" t="n">
        <v>0</v>
      </c>
      <c r="N66" s="37" t="n">
        <v>0</v>
      </c>
      <c r="O66" s="37" t="n">
        <v>0</v>
      </c>
      <c r="P66" s="37" t="n">
        <v>0</v>
      </c>
      <c r="Q66" s="37" t="n">
        <v>0</v>
      </c>
      <c r="R66" s="37" t="n">
        <v>0</v>
      </c>
      <c r="S66" s="37" t="n">
        <v>0</v>
      </c>
      <c r="T66" s="38" t="n">
        <v>4.8</v>
      </c>
      <c r="U66" s="37" t="n">
        <v>0</v>
      </c>
      <c r="V66" s="36" t="n">
        <v>0</v>
      </c>
      <c r="W66" s="52" t="n">
        <v>4.8</v>
      </c>
    </row>
    <row r="67" ht="16" customHeight="1" thickBot="1">
      <c r="A67" s="76" t="inlineStr">
        <is>
          <t>M. Fagerson</t>
        </is>
      </c>
      <c r="B67" s="36">
        <f t="array" ref="B67:C67">_xlfn.XLOOKUP(A67,'Player List'!$A$2:$A$177,'Player List'!$B$2:$C$177)</f>
        <v/>
      </c>
      <c r="C67" s="36" t="inlineStr">
        <is>
          <t>Back Row</t>
        </is>
      </c>
      <c r="D67" s="37" t="n">
        <v>80</v>
      </c>
      <c r="F67" s="37" t="n">
        <v>16</v>
      </c>
      <c r="G67" s="37" t="n">
        <v>14</v>
      </c>
      <c r="H67" s="37" t="n">
        <v>7</v>
      </c>
      <c r="I67" s="37" t="n">
        <v>9.800000000000001</v>
      </c>
      <c r="J67" s="37" t="n">
        <v>0</v>
      </c>
      <c r="K67" s="37" t="n">
        <v>0</v>
      </c>
      <c r="L67" s="37" t="n">
        <v>0</v>
      </c>
      <c r="M67" s="37" t="n">
        <v>15</v>
      </c>
      <c r="N67" s="37" t="n">
        <v>0</v>
      </c>
      <c r="O67" s="37" t="n">
        <v>0</v>
      </c>
      <c r="P67" s="37" t="n">
        <v>0</v>
      </c>
      <c r="Q67" s="37" t="n">
        <v>0</v>
      </c>
      <c r="R67" s="37" t="n">
        <v>0</v>
      </c>
      <c r="S67" s="37" t="n">
        <v>0</v>
      </c>
      <c r="T67" s="38" t="n">
        <v>61.8</v>
      </c>
      <c r="U67" s="37" t="n">
        <v>0</v>
      </c>
      <c r="V67" s="36" t="n">
        <v>0</v>
      </c>
      <c r="W67" s="52" t="n">
        <v>61.8</v>
      </c>
    </row>
    <row r="68" ht="16" customHeight="1" thickBot="1">
      <c r="A68" s="77" t="inlineStr">
        <is>
          <t>J. Ritchie</t>
        </is>
      </c>
      <c r="B68" s="36">
        <f t="array" ref="B68:C68">_xlfn.XLOOKUP(A68,'Player List'!$A$2:$A$177,'Player List'!$B$2:$C$177)</f>
        <v/>
      </c>
      <c r="C68" s="36" t="inlineStr">
        <is>
          <t>Back Row</t>
        </is>
      </c>
      <c r="D68" s="37" t="n">
        <v>80</v>
      </c>
      <c r="F68" s="37" t="n">
        <v>8</v>
      </c>
      <c r="G68" s="37" t="n">
        <v>0</v>
      </c>
      <c r="H68" s="37" t="n">
        <v>0</v>
      </c>
      <c r="I68" s="37" t="n">
        <v>2</v>
      </c>
      <c r="J68" s="37" t="n">
        <v>0</v>
      </c>
      <c r="K68" s="37" t="n">
        <v>0</v>
      </c>
      <c r="L68" s="37" t="n">
        <v>14</v>
      </c>
      <c r="M68" s="37" t="n">
        <v>0</v>
      </c>
      <c r="N68" s="37" t="n">
        <v>0</v>
      </c>
      <c r="O68" s="37" t="n">
        <v>0</v>
      </c>
      <c r="P68" s="37" t="n">
        <v>0</v>
      </c>
      <c r="Q68" s="37" t="n">
        <v>0</v>
      </c>
      <c r="R68" s="37" t="n">
        <v>0</v>
      </c>
      <c r="S68" s="37" t="n">
        <v>0</v>
      </c>
      <c r="T68" s="38" t="n">
        <v>24</v>
      </c>
      <c r="U68" s="37" t="n">
        <v>0</v>
      </c>
      <c r="V68" s="36" t="n">
        <v>0</v>
      </c>
      <c r="W68" s="52" t="n">
        <v>24</v>
      </c>
    </row>
    <row r="69" ht="16" customHeight="1" thickBot="1">
      <c r="A69" s="76" t="inlineStr">
        <is>
          <t>G. Gilchrist</t>
        </is>
      </c>
      <c r="B69" s="36">
        <f t="array" ref="B69:C69">_xlfn.XLOOKUP(A69,'Player List'!$A$2:$A$177,'Player List'!$B$2:$C$177)</f>
        <v/>
      </c>
      <c r="C69" s="36" t="inlineStr">
        <is>
          <t>Second Row</t>
        </is>
      </c>
      <c r="D69" s="37" t="n">
        <v>64</v>
      </c>
      <c r="F69" s="37" t="n">
        <v>10</v>
      </c>
      <c r="G69" s="37" t="n">
        <v>14</v>
      </c>
      <c r="H69" s="37" t="n">
        <v>0</v>
      </c>
      <c r="I69" s="37" t="n">
        <v>0</v>
      </c>
      <c r="J69" s="37" t="n">
        <v>0</v>
      </c>
      <c r="K69" s="37" t="n">
        <v>7</v>
      </c>
      <c r="L69" s="37" t="n">
        <v>0</v>
      </c>
      <c r="M69" s="37" t="n">
        <v>0</v>
      </c>
      <c r="N69" s="37" t="n">
        <v>0</v>
      </c>
      <c r="O69" s="37" t="n">
        <v>0</v>
      </c>
      <c r="P69" s="37" t="n">
        <v>0</v>
      </c>
      <c r="Q69" s="37" t="n">
        <v>0</v>
      </c>
      <c r="R69" s="37" t="n">
        <v>0</v>
      </c>
      <c r="S69" s="37" t="n">
        <v>0</v>
      </c>
      <c r="T69" s="38" t="n">
        <v>31</v>
      </c>
      <c r="U69" s="37" t="n">
        <v>0</v>
      </c>
      <c r="V69" s="36" t="n">
        <v>0</v>
      </c>
      <c r="W69" s="52" t="n">
        <v>31</v>
      </c>
    </row>
    <row r="70" ht="16" customHeight="1" thickBot="1">
      <c r="A70" s="77" t="inlineStr">
        <is>
          <t>J. Gray</t>
        </is>
      </c>
      <c r="B70" s="36">
        <f t="array" ref="B70:C70">_xlfn.XLOOKUP(A70,'Player List'!$A$2:$A$177,'Player List'!$B$2:$C$177)</f>
        <v/>
      </c>
      <c r="C70" s="36" t="inlineStr">
        <is>
          <t>Second Row</t>
        </is>
      </c>
      <c r="D70" s="37" t="n">
        <v>16</v>
      </c>
      <c r="F70" s="37" t="n">
        <v>3</v>
      </c>
      <c r="G70" s="37" t="n">
        <v>7</v>
      </c>
      <c r="H70" s="37" t="n">
        <v>0</v>
      </c>
      <c r="I70" s="37" t="n">
        <v>0.4</v>
      </c>
      <c r="J70" s="37" t="n">
        <v>0</v>
      </c>
      <c r="K70" s="37" t="n">
        <v>0</v>
      </c>
      <c r="L70" s="37" t="n">
        <v>0</v>
      </c>
      <c r="M70" s="37" t="n">
        <v>0</v>
      </c>
      <c r="N70" s="37" t="n">
        <v>0</v>
      </c>
      <c r="O70" s="37" t="n">
        <v>0</v>
      </c>
      <c r="P70" s="37" t="n">
        <v>0</v>
      </c>
      <c r="Q70" s="37" t="n">
        <v>0</v>
      </c>
      <c r="R70" s="37" t="n">
        <v>0</v>
      </c>
      <c r="S70" s="37" t="n">
        <v>0</v>
      </c>
      <c r="T70" s="38" t="n">
        <v>10.4</v>
      </c>
      <c r="U70" s="37" t="n">
        <v>0</v>
      </c>
      <c r="V70" s="36" t="n">
        <v>0</v>
      </c>
      <c r="W70" s="52" t="n">
        <v>10.4</v>
      </c>
    </row>
    <row r="71" ht="16" customHeight="1" thickBot="1">
      <c r="A71" s="76" t="inlineStr">
        <is>
          <t>R. Gray</t>
        </is>
      </c>
      <c r="B71" s="36">
        <f t="array" ref="B71:C71">_xlfn.XLOOKUP(A71,'Player List'!$A$2:$A$177,'Player List'!$B$2:$C$177)</f>
        <v/>
      </c>
      <c r="C71" s="36" t="inlineStr">
        <is>
          <t>Second Row</t>
        </is>
      </c>
      <c r="D71" s="37" t="n">
        <v>80</v>
      </c>
      <c r="F71" s="37" t="n">
        <v>12</v>
      </c>
      <c r="G71" s="37" t="n">
        <v>7</v>
      </c>
      <c r="H71" s="37" t="n">
        <v>0</v>
      </c>
      <c r="I71" s="37" t="n">
        <v>0.8</v>
      </c>
      <c r="J71" s="37" t="n">
        <v>0</v>
      </c>
      <c r="K71" s="37" t="n">
        <v>7</v>
      </c>
      <c r="L71" s="37" t="n">
        <v>0</v>
      </c>
      <c r="M71" s="37" t="n">
        <v>0</v>
      </c>
      <c r="N71" s="37" t="n">
        <v>0</v>
      </c>
      <c r="O71" s="37" t="n">
        <v>0</v>
      </c>
      <c r="P71" s="37" t="n">
        <v>0</v>
      </c>
      <c r="Q71" s="37" t="n">
        <v>0</v>
      </c>
      <c r="R71" s="37" t="n">
        <v>0</v>
      </c>
      <c r="S71" s="37" t="n">
        <v>0</v>
      </c>
      <c r="T71" s="38" t="n">
        <v>26.8</v>
      </c>
      <c r="U71" s="37" t="n">
        <v>0</v>
      </c>
      <c r="V71" s="36" t="n">
        <v>0</v>
      </c>
      <c r="W71" s="52" t="n">
        <v>26.8</v>
      </c>
    </row>
    <row r="72" ht="16" customHeight="1" thickBot="1">
      <c r="A72" s="77" t="inlineStr">
        <is>
          <t>J. Bhatti</t>
        </is>
      </c>
      <c r="B72" s="36">
        <f t="array" ref="B72:C72">_xlfn.XLOOKUP(A72,'Player List'!$A$2:$A$177,'Player List'!$B$2:$C$177)</f>
        <v/>
      </c>
      <c r="C72" s="36" t="inlineStr">
        <is>
          <t>Prop</t>
        </is>
      </c>
      <c r="D72" s="37" t="n">
        <v>16</v>
      </c>
      <c r="F72" s="37" t="n">
        <v>3</v>
      </c>
      <c r="G72" s="37" t="n">
        <v>0</v>
      </c>
      <c r="H72" s="37" t="n">
        <v>0</v>
      </c>
      <c r="I72" s="37" t="n">
        <v>0</v>
      </c>
      <c r="J72" s="37" t="n">
        <v>0</v>
      </c>
      <c r="K72" s="37" t="n">
        <v>0</v>
      </c>
      <c r="L72" s="37" t="n">
        <v>0</v>
      </c>
      <c r="M72" s="37" t="n">
        <v>0</v>
      </c>
      <c r="N72" s="37" t="n">
        <v>0</v>
      </c>
      <c r="O72" s="37" t="n">
        <v>0</v>
      </c>
      <c r="P72" s="37" t="n">
        <v>0</v>
      </c>
      <c r="Q72" s="37" t="n">
        <v>0</v>
      </c>
      <c r="R72" s="37" t="n">
        <v>0</v>
      </c>
      <c r="S72" s="37" t="n">
        <v>0</v>
      </c>
      <c r="T72" s="38" t="n">
        <v>3</v>
      </c>
      <c r="U72" s="37" t="n">
        <v>0</v>
      </c>
      <c r="V72" s="36" t="n">
        <v>0</v>
      </c>
      <c r="W72" s="52" t="n">
        <v>3</v>
      </c>
    </row>
    <row r="73" ht="16" customHeight="1" thickBot="1">
      <c r="A73" s="76" t="inlineStr">
        <is>
          <t>Z. Fagerson</t>
        </is>
      </c>
      <c r="B73" s="36">
        <f t="array" ref="B73:C73">_xlfn.XLOOKUP(A73,'Player List'!$A$2:$A$177,'Player List'!$B$2:$C$177)</f>
        <v/>
      </c>
      <c r="C73" s="36" t="inlineStr">
        <is>
          <t>Prop</t>
        </is>
      </c>
      <c r="D73" s="37" t="n">
        <v>64</v>
      </c>
      <c r="F73" s="37" t="n">
        <v>15</v>
      </c>
      <c r="G73" s="37" t="n">
        <v>14</v>
      </c>
      <c r="H73" s="37" t="n">
        <v>0</v>
      </c>
      <c r="I73" s="37" t="n">
        <v>2.8</v>
      </c>
      <c r="J73" s="37" t="n">
        <v>0</v>
      </c>
      <c r="K73" s="37" t="n">
        <v>0</v>
      </c>
      <c r="L73" s="37" t="n">
        <v>0</v>
      </c>
      <c r="M73" s="37" t="n">
        <v>0</v>
      </c>
      <c r="N73" s="37" t="n">
        <v>0</v>
      </c>
      <c r="O73" s="37" t="n">
        <v>0</v>
      </c>
      <c r="P73" s="37" t="n">
        <v>0</v>
      </c>
      <c r="Q73" s="37" t="n">
        <v>0</v>
      </c>
      <c r="R73" s="37" t="n">
        <v>0</v>
      </c>
      <c r="S73" s="37" t="n">
        <v>0</v>
      </c>
      <c r="T73" s="38" t="n">
        <v>31.8</v>
      </c>
      <c r="U73" s="37" t="n">
        <v>0</v>
      </c>
      <c r="V73" s="36" t="n">
        <v>0</v>
      </c>
      <c r="W73" s="52" t="n">
        <v>31.8</v>
      </c>
    </row>
    <row r="74" ht="16" customHeight="1" thickBot="1">
      <c r="A74" s="77" t="inlineStr">
        <is>
          <t>W. Nel</t>
        </is>
      </c>
      <c r="B74" s="36">
        <f t="array" ref="B74:C74">_xlfn.XLOOKUP(A74,'Player List'!$A$2:$A$177,'Player List'!$B$2:$C$177)</f>
        <v/>
      </c>
      <c r="C74" s="36" t="inlineStr">
        <is>
          <t>Prop</t>
        </is>
      </c>
      <c r="D74" s="37" t="n">
        <v>16</v>
      </c>
      <c r="F74" s="37" t="n">
        <v>1</v>
      </c>
      <c r="G74" s="37" t="n">
        <v>0</v>
      </c>
      <c r="H74" s="37" t="n">
        <v>0</v>
      </c>
      <c r="I74" s="37" t="n">
        <v>0</v>
      </c>
      <c r="J74" s="37" t="n">
        <v>0</v>
      </c>
      <c r="K74" s="37" t="n">
        <v>0</v>
      </c>
      <c r="L74" s="37" t="n">
        <v>0</v>
      </c>
      <c r="M74" s="37" t="n">
        <v>0</v>
      </c>
      <c r="N74" s="37" t="n">
        <v>0</v>
      </c>
      <c r="O74" s="37" t="n">
        <v>0</v>
      </c>
      <c r="P74" s="37" t="n">
        <v>0</v>
      </c>
      <c r="Q74" s="37" t="n">
        <v>0</v>
      </c>
      <c r="R74" s="37" t="n">
        <v>0</v>
      </c>
      <c r="S74" s="37" t="n">
        <v>0</v>
      </c>
      <c r="T74" s="38" t="n">
        <v>1</v>
      </c>
      <c r="U74" s="37" t="n">
        <v>0</v>
      </c>
      <c r="V74" s="36" t="n">
        <v>0</v>
      </c>
      <c r="W74" s="52" t="n">
        <v>1</v>
      </c>
    </row>
    <row r="75" ht="16" customHeight="1" thickBot="1">
      <c r="A75" s="76" t="inlineStr">
        <is>
          <t>P. Schoeman</t>
        </is>
      </c>
      <c r="B75" s="36">
        <f t="array" ref="B75:C75">_xlfn.XLOOKUP(A75,'Player List'!$A$2:$A$177,'Player List'!$B$2:$C$177)</f>
        <v/>
      </c>
      <c r="C75" s="36" t="inlineStr">
        <is>
          <t>Prop</t>
        </is>
      </c>
      <c r="D75" s="37" t="n">
        <v>64</v>
      </c>
      <c r="F75" s="37" t="n">
        <v>12</v>
      </c>
      <c r="G75" s="37" t="n">
        <v>0</v>
      </c>
      <c r="H75" s="37" t="n">
        <v>0</v>
      </c>
      <c r="I75" s="37" t="n">
        <v>7</v>
      </c>
      <c r="J75" s="37" t="n">
        <v>0</v>
      </c>
      <c r="K75" s="37" t="n">
        <v>0</v>
      </c>
      <c r="L75" s="37" t="n">
        <v>0</v>
      </c>
      <c r="M75" s="37" t="n">
        <v>0</v>
      </c>
      <c r="N75" s="37" t="n">
        <v>0</v>
      </c>
      <c r="O75" s="37" t="n">
        <v>0</v>
      </c>
      <c r="P75" s="37" t="n">
        <v>0</v>
      </c>
      <c r="Q75" s="37" t="n">
        <v>0</v>
      </c>
      <c r="R75" s="37" t="n">
        <v>0</v>
      </c>
      <c r="S75" s="37" t="n">
        <v>0</v>
      </c>
      <c r="T75" s="38" t="n">
        <v>19</v>
      </c>
      <c r="U75" s="37" t="n">
        <v>0</v>
      </c>
      <c r="V75" s="36" t="n">
        <v>0</v>
      </c>
      <c r="W75" s="52" t="n">
        <v>19</v>
      </c>
    </row>
    <row r="76" ht="16" customHeight="1" thickBot="1">
      <c r="A76" s="77" t="inlineStr">
        <is>
          <t>F. Brown</t>
        </is>
      </c>
      <c r="B76" s="36">
        <f t="array" ref="B76:C76">_xlfn.XLOOKUP(A76,'Player List'!$A$2:$A$177,'Player List'!$B$2:$C$177)</f>
        <v/>
      </c>
      <c r="C76" s="36" t="inlineStr">
        <is>
          <t>Hooker</t>
        </is>
      </c>
      <c r="D76" s="37" t="n">
        <v>27</v>
      </c>
      <c r="F76" s="37" t="n">
        <v>3</v>
      </c>
      <c r="G76" s="37" t="n">
        <v>0</v>
      </c>
      <c r="H76" s="37" t="n">
        <v>0</v>
      </c>
      <c r="I76" s="37" t="n">
        <v>2.8</v>
      </c>
      <c r="J76" s="37" t="n">
        <v>0</v>
      </c>
      <c r="K76" s="37" t="n">
        <v>0</v>
      </c>
      <c r="L76" s="37" t="n">
        <v>7</v>
      </c>
      <c r="M76" s="37" t="n">
        <v>0</v>
      </c>
      <c r="N76" s="37" t="n">
        <v>0</v>
      </c>
      <c r="O76" s="37" t="n">
        <v>0</v>
      </c>
      <c r="P76" s="37" t="n">
        <v>0</v>
      </c>
      <c r="Q76" s="37" t="n">
        <v>0</v>
      </c>
      <c r="R76" s="37" t="n">
        <v>0</v>
      </c>
      <c r="S76" s="37" t="n">
        <v>0</v>
      </c>
      <c r="T76" s="38" t="n">
        <v>12.8</v>
      </c>
      <c r="U76" s="37" t="n">
        <v>0</v>
      </c>
      <c r="V76" s="36" t="n">
        <v>0</v>
      </c>
      <c r="W76" s="52" t="n">
        <v>12.8</v>
      </c>
    </row>
    <row r="77" ht="16" customHeight="1" thickBot="1">
      <c r="A77" s="76" t="inlineStr">
        <is>
          <t>G. Turner</t>
        </is>
      </c>
      <c r="B77" s="36">
        <f t="array" ref="B77:C77">_xlfn.XLOOKUP(A77,'Player List'!$A$2:$A$177,'Player List'!$B$2:$C$177)</f>
        <v/>
      </c>
      <c r="C77" s="36" t="inlineStr">
        <is>
          <t>Hooker</t>
        </is>
      </c>
      <c r="D77" s="37" t="n">
        <v>48</v>
      </c>
      <c r="F77" s="37" t="n">
        <v>5</v>
      </c>
      <c r="G77" s="37" t="n">
        <v>0</v>
      </c>
      <c r="H77" s="37" t="n">
        <v>0</v>
      </c>
      <c r="I77" s="37" t="n">
        <v>7.4</v>
      </c>
      <c r="J77" s="37" t="n">
        <v>0</v>
      </c>
      <c r="K77" s="37" t="n">
        <v>0</v>
      </c>
      <c r="L77" s="37" t="n">
        <v>0</v>
      </c>
      <c r="M77" s="37" t="n">
        <v>15</v>
      </c>
      <c r="N77" s="37" t="n">
        <v>0</v>
      </c>
      <c r="O77" s="37" t="n">
        <v>0</v>
      </c>
      <c r="P77" s="37" t="n">
        <v>0</v>
      </c>
      <c r="Q77" s="37" t="n">
        <v>0</v>
      </c>
      <c r="R77" s="37" t="n">
        <v>-5</v>
      </c>
      <c r="S77" s="37" t="n">
        <v>0</v>
      </c>
      <c r="T77" s="38" t="n">
        <v>22.4</v>
      </c>
      <c r="U77" s="37" t="n">
        <v>0</v>
      </c>
      <c r="V77" s="36" t="n">
        <v>0</v>
      </c>
      <c r="W77" s="52" t="n">
        <v>22.4</v>
      </c>
    </row>
    <row r="78" ht="16" customHeight="1" thickBot="1">
      <c r="A78" s="76" t="inlineStr">
        <is>
          <t>J. Adams</t>
        </is>
      </c>
      <c r="B78" s="36">
        <f t="array" ref="B78:C78">_xlfn.XLOOKUP(A78,'Player List'!$A$2:$A$177,'Player List'!$B$2:$C$177)</f>
        <v/>
      </c>
      <c r="C78" s="36" t="inlineStr">
        <is>
          <t>Back Three</t>
        </is>
      </c>
      <c r="D78" s="37" t="n">
        <v>59</v>
      </c>
      <c r="F78" s="37" t="n">
        <v>5</v>
      </c>
      <c r="G78" s="37" t="n">
        <v>7</v>
      </c>
      <c r="H78" s="37" t="n">
        <v>0</v>
      </c>
      <c r="I78" s="37" t="n">
        <v>4.2</v>
      </c>
      <c r="J78" s="37" t="n">
        <v>0</v>
      </c>
      <c r="K78" s="37" t="n">
        <v>0</v>
      </c>
      <c r="L78" s="37" t="n">
        <v>7</v>
      </c>
      <c r="M78" s="37" t="n">
        <v>0</v>
      </c>
      <c r="N78" s="37" t="n">
        <v>0</v>
      </c>
      <c r="O78" s="37" t="n">
        <v>0</v>
      </c>
      <c r="P78" s="37" t="n">
        <v>0</v>
      </c>
      <c r="Q78" s="37" t="n">
        <v>0</v>
      </c>
      <c r="R78" s="37" t="n">
        <v>0</v>
      </c>
      <c r="S78" s="37" t="n">
        <v>0</v>
      </c>
      <c r="T78" s="38" t="n">
        <v>23.2</v>
      </c>
      <c r="U78" s="37" t="n">
        <v>0</v>
      </c>
      <c r="V78" s="36" t="n">
        <v>0</v>
      </c>
      <c r="W78" s="52" t="n">
        <v>23.2</v>
      </c>
    </row>
    <row r="79" ht="16" customHeight="1" thickBot="1">
      <c r="A79" s="77" t="inlineStr">
        <is>
          <t>A. Cuthbert</t>
        </is>
      </c>
      <c r="B79" s="36">
        <f t="array" ref="B79:C79">_xlfn.XLOOKUP(A79,'Player List'!$A$2:$A$177,'Player List'!$B$2:$C$177)</f>
        <v/>
      </c>
      <c r="C79" s="36" t="inlineStr">
        <is>
          <t>Back Three</t>
        </is>
      </c>
      <c r="D79" s="37" t="n">
        <v>28</v>
      </c>
      <c r="F79" s="37" t="n">
        <v>1</v>
      </c>
      <c r="G79" s="37" t="n">
        <v>0</v>
      </c>
      <c r="H79" s="37" t="n">
        <v>0</v>
      </c>
      <c r="I79" s="37" t="n">
        <v>9.4</v>
      </c>
      <c r="J79" s="37" t="n">
        <v>0</v>
      </c>
      <c r="K79" s="37" t="n">
        <v>0</v>
      </c>
      <c r="L79" s="37" t="n">
        <v>0</v>
      </c>
      <c r="M79" s="37" t="n">
        <v>0</v>
      </c>
      <c r="N79" s="37" t="n">
        <v>0</v>
      </c>
      <c r="O79" s="37" t="n">
        <v>0</v>
      </c>
      <c r="P79" s="37" t="n">
        <v>0</v>
      </c>
      <c r="Q79" s="37" t="n">
        <v>0</v>
      </c>
      <c r="R79" s="37" t="n">
        <v>0</v>
      </c>
      <c r="S79" s="37" t="n">
        <v>0</v>
      </c>
      <c r="T79" s="38" t="n">
        <v>10.4</v>
      </c>
      <c r="U79" s="37" t="n">
        <v>0</v>
      </c>
      <c r="V79" s="36" t="n">
        <v>0</v>
      </c>
      <c r="W79" s="52" t="n">
        <v>10.4</v>
      </c>
    </row>
    <row r="80" ht="16" customHeight="1" thickBot="1">
      <c r="A80" s="76" t="inlineStr">
        <is>
          <t>R. Dyer</t>
        </is>
      </c>
      <c r="B80" s="36">
        <f t="array" ref="B80:C80">_xlfn.XLOOKUP(A80,'Player List'!$A$2:$A$177,'Player List'!$B$2:$C$177)</f>
        <v/>
      </c>
      <c r="C80" s="36" t="inlineStr">
        <is>
          <t>Back Three</t>
        </is>
      </c>
      <c r="D80" s="37" t="n">
        <v>80</v>
      </c>
      <c r="F80" s="37" t="n">
        <v>5</v>
      </c>
      <c r="G80" s="37" t="n">
        <v>0</v>
      </c>
      <c r="H80" s="37" t="n">
        <v>7</v>
      </c>
      <c r="I80" s="37" t="n">
        <v>18</v>
      </c>
      <c r="J80" s="37" t="n">
        <v>0</v>
      </c>
      <c r="K80" s="37" t="n">
        <v>0</v>
      </c>
      <c r="L80" s="37" t="n">
        <v>0</v>
      </c>
      <c r="M80" s="37" t="n">
        <v>0</v>
      </c>
      <c r="N80" s="37" t="n">
        <v>0</v>
      </c>
      <c r="O80" s="37" t="n">
        <v>0</v>
      </c>
      <c r="P80" s="37" t="n">
        <v>0</v>
      </c>
      <c r="Q80" s="37" t="n">
        <v>0</v>
      </c>
      <c r="R80" s="37" t="n">
        <v>0</v>
      </c>
      <c r="S80" s="37" t="n">
        <v>0</v>
      </c>
      <c r="T80" s="38" t="n">
        <v>30</v>
      </c>
      <c r="U80" s="37" t="n">
        <v>0</v>
      </c>
      <c r="V80" s="36" t="n">
        <v>0</v>
      </c>
      <c r="W80" s="52" t="n">
        <v>30</v>
      </c>
    </row>
    <row r="81" ht="16" customHeight="1" thickBot="1">
      <c r="A81" s="77" t="inlineStr">
        <is>
          <t>L. Williams</t>
        </is>
      </c>
      <c r="B81" s="36">
        <f t="array" ref="B81:C81">_xlfn.XLOOKUP(A81,'Player List'!$A$2:$A$177,'Player List'!$B$2:$C$177)</f>
        <v/>
      </c>
      <c r="C81" s="36" t="inlineStr">
        <is>
          <t>Back Three</t>
        </is>
      </c>
      <c r="D81" s="37" t="n">
        <v>69</v>
      </c>
      <c r="F81" s="37" t="n">
        <v>9</v>
      </c>
      <c r="G81" s="37" t="n">
        <v>0</v>
      </c>
      <c r="H81" s="37" t="n">
        <v>0</v>
      </c>
      <c r="I81" s="37" t="n">
        <v>8.800000000000001</v>
      </c>
      <c r="J81" s="37" t="n">
        <v>0</v>
      </c>
      <c r="K81" s="37" t="n">
        <v>0</v>
      </c>
      <c r="L81" s="37" t="n">
        <v>0</v>
      </c>
      <c r="M81" s="37" t="n">
        <v>0</v>
      </c>
      <c r="N81" s="37" t="n">
        <v>0</v>
      </c>
      <c r="O81" s="37" t="n">
        <v>0</v>
      </c>
      <c r="P81" s="37" t="n">
        <v>0</v>
      </c>
      <c r="Q81" s="37" t="n">
        <v>0</v>
      </c>
      <c r="R81" s="37" t="n">
        <v>-5</v>
      </c>
      <c r="S81" s="37" t="n">
        <v>0</v>
      </c>
      <c r="T81" s="38" t="n">
        <v>12.8</v>
      </c>
      <c r="U81" s="37" t="n">
        <v>0</v>
      </c>
      <c r="V81" s="36" t="n">
        <v>0</v>
      </c>
      <c r="W81" s="52" t="n">
        <v>12.8</v>
      </c>
    </row>
    <row r="82" ht="16" customHeight="1" thickBot="1">
      <c r="A82" s="76" t="inlineStr">
        <is>
          <t>J. Hawkins</t>
        </is>
      </c>
      <c r="B82" s="36">
        <f t="array" ref="B82:C82">_xlfn.XLOOKUP(A82,'Player List'!$A$2:$A$177,'Player List'!$B$2:$C$177)</f>
        <v/>
      </c>
      <c r="C82" s="36" t="inlineStr">
        <is>
          <t>Centre</t>
        </is>
      </c>
      <c r="D82" s="37" t="n">
        <v>80</v>
      </c>
      <c r="F82" s="37" t="n">
        <v>7</v>
      </c>
      <c r="G82" s="37" t="n">
        <v>0</v>
      </c>
      <c r="H82" s="37" t="n">
        <v>0</v>
      </c>
      <c r="I82" s="37" t="n">
        <v>5.2</v>
      </c>
      <c r="J82" s="37" t="n">
        <v>0</v>
      </c>
      <c r="K82" s="37" t="n">
        <v>0</v>
      </c>
      <c r="L82" s="37" t="n">
        <v>0</v>
      </c>
      <c r="M82" s="37" t="n">
        <v>0</v>
      </c>
      <c r="N82" s="37" t="n">
        <v>0</v>
      </c>
      <c r="O82" s="37" t="n">
        <v>0</v>
      </c>
      <c r="P82" s="37" t="n">
        <v>0</v>
      </c>
      <c r="Q82" s="37" t="n">
        <v>0</v>
      </c>
      <c r="R82" s="37" t="n">
        <v>0</v>
      </c>
      <c r="S82" s="37" t="n">
        <v>0</v>
      </c>
      <c r="T82" s="38" t="n">
        <v>12.2</v>
      </c>
      <c r="U82" s="37" t="n">
        <v>0</v>
      </c>
      <c r="V82" s="36" t="n">
        <v>0</v>
      </c>
      <c r="W82" s="52" t="n">
        <v>12.2</v>
      </c>
    </row>
    <row r="83" ht="16" customHeight="1" thickBot="1">
      <c r="A83" s="77" t="inlineStr">
        <is>
          <t>G. North</t>
        </is>
      </c>
      <c r="B83" s="36">
        <f t="array" ref="B83:C83">_xlfn.XLOOKUP(A83,'Player List'!$A$2:$A$177,'Player List'!$B$2:$C$177)</f>
        <v/>
      </c>
      <c r="C83" s="36" t="inlineStr">
        <is>
          <t>Centre</t>
        </is>
      </c>
      <c r="D83" s="37" t="n">
        <v>73</v>
      </c>
      <c r="F83" s="37" t="n">
        <v>2</v>
      </c>
      <c r="G83" s="37" t="n">
        <v>7</v>
      </c>
      <c r="H83" s="37" t="n">
        <v>0</v>
      </c>
      <c r="I83" s="37" t="n">
        <v>10.2</v>
      </c>
      <c r="J83" s="37" t="n">
        <v>0</v>
      </c>
      <c r="K83" s="37" t="n">
        <v>0</v>
      </c>
      <c r="L83" s="37" t="n">
        <v>0</v>
      </c>
      <c r="M83" s="37" t="n">
        <v>0</v>
      </c>
      <c r="N83" s="37" t="n">
        <v>0</v>
      </c>
      <c r="O83" s="37" t="n">
        <v>0</v>
      </c>
      <c r="P83" s="37" t="n">
        <v>0</v>
      </c>
      <c r="Q83" s="37" t="n">
        <v>0</v>
      </c>
      <c r="R83" s="37" t="n">
        <v>0</v>
      </c>
      <c r="S83" s="37" t="n">
        <v>0</v>
      </c>
      <c r="T83" s="38" t="n">
        <v>19.2</v>
      </c>
      <c r="U83" s="37" t="n">
        <v>0</v>
      </c>
      <c r="V83" s="36" t="n">
        <v>0</v>
      </c>
      <c r="W83" s="52" t="n">
        <v>19.2</v>
      </c>
    </row>
    <row r="84" ht="16" customHeight="1" thickBot="1">
      <c r="A84" s="76" t="inlineStr">
        <is>
          <t>D. Biggar</t>
        </is>
      </c>
      <c r="B84" s="36">
        <f t="array" ref="B84:C84">_xlfn.XLOOKUP(A84,'Player List'!$A$2:$A$177,'Player List'!$B$2:$C$177)</f>
        <v/>
      </c>
      <c r="C84" s="36" t="inlineStr">
        <is>
          <t>Fly Half</t>
        </is>
      </c>
      <c r="D84" s="37" t="n">
        <v>57</v>
      </c>
      <c r="F84" s="37" t="n">
        <v>6</v>
      </c>
      <c r="G84" s="37" t="n">
        <v>0</v>
      </c>
      <c r="H84" s="37" t="n">
        <v>0</v>
      </c>
      <c r="I84" s="37" t="n">
        <v>3.2</v>
      </c>
      <c r="J84" s="37" t="n">
        <v>0</v>
      </c>
      <c r="K84" s="37" t="n">
        <v>0</v>
      </c>
      <c r="L84" s="37" t="n">
        <v>7</v>
      </c>
      <c r="M84" s="37" t="n">
        <v>0</v>
      </c>
      <c r="N84" s="37" t="n">
        <v>0</v>
      </c>
      <c r="O84" s="37" t="n">
        <v>2</v>
      </c>
      <c r="P84" s="37" t="n">
        <v>0</v>
      </c>
      <c r="Q84" s="37" t="n">
        <v>0</v>
      </c>
      <c r="R84" s="37" t="n">
        <v>0</v>
      </c>
      <c r="S84" s="37" t="n">
        <v>0</v>
      </c>
      <c r="T84" s="38" t="n">
        <v>18.2</v>
      </c>
      <c r="U84" s="37" t="n">
        <v>0</v>
      </c>
      <c r="V84" s="36" t="n">
        <v>0</v>
      </c>
      <c r="W84" s="52" t="n">
        <v>18.2</v>
      </c>
    </row>
    <row r="85" ht="16" customHeight="1" thickBot="1">
      <c r="A85" s="77" t="inlineStr">
        <is>
          <t>R. Patchell</t>
        </is>
      </c>
      <c r="B85" s="36">
        <f t="array" ref="B85:C85">_xlfn.XLOOKUP(A85,'Player List'!$A$2:$A$177,'Player List'!$B$2:$C$177)</f>
        <v/>
      </c>
      <c r="C85" s="36" t="inlineStr">
        <is>
          <t>Fly Half</t>
        </is>
      </c>
      <c r="D85" s="37" t="n">
        <v>23</v>
      </c>
      <c r="F85" s="37" t="n">
        <v>1</v>
      </c>
      <c r="G85" s="37" t="n">
        <v>0</v>
      </c>
      <c r="H85" s="37" t="n">
        <v>0</v>
      </c>
      <c r="I85" s="37" t="n">
        <v>3.6</v>
      </c>
      <c r="J85" s="37" t="n">
        <v>0</v>
      </c>
      <c r="K85" s="37" t="n">
        <v>0</v>
      </c>
      <c r="L85" s="37" t="n">
        <v>0</v>
      </c>
      <c r="M85" s="37" t="n">
        <v>0</v>
      </c>
      <c r="N85" s="37" t="n">
        <v>0</v>
      </c>
      <c r="O85" s="37" t="n">
        <v>0</v>
      </c>
      <c r="P85" s="37" t="n">
        <v>0</v>
      </c>
      <c r="Q85" s="37" t="n">
        <v>0</v>
      </c>
      <c r="R85" s="37" t="n">
        <v>0</v>
      </c>
      <c r="S85" s="37" t="n">
        <v>0</v>
      </c>
      <c r="T85" s="38" t="n">
        <v>4.6</v>
      </c>
      <c r="U85" s="37" t="n">
        <v>0</v>
      </c>
      <c r="V85" s="36" t="n">
        <v>0</v>
      </c>
      <c r="W85" s="52" t="n">
        <v>4.6</v>
      </c>
    </row>
    <row r="86" ht="16" customHeight="1" thickBot="1">
      <c r="A86" s="76" t="inlineStr">
        <is>
          <t>R. Webb</t>
        </is>
      </c>
      <c r="B86" s="36">
        <f t="array" ref="B86:C86">_xlfn.XLOOKUP(A86,'Player List'!$A$2:$A$177,'Player List'!$B$2:$C$177)</f>
        <v/>
      </c>
      <c r="C86" s="36" t="inlineStr">
        <is>
          <t>Scrum Half</t>
        </is>
      </c>
      <c r="D86" s="37" t="n">
        <v>23</v>
      </c>
      <c r="F86" s="37" t="n">
        <v>2</v>
      </c>
      <c r="G86" s="37" t="n">
        <v>0</v>
      </c>
      <c r="H86" s="37" t="n">
        <v>0</v>
      </c>
      <c r="I86" s="37" t="n">
        <v>0</v>
      </c>
      <c r="J86" s="37" t="n">
        <v>0</v>
      </c>
      <c r="K86" s="37" t="n">
        <v>0</v>
      </c>
      <c r="L86" s="37" t="n">
        <v>0</v>
      </c>
      <c r="M86" s="37" t="n">
        <v>0</v>
      </c>
      <c r="N86" s="37" t="n">
        <v>0</v>
      </c>
      <c r="O86" s="37" t="n">
        <v>0</v>
      </c>
      <c r="P86" s="37" t="n">
        <v>0</v>
      </c>
      <c r="Q86" s="37" t="n">
        <v>0</v>
      </c>
      <c r="R86" s="37" t="n">
        <v>-5</v>
      </c>
      <c r="S86" s="37" t="n">
        <v>0</v>
      </c>
      <c r="T86" s="38" t="n">
        <v>-3</v>
      </c>
      <c r="U86" s="37" t="n">
        <v>0</v>
      </c>
      <c r="V86" s="36" t="n">
        <v>0</v>
      </c>
      <c r="W86" s="52" t="n">
        <v>-3</v>
      </c>
    </row>
    <row r="87" ht="16" customHeight="1" thickBot="1">
      <c r="A87" s="77" t="inlineStr">
        <is>
          <t>T. Williams</t>
        </is>
      </c>
      <c r="B87" s="36">
        <f t="array" ref="B87:C87">_xlfn.XLOOKUP(A87,'Player List'!$A$2:$A$177,'Player List'!$B$2:$C$177)</f>
        <v/>
      </c>
      <c r="C87" s="36" t="inlineStr">
        <is>
          <t>Scrum Half</t>
        </is>
      </c>
      <c r="D87" s="37" t="n">
        <v>57</v>
      </c>
      <c r="F87" s="37" t="n">
        <v>4</v>
      </c>
      <c r="G87" s="37" t="n">
        <v>7</v>
      </c>
      <c r="H87" s="37" t="n">
        <v>0</v>
      </c>
      <c r="I87" s="37" t="n">
        <v>2.6</v>
      </c>
      <c r="J87" s="37" t="n">
        <v>0</v>
      </c>
      <c r="K87" s="37" t="n">
        <v>0</v>
      </c>
      <c r="L87" s="37" t="n">
        <v>0</v>
      </c>
      <c r="M87" s="37" t="n">
        <v>0</v>
      </c>
      <c r="N87" s="37" t="n">
        <v>0</v>
      </c>
      <c r="O87" s="37" t="n">
        <v>0</v>
      </c>
      <c r="P87" s="37" t="n">
        <v>0</v>
      </c>
      <c r="Q87" s="37" t="n">
        <v>0</v>
      </c>
      <c r="R87" s="37" t="n">
        <v>0</v>
      </c>
      <c r="S87" s="37" t="n">
        <v>0</v>
      </c>
      <c r="T87" s="38" t="n">
        <v>13.6</v>
      </c>
      <c r="U87" s="37" t="n">
        <v>0</v>
      </c>
      <c r="V87" s="36" t="n">
        <v>0</v>
      </c>
      <c r="W87" s="52" t="n">
        <v>13.6</v>
      </c>
    </row>
    <row r="88" ht="16" customHeight="1" thickBot="1">
      <c r="A88" s="76" t="inlineStr">
        <is>
          <t>T. Faletau</t>
        </is>
      </c>
      <c r="B88" s="36">
        <f t="array" ref="B88:C88">_xlfn.XLOOKUP(A88,'Player List'!$A$2:$A$177,'Player List'!$B$2:$C$177)</f>
        <v/>
      </c>
      <c r="C88" s="36" t="inlineStr">
        <is>
          <t>Back Row</t>
        </is>
      </c>
      <c r="D88" s="37" t="n">
        <v>28</v>
      </c>
      <c r="F88" s="37" t="n">
        <v>8</v>
      </c>
      <c r="G88" s="37" t="n">
        <v>0</v>
      </c>
      <c r="H88" s="37" t="n">
        <v>0</v>
      </c>
      <c r="I88" s="37" t="n">
        <v>5</v>
      </c>
      <c r="J88" s="37" t="n">
        <v>0</v>
      </c>
      <c r="K88" s="37" t="n">
        <v>0</v>
      </c>
      <c r="L88" s="37" t="n">
        <v>0</v>
      </c>
      <c r="M88" s="37" t="n">
        <v>0</v>
      </c>
      <c r="N88" s="37" t="n">
        <v>0</v>
      </c>
      <c r="O88" s="37" t="n">
        <v>0</v>
      </c>
      <c r="P88" s="37" t="n">
        <v>0</v>
      </c>
      <c r="Q88" s="37" t="n">
        <v>0</v>
      </c>
      <c r="R88" s="37" t="n">
        <v>0</v>
      </c>
      <c r="S88" s="37" t="n">
        <v>0</v>
      </c>
      <c r="T88" s="38" t="n">
        <v>13</v>
      </c>
      <c r="U88" s="37" t="n">
        <v>0</v>
      </c>
      <c r="V88" s="36" t="n">
        <v>0</v>
      </c>
      <c r="W88" s="52" t="n">
        <v>13</v>
      </c>
    </row>
    <row r="89" ht="16" customHeight="1" thickBot="1">
      <c r="A89" s="77" t="inlineStr">
        <is>
          <t>J. Morgan</t>
        </is>
      </c>
      <c r="B89" s="36">
        <f t="array" ref="B89:C89">_xlfn.XLOOKUP(A89,'Player List'!$A$2:$A$177,'Player List'!$B$2:$C$177)</f>
        <v/>
      </c>
      <c r="C89" s="36" t="inlineStr">
        <is>
          <t>Back Row</t>
        </is>
      </c>
      <c r="D89" s="37" t="n">
        <v>52</v>
      </c>
      <c r="F89" s="37" t="n">
        <v>11</v>
      </c>
      <c r="G89" s="37" t="n">
        <v>0</v>
      </c>
      <c r="H89" s="37" t="n">
        <v>0</v>
      </c>
      <c r="I89" s="37" t="n">
        <v>6.4</v>
      </c>
      <c r="J89" s="37" t="n">
        <v>0</v>
      </c>
      <c r="K89" s="37" t="n">
        <v>0</v>
      </c>
      <c r="L89" s="37" t="n">
        <v>14</v>
      </c>
      <c r="M89" s="37" t="n">
        <v>0</v>
      </c>
      <c r="N89" s="37" t="n">
        <v>0</v>
      </c>
      <c r="O89" s="37" t="n">
        <v>0</v>
      </c>
      <c r="P89" s="37" t="n">
        <v>0</v>
      </c>
      <c r="Q89" s="37" t="n">
        <v>0</v>
      </c>
      <c r="R89" s="37" t="n">
        <v>0</v>
      </c>
      <c r="S89" s="37" t="n">
        <v>0</v>
      </c>
      <c r="T89" s="38" t="n">
        <v>31.4</v>
      </c>
      <c r="U89" s="37" t="n">
        <v>0</v>
      </c>
      <c r="V89" s="36" t="n">
        <v>0</v>
      </c>
      <c r="W89" s="52" t="n">
        <v>31.4</v>
      </c>
    </row>
    <row r="90" ht="16" customHeight="1" thickBot="1">
      <c r="A90" s="76" t="inlineStr">
        <is>
          <t>T. Reffell</t>
        </is>
      </c>
      <c r="B90" s="36">
        <f t="array" ref="B90:C90">_xlfn.XLOOKUP(A90,'Player List'!$A$2:$A$177,'Player List'!$B$2:$C$177)</f>
        <v/>
      </c>
      <c r="C90" s="36" t="inlineStr">
        <is>
          <t>Back Row</t>
        </is>
      </c>
      <c r="D90" s="37" t="n">
        <v>80</v>
      </c>
      <c r="F90" s="37" t="n">
        <v>13</v>
      </c>
      <c r="G90" s="37" t="n">
        <v>7</v>
      </c>
      <c r="H90" s="37" t="n">
        <v>0</v>
      </c>
      <c r="I90" s="37" t="n">
        <v>4</v>
      </c>
      <c r="J90" s="37" t="n">
        <v>0</v>
      </c>
      <c r="K90" s="37" t="n">
        <v>0</v>
      </c>
      <c r="L90" s="37" t="n">
        <v>0</v>
      </c>
      <c r="M90" s="37" t="n">
        <v>0</v>
      </c>
      <c r="N90" s="37" t="n">
        <v>0</v>
      </c>
      <c r="O90" s="37" t="n">
        <v>0</v>
      </c>
      <c r="P90" s="37" t="n">
        <v>0</v>
      </c>
      <c r="Q90" s="37" t="n">
        <v>0</v>
      </c>
      <c r="R90" s="37" t="n">
        <v>0</v>
      </c>
      <c r="S90" s="37" t="n">
        <v>0</v>
      </c>
      <c r="T90" s="38" t="n">
        <v>24</v>
      </c>
      <c r="U90" s="37" t="n">
        <v>0</v>
      </c>
      <c r="V90" s="36" t="n">
        <v>0</v>
      </c>
      <c r="W90" s="52" t="n">
        <v>24</v>
      </c>
    </row>
    <row r="91" ht="16" customHeight="1" thickBot="1">
      <c r="A91" s="77" t="inlineStr">
        <is>
          <t>A. Beard</t>
        </is>
      </c>
      <c r="B91" s="36">
        <f t="array" ref="B91:C91">_xlfn.XLOOKUP(A91,'Player List'!$A$2:$A$177,'Player List'!$B$2:$C$177)</f>
        <v/>
      </c>
      <c r="C91" s="36" t="inlineStr">
        <is>
          <t>Second Row</t>
        </is>
      </c>
      <c r="D91" s="37" t="n">
        <v>80</v>
      </c>
      <c r="F91" s="37" t="n">
        <v>7</v>
      </c>
      <c r="G91" s="37" t="n">
        <v>0</v>
      </c>
      <c r="H91" s="37" t="n">
        <v>0</v>
      </c>
      <c r="I91" s="37" t="n">
        <v>4.4</v>
      </c>
      <c r="J91" s="37" t="n">
        <v>0</v>
      </c>
      <c r="K91" s="37" t="n">
        <v>0</v>
      </c>
      <c r="L91" s="37" t="n">
        <v>0</v>
      </c>
      <c r="M91" s="37" t="n">
        <v>0</v>
      </c>
      <c r="N91" s="37" t="n">
        <v>0</v>
      </c>
      <c r="O91" s="37" t="n">
        <v>0</v>
      </c>
      <c r="P91" s="37" t="n">
        <v>0</v>
      </c>
      <c r="Q91" s="37" t="n">
        <v>0</v>
      </c>
      <c r="R91" s="37" t="n">
        <v>0</v>
      </c>
      <c r="S91" s="37" t="n">
        <v>0</v>
      </c>
      <c r="T91" s="38" t="n">
        <v>11.4</v>
      </c>
      <c r="U91" s="37" t="n">
        <v>0</v>
      </c>
      <c r="V91" s="36" t="n">
        <v>0</v>
      </c>
      <c r="W91" s="52" t="n">
        <v>11.4</v>
      </c>
    </row>
    <row r="92" ht="16" customHeight="1" thickBot="1">
      <c r="A92" s="76" t="inlineStr">
        <is>
          <t>R. Davies</t>
        </is>
      </c>
      <c r="B92" s="36">
        <f t="array" ref="B92:C92">_xlfn.XLOOKUP(A92,'Player List'!$A$2:$A$177,'Player List'!$B$2:$C$177)</f>
        <v/>
      </c>
      <c r="C92" s="36" t="inlineStr">
        <is>
          <t>Second Row</t>
        </is>
      </c>
      <c r="D92" s="37" t="n">
        <v>14</v>
      </c>
      <c r="F92" s="37" t="n">
        <v>1</v>
      </c>
      <c r="G92" s="37" t="n">
        <v>0</v>
      </c>
      <c r="H92" s="37" t="n">
        <v>0</v>
      </c>
      <c r="I92" s="37" t="n">
        <v>0.2</v>
      </c>
      <c r="J92" s="37" t="n">
        <v>0</v>
      </c>
      <c r="K92" s="37" t="n">
        <v>0</v>
      </c>
      <c r="L92" s="37" t="n">
        <v>0</v>
      </c>
      <c r="M92" s="37" t="n">
        <v>0</v>
      </c>
      <c r="N92" s="37" t="n">
        <v>0</v>
      </c>
      <c r="O92" s="37" t="n">
        <v>0</v>
      </c>
      <c r="P92" s="37" t="n">
        <v>0</v>
      </c>
      <c r="Q92" s="37" t="n">
        <v>0</v>
      </c>
      <c r="R92" s="37" t="n">
        <v>0</v>
      </c>
      <c r="S92" s="37" t="n">
        <v>0</v>
      </c>
      <c r="T92" s="38" t="n">
        <v>1.2</v>
      </c>
      <c r="U92" s="37" t="n">
        <v>0</v>
      </c>
      <c r="V92" s="36" t="n">
        <v>0</v>
      </c>
      <c r="W92" s="52" t="n">
        <v>1.2</v>
      </c>
    </row>
    <row r="93" ht="16" customHeight="1" thickBot="1">
      <c r="A93" s="77" t="inlineStr">
        <is>
          <t>D. Jenkins</t>
        </is>
      </c>
      <c r="B93" s="36">
        <f t="array" ref="B93:C93">_xlfn.XLOOKUP(A93,'Player List'!$A$2:$A$177,'Player List'!$B$2:$C$177)</f>
        <v/>
      </c>
      <c r="C93" s="36" t="inlineStr">
        <is>
          <t>Second Row</t>
        </is>
      </c>
      <c r="D93" s="37" t="n">
        <v>66</v>
      </c>
      <c r="F93" s="37" t="n">
        <v>8</v>
      </c>
      <c r="G93" s="37" t="n">
        <v>0</v>
      </c>
      <c r="H93" s="37" t="n">
        <v>0</v>
      </c>
      <c r="I93" s="37" t="n">
        <v>6</v>
      </c>
      <c r="J93" s="37" t="n">
        <v>0</v>
      </c>
      <c r="K93" s="37" t="n">
        <v>0</v>
      </c>
      <c r="L93" s="37" t="n">
        <v>0</v>
      </c>
      <c r="M93" s="37" t="n">
        <v>0</v>
      </c>
      <c r="N93" s="37" t="n">
        <v>0</v>
      </c>
      <c r="O93" s="37" t="n">
        <v>0</v>
      </c>
      <c r="P93" s="37" t="n">
        <v>0</v>
      </c>
      <c r="Q93" s="37" t="n">
        <v>0</v>
      </c>
      <c r="R93" s="37" t="n">
        <v>0</v>
      </c>
      <c r="S93" s="37" t="n">
        <v>0</v>
      </c>
      <c r="T93" s="38" t="n">
        <v>14</v>
      </c>
      <c r="U93" s="37" t="n">
        <v>0</v>
      </c>
      <c r="V93" s="36" t="n">
        <v>0</v>
      </c>
      <c r="W93" s="52" t="n">
        <v>14</v>
      </c>
    </row>
    <row r="94" ht="16" customHeight="1" thickBot="1">
      <c r="A94" s="76" t="inlineStr">
        <is>
          <t>C. Tshiunza</t>
        </is>
      </c>
      <c r="B94" s="36">
        <f t="array" ref="B94:C94">_xlfn.XLOOKUP(A94,'Player List'!$A$2:$A$177,'Player List'!$B$2:$C$177)</f>
        <v/>
      </c>
      <c r="C94" s="36" t="inlineStr">
        <is>
          <t>Second Row</t>
        </is>
      </c>
      <c r="D94" s="37" t="n">
        <v>80</v>
      </c>
      <c r="F94" s="37" t="n">
        <v>7</v>
      </c>
      <c r="G94" s="37" t="n">
        <v>0</v>
      </c>
      <c r="H94" s="37" t="n">
        <v>0</v>
      </c>
      <c r="I94" s="37" t="n">
        <v>10</v>
      </c>
      <c r="J94" s="37" t="n">
        <v>0</v>
      </c>
      <c r="K94" s="37" t="n">
        <v>7</v>
      </c>
      <c r="L94" s="37" t="n">
        <v>0</v>
      </c>
      <c r="M94" s="37" t="n">
        <v>0</v>
      </c>
      <c r="N94" s="37" t="n">
        <v>0</v>
      </c>
      <c r="O94" s="37" t="n">
        <v>0</v>
      </c>
      <c r="P94" s="37" t="n">
        <v>0</v>
      </c>
      <c r="Q94" s="37" t="n">
        <v>0</v>
      </c>
      <c r="R94" s="37" t="n">
        <v>0</v>
      </c>
      <c r="S94" s="37" t="n">
        <v>0</v>
      </c>
      <c r="T94" s="38" t="n">
        <v>24</v>
      </c>
      <c r="U94" s="37" t="n">
        <v>0</v>
      </c>
      <c r="V94" s="36" t="n">
        <v>0</v>
      </c>
      <c r="W94" s="52" t="n">
        <v>24</v>
      </c>
    </row>
    <row r="95" ht="16" customHeight="1" thickBot="1">
      <c r="A95" s="77" t="inlineStr">
        <is>
          <t>L. Brown</t>
        </is>
      </c>
      <c r="B95" s="36">
        <f t="array" ref="B95:C95">_xlfn.XLOOKUP(A95,'Player List'!$A$2:$A$177,'Player List'!$B$2:$C$177)</f>
        <v/>
      </c>
      <c r="C95" s="36" t="inlineStr">
        <is>
          <t>Prop</t>
        </is>
      </c>
      <c r="D95" s="37" t="n">
        <v>16</v>
      </c>
      <c r="F95" s="37" t="n">
        <v>1</v>
      </c>
      <c r="G95" s="37" t="n">
        <v>7</v>
      </c>
      <c r="H95" s="37" t="n">
        <v>0</v>
      </c>
      <c r="I95" s="37" t="n">
        <v>1.6</v>
      </c>
      <c r="J95" s="37" t="n">
        <v>0</v>
      </c>
      <c r="K95" s="37" t="n">
        <v>0</v>
      </c>
      <c r="L95" s="37" t="n">
        <v>0</v>
      </c>
      <c r="M95" s="37" t="n">
        <v>0</v>
      </c>
      <c r="N95" s="37" t="n">
        <v>0</v>
      </c>
      <c r="O95" s="37" t="n">
        <v>0</v>
      </c>
      <c r="P95" s="37" t="n">
        <v>0</v>
      </c>
      <c r="Q95" s="37" t="n">
        <v>0</v>
      </c>
      <c r="R95" s="37" t="n">
        <v>0</v>
      </c>
      <c r="S95" s="37" t="n">
        <v>0</v>
      </c>
      <c r="T95" s="38" t="n">
        <v>9.6</v>
      </c>
      <c r="U95" s="37" t="n">
        <v>0</v>
      </c>
      <c r="V95" s="36" t="n">
        <v>0</v>
      </c>
      <c r="W95" s="52" t="n">
        <v>9.6</v>
      </c>
    </row>
    <row r="96" ht="16" customHeight="1" thickBot="1">
      <c r="A96" s="76" t="inlineStr">
        <is>
          <t>R. Carre</t>
        </is>
      </c>
      <c r="B96" s="36">
        <f t="array" ref="B96:C96">_xlfn.XLOOKUP(A96,'Player List'!$A$2:$A$177,'Player List'!$B$2:$C$177)</f>
        <v/>
      </c>
      <c r="C96" s="36" t="inlineStr">
        <is>
          <t>Prop</t>
        </is>
      </c>
      <c r="D96" s="37" t="n">
        <v>28</v>
      </c>
      <c r="F96" s="37" t="n">
        <v>2</v>
      </c>
      <c r="G96" s="37" t="n">
        <v>0</v>
      </c>
      <c r="H96" s="37" t="n">
        <v>0</v>
      </c>
      <c r="I96" s="37" t="n">
        <v>4.6</v>
      </c>
      <c r="J96" s="37" t="n">
        <v>0</v>
      </c>
      <c r="K96" s="37" t="n">
        <v>0</v>
      </c>
      <c r="L96" s="37" t="n">
        <v>0</v>
      </c>
      <c r="M96" s="37" t="n">
        <v>0</v>
      </c>
      <c r="N96" s="37" t="n">
        <v>0</v>
      </c>
      <c r="O96" s="37" t="n">
        <v>0</v>
      </c>
      <c r="P96" s="37" t="n">
        <v>0</v>
      </c>
      <c r="Q96" s="37" t="n">
        <v>0</v>
      </c>
      <c r="R96" s="37" t="n">
        <v>0</v>
      </c>
      <c r="S96" s="37" t="n">
        <v>0</v>
      </c>
      <c r="T96" s="38" t="n">
        <v>6.6</v>
      </c>
      <c r="U96" s="37" t="n">
        <v>0</v>
      </c>
      <c r="V96" s="36" t="n">
        <v>0</v>
      </c>
      <c r="W96" s="52" t="n">
        <v>6.6</v>
      </c>
    </row>
    <row r="97" ht="16" customHeight="1" thickBot="1">
      <c r="A97" s="77" t="inlineStr">
        <is>
          <t>W. Jones</t>
        </is>
      </c>
      <c r="B97" s="36">
        <f t="array" ref="B97:C97">_xlfn.XLOOKUP(A97,'Player List'!$A$2:$A$177,'Player List'!$B$2:$C$177)</f>
        <v/>
      </c>
      <c r="C97" s="36" t="inlineStr">
        <is>
          <t>Prop</t>
        </is>
      </c>
      <c r="D97" s="37" t="n">
        <v>52</v>
      </c>
      <c r="F97" s="37" t="n">
        <v>4</v>
      </c>
      <c r="G97" s="37" t="n">
        <v>7</v>
      </c>
      <c r="H97" s="37" t="n">
        <v>0</v>
      </c>
      <c r="I97" s="37" t="n">
        <v>3.8</v>
      </c>
      <c r="J97" s="37" t="n">
        <v>0</v>
      </c>
      <c r="K97" s="37" t="n">
        <v>0</v>
      </c>
      <c r="L97" s="37" t="n">
        <v>0</v>
      </c>
      <c r="M97" s="37" t="n">
        <v>0</v>
      </c>
      <c r="N97" s="37" t="n">
        <v>0</v>
      </c>
      <c r="O97" s="37" t="n">
        <v>0</v>
      </c>
      <c r="P97" s="37" t="n">
        <v>0</v>
      </c>
      <c r="Q97" s="37" t="n">
        <v>0</v>
      </c>
      <c r="R97" s="37" t="n">
        <v>0</v>
      </c>
      <c r="S97" s="37" t="n">
        <v>0</v>
      </c>
      <c r="T97" s="38" t="n">
        <v>14.8</v>
      </c>
      <c r="U97" s="37" t="n">
        <v>0</v>
      </c>
      <c r="V97" s="36" t="n">
        <v>0</v>
      </c>
      <c r="W97" s="52" t="n">
        <v>14.8</v>
      </c>
    </row>
    <row r="98" ht="16" customHeight="1" thickBot="1">
      <c r="A98" s="76" t="inlineStr">
        <is>
          <t>D. Lewis</t>
        </is>
      </c>
      <c r="B98" s="36">
        <f t="array" ref="B98:C98">_xlfn.XLOOKUP(A98,'Player List'!$A$2:$A$177,'Player List'!$B$2:$C$177)</f>
        <v/>
      </c>
      <c r="C98" s="36" t="inlineStr">
        <is>
          <t>Prop</t>
        </is>
      </c>
      <c r="D98" s="37" t="n">
        <v>64</v>
      </c>
      <c r="F98" s="37" t="n">
        <v>8</v>
      </c>
      <c r="G98" s="37" t="n">
        <v>0</v>
      </c>
      <c r="H98" s="37" t="n">
        <v>0</v>
      </c>
      <c r="I98" s="37" t="n">
        <v>4.4</v>
      </c>
      <c r="J98" s="37" t="n">
        <v>0</v>
      </c>
      <c r="K98" s="37" t="n">
        <v>0</v>
      </c>
      <c r="L98" s="37" t="n">
        <v>0</v>
      </c>
      <c r="M98" s="37" t="n">
        <v>0</v>
      </c>
      <c r="N98" s="37" t="n">
        <v>0</v>
      </c>
      <c r="O98" s="37" t="n">
        <v>0</v>
      </c>
      <c r="P98" s="37" t="n">
        <v>0</v>
      </c>
      <c r="Q98" s="37" t="n">
        <v>0</v>
      </c>
      <c r="R98" s="37" t="n">
        <v>0</v>
      </c>
      <c r="S98" s="37" t="n">
        <v>0</v>
      </c>
      <c r="T98" s="38" t="n">
        <v>12.4</v>
      </c>
      <c r="U98" s="37" t="n">
        <v>0</v>
      </c>
      <c r="V98" s="36" t="n">
        <v>0</v>
      </c>
      <c r="W98" s="52" t="n">
        <v>12.4</v>
      </c>
    </row>
    <row r="99" ht="16" customHeight="1" thickBot="1">
      <c r="A99" s="77" t="inlineStr">
        <is>
          <t>S. Baldwin</t>
        </is>
      </c>
      <c r="B99" s="36">
        <f t="array" ref="B99:C99">_xlfn.XLOOKUP(A99,'Player List'!$A$2:$A$177,'Player List'!$B$2:$C$177)</f>
        <v/>
      </c>
      <c r="C99" s="36" t="inlineStr">
        <is>
          <t>Hooker</t>
        </is>
      </c>
      <c r="D99" s="37" t="n">
        <v>16</v>
      </c>
      <c r="F99" s="37" t="n">
        <v>4</v>
      </c>
      <c r="G99" s="37" t="n">
        <v>0</v>
      </c>
      <c r="H99" s="37" t="n">
        <v>0</v>
      </c>
      <c r="I99" s="37" t="n">
        <v>1.6</v>
      </c>
      <c r="J99" s="37" t="n">
        <v>0</v>
      </c>
      <c r="K99" s="37" t="n">
        <v>0</v>
      </c>
      <c r="L99" s="37" t="n">
        <v>0</v>
      </c>
      <c r="M99" s="37" t="n">
        <v>0</v>
      </c>
      <c r="N99" s="37" t="n">
        <v>0</v>
      </c>
      <c r="O99" s="37" t="n">
        <v>0</v>
      </c>
      <c r="P99" s="37" t="n">
        <v>0</v>
      </c>
      <c r="Q99" s="37" t="n">
        <v>0</v>
      </c>
      <c r="R99" s="37" t="n">
        <v>0</v>
      </c>
      <c r="S99" s="37" t="n">
        <v>0</v>
      </c>
      <c r="T99" s="38" t="n">
        <v>5.6</v>
      </c>
      <c r="U99" s="37" t="n">
        <v>0</v>
      </c>
      <c r="V99" s="36" t="n">
        <v>0</v>
      </c>
      <c r="W99" s="52" t="n">
        <v>5.6</v>
      </c>
    </row>
    <row r="100" ht="16" customHeight="1" thickBot="1">
      <c r="A100" s="76" t="inlineStr">
        <is>
          <t>K. Owens</t>
        </is>
      </c>
      <c r="B100" s="36">
        <f t="array" ref="B100:C100">_xlfn.XLOOKUP(A100,'Player List'!$A$2:$A$177,'Player List'!$B$2:$C$177)</f>
        <v/>
      </c>
      <c r="C100" s="36" t="inlineStr">
        <is>
          <t>Hooker</t>
        </is>
      </c>
      <c r="D100" s="37" t="n">
        <v>64</v>
      </c>
      <c r="F100" s="37" t="n">
        <v>9</v>
      </c>
      <c r="G100" s="37" t="n">
        <v>7</v>
      </c>
      <c r="H100" s="37" t="n">
        <v>0</v>
      </c>
      <c r="I100" s="37" t="n">
        <v>7</v>
      </c>
      <c r="J100" s="37" t="n">
        <v>0</v>
      </c>
      <c r="K100" s="37" t="n">
        <v>0</v>
      </c>
      <c r="L100" s="37" t="n">
        <v>0</v>
      </c>
      <c r="M100" s="37" t="n">
        <v>15</v>
      </c>
      <c r="N100" s="37" t="n">
        <v>0</v>
      </c>
      <c r="O100" s="37" t="n">
        <v>0</v>
      </c>
      <c r="P100" s="37" t="n">
        <v>0</v>
      </c>
      <c r="Q100" s="37" t="n">
        <v>0</v>
      </c>
      <c r="R100" s="37" t="n">
        <v>0</v>
      </c>
      <c r="S100" s="37" t="n">
        <v>0</v>
      </c>
      <c r="T100" s="38" t="n">
        <v>38</v>
      </c>
      <c r="U100" s="37" t="n">
        <v>0</v>
      </c>
      <c r="V100" s="36" t="n">
        <v>0</v>
      </c>
      <c r="W100" s="52" t="n">
        <v>38</v>
      </c>
    </row>
    <row r="101" ht="16" customHeight="1" thickBot="1">
      <c r="A101" s="76" t="inlineStr">
        <is>
          <t>H. Arundell</t>
        </is>
      </c>
      <c r="B101" s="36">
        <f t="array" ref="B101:C101">_xlfn.XLOOKUP(A101,'Player List'!$A$2:$A$177,'Player List'!$B$2:$C$177)</f>
        <v/>
      </c>
      <c r="C101" s="36" t="inlineStr">
        <is>
          <t>Back Three</t>
        </is>
      </c>
      <c r="D101" s="37" t="n">
        <v>26</v>
      </c>
      <c r="F101" s="37" t="n">
        <v>1</v>
      </c>
      <c r="G101" s="37" t="n">
        <v>0</v>
      </c>
      <c r="H101" s="37" t="n">
        <v>0</v>
      </c>
      <c r="I101" s="37" t="n">
        <v>2.4</v>
      </c>
      <c r="J101" s="37" t="n">
        <v>0</v>
      </c>
      <c r="K101" s="37" t="n">
        <v>0</v>
      </c>
      <c r="L101" s="37" t="n">
        <v>0</v>
      </c>
      <c r="M101" s="37" t="n">
        <v>15</v>
      </c>
      <c r="N101" s="37" t="n">
        <v>0</v>
      </c>
      <c r="O101" s="37" t="n">
        <v>0</v>
      </c>
      <c r="P101" s="37" t="n">
        <v>0</v>
      </c>
      <c r="Q101" s="37" t="n">
        <v>0</v>
      </c>
      <c r="R101" s="37" t="n">
        <v>0</v>
      </c>
      <c r="S101" s="37" t="n">
        <v>0</v>
      </c>
      <c r="T101" s="38" t="n">
        <v>18.4</v>
      </c>
      <c r="U101" s="37" t="n">
        <v>0</v>
      </c>
      <c r="V101" s="36" t="n">
        <v>0</v>
      </c>
      <c r="W101" s="52" t="n">
        <v>18.4</v>
      </c>
    </row>
    <row r="102" ht="16" customHeight="1" thickBot="1">
      <c r="A102" s="77" t="inlineStr">
        <is>
          <t>O. Hassell-Collins</t>
        </is>
      </c>
      <c r="B102" s="36">
        <f t="array" ref="B102:C102">_xlfn.XLOOKUP(A102,'Player List'!$A$2:$A$177,'Player List'!$B$2:$C$177)</f>
        <v/>
      </c>
      <c r="C102" s="36" t="inlineStr">
        <is>
          <t>Back Three</t>
        </is>
      </c>
      <c r="D102" s="37" t="n">
        <v>54</v>
      </c>
      <c r="F102" s="37" t="n">
        <v>4</v>
      </c>
      <c r="G102" s="37" t="n">
        <v>0</v>
      </c>
      <c r="H102" s="37" t="n">
        <v>0</v>
      </c>
      <c r="I102" s="37" t="n">
        <v>3.4</v>
      </c>
      <c r="J102" s="37" t="n">
        <v>0</v>
      </c>
      <c r="K102" s="37" t="n">
        <v>0</v>
      </c>
      <c r="L102" s="37" t="n">
        <v>0</v>
      </c>
      <c r="M102" s="37" t="n">
        <v>0</v>
      </c>
      <c r="N102" s="37" t="n">
        <v>0</v>
      </c>
      <c r="O102" s="37" t="n">
        <v>0</v>
      </c>
      <c r="P102" s="37" t="n">
        <v>0</v>
      </c>
      <c r="Q102" s="37" t="n">
        <v>0</v>
      </c>
      <c r="R102" s="37" t="n">
        <v>0</v>
      </c>
      <c r="S102" s="37" t="n">
        <v>0</v>
      </c>
      <c r="T102" s="38" t="n">
        <v>7.4</v>
      </c>
      <c r="U102" s="37" t="n">
        <v>0</v>
      </c>
      <c r="V102" s="36" t="n">
        <v>0</v>
      </c>
      <c r="W102" s="52" t="n">
        <v>7.4</v>
      </c>
    </row>
    <row r="103" ht="16" customHeight="1" thickBot="1">
      <c r="A103" s="76" t="inlineStr">
        <is>
          <t>M. Malins</t>
        </is>
      </c>
      <c r="B103" s="36">
        <f t="array" ref="B103:C103">_xlfn.XLOOKUP(A103,'Player List'!$A$2:$A$177,'Player List'!$B$2:$C$177)</f>
        <v/>
      </c>
      <c r="C103" s="36" t="inlineStr">
        <is>
          <t>Back Three</t>
        </is>
      </c>
      <c r="D103" s="37" t="n">
        <v>80</v>
      </c>
      <c r="F103" s="37" t="n">
        <v>8</v>
      </c>
      <c r="G103" s="37" t="n">
        <v>0</v>
      </c>
      <c r="H103" s="37" t="n">
        <v>7</v>
      </c>
      <c r="I103" s="37" t="n">
        <v>11.6</v>
      </c>
      <c r="J103" s="37" t="n">
        <v>0</v>
      </c>
      <c r="K103" s="37" t="n">
        <v>0</v>
      </c>
      <c r="L103" s="37" t="n">
        <v>0</v>
      </c>
      <c r="M103" s="37" t="n">
        <v>0</v>
      </c>
      <c r="N103" s="37" t="n">
        <v>0</v>
      </c>
      <c r="O103" s="37" t="n">
        <v>0</v>
      </c>
      <c r="P103" s="37" t="n">
        <v>0</v>
      </c>
      <c r="Q103" s="37" t="n">
        <v>0</v>
      </c>
      <c r="R103" s="37" t="n">
        <v>0</v>
      </c>
      <c r="S103" s="37" t="n">
        <v>0</v>
      </c>
      <c r="T103" s="38" t="n">
        <v>26.6</v>
      </c>
      <c r="U103" s="37" t="n">
        <v>0</v>
      </c>
      <c r="V103" s="36" t="n">
        <v>0</v>
      </c>
      <c r="W103" s="52" t="n">
        <v>26.6</v>
      </c>
    </row>
    <row r="104" ht="16" customHeight="1" thickBot="1">
      <c r="A104" s="77" t="inlineStr">
        <is>
          <t>F. Steward</t>
        </is>
      </c>
      <c r="B104" s="36">
        <f t="array" ref="B104:C104">_xlfn.XLOOKUP(A104,'Player List'!$A$2:$A$177,'Player List'!$B$2:$C$177)</f>
        <v/>
      </c>
      <c r="C104" s="36" t="inlineStr">
        <is>
          <t>Back Three</t>
        </is>
      </c>
      <c r="D104" s="37" t="n">
        <v>80</v>
      </c>
      <c r="F104" s="37" t="n">
        <v>3</v>
      </c>
      <c r="G104" s="37" t="n">
        <v>0</v>
      </c>
      <c r="H104" s="37" t="n">
        <v>0</v>
      </c>
      <c r="I104" s="37" t="n">
        <v>8</v>
      </c>
      <c r="J104" s="37" t="n">
        <v>0</v>
      </c>
      <c r="K104" s="37" t="n">
        <v>0</v>
      </c>
      <c r="L104" s="37" t="n">
        <v>0</v>
      </c>
      <c r="M104" s="37" t="n">
        <v>0</v>
      </c>
      <c r="N104" s="37" t="n">
        <v>0</v>
      </c>
      <c r="O104" s="37" t="n">
        <v>0</v>
      </c>
      <c r="P104" s="37" t="n">
        <v>0</v>
      </c>
      <c r="Q104" s="37" t="n">
        <v>0</v>
      </c>
      <c r="R104" s="37" t="n">
        <v>0</v>
      </c>
      <c r="S104" s="37" t="n">
        <v>0</v>
      </c>
      <c r="T104" s="38" t="n">
        <v>11</v>
      </c>
      <c r="U104" s="37" t="n">
        <v>0</v>
      </c>
      <c r="V104" s="36" t="n">
        <v>0</v>
      </c>
      <c r="W104" s="52" t="n">
        <v>11</v>
      </c>
    </row>
    <row r="105" ht="16" customHeight="1" thickBot="1">
      <c r="A105" s="76" t="inlineStr">
        <is>
          <t>O. Farrell</t>
        </is>
      </c>
      <c r="B105" s="36">
        <f t="array" ref="B105:C105">_xlfn.XLOOKUP(A105,'Player List'!$A$2:$A$177,'Player List'!$B$2:$C$177)</f>
        <v/>
      </c>
      <c r="C105" s="36" t="inlineStr">
        <is>
          <t>Centre</t>
        </is>
      </c>
      <c r="D105" s="37" t="n">
        <v>80</v>
      </c>
      <c r="F105" s="37" t="n">
        <v>12</v>
      </c>
      <c r="G105" s="37" t="n">
        <v>0</v>
      </c>
      <c r="H105" s="37" t="n">
        <v>0</v>
      </c>
      <c r="I105" s="37" t="n">
        <v>3.8</v>
      </c>
      <c r="J105" s="37" t="n">
        <v>0</v>
      </c>
      <c r="K105" s="37" t="n">
        <v>0</v>
      </c>
      <c r="L105" s="37" t="n">
        <v>0</v>
      </c>
      <c r="M105" s="37" t="n">
        <v>0</v>
      </c>
      <c r="N105" s="37" t="n">
        <v>0</v>
      </c>
      <c r="O105" s="37" t="n">
        <v>4</v>
      </c>
      <c r="P105" s="37" t="n">
        <v>0</v>
      </c>
      <c r="Q105" s="37" t="n">
        <v>0</v>
      </c>
      <c r="R105" s="37" t="n">
        <v>0</v>
      </c>
      <c r="S105" s="37" t="n">
        <v>0</v>
      </c>
      <c r="T105" s="38" t="n">
        <v>19.8</v>
      </c>
      <c r="U105" s="37" t="n">
        <v>0</v>
      </c>
      <c r="V105" s="36" t="n">
        <v>0</v>
      </c>
      <c r="W105" s="52" t="n">
        <v>19.8</v>
      </c>
    </row>
    <row r="106" ht="16" customHeight="1" thickBot="1">
      <c r="A106" s="77" t="inlineStr">
        <is>
          <t>O. Lawrence</t>
        </is>
      </c>
      <c r="B106" s="36">
        <f t="array" ref="B106:C106">_xlfn.XLOOKUP(A106,'Player List'!$A$2:$A$177,'Player List'!$B$2:$C$177)</f>
        <v/>
      </c>
      <c r="C106" s="36" t="inlineStr">
        <is>
          <t>Centre</t>
        </is>
      </c>
      <c r="D106" s="37" t="n">
        <v>80</v>
      </c>
      <c r="F106" s="37" t="n">
        <v>8</v>
      </c>
      <c r="G106" s="37" t="n">
        <v>0</v>
      </c>
      <c r="H106" s="37" t="n">
        <v>7</v>
      </c>
      <c r="I106" s="37" t="n">
        <v>16.6</v>
      </c>
      <c r="J106" s="37" t="n">
        <v>0</v>
      </c>
      <c r="K106" s="37" t="n">
        <v>0</v>
      </c>
      <c r="L106" s="37" t="n">
        <v>7</v>
      </c>
      <c r="M106" s="37" t="n">
        <v>0</v>
      </c>
      <c r="N106" s="37" t="n">
        <v>0</v>
      </c>
      <c r="O106" s="37" t="n">
        <v>0</v>
      </c>
      <c r="P106" s="37" t="n">
        <v>0</v>
      </c>
      <c r="Q106" s="37" t="n">
        <v>0</v>
      </c>
      <c r="R106" s="37" t="n">
        <v>0</v>
      </c>
      <c r="S106" s="37" t="n">
        <v>0</v>
      </c>
      <c r="T106" s="38" t="n">
        <v>38.6</v>
      </c>
      <c r="U106" s="37" t="n">
        <v>15</v>
      </c>
      <c r="V106" s="36" t="n">
        <v>0</v>
      </c>
      <c r="W106" s="52" t="n">
        <v>53.6</v>
      </c>
    </row>
    <row r="107" ht="16" customHeight="1" thickBot="1">
      <c r="A107" s="76" t="inlineStr">
        <is>
          <t>H. Slade</t>
        </is>
      </c>
      <c r="B107" s="36">
        <f t="array" ref="B107:C107">_xlfn.XLOOKUP(A107,'Player List'!$A$2:$A$177,'Player List'!$B$2:$C$177)</f>
        <v/>
      </c>
      <c r="C107" s="36" t="inlineStr">
        <is>
          <t>Centre</t>
        </is>
      </c>
      <c r="D107" s="37" t="n">
        <v>72</v>
      </c>
      <c r="F107" s="37" t="n">
        <v>4</v>
      </c>
      <c r="G107" s="37" t="n">
        <v>0</v>
      </c>
      <c r="H107" s="37" t="n">
        <v>0</v>
      </c>
      <c r="I107" s="37" t="n">
        <v>1.4</v>
      </c>
      <c r="J107" s="37" t="n">
        <v>0</v>
      </c>
      <c r="K107" s="37" t="n">
        <v>0</v>
      </c>
      <c r="L107" s="37" t="n">
        <v>0</v>
      </c>
      <c r="M107" s="37" t="n">
        <v>0</v>
      </c>
      <c r="N107" s="37" t="n">
        <v>0</v>
      </c>
      <c r="O107" s="37" t="n">
        <v>0</v>
      </c>
      <c r="P107" s="37" t="n">
        <v>0</v>
      </c>
      <c r="Q107" s="37" t="n">
        <v>0</v>
      </c>
      <c r="R107" s="37" t="n">
        <v>0</v>
      </c>
      <c r="S107" s="37" t="n">
        <v>0</v>
      </c>
      <c r="T107" s="38" t="n">
        <v>5.4</v>
      </c>
      <c r="U107" s="37" t="n">
        <v>0</v>
      </c>
      <c r="V107" s="36" t="n">
        <v>0</v>
      </c>
      <c r="W107" s="52" t="n">
        <v>5.4</v>
      </c>
    </row>
    <row r="108" ht="16" customHeight="1" thickBot="1">
      <c r="A108" s="77" t="inlineStr">
        <is>
          <t>M. Smith</t>
        </is>
      </c>
      <c r="B108" s="36">
        <f t="array" ref="B108:C108">_xlfn.XLOOKUP(A108,'Player List'!$A$2:$A$177,'Player List'!$B$2:$C$177)</f>
        <v/>
      </c>
      <c r="C108" s="36" t="inlineStr">
        <is>
          <t>Fly Half</t>
        </is>
      </c>
      <c r="D108" s="37" t="n">
        <v>8</v>
      </c>
      <c r="F108" s="37" t="n">
        <v>4</v>
      </c>
      <c r="G108" s="37" t="n">
        <v>0</v>
      </c>
      <c r="H108" s="37" t="n">
        <v>0</v>
      </c>
      <c r="I108" s="37" t="n">
        <v>0</v>
      </c>
      <c r="J108" s="37" t="n">
        <v>0</v>
      </c>
      <c r="K108" s="37" t="n">
        <v>0</v>
      </c>
      <c r="L108" s="37" t="n">
        <v>0</v>
      </c>
      <c r="M108" s="37" t="n">
        <v>0</v>
      </c>
      <c r="N108" s="37" t="n">
        <v>0</v>
      </c>
      <c r="O108" s="37" t="n">
        <v>0</v>
      </c>
      <c r="P108" s="37" t="n">
        <v>0</v>
      </c>
      <c r="Q108" s="37" t="n">
        <v>0</v>
      </c>
      <c r="R108" s="37" t="n">
        <v>0</v>
      </c>
      <c r="S108" s="37" t="n">
        <v>0</v>
      </c>
      <c r="T108" s="38" t="n">
        <v>4</v>
      </c>
      <c r="U108" s="37" t="n">
        <v>0</v>
      </c>
      <c r="V108" s="36" t="n">
        <v>0</v>
      </c>
      <c r="W108" s="52" t="n">
        <v>4</v>
      </c>
    </row>
    <row r="109" ht="16" customHeight="1" thickBot="1">
      <c r="A109" s="76" t="inlineStr">
        <is>
          <t>A. Mitchell</t>
        </is>
      </c>
      <c r="B109" s="36">
        <f t="array" ref="B109:C109">_xlfn.XLOOKUP(A109,'Player List'!$A$2:$A$177,'Player List'!$B$2:$C$177)</f>
        <v/>
      </c>
      <c r="C109" s="36" t="inlineStr">
        <is>
          <t>Scrum Half</t>
        </is>
      </c>
      <c r="D109" s="37" t="n">
        <v>20</v>
      </c>
      <c r="F109" s="37" t="n">
        <v>5</v>
      </c>
      <c r="G109" s="37" t="n">
        <v>0</v>
      </c>
      <c r="H109" s="37" t="n">
        <v>0</v>
      </c>
      <c r="I109" s="37" t="n">
        <v>0.2</v>
      </c>
      <c r="J109" s="37" t="n">
        <v>0</v>
      </c>
      <c r="K109" s="37" t="n">
        <v>0</v>
      </c>
      <c r="L109" s="37" t="n">
        <v>0</v>
      </c>
      <c r="M109" s="37" t="n">
        <v>0</v>
      </c>
      <c r="N109" s="37" t="n">
        <v>7</v>
      </c>
      <c r="O109" s="37" t="n">
        <v>0</v>
      </c>
      <c r="P109" s="37" t="n">
        <v>0</v>
      </c>
      <c r="Q109" s="37" t="n">
        <v>0</v>
      </c>
      <c r="R109" s="37" t="n">
        <v>0</v>
      </c>
      <c r="S109" s="37" t="n">
        <v>0</v>
      </c>
      <c r="T109" s="38" t="n">
        <v>12.2</v>
      </c>
      <c r="U109" s="37" t="n">
        <v>0</v>
      </c>
      <c r="V109" s="36" t="n">
        <v>0</v>
      </c>
      <c r="W109" s="52" t="n">
        <v>12.2</v>
      </c>
    </row>
    <row r="110" ht="16" customHeight="1" thickBot="1">
      <c r="A110" s="77" t="inlineStr">
        <is>
          <t>J. van Poortvliet</t>
        </is>
      </c>
      <c r="B110" s="36">
        <f t="array" ref="B110:C110">_xlfn.XLOOKUP(A110,'Player List'!$A$2:$A$177,'Player List'!$B$2:$C$177)</f>
        <v/>
      </c>
      <c r="C110" s="36" t="inlineStr">
        <is>
          <t>Scrum Half</t>
        </is>
      </c>
      <c r="D110" s="37" t="n">
        <v>60</v>
      </c>
      <c r="F110" s="37" t="n">
        <v>1</v>
      </c>
      <c r="G110" s="37" t="n">
        <v>0</v>
      </c>
      <c r="H110" s="37" t="n">
        <v>7</v>
      </c>
      <c r="I110" s="37" t="n">
        <v>7.8</v>
      </c>
      <c r="J110" s="37" t="n">
        <v>0</v>
      </c>
      <c r="K110" s="37" t="n">
        <v>0</v>
      </c>
      <c r="L110" s="37" t="n">
        <v>0</v>
      </c>
      <c r="M110" s="37" t="n">
        <v>0</v>
      </c>
      <c r="N110" s="37" t="n">
        <v>0</v>
      </c>
      <c r="O110" s="37" t="n">
        <v>0</v>
      </c>
      <c r="P110" s="37" t="n">
        <v>0</v>
      </c>
      <c r="Q110" s="37" t="n">
        <v>0</v>
      </c>
      <c r="R110" s="37" t="n">
        <v>0</v>
      </c>
      <c r="S110" s="37" t="n">
        <v>0</v>
      </c>
      <c r="T110" s="38" t="n">
        <v>15.8</v>
      </c>
      <c r="U110" s="37" t="n">
        <v>0</v>
      </c>
      <c r="V110" s="36" t="n">
        <v>0</v>
      </c>
      <c r="W110" s="52" t="n">
        <v>15.8</v>
      </c>
    </row>
    <row r="111" ht="16" customHeight="1" thickBot="1">
      <c r="A111" s="76" t="inlineStr">
        <is>
          <t>A. Dombrandt</t>
        </is>
      </c>
      <c r="B111" s="36">
        <f t="array" ref="B111:C111">_xlfn.XLOOKUP(A111,'Player List'!$A$2:$A$177,'Player List'!$B$2:$C$177)</f>
        <v/>
      </c>
      <c r="C111" s="36" t="inlineStr">
        <is>
          <t>Back Row</t>
        </is>
      </c>
      <c r="D111" s="37" t="n">
        <v>65</v>
      </c>
      <c r="F111" s="37" t="n">
        <v>9</v>
      </c>
      <c r="G111" s="37" t="n">
        <v>0</v>
      </c>
      <c r="H111" s="37" t="n">
        <v>0</v>
      </c>
      <c r="I111" s="37" t="n">
        <v>14</v>
      </c>
      <c r="J111" s="37" t="n">
        <v>0</v>
      </c>
      <c r="K111" s="37" t="n">
        <v>0</v>
      </c>
      <c r="L111" s="37" t="n">
        <v>14</v>
      </c>
      <c r="M111" s="37" t="n">
        <v>0</v>
      </c>
      <c r="N111" s="37" t="n">
        <v>0</v>
      </c>
      <c r="O111" s="37" t="n">
        <v>0</v>
      </c>
      <c r="P111" s="37" t="n">
        <v>0</v>
      </c>
      <c r="Q111" s="37" t="n">
        <v>0</v>
      </c>
      <c r="R111" s="37" t="n">
        <v>0</v>
      </c>
      <c r="S111" s="37" t="n">
        <v>0</v>
      </c>
      <c r="T111" s="38" t="n">
        <v>37</v>
      </c>
      <c r="U111" s="37" t="n">
        <v>0</v>
      </c>
      <c r="V111" s="36" t="n">
        <v>0</v>
      </c>
      <c r="W111" s="52" t="n">
        <v>37</v>
      </c>
    </row>
    <row r="112" ht="16" customHeight="1" thickBot="1">
      <c r="A112" s="77" t="inlineStr">
        <is>
          <t>B. Earl</t>
        </is>
      </c>
      <c r="B112" s="36">
        <f t="array" ref="B112:C112">_xlfn.XLOOKUP(A112,'Player List'!$A$2:$A$177,'Player List'!$B$2:$C$177)</f>
        <v/>
      </c>
      <c r="C112" s="36" t="inlineStr">
        <is>
          <t>Back Row</t>
        </is>
      </c>
      <c r="D112" s="37" t="n">
        <v>27</v>
      </c>
      <c r="F112" s="37" t="n">
        <v>6</v>
      </c>
      <c r="G112" s="37" t="n">
        <v>0</v>
      </c>
      <c r="H112" s="37" t="n">
        <v>0</v>
      </c>
      <c r="I112" s="37" t="n">
        <v>2</v>
      </c>
      <c r="J112" s="37" t="n">
        <v>0</v>
      </c>
      <c r="K112" s="37" t="n">
        <v>0</v>
      </c>
      <c r="L112" s="37" t="n">
        <v>0</v>
      </c>
      <c r="M112" s="37" t="n">
        <v>0</v>
      </c>
      <c r="N112" s="37" t="n">
        <v>0</v>
      </c>
      <c r="O112" s="37" t="n">
        <v>0</v>
      </c>
      <c r="P112" s="37" t="n">
        <v>0</v>
      </c>
      <c r="Q112" s="37" t="n">
        <v>0</v>
      </c>
      <c r="R112" s="37" t="n">
        <v>0</v>
      </c>
      <c r="S112" s="37" t="n">
        <v>0</v>
      </c>
      <c r="T112" s="38" t="n">
        <v>8</v>
      </c>
      <c r="U112" s="37" t="n">
        <v>0</v>
      </c>
      <c r="V112" s="36" t="n">
        <v>0</v>
      </c>
      <c r="W112" s="52" t="n">
        <v>8</v>
      </c>
    </row>
    <row r="113" ht="16" customHeight="1" thickBot="1">
      <c r="A113" s="76" t="inlineStr">
        <is>
          <t>L. Ludlam</t>
        </is>
      </c>
      <c r="B113" s="36">
        <f t="array" ref="B113:C113">_xlfn.XLOOKUP(A113,'Player List'!$A$2:$A$177,'Player List'!$B$2:$C$177)</f>
        <v/>
      </c>
      <c r="C113" s="36" t="inlineStr">
        <is>
          <t>Back Row</t>
        </is>
      </c>
      <c r="D113" s="37" t="n">
        <v>80</v>
      </c>
      <c r="F113" s="37" t="n">
        <v>19</v>
      </c>
      <c r="G113" s="37" t="n">
        <v>21</v>
      </c>
      <c r="H113" s="37" t="n">
        <v>0</v>
      </c>
      <c r="I113" s="37" t="n">
        <v>5</v>
      </c>
      <c r="J113" s="37" t="n">
        <v>0</v>
      </c>
      <c r="K113" s="37" t="n">
        <v>0</v>
      </c>
      <c r="L113" s="37" t="n">
        <v>7</v>
      </c>
      <c r="M113" s="37" t="n">
        <v>0</v>
      </c>
      <c r="N113" s="37" t="n">
        <v>0</v>
      </c>
      <c r="O113" s="37" t="n">
        <v>0</v>
      </c>
      <c r="P113" s="37" t="n">
        <v>0</v>
      </c>
      <c r="Q113" s="37" t="n">
        <v>0</v>
      </c>
      <c r="R113" s="37" t="n">
        <v>0</v>
      </c>
      <c r="S113" s="37" t="n">
        <v>0</v>
      </c>
      <c r="T113" s="38" t="n">
        <v>52</v>
      </c>
      <c r="U113" s="37" t="n">
        <v>0</v>
      </c>
      <c r="V113" s="36" t="n">
        <v>0</v>
      </c>
      <c r="W113" s="52" t="n">
        <v>52</v>
      </c>
    </row>
    <row r="114" ht="16" customHeight="1" thickBot="1">
      <c r="A114" s="77" t="inlineStr">
        <is>
          <t>J. Willis</t>
        </is>
      </c>
      <c r="B114" s="36">
        <f t="array" ref="B114:C114">_xlfn.XLOOKUP(A114,'Player List'!$A$2:$A$177,'Player List'!$B$2:$C$177)</f>
        <v/>
      </c>
      <c r="C114" s="36" t="inlineStr">
        <is>
          <t>Back Row</t>
        </is>
      </c>
      <c r="D114" s="37" t="n">
        <v>53</v>
      </c>
      <c r="F114" s="37" t="n">
        <v>20</v>
      </c>
      <c r="G114" s="37" t="n">
        <v>7</v>
      </c>
      <c r="H114" s="37" t="n">
        <v>7</v>
      </c>
      <c r="I114" s="37" t="n">
        <v>5.4</v>
      </c>
      <c r="J114" s="37" t="n">
        <v>0</v>
      </c>
      <c r="K114" s="37" t="n">
        <v>0</v>
      </c>
      <c r="L114" s="37" t="n">
        <v>7</v>
      </c>
      <c r="M114" s="37" t="n">
        <v>15</v>
      </c>
      <c r="N114" s="37" t="n">
        <v>0</v>
      </c>
      <c r="O114" s="37" t="n">
        <v>0</v>
      </c>
      <c r="P114" s="37" t="n">
        <v>0</v>
      </c>
      <c r="Q114" s="37" t="n">
        <v>0</v>
      </c>
      <c r="R114" s="37" t="n">
        <v>0</v>
      </c>
      <c r="S114" s="37" t="n">
        <v>0</v>
      </c>
      <c r="T114" s="38" t="n">
        <v>61.4</v>
      </c>
      <c r="U114" s="37" t="n">
        <v>0</v>
      </c>
      <c r="V114" s="36" t="n">
        <v>0</v>
      </c>
      <c r="W114" s="52" t="n">
        <v>61.4</v>
      </c>
    </row>
    <row r="115" ht="16" customHeight="1" thickBot="1">
      <c r="A115" s="76" t="inlineStr">
        <is>
          <t>O. Chessum</t>
        </is>
      </c>
      <c r="B115" s="36">
        <f t="array" ref="B115:C115">_xlfn.XLOOKUP(A115,'Player List'!$A$2:$A$177,'Player List'!$B$2:$C$177)</f>
        <v/>
      </c>
      <c r="C115" s="36" t="inlineStr">
        <is>
          <t>Second Row</t>
        </is>
      </c>
      <c r="D115" s="37" t="n">
        <v>80</v>
      </c>
      <c r="F115" s="37" t="n">
        <v>8</v>
      </c>
      <c r="G115" s="37" t="n">
        <v>7</v>
      </c>
      <c r="H115" s="37" t="n">
        <v>0</v>
      </c>
      <c r="I115" s="37" t="n">
        <v>7.4</v>
      </c>
      <c r="J115" s="37" t="n">
        <v>0</v>
      </c>
      <c r="K115" s="37" t="n">
        <v>0</v>
      </c>
      <c r="L115" s="37" t="n">
        <v>0</v>
      </c>
      <c r="M115" s="37" t="n">
        <v>15</v>
      </c>
      <c r="N115" s="37" t="n">
        <v>0</v>
      </c>
      <c r="O115" s="37" t="n">
        <v>0</v>
      </c>
      <c r="P115" s="37" t="n">
        <v>0</v>
      </c>
      <c r="Q115" s="37" t="n">
        <v>0</v>
      </c>
      <c r="R115" s="37" t="n">
        <v>0</v>
      </c>
      <c r="S115" s="37" t="n">
        <v>0</v>
      </c>
      <c r="T115" s="38" t="n">
        <v>37.4</v>
      </c>
      <c r="U115" s="37" t="n">
        <v>0</v>
      </c>
      <c r="V115" s="36" t="n">
        <v>0</v>
      </c>
      <c r="W115" s="52" t="n">
        <v>37.4</v>
      </c>
    </row>
    <row r="116" ht="16" customHeight="1" thickBot="1">
      <c r="A116" s="77" t="inlineStr">
        <is>
          <t>N. Isiekwe</t>
        </is>
      </c>
      <c r="B116" s="36">
        <f t="array" ref="B116:C116">_xlfn.XLOOKUP(A116,'Player List'!$A$2:$A$177,'Player List'!$B$2:$C$177)</f>
        <v/>
      </c>
      <c r="C116" s="36" t="inlineStr">
        <is>
          <t>Second Row</t>
        </is>
      </c>
      <c r="D116" s="37" t="n">
        <v>15</v>
      </c>
      <c r="F116" s="37" t="n">
        <v>3</v>
      </c>
      <c r="G116" s="37" t="n">
        <v>0</v>
      </c>
      <c r="H116" s="37" t="n">
        <v>0</v>
      </c>
      <c r="I116" s="37" t="n">
        <v>0</v>
      </c>
      <c r="J116" s="37" t="n">
        <v>0</v>
      </c>
      <c r="K116" s="37" t="n">
        <v>0</v>
      </c>
      <c r="L116" s="37" t="n">
        <v>0</v>
      </c>
      <c r="M116" s="37" t="n">
        <v>0</v>
      </c>
      <c r="N116" s="37" t="n">
        <v>0</v>
      </c>
      <c r="O116" s="37" t="n">
        <v>0</v>
      </c>
      <c r="P116" s="37" t="n">
        <v>0</v>
      </c>
      <c r="Q116" s="37" t="n">
        <v>0</v>
      </c>
      <c r="R116" s="37" t="n">
        <v>0</v>
      </c>
      <c r="S116" s="37" t="n">
        <v>0</v>
      </c>
      <c r="T116" s="38" t="n">
        <v>3</v>
      </c>
      <c r="U116" s="37" t="n">
        <v>0</v>
      </c>
      <c r="V116" s="36" t="n">
        <v>0</v>
      </c>
      <c r="W116" s="52" t="n">
        <v>3</v>
      </c>
    </row>
    <row r="117" ht="16" customHeight="1" thickBot="1">
      <c r="A117" s="76" t="inlineStr">
        <is>
          <t>M. Itoje</t>
        </is>
      </c>
      <c r="B117" s="36">
        <f t="array" ref="B117:C117">_xlfn.XLOOKUP(A117,'Player List'!$A$2:$A$177,'Player List'!$B$2:$C$177)</f>
        <v/>
      </c>
      <c r="C117" s="36" t="inlineStr">
        <is>
          <t>Second Row</t>
        </is>
      </c>
      <c r="D117" s="37" t="n">
        <v>80</v>
      </c>
      <c r="F117" s="37" t="n">
        <v>16</v>
      </c>
      <c r="G117" s="37" t="n">
        <v>7</v>
      </c>
      <c r="H117" s="37" t="n">
        <v>0</v>
      </c>
      <c r="I117" s="37" t="n">
        <v>4</v>
      </c>
      <c r="J117" s="37" t="n">
        <v>0</v>
      </c>
      <c r="K117" s="37" t="n">
        <v>0</v>
      </c>
      <c r="L117" s="37" t="n">
        <v>7</v>
      </c>
      <c r="M117" s="37" t="n">
        <v>0</v>
      </c>
      <c r="N117" s="37" t="n">
        <v>0</v>
      </c>
      <c r="O117" s="37" t="n">
        <v>0</v>
      </c>
      <c r="P117" s="37" t="n">
        <v>0</v>
      </c>
      <c r="Q117" s="37" t="n">
        <v>0</v>
      </c>
      <c r="R117" s="37" t="n">
        <v>0</v>
      </c>
      <c r="S117" s="37" t="n">
        <v>0</v>
      </c>
      <c r="T117" s="38" t="n">
        <v>34</v>
      </c>
      <c r="U117" s="37" t="n">
        <v>0</v>
      </c>
      <c r="V117" s="36" t="n">
        <v>0</v>
      </c>
      <c r="W117" s="52" t="n">
        <v>34</v>
      </c>
    </row>
    <row r="118" ht="16" customHeight="1" thickBot="1">
      <c r="A118" s="77" t="inlineStr">
        <is>
          <t>D. Cole</t>
        </is>
      </c>
      <c r="B118" s="36">
        <f t="array" ref="B118:C118">_xlfn.XLOOKUP(A118,'Player List'!$A$2:$A$177,'Player List'!$B$2:$C$177)</f>
        <v/>
      </c>
      <c r="C118" s="36" t="inlineStr">
        <is>
          <t>Prop</t>
        </is>
      </c>
      <c r="D118" s="37" t="n">
        <v>31</v>
      </c>
      <c r="F118" s="37" t="n">
        <v>2</v>
      </c>
      <c r="G118" s="37" t="n">
        <v>0</v>
      </c>
      <c r="H118" s="37" t="n">
        <v>0</v>
      </c>
      <c r="I118" s="37" t="n">
        <v>1.6</v>
      </c>
      <c r="J118" s="37" t="n">
        <v>0</v>
      </c>
      <c r="K118" s="37" t="n">
        <v>0</v>
      </c>
      <c r="L118" s="37" t="n">
        <v>0</v>
      </c>
      <c r="M118" s="37" t="n">
        <v>0</v>
      </c>
      <c r="N118" s="37" t="n">
        <v>0</v>
      </c>
      <c r="O118" s="37" t="n">
        <v>0</v>
      </c>
      <c r="P118" s="37" t="n">
        <v>0</v>
      </c>
      <c r="Q118" s="37" t="n">
        <v>0</v>
      </c>
      <c r="R118" s="37" t="n">
        <v>0</v>
      </c>
      <c r="S118" s="37" t="n">
        <v>0</v>
      </c>
      <c r="T118" s="38" t="n">
        <v>3.6</v>
      </c>
      <c r="U118" s="37" t="n">
        <v>0</v>
      </c>
      <c r="V118" s="36" t="n">
        <v>0</v>
      </c>
      <c r="W118" s="52" t="n">
        <v>3.6</v>
      </c>
    </row>
    <row r="119" ht="16" customHeight="1" thickBot="1">
      <c r="A119" s="76" t="inlineStr">
        <is>
          <t>E. Genge</t>
        </is>
      </c>
      <c r="B119" s="36">
        <f t="array" ref="B119:C119">_xlfn.XLOOKUP(A119,'Player List'!$A$2:$A$177,'Player List'!$B$2:$C$177)</f>
        <v/>
      </c>
      <c r="C119" s="36" t="inlineStr">
        <is>
          <t>Prop</t>
        </is>
      </c>
      <c r="D119" s="37" t="n">
        <v>54</v>
      </c>
      <c r="F119" s="37" t="n">
        <v>5</v>
      </c>
      <c r="G119" s="37" t="n">
        <v>0</v>
      </c>
      <c r="H119" s="37" t="n">
        <v>0</v>
      </c>
      <c r="I119" s="37" t="n">
        <v>4.2</v>
      </c>
      <c r="J119" s="37" t="n">
        <v>0</v>
      </c>
      <c r="K119" s="37" t="n">
        <v>0</v>
      </c>
      <c r="L119" s="37" t="n">
        <v>0</v>
      </c>
      <c r="M119" s="37" t="n">
        <v>0</v>
      </c>
      <c r="N119" s="37" t="n">
        <v>7</v>
      </c>
      <c r="O119" s="37" t="n">
        <v>0</v>
      </c>
      <c r="P119" s="37" t="n">
        <v>0</v>
      </c>
      <c r="Q119" s="37" t="n">
        <v>0</v>
      </c>
      <c r="R119" s="37" t="n">
        <v>0</v>
      </c>
      <c r="S119" s="37" t="n">
        <v>0</v>
      </c>
      <c r="T119" s="38" t="n">
        <v>16.2</v>
      </c>
      <c r="U119" s="37" t="n">
        <v>0</v>
      </c>
      <c r="V119" s="36" t="n">
        <v>0</v>
      </c>
      <c r="W119" s="52" t="n">
        <v>16.2</v>
      </c>
    </row>
    <row r="120" ht="16" customHeight="1" thickBot="1">
      <c r="A120" s="77" t="inlineStr">
        <is>
          <t>K. Sinckler</t>
        </is>
      </c>
      <c r="B120" s="36">
        <f t="array" ref="B120:C120">_xlfn.XLOOKUP(A120,'Player List'!$A$2:$A$177,'Player List'!$B$2:$C$177)</f>
        <v/>
      </c>
      <c r="C120" s="36" t="inlineStr">
        <is>
          <t>Prop</t>
        </is>
      </c>
      <c r="D120" s="37" t="n">
        <v>49</v>
      </c>
      <c r="F120" s="37" t="n">
        <v>11</v>
      </c>
      <c r="G120" s="37" t="n">
        <v>7</v>
      </c>
      <c r="H120" s="37" t="n">
        <v>0</v>
      </c>
      <c r="I120" s="37" t="n">
        <v>2.4</v>
      </c>
      <c r="J120" s="37" t="n">
        <v>0</v>
      </c>
      <c r="K120" s="37" t="n">
        <v>0</v>
      </c>
      <c r="L120" s="37" t="n">
        <v>0</v>
      </c>
      <c r="M120" s="37" t="n">
        <v>0</v>
      </c>
      <c r="N120" s="37" t="n">
        <v>0</v>
      </c>
      <c r="O120" s="37" t="n">
        <v>0</v>
      </c>
      <c r="P120" s="37" t="n">
        <v>0</v>
      </c>
      <c r="Q120" s="37" t="n">
        <v>0</v>
      </c>
      <c r="R120" s="37" t="n">
        <v>0</v>
      </c>
      <c r="S120" s="37" t="n">
        <v>0</v>
      </c>
      <c r="T120" s="38" t="n">
        <v>20.4</v>
      </c>
      <c r="U120" s="37" t="n">
        <v>0</v>
      </c>
      <c r="V120" s="36" t="n">
        <v>0</v>
      </c>
      <c r="W120" s="52" t="n">
        <v>20.4</v>
      </c>
    </row>
    <row r="121" ht="16" customHeight="1" thickBot="1">
      <c r="A121" s="76" t="inlineStr">
        <is>
          <t>M. Vunipola</t>
        </is>
      </c>
      <c r="B121" s="36">
        <f t="array" ref="B121:C121">_xlfn.XLOOKUP(A121,'Player List'!$A$2:$A$177,'Player List'!$B$2:$C$177)</f>
        <v/>
      </c>
      <c r="C121" s="36" t="inlineStr">
        <is>
          <t>Prop</t>
        </is>
      </c>
      <c r="D121" s="37" t="n">
        <v>26</v>
      </c>
      <c r="F121" s="37" t="n">
        <v>3</v>
      </c>
      <c r="G121" s="37" t="n">
        <v>0</v>
      </c>
      <c r="H121" s="37" t="n">
        <v>0</v>
      </c>
      <c r="I121" s="37" t="n">
        <v>0</v>
      </c>
      <c r="J121" s="37" t="n">
        <v>0</v>
      </c>
      <c r="K121" s="37" t="n">
        <v>0</v>
      </c>
      <c r="L121" s="37" t="n">
        <v>0</v>
      </c>
      <c r="M121" s="37" t="n">
        <v>0</v>
      </c>
      <c r="N121" s="37" t="n">
        <v>0</v>
      </c>
      <c r="O121" s="37" t="n">
        <v>0</v>
      </c>
      <c r="P121" s="37" t="n">
        <v>0</v>
      </c>
      <c r="Q121" s="37" t="n">
        <v>0</v>
      </c>
      <c r="R121" s="37" t="n">
        <v>0</v>
      </c>
      <c r="S121" s="37" t="n">
        <v>0</v>
      </c>
      <c r="T121" s="38" t="n">
        <v>3</v>
      </c>
      <c r="U121" s="37" t="n">
        <v>0</v>
      </c>
      <c r="V121" s="36" t="n">
        <v>0</v>
      </c>
      <c r="W121" s="52" t="n">
        <v>3</v>
      </c>
    </row>
    <row r="122" ht="16" customHeight="1" thickBot="1">
      <c r="A122" s="77" t="inlineStr">
        <is>
          <t>J. George</t>
        </is>
      </c>
      <c r="B122" s="36">
        <f t="array" ref="B122:C122">_xlfn.XLOOKUP(A122,'Player List'!$A$2:$A$177,'Player List'!$B$2:$C$177)</f>
        <v/>
      </c>
      <c r="C122" s="36" t="inlineStr">
        <is>
          <t>Hooker</t>
        </is>
      </c>
      <c r="D122" s="37" t="n">
        <v>73</v>
      </c>
      <c r="F122" s="37" t="n">
        <v>7</v>
      </c>
      <c r="G122" s="37" t="n">
        <v>7</v>
      </c>
      <c r="H122" s="37" t="n">
        <v>0</v>
      </c>
      <c r="I122" s="37" t="n">
        <v>1.2</v>
      </c>
      <c r="J122" s="37" t="n">
        <v>0</v>
      </c>
      <c r="K122" s="37" t="n">
        <v>0</v>
      </c>
      <c r="L122" s="37" t="n">
        <v>0</v>
      </c>
      <c r="M122" s="37" t="n">
        <v>15</v>
      </c>
      <c r="N122" s="37" t="n">
        <v>0</v>
      </c>
      <c r="O122" s="37" t="n">
        <v>0</v>
      </c>
      <c r="P122" s="37" t="n">
        <v>0</v>
      </c>
      <c r="Q122" s="37" t="n">
        <v>0</v>
      </c>
      <c r="R122" s="37" t="n">
        <v>0</v>
      </c>
      <c r="S122" s="37" t="n">
        <v>0</v>
      </c>
      <c r="T122" s="38" t="n">
        <v>30.2</v>
      </c>
      <c r="U122" s="37" t="n">
        <v>0</v>
      </c>
      <c r="V122" s="36" t="n">
        <v>0</v>
      </c>
      <c r="W122" s="52" t="n">
        <v>30.2</v>
      </c>
    </row>
    <row r="123" ht="16" customHeight="1" thickBot="1">
      <c r="A123" s="76" t="inlineStr">
        <is>
          <t>J. Walker</t>
        </is>
      </c>
      <c r="B123" s="36">
        <f t="array" ref="B123:C123">_xlfn.XLOOKUP(A123,'Player List'!$A$2:$A$177,'Player List'!$B$2:$C$177)</f>
        <v/>
      </c>
      <c r="C123" s="36" t="inlineStr">
        <is>
          <t>Hooker</t>
        </is>
      </c>
      <c r="D123" s="37" t="n">
        <v>7</v>
      </c>
      <c r="F123" s="37" t="n">
        <v>3</v>
      </c>
      <c r="G123" s="37" t="n">
        <v>0</v>
      </c>
      <c r="H123" s="37" t="n">
        <v>0</v>
      </c>
      <c r="I123" s="37" t="n">
        <v>1.8</v>
      </c>
      <c r="J123" s="37" t="n">
        <v>0</v>
      </c>
      <c r="K123" s="37" t="n">
        <v>0</v>
      </c>
      <c r="L123" s="37" t="n">
        <v>0</v>
      </c>
      <c r="M123" s="37" t="n">
        <v>0</v>
      </c>
      <c r="N123" s="37" t="n">
        <v>0</v>
      </c>
      <c r="O123" s="37" t="n">
        <v>0</v>
      </c>
      <c r="P123" s="37" t="n">
        <v>0</v>
      </c>
      <c r="Q123" s="37" t="n">
        <v>0</v>
      </c>
      <c r="R123" s="37" t="n">
        <v>0</v>
      </c>
      <c r="S123" s="37" t="n">
        <v>0</v>
      </c>
      <c r="T123" s="38" t="n">
        <v>4.8</v>
      </c>
      <c r="U123" s="37" t="n">
        <v>0</v>
      </c>
      <c r="V123" s="36" t="n">
        <v>0</v>
      </c>
      <c r="W123" s="52" t="n">
        <v>4.8</v>
      </c>
    </row>
    <row r="124" ht="16" customHeight="1" thickBot="1">
      <c r="A124" s="76" t="inlineStr">
        <is>
          <t>P. Bruno</t>
        </is>
      </c>
      <c r="B124" s="36">
        <f t="array" ref="B124:C124">_xlfn.XLOOKUP(A124,'Player List'!$A$2:$A$177,'Player List'!$B$2:$C$177)</f>
        <v/>
      </c>
      <c r="C124" s="36" t="inlineStr">
        <is>
          <t>Back Three</t>
        </is>
      </c>
      <c r="D124" s="37" t="n">
        <v>33</v>
      </c>
      <c r="F124" s="37" t="n">
        <v>0</v>
      </c>
      <c r="G124" s="37" t="n">
        <v>0</v>
      </c>
      <c r="H124" s="37" t="n">
        <v>0</v>
      </c>
      <c r="I124" s="37" t="n">
        <v>5.4</v>
      </c>
      <c r="J124" s="37" t="n">
        <v>0</v>
      </c>
      <c r="K124" s="37" t="n">
        <v>0</v>
      </c>
      <c r="L124" s="37" t="n">
        <v>0</v>
      </c>
      <c r="M124" s="37" t="n">
        <v>0</v>
      </c>
      <c r="N124" s="37" t="n">
        <v>0</v>
      </c>
      <c r="O124" s="37" t="n">
        <v>0</v>
      </c>
      <c r="P124" s="37" t="n">
        <v>0</v>
      </c>
      <c r="Q124" s="37" t="n">
        <v>0</v>
      </c>
      <c r="R124" s="37" t="n">
        <v>0</v>
      </c>
      <c r="S124" s="37" t="n">
        <v>0</v>
      </c>
      <c r="T124" s="38" t="n">
        <v>5.4</v>
      </c>
      <c r="U124" s="37" t="n">
        <v>0</v>
      </c>
      <c r="V124" s="36" t="n">
        <v>0</v>
      </c>
      <c r="W124" s="52" t="n">
        <v>5.4</v>
      </c>
    </row>
    <row r="125" ht="16" customHeight="1" thickBot="1">
      <c r="A125" s="77" t="inlineStr">
        <is>
          <t>A. Capuozzo</t>
        </is>
      </c>
      <c r="B125" s="36">
        <f t="array" ref="B125:C125">_xlfn.XLOOKUP(A125,'Player List'!$A$2:$A$177,'Player List'!$B$2:$C$177)</f>
        <v/>
      </c>
      <c r="C125" s="36" t="inlineStr">
        <is>
          <t>Back Three</t>
        </is>
      </c>
      <c r="D125" s="37" t="n">
        <v>80</v>
      </c>
      <c r="F125" s="37" t="n">
        <v>2</v>
      </c>
      <c r="G125" s="37" t="n">
        <v>0</v>
      </c>
      <c r="H125" s="37" t="n">
        <v>21</v>
      </c>
      <c r="I125" s="37" t="n">
        <v>25.4</v>
      </c>
      <c r="J125" s="37" t="n">
        <v>0</v>
      </c>
      <c r="K125" s="37" t="n">
        <v>0</v>
      </c>
      <c r="L125" s="37" t="n">
        <v>0</v>
      </c>
      <c r="M125" s="37" t="n">
        <v>0</v>
      </c>
      <c r="N125" s="37" t="n">
        <v>0</v>
      </c>
      <c r="O125" s="37" t="n">
        <v>0</v>
      </c>
      <c r="P125" s="37" t="n">
        <v>0</v>
      </c>
      <c r="Q125" s="37" t="n">
        <v>0</v>
      </c>
      <c r="R125" s="37" t="n">
        <v>0</v>
      </c>
      <c r="S125" s="37" t="n">
        <v>0</v>
      </c>
      <c r="T125" s="38" t="n">
        <v>48.4</v>
      </c>
      <c r="U125" s="37" t="n">
        <v>0</v>
      </c>
      <c r="V125" s="36" t="n">
        <v>0</v>
      </c>
      <c r="W125" s="52" t="n">
        <v>48.4</v>
      </c>
    </row>
    <row r="126" ht="16" customHeight="1" thickBot="1">
      <c r="A126" s="76" t="inlineStr">
        <is>
          <t>A. Fusco</t>
        </is>
      </c>
      <c r="B126" s="36">
        <f t="array" ref="B126:C126">_xlfn.XLOOKUP(A126,'Player List'!$A$2:$A$177,'Player List'!$B$2:$C$177)</f>
        <v/>
      </c>
      <c r="C126" s="36" t="inlineStr">
        <is>
          <t>Back Three</t>
        </is>
      </c>
      <c r="D126" s="37" t="n">
        <v>18</v>
      </c>
      <c r="F126" s="37" t="n">
        <v>1</v>
      </c>
      <c r="G126" s="37" t="n">
        <v>7</v>
      </c>
      <c r="H126" s="37" t="n">
        <v>0</v>
      </c>
      <c r="I126" s="37" t="n">
        <v>1.6</v>
      </c>
      <c r="J126" s="37" t="n">
        <v>0</v>
      </c>
      <c r="K126" s="37" t="n">
        <v>0</v>
      </c>
      <c r="L126" s="37" t="n">
        <v>0</v>
      </c>
      <c r="M126" s="37" t="n">
        <v>15</v>
      </c>
      <c r="N126" s="37" t="n">
        <v>0</v>
      </c>
      <c r="O126" s="37" t="n">
        <v>0</v>
      </c>
      <c r="P126" s="37" t="n">
        <v>0</v>
      </c>
      <c r="Q126" s="37" t="n">
        <v>0</v>
      </c>
      <c r="R126" s="37" t="n">
        <v>0</v>
      </c>
      <c r="S126" s="37" t="n">
        <v>0</v>
      </c>
      <c r="T126" s="38" t="n">
        <v>24.6</v>
      </c>
      <c r="U126" s="37" t="n">
        <v>0</v>
      </c>
      <c r="V126" s="36" t="n">
        <v>0</v>
      </c>
      <c r="W126" s="52" t="n">
        <v>24.6</v>
      </c>
    </row>
    <row r="127" ht="16" customHeight="1" thickBot="1">
      <c r="A127" s="77" t="inlineStr">
        <is>
          <t>T. Menoncello</t>
        </is>
      </c>
      <c r="B127" s="36">
        <f t="array" ref="B127:C127">_xlfn.XLOOKUP(A127,'Player List'!$A$2:$A$177,'Player List'!$B$2:$C$177)</f>
        <v/>
      </c>
      <c r="C127" s="36" t="inlineStr">
        <is>
          <t>Back Three</t>
        </is>
      </c>
      <c r="D127" s="37" t="n">
        <v>80</v>
      </c>
      <c r="F127" s="37" t="n">
        <v>7</v>
      </c>
      <c r="G127" s="37" t="n">
        <v>0</v>
      </c>
      <c r="H127" s="37" t="n">
        <v>7</v>
      </c>
      <c r="I127" s="37" t="n">
        <v>6.6</v>
      </c>
      <c r="J127" s="37" t="n">
        <v>0</v>
      </c>
      <c r="K127" s="37" t="n">
        <v>0</v>
      </c>
      <c r="L127" s="37" t="n">
        <v>0</v>
      </c>
      <c r="M127" s="37" t="n">
        <v>0</v>
      </c>
      <c r="N127" s="37" t="n">
        <v>0</v>
      </c>
      <c r="O127" s="37" t="n">
        <v>0</v>
      </c>
      <c r="P127" s="37" t="n">
        <v>0</v>
      </c>
      <c r="Q127" s="37" t="n">
        <v>0</v>
      </c>
      <c r="R127" s="37" t="n">
        <v>0</v>
      </c>
      <c r="S127" s="37" t="n">
        <v>0</v>
      </c>
      <c r="T127" s="38" t="n">
        <v>20.6</v>
      </c>
      <c r="U127" s="37" t="n">
        <v>0</v>
      </c>
      <c r="V127" s="36" t="n">
        <v>0</v>
      </c>
      <c r="W127" s="52" t="n">
        <v>20.6</v>
      </c>
    </row>
    <row r="128" ht="16" customHeight="1" thickBot="1">
      <c r="A128" s="76" t="inlineStr">
        <is>
          <t>E. Padovani</t>
        </is>
      </c>
      <c r="B128" s="36">
        <f t="array" ref="B128:C128">_xlfn.XLOOKUP(A128,'Player List'!$A$2:$A$177,'Player List'!$B$2:$C$177)</f>
        <v/>
      </c>
      <c r="C128" s="36" t="inlineStr">
        <is>
          <t>Back Three</t>
        </is>
      </c>
      <c r="D128" s="37" t="n">
        <v>80</v>
      </c>
      <c r="F128" s="37" t="n">
        <v>3</v>
      </c>
      <c r="G128" s="37" t="n">
        <v>0</v>
      </c>
      <c r="H128" s="37" t="n">
        <v>0</v>
      </c>
      <c r="I128" s="37" t="n">
        <v>7.2</v>
      </c>
      <c r="J128" s="37" t="n">
        <v>0</v>
      </c>
      <c r="K128" s="37" t="n">
        <v>0</v>
      </c>
      <c r="L128" s="37" t="n">
        <v>0</v>
      </c>
      <c r="M128" s="37" t="n">
        <v>0</v>
      </c>
      <c r="N128" s="37" t="n">
        <v>0</v>
      </c>
      <c r="O128" s="37" t="n">
        <v>0</v>
      </c>
      <c r="P128" s="37" t="n">
        <v>0</v>
      </c>
      <c r="Q128" s="37" t="n">
        <v>0</v>
      </c>
      <c r="R128" s="37" t="n">
        <v>0</v>
      </c>
      <c r="S128" s="37" t="n">
        <v>0</v>
      </c>
      <c r="T128" s="38" t="n">
        <v>10.2</v>
      </c>
      <c r="U128" s="37" t="n">
        <v>0</v>
      </c>
      <c r="V128" s="36" t="n">
        <v>0</v>
      </c>
      <c r="W128" s="52" t="n">
        <v>10.2</v>
      </c>
    </row>
    <row r="129" ht="16" customHeight="1" thickBot="1">
      <c r="A129" s="77" t="inlineStr">
        <is>
          <t>J. Brex</t>
        </is>
      </c>
      <c r="B129" s="36">
        <f t="array" ref="B129:C129">_xlfn.XLOOKUP(A129,'Player List'!$A$2:$A$177,'Player List'!$B$2:$C$177)</f>
        <v/>
      </c>
      <c r="C129" s="36" t="inlineStr">
        <is>
          <t>Centre</t>
        </is>
      </c>
      <c r="D129" s="37" t="n">
        <v>80</v>
      </c>
      <c r="F129" s="37" t="n">
        <v>4</v>
      </c>
      <c r="G129" s="37" t="n">
        <v>0</v>
      </c>
      <c r="H129" s="37" t="n">
        <v>0</v>
      </c>
      <c r="I129" s="37" t="n">
        <v>18.4</v>
      </c>
      <c r="J129" s="37" t="n">
        <v>0</v>
      </c>
      <c r="K129" s="37" t="n">
        <v>0</v>
      </c>
      <c r="L129" s="37" t="n">
        <v>0</v>
      </c>
      <c r="M129" s="37" t="n">
        <v>0</v>
      </c>
      <c r="N129" s="37" t="n">
        <v>0</v>
      </c>
      <c r="O129" s="37" t="n">
        <v>0</v>
      </c>
      <c r="P129" s="37" t="n">
        <v>0</v>
      </c>
      <c r="Q129" s="37" t="n">
        <v>0</v>
      </c>
      <c r="R129" s="37" t="n">
        <v>0</v>
      </c>
      <c r="S129" s="37" t="n">
        <v>0</v>
      </c>
      <c r="T129" s="38" t="n">
        <v>22.4</v>
      </c>
      <c r="U129" s="37" t="n">
        <v>0</v>
      </c>
      <c r="V129" s="36" t="n">
        <v>0</v>
      </c>
      <c r="W129" s="52" t="n">
        <v>22.4</v>
      </c>
    </row>
    <row r="130" ht="16" customHeight="1" thickBot="1">
      <c r="A130" s="76" t="inlineStr">
        <is>
          <t>L. Morisi</t>
        </is>
      </c>
      <c r="B130" s="36">
        <f t="array" ref="B130:C130">_xlfn.XLOOKUP(A130,'Player List'!$A$2:$A$177,'Player List'!$B$2:$C$177)</f>
        <v/>
      </c>
      <c r="C130" s="36" t="inlineStr">
        <is>
          <t>Centre</t>
        </is>
      </c>
      <c r="D130" s="37" t="n">
        <v>47</v>
      </c>
      <c r="F130" s="37" t="n">
        <v>10</v>
      </c>
      <c r="G130" s="37" t="n">
        <v>0</v>
      </c>
      <c r="H130" s="37" t="n">
        <v>0</v>
      </c>
      <c r="I130" s="37" t="n">
        <v>5.4</v>
      </c>
      <c r="J130" s="37" t="n">
        <v>0</v>
      </c>
      <c r="K130" s="37" t="n">
        <v>0</v>
      </c>
      <c r="L130" s="37" t="n">
        <v>0</v>
      </c>
      <c r="M130" s="37" t="n">
        <v>0</v>
      </c>
      <c r="N130" s="37" t="n">
        <v>0</v>
      </c>
      <c r="O130" s="37" t="n">
        <v>0</v>
      </c>
      <c r="P130" s="37" t="n">
        <v>0</v>
      </c>
      <c r="Q130" s="37" t="n">
        <v>0</v>
      </c>
      <c r="R130" s="37" t="n">
        <v>0</v>
      </c>
      <c r="S130" s="37" t="n">
        <v>0</v>
      </c>
      <c r="T130" s="38" t="n">
        <v>15.4</v>
      </c>
      <c r="U130" s="37" t="n">
        <v>0</v>
      </c>
      <c r="V130" s="36" t="n">
        <v>0</v>
      </c>
      <c r="W130" s="52" t="n">
        <v>15.4</v>
      </c>
    </row>
    <row r="131" ht="16" customHeight="1" thickBot="1">
      <c r="A131" s="77" t="inlineStr">
        <is>
          <t>T. Allan</t>
        </is>
      </c>
      <c r="B131" s="36">
        <f t="array" ref="B131:C131">_xlfn.XLOOKUP(A131,'Player List'!$A$2:$A$177,'Player List'!$B$2:$C$177)</f>
        <v/>
      </c>
      <c r="C131" s="36" t="inlineStr">
        <is>
          <t>Fly Half</t>
        </is>
      </c>
      <c r="D131" s="37" t="n">
        <v>80</v>
      </c>
      <c r="F131" s="37" t="n">
        <v>13</v>
      </c>
      <c r="G131" s="37" t="n">
        <v>0</v>
      </c>
      <c r="H131" s="37" t="n">
        <v>0</v>
      </c>
      <c r="I131" s="37" t="n">
        <v>10.2</v>
      </c>
      <c r="J131" s="37" t="n">
        <v>0</v>
      </c>
      <c r="K131" s="37" t="n">
        <v>0</v>
      </c>
      <c r="L131" s="37" t="n">
        <v>0</v>
      </c>
      <c r="M131" s="37" t="n">
        <v>0</v>
      </c>
      <c r="N131" s="37" t="n">
        <v>0</v>
      </c>
      <c r="O131" s="37" t="n">
        <v>4</v>
      </c>
      <c r="P131" s="37" t="n">
        <v>0</v>
      </c>
      <c r="Q131" s="37" t="n">
        <v>0</v>
      </c>
      <c r="R131" s="37" t="n">
        <v>0</v>
      </c>
      <c r="S131" s="37" t="n">
        <v>0</v>
      </c>
      <c r="T131" s="38" t="n">
        <v>27.2</v>
      </c>
      <c r="U131" s="37" t="n">
        <v>0</v>
      </c>
      <c r="V131" s="36" t="n">
        <v>0</v>
      </c>
      <c r="W131" s="52" t="n">
        <v>27.2</v>
      </c>
    </row>
    <row r="132" ht="16" customHeight="1" thickBot="1">
      <c r="A132" s="76" t="inlineStr">
        <is>
          <t>S. Varney</t>
        </is>
      </c>
      <c r="B132" s="36">
        <f t="array" ref="B132:C132">_xlfn.XLOOKUP(A132,'Player List'!$A$2:$A$177,'Player List'!$B$2:$C$177)</f>
        <v/>
      </c>
      <c r="C132" s="36" t="inlineStr">
        <is>
          <t>Scrum Half</t>
        </is>
      </c>
      <c r="D132" s="37" t="n">
        <v>62</v>
      </c>
      <c r="F132" s="37" t="n">
        <v>1</v>
      </c>
      <c r="G132" s="37" t="n">
        <v>7</v>
      </c>
      <c r="H132" s="37" t="n">
        <v>0</v>
      </c>
      <c r="I132" s="37" t="n">
        <v>4</v>
      </c>
      <c r="J132" s="37" t="n">
        <v>0</v>
      </c>
      <c r="K132" s="37" t="n">
        <v>0</v>
      </c>
      <c r="L132" s="37" t="n">
        <v>0</v>
      </c>
      <c r="M132" s="37" t="n">
        <v>0</v>
      </c>
      <c r="N132" s="37" t="n">
        <v>0</v>
      </c>
      <c r="O132" s="37" t="n">
        <v>0</v>
      </c>
      <c r="P132" s="37" t="n">
        <v>0</v>
      </c>
      <c r="Q132" s="37" t="n">
        <v>0</v>
      </c>
      <c r="R132" s="37" t="n">
        <v>0</v>
      </c>
      <c r="S132" s="37" t="n">
        <v>0</v>
      </c>
      <c r="T132" s="38" t="n">
        <v>12</v>
      </c>
      <c r="U132" s="37" t="n">
        <v>0</v>
      </c>
      <c r="V132" s="36" t="n">
        <v>0</v>
      </c>
      <c r="W132" s="52" t="n">
        <v>12</v>
      </c>
    </row>
    <row r="133" ht="16" customHeight="1" thickBot="1">
      <c r="A133" s="77" t="inlineStr">
        <is>
          <t>E. Iachizzi</t>
        </is>
      </c>
      <c r="B133" s="36">
        <f t="array" ref="B133:C133">_xlfn.XLOOKUP(A133,'Player List'!$A$2:$A$177,'Player List'!$B$2:$C$177)</f>
        <v/>
      </c>
      <c r="C133" s="36" t="inlineStr">
        <is>
          <t>Back Row</t>
        </is>
      </c>
      <c r="D133" s="37" t="n">
        <v>8</v>
      </c>
      <c r="F133" s="37" t="n">
        <v>0</v>
      </c>
      <c r="G133" s="37" t="n">
        <v>0</v>
      </c>
      <c r="H133" s="37" t="n">
        <v>0</v>
      </c>
      <c r="I133" s="37" t="n">
        <v>5.2</v>
      </c>
      <c r="J133" s="37" t="n">
        <v>0</v>
      </c>
      <c r="K133" s="37" t="n">
        <v>0</v>
      </c>
      <c r="L133" s="37" t="n">
        <v>0</v>
      </c>
      <c r="M133" s="37" t="n">
        <v>0</v>
      </c>
      <c r="N133" s="37" t="n">
        <v>0</v>
      </c>
      <c r="O133" s="37" t="n">
        <v>0</v>
      </c>
      <c r="P133" s="37" t="n">
        <v>0</v>
      </c>
      <c r="Q133" s="37" t="n">
        <v>0</v>
      </c>
      <c r="R133" s="37" t="n">
        <v>0</v>
      </c>
      <c r="S133" s="37" t="n">
        <v>0</v>
      </c>
      <c r="T133" s="38" t="n">
        <v>5.2</v>
      </c>
      <c r="U133" s="37" t="n">
        <v>0</v>
      </c>
      <c r="V133" s="36" t="n">
        <v>0</v>
      </c>
      <c r="W133" s="52" t="n">
        <v>5.2</v>
      </c>
    </row>
    <row r="134" ht="16" customHeight="1" thickBot="1">
      <c r="A134" s="76" t="inlineStr">
        <is>
          <t>M. Lamaro</t>
        </is>
      </c>
      <c r="B134" s="36">
        <f t="array" ref="B134:C134">_xlfn.XLOOKUP(A134,'Player List'!$A$2:$A$177,'Player List'!$B$2:$C$177)</f>
        <v/>
      </c>
      <c r="C134" s="36" t="inlineStr">
        <is>
          <t>Back Row</t>
        </is>
      </c>
      <c r="D134" s="37" t="n">
        <v>23</v>
      </c>
      <c r="F134" s="37" t="n">
        <v>0</v>
      </c>
      <c r="G134" s="37" t="n">
        <v>0</v>
      </c>
      <c r="H134" s="37" t="n">
        <v>0</v>
      </c>
      <c r="I134" s="37" t="n">
        <v>1</v>
      </c>
      <c r="J134" s="37" t="n">
        <v>0</v>
      </c>
      <c r="K134" s="37" t="n">
        <v>0</v>
      </c>
      <c r="L134" s="37" t="n">
        <v>0</v>
      </c>
      <c r="M134" s="37" t="n">
        <v>0</v>
      </c>
      <c r="N134" s="37" t="n">
        <v>0</v>
      </c>
      <c r="O134" s="37" t="n">
        <v>0</v>
      </c>
      <c r="P134" s="37" t="n">
        <v>0</v>
      </c>
      <c r="Q134" s="37" t="n">
        <v>0</v>
      </c>
      <c r="R134" s="37" t="n">
        <v>0</v>
      </c>
      <c r="S134" s="37" t="n">
        <v>0</v>
      </c>
      <c r="T134" s="38" t="n">
        <v>1</v>
      </c>
      <c r="U134" s="37" t="n">
        <v>0</v>
      </c>
      <c r="V134" s="36" t="n">
        <v>0</v>
      </c>
      <c r="W134" s="52" t="n">
        <v>1</v>
      </c>
    </row>
    <row r="135" ht="16" customHeight="1" thickBot="1">
      <c r="A135" s="77" t="inlineStr">
        <is>
          <t>S. Negri</t>
        </is>
      </c>
      <c r="B135" s="36">
        <f t="array" ref="B135:C135">_xlfn.XLOOKUP(A135,'Player List'!$A$2:$A$177,'Player List'!$B$2:$C$177)</f>
        <v/>
      </c>
      <c r="C135" s="36" t="inlineStr">
        <is>
          <t>Back Row</t>
        </is>
      </c>
      <c r="D135" s="37" t="n">
        <v>74</v>
      </c>
      <c r="F135" s="37" t="n">
        <v>6</v>
      </c>
      <c r="G135" s="37" t="n">
        <v>7</v>
      </c>
      <c r="H135" s="37" t="n">
        <v>7</v>
      </c>
      <c r="I135" s="37" t="n">
        <v>16.6</v>
      </c>
      <c r="J135" s="37" t="n">
        <v>0</v>
      </c>
      <c r="K135" s="37" t="n">
        <v>0</v>
      </c>
      <c r="L135" s="37" t="n">
        <v>0</v>
      </c>
      <c r="M135" s="37" t="n">
        <v>0</v>
      </c>
      <c r="N135" s="37" t="n">
        <v>0</v>
      </c>
      <c r="O135" s="37" t="n">
        <v>0</v>
      </c>
      <c r="P135" s="37" t="n">
        <v>0</v>
      </c>
      <c r="Q135" s="37" t="n">
        <v>0</v>
      </c>
      <c r="R135" s="37" t="n">
        <v>0</v>
      </c>
      <c r="S135" s="37" t="n">
        <v>0</v>
      </c>
      <c r="T135" s="38" t="n">
        <v>36.6</v>
      </c>
      <c r="U135" s="37" t="n">
        <v>0</v>
      </c>
      <c r="V135" s="36" t="n">
        <v>0</v>
      </c>
      <c r="W135" s="52" t="n">
        <v>36.6</v>
      </c>
    </row>
    <row r="136" ht="16" customHeight="1" thickBot="1">
      <c r="A136" s="76" t="inlineStr">
        <is>
          <t>J. Polledri</t>
        </is>
      </c>
      <c r="B136" s="36">
        <f t="array" ref="B136:C136">_xlfn.XLOOKUP(A136,'Player List'!$A$2:$A$177,'Player List'!$B$2:$C$177)</f>
        <v/>
      </c>
      <c r="C136" s="36" t="inlineStr">
        <is>
          <t>Back Row</t>
        </is>
      </c>
      <c r="D136" s="37" t="n">
        <v>23</v>
      </c>
      <c r="F136" s="37" t="n">
        <v>1</v>
      </c>
      <c r="G136" s="37" t="n">
        <v>7</v>
      </c>
      <c r="H136" s="37" t="n">
        <v>0</v>
      </c>
      <c r="I136" s="37" t="n">
        <v>5.2</v>
      </c>
      <c r="J136" s="37" t="n">
        <v>0</v>
      </c>
      <c r="K136" s="37" t="n">
        <v>0</v>
      </c>
      <c r="L136" s="37" t="n">
        <v>0</v>
      </c>
      <c r="M136" s="37" t="n">
        <v>0</v>
      </c>
      <c r="N136" s="37" t="n">
        <v>0</v>
      </c>
      <c r="O136" s="37" t="n">
        <v>0</v>
      </c>
      <c r="P136" s="37" t="n">
        <v>0</v>
      </c>
      <c r="Q136" s="37" t="n">
        <v>0</v>
      </c>
      <c r="R136" s="37" t="n">
        <v>0</v>
      </c>
      <c r="S136" s="37" t="n">
        <v>0</v>
      </c>
      <c r="T136" s="38" t="n">
        <v>13.2</v>
      </c>
      <c r="U136" s="37" t="n">
        <v>0</v>
      </c>
      <c r="V136" s="36" t="n">
        <v>0</v>
      </c>
      <c r="W136" s="52" t="n">
        <v>13.2</v>
      </c>
    </row>
    <row r="137" ht="16" customHeight="1" thickBot="1">
      <c r="A137" s="77" t="inlineStr">
        <is>
          <t>L. Cannone</t>
        </is>
      </c>
      <c r="B137" s="36">
        <f t="array" ref="B137:C137">_xlfn.XLOOKUP(A137,'Player List'!$A$2:$A$177,'Player List'!$B$2:$C$177)</f>
        <v/>
      </c>
      <c r="C137" s="36" t="inlineStr">
        <is>
          <t>Second Row</t>
        </is>
      </c>
      <c r="D137" s="37" t="n">
        <v>48</v>
      </c>
      <c r="F137" s="37" t="n">
        <v>7</v>
      </c>
      <c r="G137" s="37" t="n">
        <v>7</v>
      </c>
      <c r="H137" s="37" t="n">
        <v>0</v>
      </c>
      <c r="I137" s="37" t="n">
        <v>8.800000000000001</v>
      </c>
      <c r="J137" s="37" t="n">
        <v>0</v>
      </c>
      <c r="K137" s="37" t="n">
        <v>0</v>
      </c>
      <c r="L137" s="37" t="n">
        <v>0</v>
      </c>
      <c r="M137" s="37" t="n">
        <v>0</v>
      </c>
      <c r="N137" s="37" t="n">
        <v>0</v>
      </c>
      <c r="O137" s="37" t="n">
        <v>0</v>
      </c>
      <c r="P137" s="37" t="n">
        <v>0</v>
      </c>
      <c r="Q137" s="37" t="n">
        <v>0</v>
      </c>
      <c r="R137" s="37" t="n">
        <v>-5</v>
      </c>
      <c r="S137" s="37" t="n">
        <v>0</v>
      </c>
      <c r="T137" s="38" t="n">
        <v>17.8</v>
      </c>
      <c r="U137" s="37" t="n">
        <v>0</v>
      </c>
      <c r="V137" s="36" t="n">
        <v>0</v>
      </c>
      <c r="W137" s="52" t="n">
        <v>17.8</v>
      </c>
    </row>
    <row r="138" ht="16" customHeight="1" thickBot="1">
      <c r="A138" s="76" t="inlineStr">
        <is>
          <t>N. Cannone</t>
        </is>
      </c>
      <c r="B138" s="36">
        <f t="array" ref="B138:C138">_xlfn.XLOOKUP(A138,'Player List'!$A$2:$A$177,'Player List'!$B$2:$C$177)</f>
        <v/>
      </c>
      <c r="C138" s="36" t="inlineStr">
        <is>
          <t>Second Row</t>
        </is>
      </c>
      <c r="D138" s="37" t="n">
        <v>72</v>
      </c>
      <c r="F138" s="37" t="n">
        <v>6</v>
      </c>
      <c r="G138" s="37" t="n">
        <v>0</v>
      </c>
      <c r="H138" s="37" t="n">
        <v>0</v>
      </c>
      <c r="I138" s="37" t="n">
        <v>4.2</v>
      </c>
      <c r="J138" s="37" t="n">
        <v>0</v>
      </c>
      <c r="K138" s="37" t="n">
        <v>0</v>
      </c>
      <c r="L138" s="37" t="n">
        <v>0</v>
      </c>
      <c r="M138" s="37" t="n">
        <v>0</v>
      </c>
      <c r="N138" s="37" t="n">
        <v>0</v>
      </c>
      <c r="O138" s="37" t="n">
        <v>0</v>
      </c>
      <c r="P138" s="37" t="n">
        <v>0</v>
      </c>
      <c r="Q138" s="37" t="n">
        <v>0</v>
      </c>
      <c r="R138" s="37" t="n">
        <v>0</v>
      </c>
      <c r="S138" s="37" t="n">
        <v>0</v>
      </c>
      <c r="T138" s="38" t="n">
        <v>10.2</v>
      </c>
      <c r="U138" s="37" t="n">
        <v>0</v>
      </c>
      <c r="V138" s="36" t="n">
        <v>0</v>
      </c>
      <c r="W138" s="52" t="n">
        <v>10.2</v>
      </c>
    </row>
    <row r="139" ht="16" customHeight="1" thickBot="1">
      <c r="A139" s="77" t="inlineStr">
        <is>
          <t>F. Ruzza</t>
        </is>
      </c>
      <c r="B139" s="36">
        <f t="array" ref="B139:C139">_xlfn.XLOOKUP(A139,'Player List'!$A$2:$A$177,'Player List'!$B$2:$C$177)</f>
        <v/>
      </c>
      <c r="C139" s="36" t="inlineStr">
        <is>
          <t>Second Row</t>
        </is>
      </c>
      <c r="D139" s="37" t="n">
        <v>80</v>
      </c>
      <c r="F139" s="37" t="n">
        <v>7</v>
      </c>
      <c r="G139" s="37" t="n">
        <v>7</v>
      </c>
      <c r="H139" s="37" t="n">
        <v>7</v>
      </c>
      <c r="I139" s="37" t="n">
        <v>10.4</v>
      </c>
      <c r="J139" s="37" t="n">
        <v>0</v>
      </c>
      <c r="K139" s="37" t="n">
        <v>0</v>
      </c>
      <c r="L139" s="37" t="n">
        <v>0</v>
      </c>
      <c r="M139" s="37" t="n">
        <v>0</v>
      </c>
      <c r="N139" s="37" t="n">
        <v>0</v>
      </c>
      <c r="O139" s="37" t="n">
        <v>0</v>
      </c>
      <c r="P139" s="37" t="n">
        <v>0</v>
      </c>
      <c r="Q139" s="37" t="n">
        <v>0</v>
      </c>
      <c r="R139" s="37" t="n">
        <v>0</v>
      </c>
      <c r="S139" s="37" t="n">
        <v>0</v>
      </c>
      <c r="T139" s="38" t="n">
        <v>31.4</v>
      </c>
      <c r="U139" s="37" t="n">
        <v>0</v>
      </c>
      <c r="V139" s="36" t="n">
        <v>0</v>
      </c>
      <c r="W139" s="52" t="n">
        <v>31.4</v>
      </c>
    </row>
    <row r="140" ht="16" customHeight="1" thickBot="1">
      <c r="A140" s="76" t="inlineStr">
        <is>
          <t>M. Zuliani</t>
        </is>
      </c>
      <c r="B140" s="36">
        <f t="array" ref="B140:C140">_xlfn.XLOOKUP(A140,'Player List'!$A$2:$A$177,'Player List'!$B$2:$C$177)</f>
        <v/>
      </c>
      <c r="C140" s="36" t="inlineStr">
        <is>
          <t>Second Row</t>
        </is>
      </c>
      <c r="D140" s="37" t="n">
        <v>56</v>
      </c>
      <c r="F140" s="37" t="n">
        <v>9</v>
      </c>
      <c r="G140" s="37" t="n">
        <v>14</v>
      </c>
      <c r="H140" s="37" t="n">
        <v>0</v>
      </c>
      <c r="I140" s="37" t="n">
        <v>12.2</v>
      </c>
      <c r="J140" s="37" t="n">
        <v>0</v>
      </c>
      <c r="K140" s="37" t="n">
        <v>0</v>
      </c>
      <c r="L140" s="37" t="n">
        <v>7</v>
      </c>
      <c r="M140" s="37" t="n">
        <v>0</v>
      </c>
      <c r="N140" s="37" t="n">
        <v>0</v>
      </c>
      <c r="O140" s="37" t="n">
        <v>0</v>
      </c>
      <c r="P140" s="37" t="n">
        <v>0</v>
      </c>
      <c r="Q140" s="37" t="n">
        <v>0</v>
      </c>
      <c r="R140" s="37" t="n">
        <v>0</v>
      </c>
      <c r="S140" s="37" t="n">
        <v>0</v>
      </c>
      <c r="T140" s="38" t="n">
        <v>42.2</v>
      </c>
      <c r="U140" s="37" t="n">
        <v>0</v>
      </c>
      <c r="V140" s="36" t="n">
        <v>0</v>
      </c>
      <c r="W140" s="52" t="n">
        <v>42.2</v>
      </c>
    </row>
    <row r="141" ht="16" customHeight="1" thickBot="1">
      <c r="A141" s="77" t="inlineStr">
        <is>
          <t>S. Ferrari</t>
        </is>
      </c>
      <c r="B141" s="36">
        <f t="array" ref="B141:C141">_xlfn.XLOOKUP(A141,'Player List'!$A$2:$A$177,'Player List'!$B$2:$C$177)</f>
        <v/>
      </c>
      <c r="C141" s="36" t="inlineStr">
        <is>
          <t>Prop</t>
        </is>
      </c>
      <c r="D141" s="37" t="n">
        <v>21</v>
      </c>
      <c r="F141" s="37" t="n">
        <v>3</v>
      </c>
      <c r="G141" s="37" t="n">
        <v>0</v>
      </c>
      <c r="H141" s="37" t="n">
        <v>0</v>
      </c>
      <c r="I141" s="37" t="n">
        <v>0.8</v>
      </c>
      <c r="J141" s="37" t="n">
        <v>0</v>
      </c>
      <c r="K141" s="37" t="n">
        <v>0</v>
      </c>
      <c r="L141" s="37" t="n">
        <v>0</v>
      </c>
      <c r="M141" s="37" t="n">
        <v>0</v>
      </c>
      <c r="N141" s="37" t="n">
        <v>0</v>
      </c>
      <c r="O141" s="37" t="n">
        <v>0</v>
      </c>
      <c r="P141" s="37" t="n">
        <v>0</v>
      </c>
      <c r="Q141" s="37" t="n">
        <v>0</v>
      </c>
      <c r="R141" s="37" t="n">
        <v>-5</v>
      </c>
      <c r="S141" s="37" t="n">
        <v>0</v>
      </c>
      <c r="T141" s="38" t="n">
        <v>-1.2</v>
      </c>
      <c r="U141" s="37" t="n">
        <v>0</v>
      </c>
      <c r="V141" s="36" t="n">
        <v>0</v>
      </c>
      <c r="W141" s="52" t="n">
        <v>-1.2</v>
      </c>
    </row>
    <row r="142" ht="16" customHeight="1" thickBot="1">
      <c r="A142" s="76" t="inlineStr">
        <is>
          <t>D. Fischetti</t>
        </is>
      </c>
      <c r="B142" s="36">
        <f t="array" ref="B142:C142">_xlfn.XLOOKUP(A142,'Player List'!$A$2:$A$177,'Player List'!$B$2:$C$177)</f>
        <v/>
      </c>
      <c r="C142" s="36" t="inlineStr">
        <is>
          <t>Prop</t>
        </is>
      </c>
      <c r="D142" s="37" t="n">
        <v>55</v>
      </c>
      <c r="F142" s="37" t="n">
        <v>7</v>
      </c>
      <c r="G142" s="37" t="n">
        <v>21</v>
      </c>
      <c r="H142" s="37" t="n">
        <v>0</v>
      </c>
      <c r="I142" s="37" t="n">
        <v>1.4</v>
      </c>
      <c r="J142" s="37" t="n">
        <v>0</v>
      </c>
      <c r="K142" s="37" t="n">
        <v>0</v>
      </c>
      <c r="L142" s="37" t="n">
        <v>0</v>
      </c>
      <c r="M142" s="37" t="n">
        <v>0</v>
      </c>
      <c r="N142" s="37" t="n">
        <v>0</v>
      </c>
      <c r="O142" s="37" t="n">
        <v>0</v>
      </c>
      <c r="P142" s="37" t="n">
        <v>0</v>
      </c>
      <c r="Q142" s="37" t="n">
        <v>0</v>
      </c>
      <c r="R142" s="37" t="n">
        <v>0</v>
      </c>
      <c r="S142" s="37" t="n">
        <v>0</v>
      </c>
      <c r="T142" s="38" t="n">
        <v>29.4</v>
      </c>
      <c r="U142" s="37" t="n">
        <v>0</v>
      </c>
      <c r="V142" s="36" t="n">
        <v>0</v>
      </c>
      <c r="W142" s="52" t="n">
        <v>29.4</v>
      </c>
    </row>
    <row r="143" ht="16" customHeight="1" thickBot="1">
      <c r="A143" s="77" t="inlineStr">
        <is>
          <t>M. Riccioni</t>
        </is>
      </c>
      <c r="B143" s="36">
        <f t="array" ref="B143:C143">_xlfn.XLOOKUP(A143,'Player List'!$A$2:$A$177,'Player List'!$B$2:$C$177)</f>
        <v/>
      </c>
      <c r="C143" s="36" t="inlineStr">
        <is>
          <t>Prop</t>
        </is>
      </c>
      <c r="D143" s="37" t="n">
        <v>54</v>
      </c>
      <c r="F143" s="37" t="n">
        <v>7</v>
      </c>
      <c r="G143" s="37" t="n">
        <v>0</v>
      </c>
      <c r="H143" s="37" t="n">
        <v>0</v>
      </c>
      <c r="I143" s="37" t="n">
        <v>3</v>
      </c>
      <c r="J143" s="37" t="n">
        <v>0</v>
      </c>
      <c r="K143" s="37" t="n">
        <v>0</v>
      </c>
      <c r="L143" s="37" t="n">
        <v>0</v>
      </c>
      <c r="M143" s="37" t="n">
        <v>15</v>
      </c>
      <c r="N143" s="37" t="n">
        <v>0</v>
      </c>
      <c r="O143" s="37" t="n">
        <v>0</v>
      </c>
      <c r="P143" s="37" t="n">
        <v>0</v>
      </c>
      <c r="Q143" s="37" t="n">
        <v>0</v>
      </c>
      <c r="R143" s="37" t="n">
        <v>0</v>
      </c>
      <c r="S143" s="37" t="n">
        <v>0</v>
      </c>
      <c r="T143" s="38" t="n">
        <v>25</v>
      </c>
      <c r="U143" s="37" t="n">
        <v>0</v>
      </c>
      <c r="V143" s="36" t="n">
        <v>0</v>
      </c>
      <c r="W143" s="52" t="n">
        <v>25</v>
      </c>
    </row>
    <row r="144" ht="16" customHeight="1" thickBot="1">
      <c r="A144" s="76" t="inlineStr">
        <is>
          <t>F. Zani</t>
        </is>
      </c>
      <c r="B144" s="36">
        <f t="array" ref="B144:C144">_xlfn.XLOOKUP(A144,'Player List'!$A$2:$A$177,'Player List'!$B$2:$C$177)</f>
        <v/>
      </c>
      <c r="C144" s="36" t="inlineStr">
        <is>
          <t>Prop</t>
        </is>
      </c>
      <c r="D144" s="37" t="n">
        <v>25</v>
      </c>
      <c r="F144" s="37" t="n">
        <v>1</v>
      </c>
      <c r="G144" s="37" t="n">
        <v>0</v>
      </c>
      <c r="H144" s="37" t="n">
        <v>0</v>
      </c>
      <c r="I144" s="37" t="n">
        <v>2.4</v>
      </c>
      <c r="J144" s="37" t="n">
        <v>0</v>
      </c>
      <c r="K144" s="37" t="n">
        <v>0</v>
      </c>
      <c r="L144" s="37" t="n">
        <v>0</v>
      </c>
      <c r="M144" s="37" t="n">
        <v>0</v>
      </c>
      <c r="N144" s="37" t="n">
        <v>0</v>
      </c>
      <c r="O144" s="37" t="n">
        <v>0</v>
      </c>
      <c r="P144" s="37" t="n">
        <v>0</v>
      </c>
      <c r="Q144" s="37" t="n">
        <v>0</v>
      </c>
      <c r="R144" s="37" t="n">
        <v>0</v>
      </c>
      <c r="S144" s="37" t="n">
        <v>0</v>
      </c>
      <c r="T144" s="38" t="n">
        <v>3.4</v>
      </c>
      <c r="U144" s="37" t="n">
        <v>0</v>
      </c>
      <c r="V144" s="36" t="n">
        <v>0</v>
      </c>
      <c r="W144" s="52" t="n">
        <v>3.4</v>
      </c>
    </row>
    <row r="145" ht="16" customHeight="1" thickBot="1">
      <c r="A145" s="77" t="inlineStr">
        <is>
          <t>L. Bigi</t>
        </is>
      </c>
      <c r="B145" s="36">
        <f t="array" ref="B145:C145">_xlfn.XLOOKUP(A145,'Player List'!$A$2:$A$177,'Player List'!$B$2:$C$177)</f>
        <v/>
      </c>
      <c r="C145" s="36" t="inlineStr">
        <is>
          <t>Hooker</t>
        </is>
      </c>
      <c r="D145" s="37" t="n">
        <v>19</v>
      </c>
      <c r="F145" s="37" t="n">
        <v>2</v>
      </c>
      <c r="G145" s="37" t="n">
        <v>7</v>
      </c>
      <c r="H145" s="37" t="n">
        <v>0</v>
      </c>
      <c r="I145" s="37" t="n">
        <v>0</v>
      </c>
      <c r="J145" s="37" t="n">
        <v>0</v>
      </c>
      <c r="K145" s="37" t="n">
        <v>0</v>
      </c>
      <c r="L145" s="37" t="n">
        <v>0</v>
      </c>
      <c r="M145" s="37" t="n">
        <v>0</v>
      </c>
      <c r="N145" s="37" t="n">
        <v>0</v>
      </c>
      <c r="O145" s="37" t="n">
        <v>0</v>
      </c>
      <c r="P145" s="37" t="n">
        <v>0</v>
      </c>
      <c r="Q145" s="37" t="n">
        <v>0</v>
      </c>
      <c r="R145" s="37" t="n">
        <v>0</v>
      </c>
      <c r="S145" s="37" t="n">
        <v>0</v>
      </c>
      <c r="T145" s="38" t="n">
        <v>9</v>
      </c>
      <c r="U145" s="37" t="n">
        <v>0</v>
      </c>
      <c r="V145" s="36" t="n">
        <v>0</v>
      </c>
      <c r="W145" s="52" t="n">
        <v>9</v>
      </c>
    </row>
    <row r="146" ht="16" customHeight="1" thickBot="1">
      <c r="A146" s="78" t="inlineStr">
        <is>
          <t>G. Nicotera</t>
        </is>
      </c>
      <c r="B146" s="75">
        <f t="array" ref="B146:C146">_xlfn.XLOOKUP(A146,'Player List'!$A$2:$A$177,'Player List'!$B$2:$C$177)</f>
        <v/>
      </c>
      <c r="C146" s="75" t="inlineStr">
        <is>
          <t>Hooker</t>
        </is>
      </c>
      <c r="D146" s="79" t="n">
        <v>61</v>
      </c>
      <c r="E146" s="48" t="n"/>
      <c r="F146" s="79" t="n">
        <v>13</v>
      </c>
      <c r="G146" s="79" t="n">
        <v>0</v>
      </c>
      <c r="H146" s="79" t="n">
        <v>0</v>
      </c>
      <c r="I146" s="79" t="n">
        <v>8.6</v>
      </c>
      <c r="J146" s="79" t="n">
        <v>0</v>
      </c>
      <c r="K146" s="79" t="n">
        <v>0</v>
      </c>
      <c r="L146" s="79" t="n">
        <v>0</v>
      </c>
      <c r="M146" s="79" t="n">
        <v>0</v>
      </c>
      <c r="N146" s="79" t="n">
        <v>0</v>
      </c>
      <c r="O146" s="79" t="n">
        <v>0</v>
      </c>
      <c r="P146" s="79" t="n">
        <v>0</v>
      </c>
      <c r="Q146" s="79" t="n">
        <v>0</v>
      </c>
      <c r="R146" s="79" t="n">
        <v>0</v>
      </c>
      <c r="S146" s="79" t="n">
        <v>0</v>
      </c>
      <c r="T146" s="74" t="n">
        <v>21.6</v>
      </c>
      <c r="U146" s="79" t="n">
        <v>0</v>
      </c>
      <c r="V146" s="75" t="n">
        <v>0</v>
      </c>
      <c r="W146" s="49" t="n">
        <v>21.6</v>
      </c>
    </row>
  </sheetData>
  <autoFilter ref="A9:Z146"/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Z145"/>
  <sheetViews>
    <sheetView workbookViewId="0">
      <selection activeCell="G15" sqref="G15"/>
    </sheetView>
  </sheetViews>
  <sheetFormatPr baseColWidth="10" defaultColWidth="8.83203125" defaultRowHeight="15"/>
  <cols>
    <col width="11.33203125" customWidth="1" min="4" max="4"/>
  </cols>
  <sheetData>
    <row r="1" ht="31" customHeight="1" thickBot="1">
      <c r="K1" t="inlineStr">
        <is>
          <t>Win</t>
        </is>
      </c>
      <c r="L1" s="35" t="inlineStr">
        <is>
          <t>Tackles</t>
        </is>
      </c>
      <c r="M1" s="35" t="inlineStr">
        <is>
          <t>Dominant Tackles</t>
        </is>
      </c>
      <c r="N1" s="35" t="inlineStr">
        <is>
          <t>Line Breaks</t>
        </is>
      </c>
      <c r="O1" s="35" t="inlineStr">
        <is>
          <t>Metres Carried</t>
        </is>
      </c>
      <c r="P1" s="35" t="inlineStr">
        <is>
          <t>50-22</t>
        </is>
      </c>
      <c r="Q1" s="35" t="inlineStr">
        <is>
          <t>Lineout Steal</t>
        </is>
      </c>
      <c r="R1" s="35" t="inlineStr">
        <is>
          <t>Breakdown Steal</t>
        </is>
      </c>
      <c r="S1" s="35" t="inlineStr">
        <is>
          <t>Try</t>
        </is>
      </c>
      <c r="T1" s="35" t="inlineStr">
        <is>
          <t>Assists</t>
        </is>
      </c>
      <c r="U1" s="35" t="inlineStr">
        <is>
          <t>Conversion</t>
        </is>
      </c>
      <c r="V1" s="35" t="inlineStr">
        <is>
          <t>Penalty</t>
        </is>
      </c>
      <c r="W1" s="35" t="inlineStr">
        <is>
          <t>Drop Goal</t>
        </is>
      </c>
      <c r="X1" s="35" t="inlineStr">
        <is>
          <t>Yellow Card</t>
        </is>
      </c>
      <c r="Y1" s="35" t="inlineStr">
        <is>
          <t>Red Card</t>
        </is>
      </c>
      <c r="Z1" s="35" t="inlineStr">
        <is>
          <t>MOM</t>
        </is>
      </c>
    </row>
    <row r="2">
      <c r="B2" s="43" t="inlineStr">
        <is>
          <t>Scotland</t>
        </is>
      </c>
      <c r="C2" s="50" t="inlineStr">
        <is>
          <t>Loss</t>
        </is>
      </c>
      <c r="E2" s="43" t="inlineStr">
        <is>
          <t>Italy</t>
        </is>
      </c>
      <c r="F2" s="44" t="n">
        <v>20</v>
      </c>
      <c r="G2" s="44" t="n">
        <v>34</v>
      </c>
      <c r="H2" s="50" t="inlineStr">
        <is>
          <t>Ireland</t>
        </is>
      </c>
      <c r="J2" t="inlineStr">
        <is>
          <t>Points</t>
        </is>
      </c>
      <c r="K2" t="n">
        <v>8</v>
      </c>
      <c r="L2" t="n">
        <v>1</v>
      </c>
      <c r="M2" t="n">
        <v>7</v>
      </c>
      <c r="N2" t="n">
        <v>7</v>
      </c>
      <c r="O2" t="n">
        <v>0.2</v>
      </c>
      <c r="P2" t="n">
        <v>10</v>
      </c>
      <c r="Q2" t="n">
        <v>7</v>
      </c>
      <c r="R2" t="n">
        <v>7</v>
      </c>
      <c r="S2" t="n">
        <v>15</v>
      </c>
      <c r="T2" t="n">
        <v>7</v>
      </c>
      <c r="U2" t="n">
        <v>2</v>
      </c>
      <c r="V2" t="n">
        <v>5</v>
      </c>
      <c r="W2" t="n">
        <v>7</v>
      </c>
      <c r="X2" t="n">
        <v>-5</v>
      </c>
      <c r="Y2" t="n">
        <v>-10</v>
      </c>
      <c r="Z2" t="n">
        <v>15</v>
      </c>
    </row>
    <row r="3">
      <c r="B3" s="51" t="inlineStr">
        <is>
          <t>Wales</t>
        </is>
      </c>
      <c r="C3" s="52" t="inlineStr">
        <is>
          <t>Loss</t>
        </is>
      </c>
      <c r="E3" s="51" t="inlineStr">
        <is>
          <t>Wales</t>
        </is>
      </c>
      <c r="F3" t="n">
        <v>10</v>
      </c>
      <c r="G3" t="n">
        <v>20</v>
      </c>
      <c r="H3" s="52" t="inlineStr">
        <is>
          <t>England</t>
        </is>
      </c>
    </row>
    <row r="4" ht="16" customHeight="1" thickBot="1">
      <c r="B4" s="51" t="inlineStr">
        <is>
          <t>Ireland</t>
        </is>
      </c>
      <c r="C4" s="52" t="inlineStr">
        <is>
          <t>Win</t>
        </is>
      </c>
      <c r="E4" s="47" t="inlineStr">
        <is>
          <t>France</t>
        </is>
      </c>
      <c r="F4" s="48" t="n">
        <v>32</v>
      </c>
      <c r="G4" s="48" t="n">
        <v>21</v>
      </c>
      <c r="H4" s="49" t="inlineStr">
        <is>
          <t>Scotland</t>
        </is>
      </c>
    </row>
    <row r="5">
      <c r="B5" s="51" t="inlineStr">
        <is>
          <t>England</t>
        </is>
      </c>
      <c r="C5" s="52" t="inlineStr">
        <is>
          <t>Win</t>
        </is>
      </c>
    </row>
    <row r="6">
      <c r="B6" s="51" t="inlineStr">
        <is>
          <t>France</t>
        </is>
      </c>
      <c r="C6" s="52" t="inlineStr">
        <is>
          <t>Win</t>
        </is>
      </c>
    </row>
    <row r="7" ht="16" customHeight="1" thickBot="1">
      <c r="B7" s="47" t="inlineStr">
        <is>
          <t>Italy</t>
        </is>
      </c>
      <c r="C7" s="49" t="inlineStr">
        <is>
          <t>Loss</t>
        </is>
      </c>
    </row>
    <row r="8" ht="16" customHeight="1" thickBot="1"/>
    <row r="9" ht="31" customHeight="1" thickBot="1">
      <c r="A9" s="39" t="inlineStr">
        <is>
          <t>Name</t>
        </is>
      </c>
      <c r="B9" s="40" t="inlineStr">
        <is>
          <t>Nation</t>
        </is>
      </c>
      <c r="C9" s="40" t="inlineStr">
        <is>
          <t>Position</t>
        </is>
      </c>
      <c r="D9" s="40" t="inlineStr">
        <is>
          <t>Time Played</t>
        </is>
      </c>
      <c r="E9" s="40" t="n"/>
      <c r="F9" s="41" t="inlineStr">
        <is>
          <t>Tackles</t>
        </is>
      </c>
      <c r="G9" s="41" t="inlineStr">
        <is>
          <t>Dominant Tackles</t>
        </is>
      </c>
      <c r="H9" s="41" t="inlineStr">
        <is>
          <t>Line Breaks</t>
        </is>
      </c>
      <c r="I9" s="41" t="inlineStr">
        <is>
          <t>Metres Carried</t>
        </is>
      </c>
      <c r="J9" s="41" t="inlineStr">
        <is>
          <t>50-22</t>
        </is>
      </c>
      <c r="K9" s="41" t="inlineStr">
        <is>
          <t>Lineout Steal</t>
        </is>
      </c>
      <c r="L9" s="41" t="inlineStr">
        <is>
          <t>Breakdown Steal</t>
        </is>
      </c>
      <c r="M9" s="41" t="inlineStr">
        <is>
          <t>Try</t>
        </is>
      </c>
      <c r="N9" s="41" t="inlineStr">
        <is>
          <t>Assists</t>
        </is>
      </c>
      <c r="O9" s="41" t="inlineStr">
        <is>
          <t>Conversion</t>
        </is>
      </c>
      <c r="P9" s="41" t="inlineStr">
        <is>
          <t>Penalty</t>
        </is>
      </c>
      <c r="Q9" s="41" t="inlineStr">
        <is>
          <t>Drop Goal</t>
        </is>
      </c>
      <c r="R9" s="41" t="inlineStr">
        <is>
          <t>Yellow Card</t>
        </is>
      </c>
      <c r="S9" s="41" t="inlineStr">
        <is>
          <t>Red Card</t>
        </is>
      </c>
      <c r="T9" s="41" t="inlineStr">
        <is>
          <t>Game Total</t>
        </is>
      </c>
      <c r="U9" s="41" t="inlineStr">
        <is>
          <t>MoM</t>
        </is>
      </c>
      <c r="V9" s="41" t="inlineStr">
        <is>
          <t>Win Points</t>
        </is>
      </c>
      <c r="W9" s="42" t="inlineStr">
        <is>
          <t>Total Points</t>
        </is>
      </c>
    </row>
    <row r="10">
      <c r="A10" s="81" t="inlineStr">
        <is>
          <t>M. Hansen</t>
        </is>
      </c>
      <c r="B10" s="36">
        <f t="array" ref="B10:C10">_xlfn.XLOOKUP(A10,'Player List'!$A$2:$A$177,'Player List'!$B$2:$C$177)</f>
        <v/>
      </c>
      <c r="C10" s="36" t="inlineStr">
        <is>
          <t>Back Three</t>
        </is>
      </c>
      <c r="D10" s="37" t="n">
        <v>80</v>
      </c>
      <c r="F10" s="37" t="n">
        <v>2</v>
      </c>
      <c r="G10" s="37" t="n">
        <v>0</v>
      </c>
      <c r="H10" s="37" t="n">
        <v>21</v>
      </c>
      <c r="I10" s="37" t="n">
        <v>15</v>
      </c>
      <c r="J10" s="37" t="n">
        <v>0</v>
      </c>
      <c r="K10" s="37" t="n">
        <v>0</v>
      </c>
      <c r="L10" s="37" t="n">
        <v>7</v>
      </c>
      <c r="M10" s="37" t="n">
        <v>30</v>
      </c>
      <c r="N10" s="37" t="n">
        <v>0</v>
      </c>
      <c r="O10" s="37" t="n">
        <v>0</v>
      </c>
      <c r="P10" s="37" t="n">
        <v>0</v>
      </c>
      <c r="Q10" s="37" t="n">
        <v>0</v>
      </c>
      <c r="R10" s="37" t="n">
        <v>0</v>
      </c>
      <c r="S10" s="37" t="n">
        <v>0</v>
      </c>
      <c r="T10" s="38" t="n">
        <v>75</v>
      </c>
      <c r="U10" s="37" t="n">
        <v>15</v>
      </c>
      <c r="V10" s="36" t="n">
        <v>0</v>
      </c>
      <c r="W10" s="52" t="n">
        <v>90</v>
      </c>
    </row>
    <row r="11">
      <c r="A11" s="81" t="inlineStr">
        <is>
          <t>H. Keenan</t>
        </is>
      </c>
      <c r="B11" s="36">
        <f t="array" ref="B11:C11">_xlfn.XLOOKUP(A11,'Player List'!$A$2:$A$177,'Player List'!$B$2:$C$177)</f>
        <v/>
      </c>
      <c r="C11" s="36" t="inlineStr">
        <is>
          <t>Back Three</t>
        </is>
      </c>
      <c r="D11" s="37" t="n">
        <v>80</v>
      </c>
      <c r="F11" s="37" t="n">
        <v>3</v>
      </c>
      <c r="G11" s="37" t="n">
        <v>7</v>
      </c>
      <c r="H11" s="37" t="n">
        <v>0</v>
      </c>
      <c r="I11" s="37" t="n">
        <v>24.8</v>
      </c>
      <c r="J11" s="37" t="n">
        <v>0</v>
      </c>
      <c r="K11" s="37" t="n">
        <v>0</v>
      </c>
      <c r="L11" s="37" t="n">
        <v>0</v>
      </c>
      <c r="M11" s="37" t="n">
        <v>15</v>
      </c>
      <c r="N11" s="37" t="n">
        <v>0</v>
      </c>
      <c r="O11" s="37" t="n">
        <v>0</v>
      </c>
      <c r="P11" s="37" t="n">
        <v>0</v>
      </c>
      <c r="Q11" s="37" t="n">
        <v>0</v>
      </c>
      <c r="R11" s="37" t="n">
        <v>0</v>
      </c>
      <c r="S11" s="37" t="n">
        <v>0</v>
      </c>
      <c r="T11" s="38" t="n">
        <v>49.8</v>
      </c>
      <c r="U11" s="37" t="n">
        <v>0</v>
      </c>
      <c r="V11" s="36" t="n">
        <v>0</v>
      </c>
      <c r="W11" s="52" t="n">
        <v>49.8</v>
      </c>
    </row>
    <row r="12">
      <c r="A12" s="81" t="inlineStr">
        <is>
          <t>J. Lowe</t>
        </is>
      </c>
      <c r="B12" s="36">
        <f t="array" ref="B12:C12">_xlfn.XLOOKUP(A12,'Player List'!$A$2:$A$177,'Player List'!$B$2:$C$177)</f>
        <v/>
      </c>
      <c r="C12" s="36" t="inlineStr">
        <is>
          <t>Back Three</t>
        </is>
      </c>
      <c r="D12" s="37" t="n">
        <v>80</v>
      </c>
      <c r="F12" s="37" t="n">
        <v>1</v>
      </c>
      <c r="G12" s="37" t="n">
        <v>14</v>
      </c>
      <c r="H12" s="37" t="n">
        <v>28</v>
      </c>
      <c r="I12" s="37" t="n">
        <v>26.2</v>
      </c>
      <c r="J12" s="37" t="n">
        <v>0</v>
      </c>
      <c r="K12" s="37" t="n">
        <v>0</v>
      </c>
      <c r="L12" s="37" t="n">
        <v>0</v>
      </c>
      <c r="M12" s="37" t="n">
        <v>0</v>
      </c>
      <c r="N12" s="37" t="n">
        <v>14</v>
      </c>
      <c r="O12" s="37" t="n">
        <v>0</v>
      </c>
      <c r="P12" s="37" t="n">
        <v>0</v>
      </c>
      <c r="Q12" s="37" t="n">
        <v>0</v>
      </c>
      <c r="R12" s="37" t="n">
        <v>0</v>
      </c>
      <c r="S12" s="37" t="n">
        <v>0</v>
      </c>
      <c r="T12" s="38" t="n">
        <v>83.2</v>
      </c>
      <c r="U12" s="37" t="n">
        <v>0</v>
      </c>
      <c r="V12" s="36" t="n">
        <v>0</v>
      </c>
      <c r="W12" s="52" t="n">
        <v>83.2</v>
      </c>
    </row>
    <row r="13">
      <c r="A13" s="81" t="inlineStr">
        <is>
          <t>J. O'Brien</t>
        </is>
      </c>
      <c r="B13" s="36">
        <f t="array" ref="B13:C13">_xlfn.XLOOKUP(A13,'Player List'!$A$2:$A$177,'Player List'!$B$2:$C$177)</f>
        <v/>
      </c>
      <c r="C13" s="36" t="inlineStr">
        <is>
          <t>Back Three</t>
        </is>
      </c>
      <c r="D13" s="37" t="n">
        <v>8</v>
      </c>
      <c r="F13" s="37" t="n">
        <v>0</v>
      </c>
      <c r="G13" s="37" t="n">
        <v>0</v>
      </c>
      <c r="H13" s="37" t="n">
        <v>0</v>
      </c>
      <c r="I13" s="37" t="n">
        <v>0</v>
      </c>
      <c r="J13" s="37" t="n">
        <v>0</v>
      </c>
      <c r="K13" s="37" t="n">
        <v>0</v>
      </c>
      <c r="L13" s="37" t="n">
        <v>0</v>
      </c>
      <c r="M13" s="37" t="n">
        <v>0</v>
      </c>
      <c r="N13" s="37" t="n">
        <v>0</v>
      </c>
      <c r="O13" s="37" t="n">
        <v>0</v>
      </c>
      <c r="P13" s="37" t="n">
        <v>0</v>
      </c>
      <c r="Q13" s="37" t="n">
        <v>0</v>
      </c>
      <c r="R13" s="37" t="n">
        <v>0</v>
      </c>
      <c r="S13" s="37" t="n">
        <v>0</v>
      </c>
      <c r="T13" s="38" t="n">
        <v>0</v>
      </c>
      <c r="U13" s="37" t="n">
        <v>0</v>
      </c>
      <c r="V13" s="36" t="n">
        <v>0</v>
      </c>
      <c r="W13" s="52" t="n">
        <v>0</v>
      </c>
    </row>
    <row r="14">
      <c r="A14" s="81" t="inlineStr">
        <is>
          <t>B. Aki</t>
        </is>
      </c>
      <c r="B14" s="36">
        <f t="array" ref="B14:C14">_xlfn.XLOOKUP(A14,'Player List'!$A$2:$A$177,'Player List'!$B$2:$C$177)</f>
        <v/>
      </c>
      <c r="C14" s="36" t="inlineStr">
        <is>
          <t>Centre</t>
        </is>
      </c>
      <c r="D14" s="37" t="n">
        <v>80</v>
      </c>
      <c r="F14" s="37" t="n">
        <v>7</v>
      </c>
      <c r="G14" s="37" t="n">
        <v>0</v>
      </c>
      <c r="H14" s="37" t="n">
        <v>7</v>
      </c>
      <c r="I14" s="37" t="n">
        <v>21.4</v>
      </c>
      <c r="J14" s="37" t="n">
        <v>0</v>
      </c>
      <c r="K14" s="37" t="n">
        <v>0</v>
      </c>
      <c r="L14" s="37" t="n">
        <v>7</v>
      </c>
      <c r="M14" s="37" t="n">
        <v>15</v>
      </c>
      <c r="N14" s="37" t="n">
        <v>7</v>
      </c>
      <c r="O14" s="37" t="n">
        <v>0</v>
      </c>
      <c r="P14" s="37" t="n">
        <v>0</v>
      </c>
      <c r="Q14" s="37" t="n">
        <v>0</v>
      </c>
      <c r="R14" s="37" t="n">
        <v>0</v>
      </c>
      <c r="S14" s="37" t="n">
        <v>0</v>
      </c>
      <c r="T14" s="38" t="n">
        <v>64.40000000000001</v>
      </c>
      <c r="U14" s="37" t="n">
        <v>0</v>
      </c>
      <c r="V14" s="36" t="n">
        <v>0</v>
      </c>
      <c r="W14" s="52" t="n">
        <v>64.40000000000001</v>
      </c>
    </row>
    <row r="15">
      <c r="A15" s="81" t="inlineStr">
        <is>
          <t>S. McCloskey</t>
        </is>
      </c>
      <c r="B15" s="36">
        <f t="array" ref="B15:C15">_xlfn.XLOOKUP(A15,'Player List'!$A$2:$A$177,'Player List'!$B$2:$C$177)</f>
        <v/>
      </c>
      <c r="C15" s="36" t="inlineStr">
        <is>
          <t>Centre</t>
        </is>
      </c>
      <c r="D15" s="37" t="n">
        <v>72</v>
      </c>
      <c r="F15" s="37" t="n">
        <v>14</v>
      </c>
      <c r="G15" s="37" t="n">
        <v>0</v>
      </c>
      <c r="H15" s="37" t="n">
        <v>0</v>
      </c>
      <c r="I15" s="37" t="n">
        <v>13.8</v>
      </c>
      <c r="J15" s="37" t="n">
        <v>0</v>
      </c>
      <c r="K15" s="37" t="n">
        <v>0</v>
      </c>
      <c r="L15" s="37" t="n">
        <v>0</v>
      </c>
      <c r="M15" s="37" t="n">
        <v>0</v>
      </c>
      <c r="N15" s="37" t="n">
        <v>7</v>
      </c>
      <c r="O15" s="37" t="n">
        <v>0</v>
      </c>
      <c r="P15" s="37" t="n">
        <v>0</v>
      </c>
      <c r="Q15" s="37" t="n">
        <v>0</v>
      </c>
      <c r="R15" s="37" t="n">
        <v>0</v>
      </c>
      <c r="S15" s="37" t="n">
        <v>0</v>
      </c>
      <c r="T15" s="38" t="n">
        <v>34.8</v>
      </c>
      <c r="U15" s="37" t="n">
        <v>0</v>
      </c>
      <c r="V15" s="36" t="n">
        <v>0</v>
      </c>
      <c r="W15" s="52" t="n">
        <v>34.8</v>
      </c>
    </row>
    <row r="16">
      <c r="A16" s="81" t="inlineStr">
        <is>
          <t>R. Byrne</t>
        </is>
      </c>
      <c r="B16" s="36">
        <f t="array" ref="B16:C16">_xlfn.XLOOKUP(A16,'Player List'!$A$2:$A$177,'Player List'!$B$2:$C$177)</f>
        <v/>
      </c>
      <c r="C16" s="36" t="inlineStr">
        <is>
          <t>Fly Half</t>
        </is>
      </c>
      <c r="D16" s="37" t="n">
        <v>78</v>
      </c>
      <c r="F16" s="37" t="n">
        <v>4</v>
      </c>
      <c r="G16" s="37" t="n">
        <v>0</v>
      </c>
      <c r="H16" s="37" t="n">
        <v>0</v>
      </c>
      <c r="I16" s="37" t="n">
        <v>2.4</v>
      </c>
      <c r="J16" s="37" t="n">
        <v>0</v>
      </c>
      <c r="K16" s="37" t="n">
        <v>0</v>
      </c>
      <c r="L16" s="37" t="n">
        <v>0</v>
      </c>
      <c r="M16" s="37" t="n">
        <v>0</v>
      </c>
      <c r="N16" s="37" t="n">
        <v>0</v>
      </c>
      <c r="O16" s="37" t="n">
        <v>6</v>
      </c>
      <c r="P16" s="37" t="n">
        <v>5</v>
      </c>
      <c r="Q16" s="37" t="n">
        <v>0</v>
      </c>
      <c r="R16" s="37" t="n">
        <v>0</v>
      </c>
      <c r="S16" s="37" t="n">
        <v>0</v>
      </c>
      <c r="T16" s="38" t="n">
        <v>17.4</v>
      </c>
      <c r="U16" s="37" t="n">
        <v>0</v>
      </c>
      <c r="V16" s="36" t="n">
        <v>0</v>
      </c>
      <c r="W16" s="52" t="n">
        <v>17.4</v>
      </c>
    </row>
    <row r="17">
      <c r="A17" s="81" t="inlineStr">
        <is>
          <t>J. Crowley</t>
        </is>
      </c>
      <c r="B17" s="36">
        <f t="array" ref="B17:C17">_xlfn.XLOOKUP(A17,'Player List'!$A$2:$A$177,'Player List'!$B$2:$C$177)</f>
        <v/>
      </c>
      <c r="C17" s="36" t="inlineStr">
        <is>
          <t>Fly Half</t>
        </is>
      </c>
      <c r="D17" s="37" t="n">
        <v>2</v>
      </c>
      <c r="F17" s="37" t="n">
        <v>2</v>
      </c>
      <c r="G17" s="37" t="n">
        <v>0</v>
      </c>
      <c r="H17" s="37" t="n">
        <v>0</v>
      </c>
      <c r="I17" s="37" t="n">
        <v>0</v>
      </c>
      <c r="J17" s="37" t="n">
        <v>0</v>
      </c>
      <c r="K17" s="37" t="n">
        <v>0</v>
      </c>
      <c r="L17" s="37" t="n">
        <v>0</v>
      </c>
      <c r="M17" s="37" t="n">
        <v>0</v>
      </c>
      <c r="N17" s="37" t="n">
        <v>0</v>
      </c>
      <c r="O17" s="37" t="n">
        <v>0</v>
      </c>
      <c r="P17" s="37" t="n">
        <v>0</v>
      </c>
      <c r="Q17" s="37" t="n">
        <v>0</v>
      </c>
      <c r="R17" s="37" t="n">
        <v>0</v>
      </c>
      <c r="S17" s="37" t="n">
        <v>0</v>
      </c>
      <c r="T17" s="38" t="n">
        <v>2</v>
      </c>
      <c r="U17" s="37" t="n">
        <v>0</v>
      </c>
      <c r="V17" s="36" t="n">
        <v>0</v>
      </c>
      <c r="W17" s="52" t="n">
        <v>2</v>
      </c>
    </row>
    <row r="18">
      <c r="A18" s="81" t="inlineStr">
        <is>
          <t>C. Casey</t>
        </is>
      </c>
      <c r="B18" s="36">
        <f t="array" ref="B18:C18">_xlfn.XLOOKUP(A18,'Player List'!$A$2:$A$177,'Player List'!$B$2:$C$177)</f>
        <v/>
      </c>
      <c r="C18" s="36" t="inlineStr">
        <is>
          <t>Scrum Half</t>
        </is>
      </c>
      <c r="D18" s="37" t="n">
        <v>65</v>
      </c>
      <c r="F18" s="37" t="n">
        <v>2</v>
      </c>
      <c r="G18" s="37" t="n">
        <v>0</v>
      </c>
      <c r="H18" s="37" t="n">
        <v>0</v>
      </c>
      <c r="I18" s="37" t="n">
        <v>0.8</v>
      </c>
      <c r="J18" s="37" t="n">
        <v>0</v>
      </c>
      <c r="K18" s="37" t="n">
        <v>0</v>
      </c>
      <c r="L18" s="37" t="n">
        <v>0</v>
      </c>
      <c r="M18" s="37" t="n">
        <v>0</v>
      </c>
      <c r="N18" s="37" t="n">
        <v>0</v>
      </c>
      <c r="O18" s="37" t="n">
        <v>0</v>
      </c>
      <c r="P18" s="37" t="n">
        <v>0</v>
      </c>
      <c r="Q18" s="37" t="n">
        <v>0</v>
      </c>
      <c r="R18" s="37" t="n">
        <v>0</v>
      </c>
      <c r="S18" s="37" t="n">
        <v>0</v>
      </c>
      <c r="T18" s="38" t="n">
        <v>2.8</v>
      </c>
      <c r="U18" s="37" t="n">
        <v>0</v>
      </c>
      <c r="V18" s="36" t="n">
        <v>0</v>
      </c>
      <c r="W18" s="52" t="n">
        <v>2.8</v>
      </c>
    </row>
    <row r="19">
      <c r="A19" s="81" t="inlineStr">
        <is>
          <t>C. Murray</t>
        </is>
      </c>
      <c r="B19" s="36">
        <f t="array" ref="B19:C19">_xlfn.XLOOKUP(A19,'Player List'!$A$2:$A$177,'Player List'!$B$2:$C$177)</f>
        <v/>
      </c>
      <c r="C19" s="36" t="inlineStr">
        <is>
          <t>Scrum Half</t>
        </is>
      </c>
      <c r="D19" s="37" t="n">
        <v>15</v>
      </c>
      <c r="F19" s="37" t="n">
        <v>1</v>
      </c>
      <c r="G19" s="37" t="n">
        <v>0</v>
      </c>
      <c r="H19" s="37" t="n">
        <v>0</v>
      </c>
      <c r="I19" s="37" t="n">
        <v>1.2</v>
      </c>
      <c r="J19" s="37" t="n">
        <v>0</v>
      </c>
      <c r="K19" s="37" t="n">
        <v>0</v>
      </c>
      <c r="L19" s="37" t="n">
        <v>0</v>
      </c>
      <c r="M19" s="37" t="n">
        <v>0</v>
      </c>
      <c r="N19" s="37" t="n">
        <v>7</v>
      </c>
      <c r="O19" s="37" t="n">
        <v>0</v>
      </c>
      <c r="P19" s="37" t="n">
        <v>0</v>
      </c>
      <c r="Q19" s="37" t="n">
        <v>0</v>
      </c>
      <c r="R19" s="37" t="n">
        <v>0</v>
      </c>
      <c r="S19" s="37" t="n">
        <v>0</v>
      </c>
      <c r="T19" s="38" t="n">
        <v>9.199999999999999</v>
      </c>
      <c r="U19" s="37" t="n">
        <v>0</v>
      </c>
      <c r="V19" s="36" t="n">
        <v>0</v>
      </c>
      <c r="W19" s="52" t="n">
        <v>9.199999999999999</v>
      </c>
    </row>
    <row r="20">
      <c r="A20" s="81" t="inlineStr">
        <is>
          <t>J. Conan</t>
        </is>
      </c>
      <c r="B20" s="36">
        <f t="array" ref="B20:C20">_xlfn.XLOOKUP(A20,'Player List'!$A$2:$A$177,'Player List'!$B$2:$C$177)</f>
        <v/>
      </c>
      <c r="C20" s="36" t="inlineStr">
        <is>
          <t>Back Row</t>
        </is>
      </c>
      <c r="D20" s="37" t="n">
        <v>56</v>
      </c>
      <c r="F20" s="37" t="n">
        <v>4</v>
      </c>
      <c r="G20" s="37" t="n">
        <v>0</v>
      </c>
      <c r="H20" s="37" t="n">
        <v>0</v>
      </c>
      <c r="I20" s="37" t="n">
        <v>8.4</v>
      </c>
      <c r="J20" s="37" t="n">
        <v>0</v>
      </c>
      <c r="K20" s="37" t="n">
        <v>0</v>
      </c>
      <c r="L20" s="37" t="n">
        <v>0</v>
      </c>
      <c r="M20" s="37" t="n">
        <v>0</v>
      </c>
      <c r="N20" s="37" t="n">
        <v>0</v>
      </c>
      <c r="O20" s="37" t="n">
        <v>0</v>
      </c>
      <c r="P20" s="37" t="n">
        <v>0</v>
      </c>
      <c r="Q20" s="37" t="n">
        <v>0</v>
      </c>
      <c r="R20" s="37" t="n">
        <v>0</v>
      </c>
      <c r="S20" s="37" t="n">
        <v>0</v>
      </c>
      <c r="T20" s="38" t="n">
        <v>12.4</v>
      </c>
      <c r="U20" s="37" t="n">
        <v>0</v>
      </c>
      <c r="V20" s="36" t="n">
        <v>0</v>
      </c>
      <c r="W20" s="52" t="n">
        <v>12.4</v>
      </c>
    </row>
    <row r="21">
      <c r="A21" s="81" t="inlineStr">
        <is>
          <t>C. Doris</t>
        </is>
      </c>
      <c r="B21" s="36">
        <f t="array" ref="B21:C21">_xlfn.XLOOKUP(A21,'Player List'!$A$2:$A$177,'Player List'!$B$2:$C$177)</f>
        <v/>
      </c>
      <c r="C21" s="36" t="inlineStr">
        <is>
          <t>Back Row</t>
        </is>
      </c>
      <c r="D21" s="37" t="n">
        <v>80</v>
      </c>
      <c r="F21" s="37" t="n">
        <v>10</v>
      </c>
      <c r="G21" s="37" t="n">
        <v>7</v>
      </c>
      <c r="H21" s="37" t="n">
        <v>0</v>
      </c>
      <c r="I21" s="37" t="n">
        <v>8.6</v>
      </c>
      <c r="J21" s="37" t="n">
        <v>0</v>
      </c>
      <c r="K21" s="37" t="n">
        <v>0</v>
      </c>
      <c r="L21" s="37" t="n">
        <v>7</v>
      </c>
      <c r="M21" s="37" t="n">
        <v>0</v>
      </c>
      <c r="N21" s="37" t="n">
        <v>0</v>
      </c>
      <c r="O21" s="37" t="n">
        <v>0</v>
      </c>
      <c r="P21" s="37" t="n">
        <v>0</v>
      </c>
      <c r="Q21" s="37" t="n">
        <v>0</v>
      </c>
      <c r="R21" s="37" t="n">
        <v>0</v>
      </c>
      <c r="S21" s="37" t="n">
        <v>0</v>
      </c>
      <c r="T21" s="38" t="n">
        <v>32.6</v>
      </c>
      <c r="U21" s="37" t="n">
        <v>0</v>
      </c>
      <c r="V21" s="36" t="n">
        <v>0</v>
      </c>
      <c r="W21" s="52" t="n">
        <v>32.6</v>
      </c>
    </row>
    <row r="22">
      <c r="A22" s="81" t="inlineStr">
        <is>
          <t>P. O'Mahony</t>
        </is>
      </c>
      <c r="B22" s="36">
        <f t="array" ref="B22:C22">_xlfn.XLOOKUP(A22,'Player List'!$A$2:$A$177,'Player List'!$B$2:$C$177)</f>
        <v/>
      </c>
      <c r="C22" s="36" t="inlineStr">
        <is>
          <t>Back Row</t>
        </is>
      </c>
      <c r="D22" s="37" t="n">
        <v>24</v>
      </c>
      <c r="F22" s="37" t="n">
        <v>4</v>
      </c>
      <c r="G22" s="37" t="n">
        <v>7</v>
      </c>
      <c r="H22" s="37" t="n">
        <v>0</v>
      </c>
      <c r="I22" s="37" t="n">
        <v>0.8</v>
      </c>
      <c r="J22" s="37" t="n">
        <v>0</v>
      </c>
      <c r="K22" s="37" t="n">
        <v>0</v>
      </c>
      <c r="L22" s="37" t="n">
        <v>0</v>
      </c>
      <c r="M22" s="37" t="n">
        <v>0</v>
      </c>
      <c r="N22" s="37" t="n">
        <v>0</v>
      </c>
      <c r="O22" s="37" t="n">
        <v>0</v>
      </c>
      <c r="P22" s="37" t="n">
        <v>0</v>
      </c>
      <c r="Q22" s="37" t="n">
        <v>0</v>
      </c>
      <c r="R22" s="37" t="n">
        <v>0</v>
      </c>
      <c r="S22" s="37" t="n">
        <v>0</v>
      </c>
      <c r="T22" s="38" t="n">
        <v>11.8</v>
      </c>
      <c r="U22" s="37" t="n">
        <v>0</v>
      </c>
      <c r="V22" s="36" t="n">
        <v>0</v>
      </c>
      <c r="W22" s="52" t="n">
        <v>11.8</v>
      </c>
    </row>
    <row r="23">
      <c r="A23" s="81" t="inlineStr">
        <is>
          <t>J. van der Flier</t>
        </is>
      </c>
      <c r="B23" s="36">
        <f t="array" ref="B23:C23">_xlfn.XLOOKUP(A23,'Player List'!$A$2:$A$177,'Player List'!$B$2:$C$177)</f>
        <v/>
      </c>
      <c r="C23" s="36" t="inlineStr">
        <is>
          <t>Back Row</t>
        </is>
      </c>
      <c r="D23" s="37" t="n">
        <v>80</v>
      </c>
      <c r="F23" s="37" t="n">
        <v>12</v>
      </c>
      <c r="G23" s="37" t="n">
        <v>0</v>
      </c>
      <c r="H23" s="37" t="n">
        <v>7</v>
      </c>
      <c r="I23" s="37" t="n">
        <v>10.4</v>
      </c>
      <c r="J23" s="37" t="n">
        <v>0</v>
      </c>
      <c r="K23" s="37" t="n">
        <v>0</v>
      </c>
      <c r="L23" s="37" t="n">
        <v>0</v>
      </c>
      <c r="M23" s="37" t="n">
        <v>0</v>
      </c>
      <c r="N23" s="37" t="n">
        <v>0</v>
      </c>
      <c r="O23" s="37" t="n">
        <v>0</v>
      </c>
      <c r="P23" s="37" t="n">
        <v>0</v>
      </c>
      <c r="Q23" s="37" t="n">
        <v>0</v>
      </c>
      <c r="R23" s="37" t="n">
        <v>0</v>
      </c>
      <c r="S23" s="37" t="n">
        <v>0</v>
      </c>
      <c r="T23" s="38" t="n">
        <v>29.4</v>
      </c>
      <c r="U23" s="37" t="n">
        <v>0</v>
      </c>
      <c r="V23" s="36" t="n">
        <v>0</v>
      </c>
      <c r="W23" s="52" t="n">
        <v>29.4</v>
      </c>
    </row>
    <row r="24">
      <c r="A24" s="81" t="inlineStr">
        <is>
          <t>R. Baird</t>
        </is>
      </c>
      <c r="B24" s="36">
        <f t="array" ref="B24:C24">_xlfn.XLOOKUP(A24,'Player List'!$A$2:$A$177,'Player List'!$B$2:$C$177)</f>
        <v/>
      </c>
      <c r="C24" s="36" t="inlineStr">
        <is>
          <t>Second Row</t>
        </is>
      </c>
      <c r="D24" s="37" t="n">
        <v>28</v>
      </c>
      <c r="F24" s="37" t="n">
        <v>1</v>
      </c>
      <c r="G24" s="37" t="n">
        <v>7</v>
      </c>
      <c r="H24" s="37" t="n">
        <v>0</v>
      </c>
      <c r="I24" s="37" t="n">
        <v>1.6</v>
      </c>
      <c r="J24" s="37" t="n">
        <v>0</v>
      </c>
      <c r="K24" s="37" t="n">
        <v>7</v>
      </c>
      <c r="L24" s="37" t="n">
        <v>7</v>
      </c>
      <c r="M24" s="37" t="n">
        <v>0</v>
      </c>
      <c r="N24" s="37" t="n">
        <v>0</v>
      </c>
      <c r="O24" s="37" t="n">
        <v>0</v>
      </c>
      <c r="P24" s="37" t="n">
        <v>0</v>
      </c>
      <c r="Q24" s="37" t="n">
        <v>0</v>
      </c>
      <c r="R24" s="37" t="n">
        <v>0</v>
      </c>
      <c r="S24" s="37" t="n">
        <v>0</v>
      </c>
      <c r="T24" s="38" t="n">
        <v>23.6</v>
      </c>
      <c r="U24" s="37" t="n">
        <v>0</v>
      </c>
      <c r="V24" s="36" t="n">
        <v>0</v>
      </c>
      <c r="W24" s="52" t="n">
        <v>23.6</v>
      </c>
    </row>
    <row r="25">
      <c r="A25" s="81" t="inlineStr">
        <is>
          <t>I. Henderson</t>
        </is>
      </c>
      <c r="B25" s="36">
        <f t="array" ref="B25:C25">_xlfn.XLOOKUP(A25,'Player List'!$A$2:$A$177,'Player List'!$B$2:$C$177)</f>
        <v/>
      </c>
      <c r="C25" s="36" t="inlineStr">
        <is>
          <t>Second Row</t>
        </is>
      </c>
      <c r="D25" s="37" t="n">
        <v>52</v>
      </c>
      <c r="F25" s="37" t="n">
        <v>7</v>
      </c>
      <c r="G25" s="37" t="n">
        <v>0</v>
      </c>
      <c r="H25" s="37" t="n">
        <v>0</v>
      </c>
      <c r="I25" s="37" t="n">
        <v>2.6</v>
      </c>
      <c r="J25" s="37" t="n">
        <v>0</v>
      </c>
      <c r="K25" s="37" t="n">
        <v>0</v>
      </c>
      <c r="L25" s="37" t="n">
        <v>0</v>
      </c>
      <c r="M25" s="37" t="n">
        <v>0</v>
      </c>
      <c r="N25" s="37" t="n">
        <v>0</v>
      </c>
      <c r="O25" s="37" t="n">
        <v>0</v>
      </c>
      <c r="P25" s="37" t="n">
        <v>0</v>
      </c>
      <c r="Q25" s="37" t="n">
        <v>0</v>
      </c>
      <c r="R25" s="37" t="n">
        <v>0</v>
      </c>
      <c r="S25" s="37" t="n">
        <v>0</v>
      </c>
      <c r="T25" s="38" t="n">
        <v>9.6</v>
      </c>
      <c r="U25" s="37" t="n">
        <v>0</v>
      </c>
      <c r="V25" s="36" t="n">
        <v>0</v>
      </c>
      <c r="W25" s="52" t="n">
        <v>9.6</v>
      </c>
    </row>
    <row r="26">
      <c r="A26" s="81" t="inlineStr">
        <is>
          <t>J. Ryan</t>
        </is>
      </c>
      <c r="B26" s="36">
        <f t="array" ref="B26:C26">_xlfn.XLOOKUP(A26,'Player List'!$A$2:$A$177,'Player List'!$B$2:$C$177)</f>
        <v/>
      </c>
      <c r="C26" s="36" t="inlineStr">
        <is>
          <t>Second Row</t>
        </is>
      </c>
      <c r="D26" s="37" t="n">
        <v>80</v>
      </c>
      <c r="F26" s="37" t="n">
        <v>9</v>
      </c>
      <c r="G26" s="37" t="n">
        <v>7</v>
      </c>
      <c r="H26" s="37" t="n">
        <v>0</v>
      </c>
      <c r="I26" s="37" t="n">
        <v>10.6</v>
      </c>
      <c r="J26" s="37" t="n">
        <v>0</v>
      </c>
      <c r="K26" s="37" t="n">
        <v>0</v>
      </c>
      <c r="L26" s="37" t="n">
        <v>0</v>
      </c>
      <c r="M26" s="37" t="n">
        <v>15</v>
      </c>
      <c r="N26" s="37" t="n">
        <v>0</v>
      </c>
      <c r="O26" s="37" t="n">
        <v>0</v>
      </c>
      <c r="P26" s="37" t="n">
        <v>0</v>
      </c>
      <c r="Q26" s="37" t="n">
        <v>0</v>
      </c>
      <c r="R26" s="37" t="n">
        <v>0</v>
      </c>
      <c r="S26" s="37" t="n">
        <v>0</v>
      </c>
      <c r="T26" s="38" t="n">
        <v>41.6</v>
      </c>
      <c r="U26" s="37" t="n">
        <v>0</v>
      </c>
      <c r="V26" s="36" t="n">
        <v>0</v>
      </c>
      <c r="W26" s="52" t="n">
        <v>41.6</v>
      </c>
    </row>
    <row r="27">
      <c r="A27" s="81" t="inlineStr">
        <is>
          <t>F. Bealham</t>
        </is>
      </c>
      <c r="B27" s="36">
        <f t="array" ref="B27:C27">_xlfn.XLOOKUP(A27,'Player List'!$A$2:$A$177,'Player List'!$B$2:$C$177)</f>
        <v/>
      </c>
      <c r="C27" s="36" t="inlineStr">
        <is>
          <t>Prop</t>
        </is>
      </c>
      <c r="D27" s="37" t="n">
        <v>37</v>
      </c>
      <c r="F27" s="37" t="n">
        <v>2</v>
      </c>
      <c r="G27" s="37" t="n">
        <v>7</v>
      </c>
      <c r="H27" s="37" t="n">
        <v>0</v>
      </c>
      <c r="I27" s="37" t="n">
        <v>0.2</v>
      </c>
      <c r="J27" s="37" t="n">
        <v>0</v>
      </c>
      <c r="K27" s="37" t="n">
        <v>0</v>
      </c>
      <c r="L27" s="37" t="n">
        <v>0</v>
      </c>
      <c r="M27" s="37" t="n">
        <v>0</v>
      </c>
      <c r="N27" s="37" t="n">
        <v>0</v>
      </c>
      <c r="O27" s="37" t="n">
        <v>0</v>
      </c>
      <c r="P27" s="37" t="n">
        <v>0</v>
      </c>
      <c r="Q27" s="37" t="n">
        <v>0</v>
      </c>
      <c r="R27" s="37" t="n">
        <v>0</v>
      </c>
      <c r="S27" s="37" t="n">
        <v>0</v>
      </c>
      <c r="T27" s="38" t="n">
        <v>9.199999999999999</v>
      </c>
      <c r="U27" s="37" t="n">
        <v>0</v>
      </c>
      <c r="V27" s="36" t="n">
        <v>0</v>
      </c>
      <c r="W27" s="52" t="n">
        <v>9.199999999999999</v>
      </c>
    </row>
    <row r="28">
      <c r="A28" s="81" t="inlineStr">
        <is>
          <t>D. Kilcoyne</t>
        </is>
      </c>
      <c r="B28" s="36">
        <f t="array" ref="B28:C28">_xlfn.XLOOKUP(A28,'Player List'!$A$2:$A$177,'Player List'!$B$2:$C$177)</f>
        <v/>
      </c>
      <c r="C28" s="36" t="inlineStr">
        <is>
          <t>Prop</t>
        </is>
      </c>
      <c r="D28" s="37" t="n">
        <v>15</v>
      </c>
      <c r="F28" s="37" t="n">
        <v>0</v>
      </c>
      <c r="G28" s="37" t="n">
        <v>7</v>
      </c>
      <c r="H28" s="37" t="n">
        <v>0</v>
      </c>
      <c r="I28" s="37" t="n">
        <v>1.4</v>
      </c>
      <c r="J28" s="37" t="n">
        <v>0</v>
      </c>
      <c r="K28" s="37" t="n">
        <v>0</v>
      </c>
      <c r="L28" s="37" t="n">
        <v>0</v>
      </c>
      <c r="M28" s="37" t="n">
        <v>0</v>
      </c>
      <c r="N28" s="37" t="n">
        <v>0</v>
      </c>
      <c r="O28" s="37" t="n">
        <v>0</v>
      </c>
      <c r="P28" s="37" t="n">
        <v>0</v>
      </c>
      <c r="Q28" s="37" t="n">
        <v>0</v>
      </c>
      <c r="R28" s="37" t="n">
        <v>0</v>
      </c>
      <c r="S28" s="37" t="n">
        <v>0</v>
      </c>
      <c r="T28" s="38" t="n">
        <v>8.4</v>
      </c>
      <c r="U28" s="37" t="n">
        <v>0</v>
      </c>
      <c r="V28" s="36" t="n">
        <v>0</v>
      </c>
      <c r="W28" s="52" t="n">
        <v>8.4</v>
      </c>
    </row>
    <row r="29">
      <c r="A29" s="81" t="inlineStr">
        <is>
          <t>T. O'Toole</t>
        </is>
      </c>
      <c r="B29" s="36">
        <f t="array" ref="B29:C29">_xlfn.XLOOKUP(A29,'Player List'!$A$2:$A$177,'Player List'!$B$2:$C$177)</f>
        <v/>
      </c>
      <c r="C29" s="36" t="inlineStr">
        <is>
          <t>Prop</t>
        </is>
      </c>
      <c r="D29" s="37" t="n">
        <v>43</v>
      </c>
      <c r="F29" s="37" t="n">
        <v>6</v>
      </c>
      <c r="G29" s="37" t="n">
        <v>0</v>
      </c>
      <c r="H29" s="37" t="n">
        <v>0</v>
      </c>
      <c r="I29" s="37" t="n">
        <v>4.8</v>
      </c>
      <c r="J29" s="37" t="n">
        <v>0</v>
      </c>
      <c r="K29" s="37" t="n">
        <v>0</v>
      </c>
      <c r="L29" s="37" t="n">
        <v>7</v>
      </c>
      <c r="M29" s="37" t="n">
        <v>0</v>
      </c>
      <c r="N29" s="37" t="n">
        <v>0</v>
      </c>
      <c r="O29" s="37" t="n">
        <v>0</v>
      </c>
      <c r="P29" s="37" t="n">
        <v>0</v>
      </c>
      <c r="Q29" s="37" t="n">
        <v>0</v>
      </c>
      <c r="R29" s="37" t="n">
        <v>0</v>
      </c>
      <c r="S29" s="37" t="n">
        <v>0</v>
      </c>
      <c r="T29" s="38" t="n">
        <v>17.8</v>
      </c>
      <c r="U29" s="37" t="n">
        <v>0</v>
      </c>
      <c r="V29" s="36" t="n">
        <v>0</v>
      </c>
      <c r="W29" s="52" t="n">
        <v>17.8</v>
      </c>
    </row>
    <row r="30">
      <c r="A30" s="81" t="inlineStr">
        <is>
          <t>A. Porter</t>
        </is>
      </c>
      <c r="B30" s="36">
        <f t="array" ref="B30:C30">_xlfn.XLOOKUP(A30,'Player List'!$A$2:$A$177,'Player List'!$B$2:$C$177)</f>
        <v/>
      </c>
      <c r="C30" s="36" t="inlineStr">
        <is>
          <t>Prop</t>
        </is>
      </c>
      <c r="D30" s="37" t="n">
        <v>65</v>
      </c>
      <c r="F30" s="37" t="n">
        <v>3</v>
      </c>
      <c r="G30" s="37" t="n">
        <v>0</v>
      </c>
      <c r="H30" s="37" t="n">
        <v>0</v>
      </c>
      <c r="I30" s="37" t="n">
        <v>2</v>
      </c>
      <c r="J30" s="37" t="n">
        <v>0</v>
      </c>
      <c r="K30" s="37" t="n">
        <v>0</v>
      </c>
      <c r="L30" s="37" t="n">
        <v>7</v>
      </c>
      <c r="M30" s="37" t="n">
        <v>0</v>
      </c>
      <c r="N30" s="37" t="n">
        <v>0</v>
      </c>
      <c r="O30" s="37" t="n">
        <v>0</v>
      </c>
      <c r="P30" s="37" t="n">
        <v>0</v>
      </c>
      <c r="Q30" s="37" t="n">
        <v>0</v>
      </c>
      <c r="R30" s="37" t="n">
        <v>0</v>
      </c>
      <c r="S30" s="37" t="n">
        <v>0</v>
      </c>
      <c r="T30" s="38" t="n">
        <v>12</v>
      </c>
      <c r="U30" s="37" t="n">
        <v>0</v>
      </c>
      <c r="V30" s="36" t="n">
        <v>0</v>
      </c>
      <c r="W30" s="52" t="n">
        <v>12</v>
      </c>
    </row>
    <row r="31">
      <c r="A31" s="81" t="inlineStr">
        <is>
          <t>R. Kelleher</t>
        </is>
      </c>
      <c r="B31" s="36">
        <f t="array" ref="B31:C31">_xlfn.XLOOKUP(A31,'Player List'!$A$2:$A$177,'Player List'!$B$2:$C$177)</f>
        <v/>
      </c>
      <c r="C31" s="36" t="inlineStr">
        <is>
          <t>Hooker</t>
        </is>
      </c>
      <c r="D31" s="37" t="n">
        <v>56</v>
      </c>
      <c r="F31" s="37" t="n">
        <v>9</v>
      </c>
      <c r="G31" s="37" t="n">
        <v>0</v>
      </c>
      <c r="H31" s="37" t="n">
        <v>0</v>
      </c>
      <c r="I31" s="37" t="n">
        <v>4.6</v>
      </c>
      <c r="J31" s="37" t="n">
        <v>0</v>
      </c>
      <c r="K31" s="37" t="n">
        <v>0</v>
      </c>
      <c r="L31" s="37" t="n">
        <v>7</v>
      </c>
      <c r="M31" s="37" t="n">
        <v>0</v>
      </c>
      <c r="N31" s="37" t="n">
        <v>0</v>
      </c>
      <c r="O31" s="37" t="n">
        <v>0</v>
      </c>
      <c r="P31" s="37" t="n">
        <v>0</v>
      </c>
      <c r="Q31" s="37" t="n">
        <v>0</v>
      </c>
      <c r="R31" s="37" t="n">
        <v>0</v>
      </c>
      <c r="S31" s="37" t="n">
        <v>0</v>
      </c>
      <c r="T31" s="38" t="n">
        <v>20.6</v>
      </c>
      <c r="U31" s="37" t="n">
        <v>0</v>
      </c>
      <c r="V31" s="36" t="n">
        <v>0</v>
      </c>
      <c r="W31" s="52" t="n">
        <v>20.6</v>
      </c>
    </row>
    <row r="32">
      <c r="A32" s="81" t="inlineStr">
        <is>
          <t>D. Sheehan</t>
        </is>
      </c>
      <c r="B32" s="36">
        <f t="array" ref="B32:C32">_xlfn.XLOOKUP(A32,'Player List'!$A$2:$A$177,'Player List'!$B$2:$C$177)</f>
        <v/>
      </c>
      <c r="C32" s="36" t="inlineStr">
        <is>
          <t>Hooker</t>
        </is>
      </c>
      <c r="D32" s="37" t="n">
        <v>24</v>
      </c>
      <c r="F32" s="37" t="n">
        <v>2</v>
      </c>
      <c r="G32" s="37" t="n">
        <v>14</v>
      </c>
      <c r="H32" s="37" t="n">
        <v>0</v>
      </c>
      <c r="I32" s="37" t="n">
        <v>1</v>
      </c>
      <c r="J32" s="37" t="n">
        <v>0</v>
      </c>
      <c r="K32" s="37" t="n">
        <v>0</v>
      </c>
      <c r="L32" s="37" t="n">
        <v>0</v>
      </c>
      <c r="M32" s="37" t="n">
        <v>0</v>
      </c>
      <c r="N32" s="37" t="n">
        <v>0</v>
      </c>
      <c r="O32" s="37" t="n">
        <v>0</v>
      </c>
      <c r="P32" s="37" t="n">
        <v>0</v>
      </c>
      <c r="Q32" s="37" t="n">
        <v>0</v>
      </c>
      <c r="R32" s="37" t="n">
        <v>0</v>
      </c>
      <c r="S32" s="37" t="n">
        <v>0</v>
      </c>
      <c r="T32" s="38" t="n">
        <v>17</v>
      </c>
      <c r="U32" s="37" t="n">
        <v>0</v>
      </c>
      <c r="V32" s="36" t="n">
        <v>0</v>
      </c>
      <c r="W32" s="52" t="n">
        <v>17</v>
      </c>
    </row>
    <row r="33">
      <c r="A33" s="81" t="inlineStr">
        <is>
          <t>P. Bruno</t>
        </is>
      </c>
      <c r="B33" s="36">
        <f t="array" ref="B33:C33">_xlfn.XLOOKUP(A33,'Player List'!$A$2:$A$177,'Player List'!$B$2:$C$177)</f>
        <v/>
      </c>
      <c r="C33" s="36" t="inlineStr">
        <is>
          <t>Back Three</t>
        </is>
      </c>
      <c r="D33" s="37" t="n">
        <v>80</v>
      </c>
      <c r="F33" s="37" t="n">
        <v>3</v>
      </c>
      <c r="G33" s="37" t="n">
        <v>0</v>
      </c>
      <c r="H33" s="37" t="n">
        <v>7</v>
      </c>
      <c r="I33" s="37" t="n">
        <v>35.2</v>
      </c>
      <c r="J33" s="37" t="n">
        <v>0</v>
      </c>
      <c r="K33" s="37" t="n">
        <v>0</v>
      </c>
      <c r="L33" s="37" t="n">
        <v>0</v>
      </c>
      <c r="M33" s="37" t="n">
        <v>15</v>
      </c>
      <c r="N33" s="37" t="n">
        <v>0</v>
      </c>
      <c r="O33" s="37" t="n">
        <v>0</v>
      </c>
      <c r="P33" s="37" t="n">
        <v>0</v>
      </c>
      <c r="Q33" s="37" t="n">
        <v>0</v>
      </c>
      <c r="R33" s="37" t="n">
        <v>0</v>
      </c>
      <c r="S33" s="37" t="n">
        <v>0</v>
      </c>
      <c r="T33" s="38" t="n">
        <v>60.2</v>
      </c>
      <c r="U33" s="37" t="n">
        <v>0</v>
      </c>
      <c r="V33" s="36" t="n">
        <v>0</v>
      </c>
      <c r="W33" s="52" t="n">
        <v>60.2</v>
      </c>
    </row>
    <row r="34">
      <c r="A34" s="81" t="inlineStr">
        <is>
          <t>A. Capuozzo</t>
        </is>
      </c>
      <c r="B34" s="36">
        <f t="array" ref="B34:C34">_xlfn.XLOOKUP(A34,'Player List'!$A$2:$A$177,'Player List'!$B$2:$C$177)</f>
        <v/>
      </c>
      <c r="C34" s="36" t="inlineStr">
        <is>
          <t>Back Three</t>
        </is>
      </c>
      <c r="D34" s="37" t="n">
        <v>80</v>
      </c>
      <c r="F34" s="37" t="n">
        <v>3</v>
      </c>
      <c r="G34" s="37" t="n">
        <v>7</v>
      </c>
      <c r="H34" s="37" t="n">
        <v>7</v>
      </c>
      <c r="I34" s="37" t="n">
        <v>12</v>
      </c>
      <c r="J34" s="37" t="n">
        <v>0</v>
      </c>
      <c r="K34" s="37" t="n">
        <v>0</v>
      </c>
      <c r="L34" s="37" t="n">
        <v>7</v>
      </c>
      <c r="M34" s="37" t="n">
        <v>0</v>
      </c>
      <c r="N34" s="37" t="n">
        <v>0</v>
      </c>
      <c r="O34" s="37" t="n">
        <v>0</v>
      </c>
      <c r="P34" s="37" t="n">
        <v>0</v>
      </c>
      <c r="Q34" s="37" t="n">
        <v>0</v>
      </c>
      <c r="R34" s="37" t="n">
        <v>0</v>
      </c>
      <c r="S34" s="37" t="n">
        <v>0</v>
      </c>
      <c r="T34" s="38" t="n">
        <v>36</v>
      </c>
      <c r="U34" s="37" t="n">
        <v>0</v>
      </c>
      <c r="V34" s="36" t="n">
        <v>0</v>
      </c>
      <c r="W34" s="52" t="n">
        <v>36</v>
      </c>
    </row>
    <row r="35">
      <c r="A35" s="81" t="inlineStr">
        <is>
          <t>A. Fusco</t>
        </is>
      </c>
      <c r="B35" s="36">
        <f t="array" ref="B35:C35">_xlfn.XLOOKUP(A35,'Player List'!$A$2:$A$177,'Player List'!$B$2:$C$177)</f>
        <v/>
      </c>
      <c r="C35" s="36" t="inlineStr">
        <is>
          <t>Back Three</t>
        </is>
      </c>
      <c r="D35" s="37" t="n">
        <v>13</v>
      </c>
      <c r="F35" s="37" t="n">
        <v>0</v>
      </c>
      <c r="G35" s="37" t="n">
        <v>0</v>
      </c>
      <c r="H35" s="37" t="n">
        <v>0</v>
      </c>
      <c r="I35" s="37" t="n">
        <v>0</v>
      </c>
      <c r="J35" s="37" t="n">
        <v>0</v>
      </c>
      <c r="K35" s="37" t="n">
        <v>0</v>
      </c>
      <c r="L35" s="37" t="n">
        <v>0</v>
      </c>
      <c r="M35" s="37" t="n">
        <v>0</v>
      </c>
      <c r="N35" s="37" t="n">
        <v>0</v>
      </c>
      <c r="O35" s="37" t="n">
        <v>0</v>
      </c>
      <c r="P35" s="37" t="n">
        <v>0</v>
      </c>
      <c r="Q35" s="37" t="n">
        <v>0</v>
      </c>
      <c r="R35" s="37" t="n">
        <v>0</v>
      </c>
      <c r="S35" s="37" t="n">
        <v>0</v>
      </c>
      <c r="T35" s="38" t="n">
        <v>0</v>
      </c>
      <c r="U35" s="37" t="n">
        <v>0</v>
      </c>
      <c r="V35" s="36" t="n">
        <v>0</v>
      </c>
      <c r="W35" s="52" t="n">
        <v>0</v>
      </c>
    </row>
    <row r="36">
      <c r="A36" s="81" t="inlineStr">
        <is>
          <t>T. Menoncello</t>
        </is>
      </c>
      <c r="B36" s="36">
        <f t="array" ref="B36:C36">_xlfn.XLOOKUP(A36,'Player List'!$A$2:$A$177,'Player List'!$B$2:$C$177)</f>
        <v/>
      </c>
      <c r="C36" s="36" t="inlineStr">
        <is>
          <t>Back Three</t>
        </is>
      </c>
      <c r="D36" s="37" t="n">
        <v>78</v>
      </c>
      <c r="F36" s="37" t="n">
        <v>12</v>
      </c>
      <c r="G36" s="37" t="n">
        <v>0</v>
      </c>
      <c r="H36" s="37" t="n">
        <v>7</v>
      </c>
      <c r="I36" s="37" t="n">
        <v>14.4</v>
      </c>
      <c r="J36" s="37" t="n">
        <v>0</v>
      </c>
      <c r="K36" s="37" t="n">
        <v>0</v>
      </c>
      <c r="L36" s="37" t="n">
        <v>0</v>
      </c>
      <c r="M36" s="37" t="n">
        <v>0</v>
      </c>
      <c r="N36" s="37" t="n">
        <v>0</v>
      </c>
      <c r="O36" s="37" t="n">
        <v>0</v>
      </c>
      <c r="P36" s="37" t="n">
        <v>0</v>
      </c>
      <c r="Q36" s="37" t="n">
        <v>0</v>
      </c>
      <c r="R36" s="37" t="n">
        <v>0</v>
      </c>
      <c r="S36" s="37" t="n">
        <v>0</v>
      </c>
      <c r="T36" s="38" t="n">
        <v>33.4</v>
      </c>
      <c r="U36" s="37" t="n">
        <v>0</v>
      </c>
      <c r="V36" s="36" t="n">
        <v>0</v>
      </c>
      <c r="W36" s="52" t="n">
        <v>33.4</v>
      </c>
    </row>
    <row r="37">
      <c r="A37" s="81" t="inlineStr">
        <is>
          <t>E. Padovani</t>
        </is>
      </c>
      <c r="B37" s="36">
        <f t="array" ref="B37:C37">_xlfn.XLOOKUP(A37,'Player List'!$A$2:$A$177,'Player List'!$B$2:$C$177)</f>
        <v/>
      </c>
      <c r="C37" s="36" t="inlineStr">
        <is>
          <t>Back Three</t>
        </is>
      </c>
      <c r="D37" s="37" t="n">
        <v>80</v>
      </c>
      <c r="F37" s="37" t="n">
        <v>0</v>
      </c>
      <c r="G37" s="37" t="n">
        <v>0</v>
      </c>
      <c r="H37" s="37" t="n">
        <v>0</v>
      </c>
      <c r="I37" s="37" t="n">
        <v>10.2</v>
      </c>
      <c r="J37" s="37" t="n">
        <v>0</v>
      </c>
      <c r="K37" s="37" t="n">
        <v>0</v>
      </c>
      <c r="L37" s="37" t="n">
        <v>0</v>
      </c>
      <c r="M37" s="37" t="n">
        <v>0</v>
      </c>
      <c r="N37" s="37" t="n">
        <v>0</v>
      </c>
      <c r="O37" s="37" t="n">
        <v>0</v>
      </c>
      <c r="P37" s="37" t="n">
        <v>0</v>
      </c>
      <c r="Q37" s="37" t="n">
        <v>0</v>
      </c>
      <c r="R37" s="37" t="n">
        <v>0</v>
      </c>
      <c r="S37" s="37" t="n">
        <v>0</v>
      </c>
      <c r="T37" s="38" t="n">
        <v>10.2</v>
      </c>
      <c r="U37" s="37" t="n">
        <v>0</v>
      </c>
      <c r="V37" s="36" t="n">
        <v>0</v>
      </c>
      <c r="W37" s="52" t="n">
        <v>10.2</v>
      </c>
    </row>
    <row r="38">
      <c r="A38" s="81" t="inlineStr">
        <is>
          <t>J. Brex</t>
        </is>
      </c>
      <c r="B38" s="36">
        <f t="array" ref="B38:C38">_xlfn.XLOOKUP(A38,'Player List'!$A$2:$A$177,'Player List'!$B$2:$C$177)</f>
        <v/>
      </c>
      <c r="C38" s="36" t="inlineStr">
        <is>
          <t>Centre</t>
        </is>
      </c>
      <c r="D38" s="37" t="n">
        <v>80</v>
      </c>
      <c r="F38" s="37" t="n">
        <v>8</v>
      </c>
      <c r="G38" s="37" t="n">
        <v>7</v>
      </c>
      <c r="H38" s="37" t="n">
        <v>0</v>
      </c>
      <c r="I38" s="37" t="n">
        <v>5.2</v>
      </c>
      <c r="J38" s="37" t="n">
        <v>0</v>
      </c>
      <c r="K38" s="37" t="n">
        <v>0</v>
      </c>
      <c r="L38" s="37" t="n">
        <v>0</v>
      </c>
      <c r="M38" s="37" t="n">
        <v>0</v>
      </c>
      <c r="N38" s="37" t="n">
        <v>0</v>
      </c>
      <c r="O38" s="37" t="n">
        <v>0</v>
      </c>
      <c r="P38" s="37" t="n">
        <v>0</v>
      </c>
      <c r="Q38" s="37" t="n">
        <v>0</v>
      </c>
      <c r="R38" s="37" t="n">
        <v>0</v>
      </c>
      <c r="S38" s="37" t="n">
        <v>0</v>
      </c>
      <c r="T38" s="38" t="n">
        <v>20.2</v>
      </c>
      <c r="U38" s="37" t="n">
        <v>0</v>
      </c>
      <c r="V38" s="36" t="n">
        <v>0</v>
      </c>
      <c r="W38" s="52" t="n">
        <v>20.2</v>
      </c>
    </row>
    <row r="39">
      <c r="A39" s="81" t="inlineStr">
        <is>
          <t>L. Morisi</t>
        </is>
      </c>
      <c r="B39" s="36">
        <f t="array" ref="B39:C39">_xlfn.XLOOKUP(A39,'Player List'!$A$2:$A$177,'Player List'!$B$2:$C$177)</f>
        <v/>
      </c>
      <c r="C39" s="36" t="inlineStr">
        <is>
          <t>Centre</t>
        </is>
      </c>
      <c r="D39" s="37" t="n">
        <v>2</v>
      </c>
      <c r="F39" s="37" t="n">
        <v>1</v>
      </c>
      <c r="G39" s="37" t="n">
        <v>0</v>
      </c>
      <c r="H39" s="37" t="n">
        <v>0</v>
      </c>
      <c r="I39" s="37" t="n">
        <v>0</v>
      </c>
      <c r="J39" s="37" t="n">
        <v>0</v>
      </c>
      <c r="K39" s="37" t="n">
        <v>0</v>
      </c>
      <c r="L39" s="37" t="n">
        <v>0</v>
      </c>
      <c r="M39" s="37" t="n">
        <v>0</v>
      </c>
      <c r="N39" s="37" t="n">
        <v>0</v>
      </c>
      <c r="O39" s="37" t="n">
        <v>0</v>
      </c>
      <c r="P39" s="37" t="n">
        <v>0</v>
      </c>
      <c r="Q39" s="37" t="n">
        <v>0</v>
      </c>
      <c r="R39" s="37" t="n">
        <v>0</v>
      </c>
      <c r="S39" s="37" t="n">
        <v>0</v>
      </c>
      <c r="T39" s="38" t="n">
        <v>1</v>
      </c>
      <c r="U39" s="37" t="n">
        <v>0</v>
      </c>
      <c r="V39" s="36" t="n">
        <v>0</v>
      </c>
      <c r="W39" s="52" t="n">
        <v>1</v>
      </c>
    </row>
    <row r="40">
      <c r="A40" s="81" t="inlineStr">
        <is>
          <t>T. Allan</t>
        </is>
      </c>
      <c r="B40" s="36">
        <f t="array" ref="B40:C40">_xlfn.XLOOKUP(A40,'Player List'!$A$2:$A$177,'Player List'!$B$2:$C$177)</f>
        <v/>
      </c>
      <c r="C40" s="36" t="inlineStr">
        <is>
          <t>Fly Half</t>
        </is>
      </c>
      <c r="D40" s="37" t="n">
        <v>8</v>
      </c>
      <c r="F40" s="37" t="n">
        <v>1</v>
      </c>
      <c r="G40" s="37" t="n">
        <v>0</v>
      </c>
      <c r="H40" s="37" t="n">
        <v>0</v>
      </c>
      <c r="I40" s="37" t="n">
        <v>2.8</v>
      </c>
      <c r="J40" s="37" t="n">
        <v>0</v>
      </c>
      <c r="K40" s="37" t="n">
        <v>0</v>
      </c>
      <c r="L40" s="37" t="n">
        <v>0</v>
      </c>
      <c r="M40" s="37" t="n">
        <v>0</v>
      </c>
      <c r="N40" s="37" t="n">
        <v>0</v>
      </c>
      <c r="O40" s="37" t="n">
        <v>0</v>
      </c>
      <c r="P40" s="37" t="n">
        <v>0</v>
      </c>
      <c r="Q40" s="37" t="n">
        <v>0</v>
      </c>
      <c r="R40" s="37" t="n">
        <v>0</v>
      </c>
      <c r="S40" s="37" t="n">
        <v>0</v>
      </c>
      <c r="T40" s="38" t="n">
        <v>3.8</v>
      </c>
      <c r="U40" s="37" t="n">
        <v>0</v>
      </c>
      <c r="V40" s="36" t="n">
        <v>0</v>
      </c>
      <c r="W40" s="52" t="n">
        <v>3.8</v>
      </c>
    </row>
    <row r="41">
      <c r="A41" s="81" t="inlineStr">
        <is>
          <t>P. Garbisi</t>
        </is>
      </c>
      <c r="B41" s="36">
        <f t="array" ref="B41:C41">_xlfn.XLOOKUP(A41,'Player List'!$A$2:$A$177,'Player List'!$B$2:$C$177)</f>
        <v/>
      </c>
      <c r="C41" s="36" t="inlineStr">
        <is>
          <t>Fly Half</t>
        </is>
      </c>
      <c r="D41" s="37" t="n">
        <v>72</v>
      </c>
      <c r="F41" s="37" t="n">
        <v>5</v>
      </c>
      <c r="G41" s="37" t="n">
        <v>0</v>
      </c>
      <c r="H41" s="37" t="n">
        <v>0</v>
      </c>
      <c r="I41" s="37" t="n">
        <v>8.4</v>
      </c>
      <c r="J41" s="37" t="n">
        <v>0</v>
      </c>
      <c r="K41" s="37" t="n">
        <v>0</v>
      </c>
      <c r="L41" s="37" t="n">
        <v>0</v>
      </c>
      <c r="M41" s="37" t="n">
        <v>0</v>
      </c>
      <c r="N41" s="37" t="n">
        <v>0</v>
      </c>
      <c r="O41" s="37" t="n">
        <v>4</v>
      </c>
      <c r="P41" s="37" t="n">
        <v>10</v>
      </c>
      <c r="Q41" s="37" t="n">
        <v>0</v>
      </c>
      <c r="R41" s="37" t="n">
        <v>0</v>
      </c>
      <c r="S41" s="37" t="n">
        <v>0</v>
      </c>
      <c r="T41" s="38" t="n">
        <v>27.4</v>
      </c>
      <c r="U41" s="37" t="n">
        <v>0</v>
      </c>
      <c r="V41" s="36" t="n">
        <v>0</v>
      </c>
      <c r="W41" s="52" t="n">
        <v>27.4</v>
      </c>
    </row>
    <row r="42">
      <c r="A42" s="81" t="inlineStr">
        <is>
          <t>S. Varney</t>
        </is>
      </c>
      <c r="B42" s="36">
        <f t="array" ref="B42:C42">_xlfn.XLOOKUP(A42,'Player List'!$A$2:$A$177,'Player List'!$B$2:$C$177)</f>
        <v/>
      </c>
      <c r="C42" s="36" t="inlineStr">
        <is>
          <t>Scrum Half</t>
        </is>
      </c>
      <c r="D42" s="37" t="n">
        <v>67</v>
      </c>
      <c r="F42" s="37" t="n">
        <v>1</v>
      </c>
      <c r="G42" s="37" t="n">
        <v>7</v>
      </c>
      <c r="H42" s="37" t="n">
        <v>0</v>
      </c>
      <c r="I42" s="37" t="n">
        <v>2.4</v>
      </c>
      <c r="J42" s="37" t="n">
        <v>0</v>
      </c>
      <c r="K42" s="37" t="n">
        <v>0</v>
      </c>
      <c r="L42" s="37" t="n">
        <v>0</v>
      </c>
      <c r="M42" s="37" t="n">
        <v>15</v>
      </c>
      <c r="N42" s="37" t="n">
        <v>0</v>
      </c>
      <c r="O42" s="37" t="n">
        <v>0</v>
      </c>
      <c r="P42" s="37" t="n">
        <v>0</v>
      </c>
      <c r="Q42" s="37" t="n">
        <v>0</v>
      </c>
      <c r="R42" s="37" t="n">
        <v>0</v>
      </c>
      <c r="S42" s="37" t="n">
        <v>0</v>
      </c>
      <c r="T42" s="38" t="n">
        <v>25.4</v>
      </c>
      <c r="U42" s="37" t="n">
        <v>0</v>
      </c>
      <c r="V42" s="36" t="n">
        <v>0</v>
      </c>
      <c r="W42" s="52" t="n">
        <v>25.4</v>
      </c>
    </row>
    <row r="43">
      <c r="A43" s="81" t="inlineStr">
        <is>
          <t>E. Iachizzi</t>
        </is>
      </c>
      <c r="B43" s="36">
        <f t="array" ref="B43:C43">_xlfn.XLOOKUP(A43,'Player List'!$A$2:$A$177,'Player List'!$B$2:$C$177)</f>
        <v/>
      </c>
      <c r="C43" s="36" t="inlineStr">
        <is>
          <t>Back Row</t>
        </is>
      </c>
      <c r="D43" s="37" t="n">
        <v>15</v>
      </c>
      <c r="F43" s="37" t="n">
        <v>4</v>
      </c>
      <c r="G43" s="37" t="n">
        <v>7</v>
      </c>
      <c r="H43" s="37" t="n">
        <v>0</v>
      </c>
      <c r="I43" s="37" t="n">
        <v>0</v>
      </c>
      <c r="J43" s="37" t="n">
        <v>0</v>
      </c>
      <c r="K43" s="37" t="n">
        <v>0</v>
      </c>
      <c r="L43" s="37" t="n">
        <v>0</v>
      </c>
      <c r="M43" s="37" t="n">
        <v>0</v>
      </c>
      <c r="N43" s="37" t="n">
        <v>0</v>
      </c>
      <c r="O43" s="37" t="n">
        <v>0</v>
      </c>
      <c r="P43" s="37" t="n">
        <v>0</v>
      </c>
      <c r="Q43" s="37" t="n">
        <v>0</v>
      </c>
      <c r="R43" s="37" t="n">
        <v>0</v>
      </c>
      <c r="S43" s="37" t="n">
        <v>0</v>
      </c>
      <c r="T43" s="38" t="n">
        <v>11</v>
      </c>
      <c r="U43" s="37" t="n">
        <v>0</v>
      </c>
      <c r="V43" s="36" t="n">
        <v>0</v>
      </c>
      <c r="W43" s="52" t="n">
        <v>11</v>
      </c>
    </row>
    <row r="44">
      <c r="A44" s="81" t="inlineStr">
        <is>
          <t>M. Lamaro</t>
        </is>
      </c>
      <c r="B44" s="36">
        <f t="array" ref="B44:C44">_xlfn.XLOOKUP(A44,'Player List'!$A$2:$A$177,'Player List'!$B$2:$C$177)</f>
        <v/>
      </c>
      <c r="C44" s="36" t="inlineStr">
        <is>
          <t>Back Row</t>
        </is>
      </c>
      <c r="D44" s="37" t="n">
        <v>80</v>
      </c>
      <c r="F44" s="37" t="n">
        <v>12</v>
      </c>
      <c r="G44" s="37" t="n">
        <v>14</v>
      </c>
      <c r="H44" s="37" t="n">
        <v>0</v>
      </c>
      <c r="I44" s="37" t="n">
        <v>3.8</v>
      </c>
      <c r="J44" s="37" t="n">
        <v>0</v>
      </c>
      <c r="K44" s="37" t="n">
        <v>0</v>
      </c>
      <c r="L44" s="37" t="n">
        <v>0</v>
      </c>
      <c r="M44" s="37" t="n">
        <v>0</v>
      </c>
      <c r="N44" s="37" t="n">
        <v>0</v>
      </c>
      <c r="O44" s="37" t="n">
        <v>0</v>
      </c>
      <c r="P44" s="37" t="n">
        <v>0</v>
      </c>
      <c r="Q44" s="37" t="n">
        <v>0</v>
      </c>
      <c r="R44" s="37" t="n">
        <v>0</v>
      </c>
      <c r="S44" s="37" t="n">
        <v>0</v>
      </c>
      <c r="T44" s="38" t="n">
        <v>29.8</v>
      </c>
      <c r="U44" s="37" t="n">
        <v>0</v>
      </c>
      <c r="V44" s="36" t="n">
        <v>0</v>
      </c>
      <c r="W44" s="52" t="n">
        <v>29.8</v>
      </c>
    </row>
    <row r="45">
      <c r="A45" s="81" t="inlineStr">
        <is>
          <t>S. Negri</t>
        </is>
      </c>
      <c r="B45" s="36">
        <f t="array" ref="B45:C45">_xlfn.XLOOKUP(A45,'Player List'!$A$2:$A$177,'Player List'!$B$2:$C$177)</f>
        <v/>
      </c>
      <c r="C45" s="36" t="inlineStr">
        <is>
          <t>Back Row</t>
        </is>
      </c>
      <c r="D45" s="37" t="n">
        <v>80</v>
      </c>
      <c r="F45" s="37" t="n">
        <v>11</v>
      </c>
      <c r="G45" s="37" t="n">
        <v>7</v>
      </c>
      <c r="H45" s="37" t="n">
        <v>0</v>
      </c>
      <c r="I45" s="37" t="n">
        <v>10.8</v>
      </c>
      <c r="J45" s="37" t="n">
        <v>0</v>
      </c>
      <c r="K45" s="37" t="n">
        <v>0</v>
      </c>
      <c r="L45" s="37" t="n">
        <v>0</v>
      </c>
      <c r="M45" s="37" t="n">
        <v>0</v>
      </c>
      <c r="N45" s="37" t="n">
        <v>0</v>
      </c>
      <c r="O45" s="37" t="n">
        <v>0</v>
      </c>
      <c r="P45" s="37" t="n">
        <v>0</v>
      </c>
      <c r="Q45" s="37" t="n">
        <v>0</v>
      </c>
      <c r="R45" s="37" t="n">
        <v>0</v>
      </c>
      <c r="S45" s="37" t="n">
        <v>0</v>
      </c>
      <c r="T45" s="38" t="n">
        <v>28.8</v>
      </c>
      <c r="U45" s="37" t="n">
        <v>0</v>
      </c>
      <c r="V45" s="36" t="n">
        <v>0</v>
      </c>
      <c r="W45" s="52" t="n">
        <v>28.8</v>
      </c>
    </row>
    <row r="46">
      <c r="A46" s="81" t="inlineStr">
        <is>
          <t>G. Pettinelli</t>
        </is>
      </c>
      <c r="B46" s="36">
        <f t="array" ref="B46:C46">_xlfn.XLOOKUP(A46,'Player List'!$A$2:$A$177,'Player List'!$B$2:$C$177)</f>
        <v/>
      </c>
      <c r="C46" s="36" t="inlineStr">
        <is>
          <t>Back Row</t>
        </is>
      </c>
      <c r="D46" s="37" t="n">
        <v>15</v>
      </c>
      <c r="F46" s="37" t="n">
        <v>4</v>
      </c>
      <c r="G46" s="37" t="n">
        <v>0</v>
      </c>
      <c r="H46" s="37" t="n">
        <v>7</v>
      </c>
      <c r="I46" s="37" t="n">
        <v>6.6</v>
      </c>
      <c r="J46" s="37" t="n">
        <v>0</v>
      </c>
      <c r="K46" s="37" t="n">
        <v>0</v>
      </c>
      <c r="L46" s="37" t="n">
        <v>0</v>
      </c>
      <c r="M46" s="37" t="n">
        <v>0</v>
      </c>
      <c r="N46" s="37" t="n">
        <v>0</v>
      </c>
      <c r="O46" s="37" t="n">
        <v>0</v>
      </c>
      <c r="P46" s="37" t="n">
        <v>0</v>
      </c>
      <c r="Q46" s="37" t="n">
        <v>0</v>
      </c>
      <c r="R46" s="37" t="n">
        <v>0</v>
      </c>
      <c r="S46" s="37" t="n">
        <v>0</v>
      </c>
      <c r="T46" s="38" t="n">
        <v>17.6</v>
      </c>
      <c r="U46" s="37" t="n">
        <v>0</v>
      </c>
      <c r="V46" s="36" t="n">
        <v>0</v>
      </c>
      <c r="W46" s="52" t="n">
        <v>17.6</v>
      </c>
    </row>
    <row r="47">
      <c r="A47" s="81" t="inlineStr">
        <is>
          <t>N. Cannone</t>
        </is>
      </c>
      <c r="B47" s="36">
        <f t="array" ref="B47:C47">_xlfn.XLOOKUP(A47,'Player List'!$A$2:$A$177,'Player List'!$B$2:$C$177)</f>
        <v/>
      </c>
      <c r="C47" s="36" t="inlineStr">
        <is>
          <t>Second Row</t>
        </is>
      </c>
      <c r="D47" s="37" t="n">
        <v>65</v>
      </c>
      <c r="F47" s="37" t="n">
        <v>12</v>
      </c>
      <c r="G47" s="37" t="n">
        <v>7</v>
      </c>
      <c r="H47" s="37" t="n">
        <v>0</v>
      </c>
      <c r="I47" s="37" t="n">
        <v>3.2</v>
      </c>
      <c r="J47" s="37" t="n">
        <v>0</v>
      </c>
      <c r="K47" s="37" t="n">
        <v>0</v>
      </c>
      <c r="L47" s="37" t="n">
        <v>0</v>
      </c>
      <c r="M47" s="37" t="n">
        <v>0</v>
      </c>
      <c r="N47" s="37" t="n">
        <v>0</v>
      </c>
      <c r="O47" s="37" t="n">
        <v>0</v>
      </c>
      <c r="P47" s="37" t="n">
        <v>0</v>
      </c>
      <c r="Q47" s="37" t="n">
        <v>0</v>
      </c>
      <c r="R47" s="37" t="n">
        <v>0</v>
      </c>
      <c r="S47" s="37" t="n">
        <v>0</v>
      </c>
      <c r="T47" s="38" t="n">
        <v>22.2</v>
      </c>
      <c r="U47" s="37" t="n">
        <v>0</v>
      </c>
      <c r="V47" s="36" t="n">
        <v>0</v>
      </c>
      <c r="W47" s="52" t="n">
        <v>22.2</v>
      </c>
    </row>
    <row r="48">
      <c r="A48" s="81" t="inlineStr">
        <is>
          <t>L. Cannone</t>
        </is>
      </c>
      <c r="B48" s="36">
        <f t="array" ref="B48:C48">_xlfn.XLOOKUP(A48,'Player List'!$A$2:$A$177,'Player List'!$B$2:$C$177)</f>
        <v/>
      </c>
      <c r="C48" s="36" t="inlineStr">
        <is>
          <t>Second Row</t>
        </is>
      </c>
      <c r="D48" s="37" t="n">
        <v>65</v>
      </c>
      <c r="F48" s="37" t="n">
        <v>13</v>
      </c>
      <c r="G48" s="37" t="n">
        <v>14</v>
      </c>
      <c r="H48" s="37" t="n">
        <v>14</v>
      </c>
      <c r="I48" s="37" t="n">
        <v>20.4</v>
      </c>
      <c r="J48" s="37" t="n">
        <v>0</v>
      </c>
      <c r="K48" s="37" t="n">
        <v>0</v>
      </c>
      <c r="L48" s="37" t="n">
        <v>0</v>
      </c>
      <c r="M48" s="37" t="n">
        <v>0</v>
      </c>
      <c r="N48" s="37" t="n">
        <v>0</v>
      </c>
      <c r="O48" s="37" t="n">
        <v>0</v>
      </c>
      <c r="P48" s="37" t="n">
        <v>0</v>
      </c>
      <c r="Q48" s="37" t="n">
        <v>0</v>
      </c>
      <c r="R48" s="37" t="n">
        <v>0</v>
      </c>
      <c r="S48" s="37" t="n">
        <v>0</v>
      </c>
      <c r="T48" s="38" t="n">
        <v>61.4</v>
      </c>
      <c r="U48" s="37" t="n">
        <v>0</v>
      </c>
      <c r="V48" s="36" t="n">
        <v>0</v>
      </c>
      <c r="W48" s="52" t="n">
        <v>61.4</v>
      </c>
    </row>
    <row r="49">
      <c r="A49" s="81" t="inlineStr">
        <is>
          <t>F. Ruzza</t>
        </is>
      </c>
      <c r="B49" s="36">
        <f t="array" ref="B49:C49">_xlfn.XLOOKUP(A49,'Player List'!$A$2:$A$177,'Player List'!$B$2:$C$177)</f>
        <v/>
      </c>
      <c r="C49" s="36" t="inlineStr">
        <is>
          <t>Second Row</t>
        </is>
      </c>
      <c r="D49" s="37" t="n">
        <v>80</v>
      </c>
      <c r="F49" s="37" t="n">
        <v>9</v>
      </c>
      <c r="G49" s="37" t="n">
        <v>7</v>
      </c>
      <c r="H49" s="37" t="n">
        <v>0</v>
      </c>
      <c r="I49" s="37" t="n">
        <v>1</v>
      </c>
      <c r="J49" s="37" t="n">
        <v>0</v>
      </c>
      <c r="K49" s="37" t="n">
        <v>7</v>
      </c>
      <c r="L49" s="37" t="n">
        <v>0</v>
      </c>
      <c r="M49" s="37" t="n">
        <v>0</v>
      </c>
      <c r="N49" s="37" t="n">
        <v>0</v>
      </c>
      <c r="O49" s="37" t="n">
        <v>0</v>
      </c>
      <c r="P49" s="37" t="n">
        <v>0</v>
      </c>
      <c r="Q49" s="37" t="n">
        <v>0</v>
      </c>
      <c r="R49" s="37" t="n">
        <v>0</v>
      </c>
      <c r="S49" s="37" t="n">
        <v>0</v>
      </c>
      <c r="T49" s="38" t="n">
        <v>24</v>
      </c>
      <c r="U49" s="37" t="n">
        <v>0</v>
      </c>
      <c r="V49" s="36" t="n">
        <v>0</v>
      </c>
      <c r="W49" s="52" t="n">
        <v>24</v>
      </c>
    </row>
    <row r="50">
      <c r="A50" s="81" t="inlineStr">
        <is>
          <t>S. Ferrari</t>
        </is>
      </c>
      <c r="B50" s="36">
        <f t="array" ref="B50:C50">_xlfn.XLOOKUP(A50,'Player List'!$A$2:$A$177,'Player List'!$B$2:$C$177)</f>
        <v/>
      </c>
      <c r="C50" s="36" t="inlineStr">
        <is>
          <t>Prop</t>
        </is>
      </c>
      <c r="D50" s="37" t="n">
        <v>47</v>
      </c>
      <c r="F50" s="37" t="n">
        <v>8</v>
      </c>
      <c r="G50" s="37" t="n">
        <v>0</v>
      </c>
      <c r="H50" s="37" t="n">
        <v>0</v>
      </c>
      <c r="I50" s="37" t="n">
        <v>1.2</v>
      </c>
      <c r="J50" s="37" t="n">
        <v>0</v>
      </c>
      <c r="K50" s="37" t="n">
        <v>0</v>
      </c>
      <c r="L50" s="37" t="n">
        <v>0</v>
      </c>
      <c r="M50" s="37" t="n">
        <v>0</v>
      </c>
      <c r="N50" s="37" t="n">
        <v>0</v>
      </c>
      <c r="O50" s="37" t="n">
        <v>0</v>
      </c>
      <c r="P50" s="37" t="n">
        <v>0</v>
      </c>
      <c r="Q50" s="37" t="n">
        <v>0</v>
      </c>
      <c r="R50" s="37" t="n">
        <v>0</v>
      </c>
      <c r="S50" s="37" t="n">
        <v>0</v>
      </c>
      <c r="T50" s="38" t="n">
        <v>9.199999999999999</v>
      </c>
      <c r="U50" s="37" t="n">
        <v>0</v>
      </c>
      <c r="V50" s="36" t="n">
        <v>0</v>
      </c>
      <c r="W50" s="52" t="n">
        <v>9.199999999999999</v>
      </c>
    </row>
    <row r="51">
      <c r="A51" s="81" t="inlineStr">
        <is>
          <t>D. Fischetti</t>
        </is>
      </c>
      <c r="B51" s="36">
        <f t="array" ref="B51:C51">_xlfn.XLOOKUP(A51,'Player List'!$A$2:$A$177,'Player List'!$B$2:$C$177)</f>
        <v/>
      </c>
      <c r="C51" s="36" t="inlineStr">
        <is>
          <t>Prop</t>
        </is>
      </c>
      <c r="D51" s="37" t="n">
        <v>60</v>
      </c>
      <c r="F51" s="37" t="n">
        <v>10</v>
      </c>
      <c r="G51" s="37" t="n">
        <v>21</v>
      </c>
      <c r="H51" s="37" t="n">
        <v>0</v>
      </c>
      <c r="I51" s="37" t="n">
        <v>5.6</v>
      </c>
      <c r="J51" s="37" t="n">
        <v>0</v>
      </c>
      <c r="K51" s="37" t="n">
        <v>0</v>
      </c>
      <c r="L51" s="37" t="n">
        <v>0</v>
      </c>
      <c r="M51" s="37" t="n">
        <v>0</v>
      </c>
      <c r="N51" s="37" t="n">
        <v>0</v>
      </c>
      <c r="O51" s="37" t="n">
        <v>0</v>
      </c>
      <c r="P51" s="37" t="n">
        <v>0</v>
      </c>
      <c r="Q51" s="37" t="n">
        <v>0</v>
      </c>
      <c r="R51" s="37" t="n">
        <v>0</v>
      </c>
      <c r="S51" s="37" t="n">
        <v>0</v>
      </c>
      <c r="T51" s="38" t="n">
        <v>36.6</v>
      </c>
      <c r="U51" s="37" t="n">
        <v>0</v>
      </c>
      <c r="V51" s="36" t="n">
        <v>0</v>
      </c>
      <c r="W51" s="52" t="n">
        <v>36.6</v>
      </c>
    </row>
    <row r="52">
      <c r="A52" s="81" t="inlineStr">
        <is>
          <t>M. Riccioni</t>
        </is>
      </c>
      <c r="B52" s="36">
        <f t="array" ref="B52:C52">_xlfn.XLOOKUP(A52,'Player List'!$A$2:$A$177,'Player List'!$B$2:$C$177)</f>
        <v/>
      </c>
      <c r="C52" s="36" t="inlineStr">
        <is>
          <t>Prop</t>
        </is>
      </c>
      <c r="D52" s="37" t="n">
        <v>33</v>
      </c>
      <c r="F52" s="37" t="n">
        <v>9</v>
      </c>
      <c r="G52" s="37" t="n">
        <v>7</v>
      </c>
      <c r="H52" s="37" t="n">
        <v>0</v>
      </c>
      <c r="I52" s="37" t="n">
        <v>0</v>
      </c>
      <c r="J52" s="37" t="n">
        <v>0</v>
      </c>
      <c r="K52" s="37" t="n">
        <v>0</v>
      </c>
      <c r="L52" s="37" t="n">
        <v>0</v>
      </c>
      <c r="M52" s="37" t="n">
        <v>0</v>
      </c>
      <c r="N52" s="37" t="n">
        <v>0</v>
      </c>
      <c r="O52" s="37" t="n">
        <v>0</v>
      </c>
      <c r="P52" s="37" t="n">
        <v>0</v>
      </c>
      <c r="Q52" s="37" t="n">
        <v>0</v>
      </c>
      <c r="R52" s="37" t="n">
        <v>0</v>
      </c>
      <c r="S52" s="37" t="n">
        <v>0</v>
      </c>
      <c r="T52" s="38" t="n">
        <v>16</v>
      </c>
      <c r="U52" s="37" t="n">
        <v>0</v>
      </c>
      <c r="V52" s="36" t="n">
        <v>0</v>
      </c>
      <c r="W52" s="52" t="n">
        <v>16</v>
      </c>
    </row>
    <row r="53">
      <c r="A53" s="81" t="inlineStr">
        <is>
          <t>F. Zani</t>
        </is>
      </c>
      <c r="B53" s="36">
        <f t="array" ref="B53:C53">_xlfn.XLOOKUP(A53,'Player List'!$A$2:$A$177,'Player List'!$B$2:$C$177)</f>
        <v/>
      </c>
      <c r="C53" s="36" t="inlineStr">
        <is>
          <t>Prop</t>
        </is>
      </c>
      <c r="D53" s="37" t="n">
        <v>20</v>
      </c>
      <c r="F53" s="37" t="n">
        <v>5</v>
      </c>
      <c r="G53" s="37" t="n">
        <v>7</v>
      </c>
      <c r="H53" s="37" t="n">
        <v>0</v>
      </c>
      <c r="I53" s="37" t="n">
        <v>0.2</v>
      </c>
      <c r="J53" s="37" t="n">
        <v>0</v>
      </c>
      <c r="K53" s="37" t="n">
        <v>0</v>
      </c>
      <c r="L53" s="37" t="n">
        <v>0</v>
      </c>
      <c r="M53" s="37" t="n">
        <v>0</v>
      </c>
      <c r="N53" s="37" t="n">
        <v>0</v>
      </c>
      <c r="O53" s="37" t="n">
        <v>0</v>
      </c>
      <c r="P53" s="37" t="n">
        <v>0</v>
      </c>
      <c r="Q53" s="37" t="n">
        <v>0</v>
      </c>
      <c r="R53" s="37" t="n">
        <v>0</v>
      </c>
      <c r="S53" s="37" t="n">
        <v>0</v>
      </c>
      <c r="T53" s="38" t="n">
        <v>12.2</v>
      </c>
      <c r="U53" s="37" t="n">
        <v>0</v>
      </c>
      <c r="V53" s="36" t="n">
        <v>0</v>
      </c>
      <c r="W53" s="52" t="n">
        <v>12.2</v>
      </c>
    </row>
    <row r="54">
      <c r="A54" s="81" t="inlineStr">
        <is>
          <t>L. Bigi</t>
        </is>
      </c>
      <c r="B54" s="36">
        <f t="array" ref="B54:C54">_xlfn.XLOOKUP(A54,'Player List'!$A$2:$A$177,'Player List'!$B$2:$C$177)</f>
        <v/>
      </c>
      <c r="C54" s="36" t="inlineStr">
        <is>
          <t>Hooker</t>
        </is>
      </c>
      <c r="D54" s="37" t="n">
        <v>29</v>
      </c>
      <c r="F54" s="37" t="n">
        <v>11</v>
      </c>
      <c r="G54" s="37" t="n">
        <v>7</v>
      </c>
      <c r="H54" s="37" t="n">
        <v>0</v>
      </c>
      <c r="I54" s="37" t="n">
        <v>1.2</v>
      </c>
      <c r="J54" s="37" t="n">
        <v>0</v>
      </c>
      <c r="K54" s="37" t="n">
        <v>0</v>
      </c>
      <c r="L54" s="37" t="n">
        <v>0</v>
      </c>
      <c r="M54" s="37" t="n">
        <v>0</v>
      </c>
      <c r="N54" s="37" t="n">
        <v>0</v>
      </c>
      <c r="O54" s="37" t="n">
        <v>0</v>
      </c>
      <c r="P54" s="37" t="n">
        <v>0</v>
      </c>
      <c r="Q54" s="37" t="n">
        <v>0</v>
      </c>
      <c r="R54" s="37" t="n">
        <v>0</v>
      </c>
      <c r="S54" s="37" t="n">
        <v>0</v>
      </c>
      <c r="T54" s="38" t="n">
        <v>19.2</v>
      </c>
      <c r="U54" s="37" t="n">
        <v>0</v>
      </c>
      <c r="V54" s="36" t="n">
        <v>0</v>
      </c>
      <c r="W54" s="52" t="n">
        <v>19.2</v>
      </c>
    </row>
    <row r="55">
      <c r="A55" s="81" t="inlineStr">
        <is>
          <t>G. Nicotera</t>
        </is>
      </c>
      <c r="B55" s="36">
        <f t="array" ref="B55:C55">_xlfn.XLOOKUP(A55,'Player List'!$A$2:$A$177,'Player List'!$B$2:$C$177)</f>
        <v/>
      </c>
      <c r="C55" s="36" t="inlineStr">
        <is>
          <t>Hooker</t>
        </is>
      </c>
      <c r="D55" s="37" t="n">
        <v>51</v>
      </c>
      <c r="F55" s="37" t="n">
        <v>7</v>
      </c>
      <c r="G55" s="37" t="n">
        <v>7</v>
      </c>
      <c r="H55" s="37" t="n">
        <v>0</v>
      </c>
      <c r="I55" s="37" t="n">
        <v>4.4</v>
      </c>
      <c r="J55" s="37" t="n">
        <v>0</v>
      </c>
      <c r="K55" s="37" t="n">
        <v>0</v>
      </c>
      <c r="L55" s="37" t="n">
        <v>0</v>
      </c>
      <c r="M55" s="37" t="n">
        <v>0</v>
      </c>
      <c r="N55" s="37" t="n">
        <v>0</v>
      </c>
      <c r="O55" s="37" t="n">
        <v>0</v>
      </c>
      <c r="P55" s="37" t="n">
        <v>0</v>
      </c>
      <c r="Q55" s="37" t="n">
        <v>0</v>
      </c>
      <c r="R55" s="37" t="n">
        <v>0</v>
      </c>
      <c r="S55" s="37" t="n">
        <v>0</v>
      </c>
      <c r="T55" s="38" t="n">
        <v>18.4</v>
      </c>
      <c r="U55" s="37" t="n">
        <v>0</v>
      </c>
      <c r="V55" s="36" t="n">
        <v>0</v>
      </c>
      <c r="W55" s="52" t="n">
        <v>18.4</v>
      </c>
    </row>
    <row r="56">
      <c r="A56" s="81" t="inlineStr">
        <is>
          <t>J. Adams</t>
        </is>
      </c>
      <c r="B56" s="36">
        <f t="array" ref="B56:C56">_xlfn.XLOOKUP(A56,'Player List'!$A$2:$A$177,'Player List'!$B$2:$C$177)</f>
        <v/>
      </c>
      <c r="C56" s="36" t="inlineStr">
        <is>
          <t>Back Three</t>
        </is>
      </c>
      <c r="D56" s="37" t="n">
        <v>54</v>
      </c>
      <c r="F56" s="37" t="n">
        <v>6</v>
      </c>
      <c r="G56" s="37" t="n">
        <v>0</v>
      </c>
      <c r="H56" s="37" t="n">
        <v>0</v>
      </c>
      <c r="I56" s="37" t="n">
        <v>3.4</v>
      </c>
      <c r="J56" s="37" t="n">
        <v>0</v>
      </c>
      <c r="K56" s="37" t="n">
        <v>0</v>
      </c>
      <c r="L56" s="37" t="n">
        <v>0</v>
      </c>
      <c r="M56" s="37" t="n">
        <v>0</v>
      </c>
      <c r="N56" s="37" t="n">
        <v>0</v>
      </c>
      <c r="O56" s="37" t="n">
        <v>0</v>
      </c>
      <c r="P56" s="37" t="n">
        <v>0</v>
      </c>
      <c r="Q56" s="37" t="n">
        <v>0</v>
      </c>
      <c r="R56" s="37" t="n">
        <v>0</v>
      </c>
      <c r="S56" s="37" t="n">
        <v>0</v>
      </c>
      <c r="T56" s="38" t="n">
        <v>9.4</v>
      </c>
      <c r="U56" s="37" t="n">
        <v>0</v>
      </c>
      <c r="V56" s="36" t="n">
        <v>0</v>
      </c>
      <c r="W56" s="52" t="n">
        <v>9.4</v>
      </c>
    </row>
    <row r="57">
      <c r="A57" s="81" t="inlineStr">
        <is>
          <t>L. Halfpenny</t>
        </is>
      </c>
      <c r="B57" s="36">
        <f t="array" ref="B57:C57">_xlfn.XLOOKUP(A57,'Player List'!$A$2:$A$177,'Player List'!$B$2:$C$177)</f>
        <v/>
      </c>
      <c r="C57" s="36" t="inlineStr">
        <is>
          <t>Back Three</t>
        </is>
      </c>
      <c r="D57" s="37" t="n">
        <v>80</v>
      </c>
      <c r="F57" s="37" t="n">
        <v>3</v>
      </c>
      <c r="G57" s="37" t="n">
        <v>0</v>
      </c>
      <c r="H57" s="37" t="n">
        <v>0</v>
      </c>
      <c r="I57" s="37" t="n">
        <v>12</v>
      </c>
      <c r="J57" s="37" t="n">
        <v>0</v>
      </c>
      <c r="K57" s="37" t="n">
        <v>0</v>
      </c>
      <c r="L57" s="37" t="n">
        <v>0</v>
      </c>
      <c r="M57" s="37" t="n">
        <v>0</v>
      </c>
      <c r="N57" s="37" t="n">
        <v>0</v>
      </c>
      <c r="O57" s="37" t="n">
        <v>2</v>
      </c>
      <c r="P57" s="37" t="n">
        <v>5</v>
      </c>
      <c r="Q57" s="37" t="n">
        <v>0</v>
      </c>
      <c r="R57" s="37" t="n">
        <v>0</v>
      </c>
      <c r="S57" s="37" t="n">
        <v>0</v>
      </c>
      <c r="T57" s="38" t="n">
        <v>22</v>
      </c>
      <c r="U57" s="37" t="n">
        <v>0</v>
      </c>
      <c r="V57" s="36" t="n">
        <v>0</v>
      </c>
      <c r="W57" s="52" t="n">
        <v>22</v>
      </c>
    </row>
    <row r="58">
      <c r="A58" s="81" t="inlineStr">
        <is>
          <t>L. Rees-Zammit</t>
        </is>
      </c>
      <c r="B58" s="36">
        <f t="array" ref="B58:C58">_xlfn.XLOOKUP(A58,'Player List'!$A$2:$A$177,'Player List'!$B$2:$C$177)</f>
        <v/>
      </c>
      <c r="C58" s="36" t="inlineStr">
        <is>
          <t>Back Three</t>
        </is>
      </c>
      <c r="D58" s="37" t="n">
        <v>80</v>
      </c>
      <c r="F58" s="37" t="n">
        <v>2</v>
      </c>
      <c r="G58" s="37" t="n">
        <v>14</v>
      </c>
      <c r="H58" s="37" t="n">
        <v>21</v>
      </c>
      <c r="I58" s="37" t="n">
        <v>25</v>
      </c>
      <c r="J58" s="37" t="n">
        <v>0</v>
      </c>
      <c r="K58" s="37" t="n">
        <v>0</v>
      </c>
      <c r="L58" s="37" t="n">
        <v>0</v>
      </c>
      <c r="M58" s="37" t="n">
        <v>15</v>
      </c>
      <c r="N58" s="37" t="n">
        <v>0</v>
      </c>
      <c r="O58" s="37" t="n">
        <v>0</v>
      </c>
      <c r="P58" s="37" t="n">
        <v>0</v>
      </c>
      <c r="Q58" s="37" t="n">
        <v>0</v>
      </c>
      <c r="R58" s="37" t="n">
        <v>0</v>
      </c>
      <c r="S58" s="37" t="n">
        <v>0</v>
      </c>
      <c r="T58" s="38" t="n">
        <v>77</v>
      </c>
      <c r="U58" s="37" t="n">
        <v>0</v>
      </c>
      <c r="V58" s="36" t="n">
        <v>0</v>
      </c>
      <c r="W58" s="52" t="n">
        <v>77</v>
      </c>
    </row>
    <row r="59">
      <c r="A59" s="81" t="inlineStr">
        <is>
          <t>M. Grady</t>
        </is>
      </c>
      <c r="B59" s="36">
        <f t="array" ref="B59:C59">_xlfn.XLOOKUP(A59,'Player List'!$A$2:$A$177,'Player List'!$B$2:$C$177)</f>
        <v/>
      </c>
      <c r="C59" s="36" t="inlineStr">
        <is>
          <t>Centre</t>
        </is>
      </c>
      <c r="D59" s="37" t="n">
        <v>80</v>
      </c>
      <c r="F59" s="37" t="n">
        <v>8</v>
      </c>
      <c r="G59" s="37" t="n">
        <v>0</v>
      </c>
      <c r="H59" s="37" t="n">
        <v>0</v>
      </c>
      <c r="I59" s="37" t="n">
        <v>9.6</v>
      </c>
      <c r="J59" s="37" t="n">
        <v>0</v>
      </c>
      <c r="K59" s="37" t="n">
        <v>0</v>
      </c>
      <c r="L59" s="37" t="n">
        <v>0</v>
      </c>
      <c r="M59" s="37" t="n">
        <v>0</v>
      </c>
      <c r="N59" s="37" t="n">
        <v>0</v>
      </c>
      <c r="O59" s="37" t="n">
        <v>0</v>
      </c>
      <c r="P59" s="37" t="n">
        <v>0</v>
      </c>
      <c r="Q59" s="37" t="n">
        <v>0</v>
      </c>
      <c r="R59" s="37" t="n">
        <v>0</v>
      </c>
      <c r="S59" s="37" t="n">
        <v>0</v>
      </c>
      <c r="T59" s="38" t="n">
        <v>17.6</v>
      </c>
      <c r="U59" s="37" t="n">
        <v>0</v>
      </c>
      <c r="V59" s="36" t="n">
        <v>0</v>
      </c>
      <c r="W59" s="52" t="n">
        <v>17.6</v>
      </c>
    </row>
    <row r="60">
      <c r="A60" s="81" t="inlineStr">
        <is>
          <t>J. Hawkins</t>
        </is>
      </c>
      <c r="B60" s="36">
        <f t="array" ref="B60:C60">_xlfn.XLOOKUP(A60,'Player List'!$A$2:$A$177,'Player List'!$B$2:$C$177)</f>
        <v/>
      </c>
      <c r="C60" s="36" t="inlineStr">
        <is>
          <t>Centre</t>
        </is>
      </c>
      <c r="D60" s="37" t="n">
        <v>80</v>
      </c>
      <c r="F60" s="37" t="n">
        <v>6</v>
      </c>
      <c r="G60" s="37" t="n">
        <v>0</v>
      </c>
      <c r="H60" s="37" t="n">
        <v>0</v>
      </c>
      <c r="I60" s="37" t="n">
        <v>15.8</v>
      </c>
      <c r="J60" s="37" t="n">
        <v>0</v>
      </c>
      <c r="K60" s="37" t="n">
        <v>0</v>
      </c>
      <c r="L60" s="37" t="n">
        <v>0</v>
      </c>
      <c r="M60" s="37" t="n">
        <v>0</v>
      </c>
      <c r="N60" s="37" t="n">
        <v>0</v>
      </c>
      <c r="O60" s="37" t="n">
        <v>0</v>
      </c>
      <c r="P60" s="37" t="n">
        <v>0</v>
      </c>
      <c r="Q60" s="37" t="n">
        <v>0</v>
      </c>
      <c r="R60" s="37" t="n">
        <v>0</v>
      </c>
      <c r="S60" s="37" t="n">
        <v>0</v>
      </c>
      <c r="T60" s="38" t="n">
        <v>21.8</v>
      </c>
      <c r="U60" s="37" t="n">
        <v>0</v>
      </c>
      <c r="V60" s="36" t="n">
        <v>0</v>
      </c>
      <c r="W60" s="52" t="n">
        <v>21.8</v>
      </c>
    </row>
    <row r="61">
      <c r="A61" s="81" t="inlineStr">
        <is>
          <t>N. Tompkins</t>
        </is>
      </c>
      <c r="B61" s="36">
        <f t="array" ref="B61:C61">_xlfn.XLOOKUP(A61,'Player List'!$A$2:$A$177,'Player List'!$B$2:$C$177)</f>
        <v/>
      </c>
      <c r="C61" s="36" t="inlineStr">
        <is>
          <t>Centre</t>
        </is>
      </c>
      <c r="D61" s="37" t="n">
        <v>26</v>
      </c>
      <c r="F61" s="37" t="n">
        <v>5</v>
      </c>
      <c r="G61" s="37" t="n">
        <v>0</v>
      </c>
      <c r="H61" s="37" t="n">
        <v>0</v>
      </c>
      <c r="I61" s="37" t="n">
        <v>5.8</v>
      </c>
      <c r="J61" s="37" t="n">
        <v>0</v>
      </c>
      <c r="K61" s="37" t="n">
        <v>0</v>
      </c>
      <c r="L61" s="37" t="n">
        <v>0</v>
      </c>
      <c r="M61" s="37" t="n">
        <v>0</v>
      </c>
      <c r="N61" s="37" t="n">
        <v>0</v>
      </c>
      <c r="O61" s="37" t="n">
        <v>0</v>
      </c>
      <c r="P61" s="37" t="n">
        <v>0</v>
      </c>
      <c r="Q61" s="37" t="n">
        <v>0</v>
      </c>
      <c r="R61" s="37" t="n">
        <v>0</v>
      </c>
      <c r="S61" s="37" t="n">
        <v>0</v>
      </c>
      <c r="T61" s="38" t="n">
        <v>10.8</v>
      </c>
      <c r="U61" s="37" t="n">
        <v>0</v>
      </c>
      <c r="V61" s="36" t="n">
        <v>0</v>
      </c>
      <c r="W61" s="52" t="n">
        <v>10.8</v>
      </c>
    </row>
    <row r="62">
      <c r="A62" s="81" t="inlineStr">
        <is>
          <t>D. Biggar</t>
        </is>
      </c>
      <c r="B62" s="36">
        <f t="array" ref="B62:C62">_xlfn.XLOOKUP(A62,'Player List'!$A$2:$A$177,'Player List'!$B$2:$C$177)</f>
        <v/>
      </c>
      <c r="C62" s="36" t="inlineStr">
        <is>
          <t>Fly Half</t>
        </is>
      </c>
      <c r="D62" s="37" t="n">
        <v>26</v>
      </c>
      <c r="F62" s="37" t="n">
        <v>4</v>
      </c>
      <c r="G62" s="37" t="n">
        <v>0</v>
      </c>
      <c r="H62" s="37" t="n">
        <v>0</v>
      </c>
      <c r="I62" s="37" t="n">
        <v>0</v>
      </c>
      <c r="J62" s="37" t="n">
        <v>0</v>
      </c>
      <c r="K62" s="37" t="n">
        <v>0</v>
      </c>
      <c r="L62" s="37" t="n">
        <v>0</v>
      </c>
      <c r="M62" s="37" t="n">
        <v>0</v>
      </c>
      <c r="N62" s="37" t="n">
        <v>0</v>
      </c>
      <c r="O62" s="37" t="n">
        <v>0</v>
      </c>
      <c r="P62" s="37" t="n">
        <v>0</v>
      </c>
      <c r="Q62" s="37" t="n">
        <v>0</v>
      </c>
      <c r="R62" s="37" t="n">
        <v>0</v>
      </c>
      <c r="S62" s="37" t="n">
        <v>0</v>
      </c>
      <c r="T62" s="38" t="n">
        <v>4</v>
      </c>
      <c r="U62" s="37" t="n">
        <v>0</v>
      </c>
      <c r="V62" s="36" t="n">
        <v>0</v>
      </c>
      <c r="W62" s="52" t="n">
        <v>4</v>
      </c>
    </row>
    <row r="63">
      <c r="A63" s="81" t="inlineStr">
        <is>
          <t>O. Williams</t>
        </is>
      </c>
      <c r="B63" s="36">
        <f t="array" ref="B63:C63">_xlfn.XLOOKUP(A63,'Player List'!$A$2:$A$177,'Player List'!$B$2:$C$177)</f>
        <v/>
      </c>
      <c r="C63" s="36" t="inlineStr">
        <is>
          <t>Fly Half</t>
        </is>
      </c>
      <c r="D63" s="37" t="n">
        <v>54</v>
      </c>
      <c r="F63" s="37" t="n">
        <v>6</v>
      </c>
      <c r="G63" s="37" t="n">
        <v>0</v>
      </c>
      <c r="H63" s="37" t="n">
        <v>0</v>
      </c>
      <c r="I63" s="37" t="n">
        <v>4.8</v>
      </c>
      <c r="J63" s="37" t="n">
        <v>0</v>
      </c>
      <c r="K63" s="37" t="n">
        <v>0</v>
      </c>
      <c r="L63" s="37" t="n">
        <v>0</v>
      </c>
      <c r="M63" s="37" t="n">
        <v>0</v>
      </c>
      <c r="N63" s="37" t="n">
        <v>0</v>
      </c>
      <c r="O63" s="37" t="n">
        <v>0</v>
      </c>
      <c r="P63" s="37" t="n">
        <v>0</v>
      </c>
      <c r="Q63" s="37" t="n">
        <v>0</v>
      </c>
      <c r="R63" s="37" t="n">
        <v>0</v>
      </c>
      <c r="S63" s="37" t="n">
        <v>0</v>
      </c>
      <c r="T63" s="38" t="n">
        <v>10.8</v>
      </c>
      <c r="U63" s="37" t="n">
        <v>0</v>
      </c>
      <c r="V63" s="36" t="n">
        <v>0</v>
      </c>
      <c r="W63" s="52" t="n">
        <v>10.8</v>
      </c>
    </row>
    <row r="64">
      <c r="A64" s="81" t="inlineStr">
        <is>
          <t>K. Hardy</t>
        </is>
      </c>
      <c r="B64" s="36">
        <f t="array" ref="B64:C64">_xlfn.XLOOKUP(A64,'Player List'!$A$2:$A$177,'Player List'!$B$2:$C$177)</f>
        <v/>
      </c>
      <c r="C64" s="36" t="inlineStr">
        <is>
          <t>Scrum Half</t>
        </is>
      </c>
      <c r="D64" s="37" t="n">
        <v>11</v>
      </c>
      <c r="F64" s="37" t="n">
        <v>4</v>
      </c>
      <c r="G64" s="37" t="n">
        <v>0</v>
      </c>
      <c r="H64" s="37" t="n">
        <v>0</v>
      </c>
      <c r="I64" s="37" t="n">
        <v>0</v>
      </c>
      <c r="J64" s="37" t="n">
        <v>0</v>
      </c>
      <c r="K64" s="37" t="n">
        <v>0</v>
      </c>
      <c r="L64" s="37" t="n">
        <v>0</v>
      </c>
      <c r="M64" s="37" t="n">
        <v>0</v>
      </c>
      <c r="N64" s="37" t="n">
        <v>0</v>
      </c>
      <c r="O64" s="37" t="n">
        <v>0</v>
      </c>
      <c r="P64" s="37" t="n">
        <v>0</v>
      </c>
      <c r="Q64" s="37" t="n">
        <v>0</v>
      </c>
      <c r="R64" s="37" t="n">
        <v>0</v>
      </c>
      <c r="S64" s="37" t="n">
        <v>0</v>
      </c>
      <c r="T64" s="38" t="n">
        <v>4</v>
      </c>
      <c r="U64" s="37" t="n">
        <v>0</v>
      </c>
      <c r="V64" s="36" t="n">
        <v>0</v>
      </c>
      <c r="W64" s="52" t="n">
        <v>4</v>
      </c>
    </row>
    <row r="65">
      <c r="A65" s="81" t="inlineStr">
        <is>
          <t>T. Williams</t>
        </is>
      </c>
      <c r="B65" s="36">
        <f t="array" ref="B65:C65">_xlfn.XLOOKUP(A65,'Player List'!$A$2:$A$177,'Player List'!$B$2:$C$177)</f>
        <v/>
      </c>
      <c r="C65" s="36" t="inlineStr">
        <is>
          <t>Scrum Half</t>
        </is>
      </c>
      <c r="D65" s="37" t="n">
        <v>69</v>
      </c>
      <c r="F65" s="37" t="n">
        <v>2</v>
      </c>
      <c r="G65" s="37" t="n">
        <v>0</v>
      </c>
      <c r="H65" s="37" t="n">
        <v>0</v>
      </c>
      <c r="I65" s="37" t="n">
        <v>5.2</v>
      </c>
      <c r="J65" s="37" t="n">
        <v>0</v>
      </c>
      <c r="K65" s="37" t="n">
        <v>0</v>
      </c>
      <c r="L65" s="37" t="n">
        <v>0</v>
      </c>
      <c r="M65" s="37" t="n">
        <v>0</v>
      </c>
      <c r="N65" s="37" t="n">
        <v>0</v>
      </c>
      <c r="O65" s="37" t="n">
        <v>0</v>
      </c>
      <c r="P65" s="37" t="n">
        <v>0</v>
      </c>
      <c r="Q65" s="37" t="n">
        <v>0</v>
      </c>
      <c r="R65" s="37" t="n">
        <v>0</v>
      </c>
      <c r="S65" s="37" t="n">
        <v>0</v>
      </c>
      <c r="T65" s="38" t="n">
        <v>7.2</v>
      </c>
      <c r="U65" s="37" t="n">
        <v>0</v>
      </c>
      <c r="V65" s="36" t="n">
        <v>0</v>
      </c>
      <c r="W65" s="52" t="n">
        <v>7.2</v>
      </c>
    </row>
    <row r="66">
      <c r="A66" s="81" t="inlineStr">
        <is>
          <t>T. Faletau</t>
        </is>
      </c>
      <c r="B66" s="36">
        <f t="array" ref="B66:C66">_xlfn.XLOOKUP(A66,'Player List'!$A$2:$A$177,'Player List'!$B$2:$C$177)</f>
        <v/>
      </c>
      <c r="C66" s="36" t="inlineStr">
        <is>
          <t>Back Row</t>
        </is>
      </c>
      <c r="D66" s="37" t="n">
        <v>80</v>
      </c>
      <c r="F66" s="37" t="n">
        <v>11</v>
      </c>
      <c r="G66" s="37" t="n">
        <v>0</v>
      </c>
      <c r="H66" s="37" t="n">
        <v>0</v>
      </c>
      <c r="I66" s="37" t="n">
        <v>11</v>
      </c>
      <c r="J66" s="37" t="n">
        <v>0</v>
      </c>
      <c r="K66" s="37" t="n">
        <v>0</v>
      </c>
      <c r="L66" s="37" t="n">
        <v>14</v>
      </c>
      <c r="M66" s="37" t="n">
        <v>0</v>
      </c>
      <c r="N66" s="37" t="n">
        <v>0</v>
      </c>
      <c r="O66" s="37" t="n">
        <v>0</v>
      </c>
      <c r="P66" s="37" t="n">
        <v>0</v>
      </c>
      <c r="Q66" s="37" t="n">
        <v>0</v>
      </c>
      <c r="R66" s="37" t="n">
        <v>0</v>
      </c>
      <c r="S66" s="37" t="n">
        <v>0</v>
      </c>
      <c r="T66" s="38" t="n">
        <v>36</v>
      </c>
      <c r="U66" s="37" t="n">
        <v>0</v>
      </c>
      <c r="V66" s="36" t="n">
        <v>0</v>
      </c>
      <c r="W66" s="52" t="n">
        <v>36</v>
      </c>
    </row>
    <row r="67">
      <c r="A67" s="81" t="inlineStr">
        <is>
          <t>T. Reffell</t>
        </is>
      </c>
      <c r="B67" s="36">
        <f t="array" ref="B67:C67">_xlfn.XLOOKUP(A67,'Player List'!$A$2:$A$177,'Player List'!$B$2:$C$177)</f>
        <v/>
      </c>
      <c r="C67" s="36" t="inlineStr">
        <is>
          <t>Back Row</t>
        </is>
      </c>
      <c r="D67" s="37" t="n">
        <v>17</v>
      </c>
      <c r="F67" s="37" t="n">
        <v>3</v>
      </c>
      <c r="G67" s="37" t="n">
        <v>0</v>
      </c>
      <c r="H67" s="37" t="n">
        <v>0</v>
      </c>
      <c r="I67" s="37" t="n">
        <v>5</v>
      </c>
      <c r="J67" s="37" t="n">
        <v>0</v>
      </c>
      <c r="K67" s="37" t="n">
        <v>0</v>
      </c>
      <c r="L67" s="37" t="n">
        <v>0</v>
      </c>
      <c r="M67" s="37" t="n">
        <v>0</v>
      </c>
      <c r="N67" s="37" t="n">
        <v>0</v>
      </c>
      <c r="O67" s="37" t="n">
        <v>0</v>
      </c>
      <c r="P67" s="37" t="n">
        <v>0</v>
      </c>
      <c r="Q67" s="37" t="n">
        <v>0</v>
      </c>
      <c r="R67" s="37" t="n">
        <v>0</v>
      </c>
      <c r="S67" s="37" t="n">
        <v>0</v>
      </c>
      <c r="T67" s="38" t="n">
        <v>8</v>
      </c>
      <c r="U67" s="37" t="n">
        <v>0</v>
      </c>
      <c r="V67" s="36" t="n">
        <v>0</v>
      </c>
      <c r="W67" s="52" t="n">
        <v>8</v>
      </c>
    </row>
    <row r="68">
      <c r="A68" s="81" t="inlineStr">
        <is>
          <t>J. Tipuric</t>
        </is>
      </c>
      <c r="B68" s="36">
        <f t="array" ref="B68:C68">_xlfn.XLOOKUP(A68,'Player List'!$A$2:$A$177,'Player List'!$B$2:$C$177)</f>
        <v/>
      </c>
      <c r="C68" s="36" t="inlineStr">
        <is>
          <t>Back Row</t>
        </is>
      </c>
      <c r="D68" s="37" t="n">
        <v>80</v>
      </c>
      <c r="F68" s="37" t="n">
        <v>15</v>
      </c>
      <c r="G68" s="37" t="n">
        <v>14</v>
      </c>
      <c r="H68" s="37" t="n">
        <v>0</v>
      </c>
      <c r="I68" s="37" t="n">
        <v>6.2</v>
      </c>
      <c r="J68" s="37" t="n">
        <v>0</v>
      </c>
      <c r="K68" s="37" t="n">
        <v>0</v>
      </c>
      <c r="L68" s="37" t="n">
        <v>7</v>
      </c>
      <c r="M68" s="37" t="n">
        <v>0</v>
      </c>
      <c r="N68" s="37" t="n">
        <v>0</v>
      </c>
      <c r="O68" s="37" t="n">
        <v>0</v>
      </c>
      <c r="P68" s="37" t="n">
        <v>0</v>
      </c>
      <c r="Q68" s="37" t="n">
        <v>0</v>
      </c>
      <c r="R68" s="37" t="n">
        <v>0</v>
      </c>
      <c r="S68" s="37" t="n">
        <v>0</v>
      </c>
      <c r="T68" s="38" t="n">
        <v>42.2</v>
      </c>
      <c r="U68" s="37" t="n">
        <v>0</v>
      </c>
      <c r="V68" s="36" t="n">
        <v>0</v>
      </c>
      <c r="W68" s="52" t="n">
        <v>42.2</v>
      </c>
    </row>
    <row r="69">
      <c r="A69" s="81" t="inlineStr">
        <is>
          <t>A. Beard</t>
        </is>
      </c>
      <c r="B69" s="36">
        <f t="array" ref="B69:C69">_xlfn.XLOOKUP(A69,'Player List'!$A$2:$A$177,'Player List'!$B$2:$C$177)</f>
        <v/>
      </c>
      <c r="C69" s="36" t="inlineStr">
        <is>
          <t>Second Row</t>
        </is>
      </c>
      <c r="D69" s="37" t="n">
        <v>80</v>
      </c>
      <c r="F69" s="37" t="n">
        <v>13</v>
      </c>
      <c r="G69" s="37" t="n">
        <v>7</v>
      </c>
      <c r="H69" s="37" t="n">
        <v>0</v>
      </c>
      <c r="I69" s="37" t="n">
        <v>4.8</v>
      </c>
      <c r="J69" s="37" t="n">
        <v>0</v>
      </c>
      <c r="K69" s="37" t="n">
        <v>0</v>
      </c>
      <c r="L69" s="37" t="n">
        <v>7</v>
      </c>
      <c r="M69" s="37" t="n">
        <v>0</v>
      </c>
      <c r="N69" s="37" t="n">
        <v>0</v>
      </c>
      <c r="O69" s="37" t="n">
        <v>0</v>
      </c>
      <c r="P69" s="37" t="n">
        <v>0</v>
      </c>
      <c r="Q69" s="37" t="n">
        <v>0</v>
      </c>
      <c r="R69" s="37" t="n">
        <v>0</v>
      </c>
      <c r="S69" s="37" t="n">
        <v>0</v>
      </c>
      <c r="T69" s="38" t="n">
        <v>31.8</v>
      </c>
      <c r="U69" s="37" t="n">
        <v>0</v>
      </c>
      <c r="V69" s="36" t="n">
        <v>0</v>
      </c>
      <c r="W69" s="52" t="n">
        <v>31.8</v>
      </c>
    </row>
    <row r="70">
      <c r="A70" s="81" t="inlineStr">
        <is>
          <t>D. Jenkins</t>
        </is>
      </c>
      <c r="B70" s="36">
        <f t="array" ref="B70:C70">_xlfn.XLOOKUP(A70,'Player List'!$A$2:$A$177,'Player List'!$B$2:$C$177)</f>
        <v/>
      </c>
      <c r="C70" s="36" t="inlineStr">
        <is>
          <t>Second Row</t>
        </is>
      </c>
      <c r="D70" s="37" t="n">
        <v>17</v>
      </c>
      <c r="F70" s="37" t="n">
        <v>4</v>
      </c>
      <c r="G70" s="37" t="n">
        <v>0</v>
      </c>
      <c r="H70" s="37" t="n">
        <v>0</v>
      </c>
      <c r="I70" s="37" t="n">
        <v>1.6</v>
      </c>
      <c r="J70" s="37" t="n">
        <v>0</v>
      </c>
      <c r="K70" s="37" t="n">
        <v>0</v>
      </c>
      <c r="L70" s="37" t="n">
        <v>0</v>
      </c>
      <c r="M70" s="37" t="n">
        <v>0</v>
      </c>
      <c r="N70" s="37" t="n">
        <v>0</v>
      </c>
      <c r="O70" s="37" t="n">
        <v>0</v>
      </c>
      <c r="P70" s="37" t="n">
        <v>0</v>
      </c>
      <c r="Q70" s="37" t="n">
        <v>0</v>
      </c>
      <c r="R70" s="37" t="n">
        <v>0</v>
      </c>
      <c r="S70" s="37" t="n">
        <v>0</v>
      </c>
      <c r="T70" s="38" t="n">
        <v>5.6</v>
      </c>
      <c r="U70" s="37" t="n">
        <v>0</v>
      </c>
      <c r="V70" s="36" t="n">
        <v>0</v>
      </c>
      <c r="W70" s="52" t="n">
        <v>5.6</v>
      </c>
    </row>
    <row r="71">
      <c r="A71" s="81" t="inlineStr">
        <is>
          <t>A. Jones</t>
        </is>
      </c>
      <c r="B71" s="36">
        <f t="array" ref="B71:C71">_xlfn.XLOOKUP(A71,'Player List'!$A$2:$A$177,'Player List'!$B$2:$C$177)</f>
        <v/>
      </c>
      <c r="C71" s="36" t="inlineStr">
        <is>
          <t>Second Row</t>
        </is>
      </c>
      <c r="D71" s="37" t="n">
        <v>63</v>
      </c>
      <c r="F71" s="37" t="n">
        <v>9</v>
      </c>
      <c r="G71" s="37" t="n">
        <v>7</v>
      </c>
      <c r="H71" s="37" t="n">
        <v>0</v>
      </c>
      <c r="I71" s="37" t="n">
        <v>2.4</v>
      </c>
      <c r="J71" s="37" t="n">
        <v>0</v>
      </c>
      <c r="K71" s="37" t="n">
        <v>7</v>
      </c>
      <c r="L71" s="37" t="n">
        <v>7</v>
      </c>
      <c r="M71" s="37" t="n">
        <v>0</v>
      </c>
      <c r="N71" s="37" t="n">
        <v>0</v>
      </c>
      <c r="O71" s="37" t="n">
        <v>0</v>
      </c>
      <c r="P71" s="37" t="n">
        <v>0</v>
      </c>
      <c r="Q71" s="37" t="n">
        <v>0</v>
      </c>
      <c r="R71" s="37" t="n">
        <v>0</v>
      </c>
      <c r="S71" s="37" t="n">
        <v>0</v>
      </c>
      <c r="T71" s="38" t="n">
        <v>32.4</v>
      </c>
      <c r="U71" s="37" t="n">
        <v>0</v>
      </c>
      <c r="V71" s="36" t="n">
        <v>0</v>
      </c>
      <c r="W71" s="52" t="n">
        <v>32.4</v>
      </c>
    </row>
    <row r="72">
      <c r="A72" s="81" t="inlineStr">
        <is>
          <t>C. Tshiunza</t>
        </is>
      </c>
      <c r="B72" s="36">
        <f t="array" ref="B72:C72">_xlfn.XLOOKUP(A72,'Player List'!$A$2:$A$177,'Player List'!$B$2:$C$177)</f>
        <v/>
      </c>
      <c r="C72" s="36" t="inlineStr">
        <is>
          <t>Second Row</t>
        </is>
      </c>
      <c r="D72" s="37" t="n">
        <v>63</v>
      </c>
      <c r="F72" s="37" t="n">
        <v>13</v>
      </c>
      <c r="G72" s="37" t="n">
        <v>7</v>
      </c>
      <c r="H72" s="37" t="n">
        <v>0</v>
      </c>
      <c r="I72" s="37" t="n">
        <v>5.6</v>
      </c>
      <c r="J72" s="37" t="n">
        <v>0</v>
      </c>
      <c r="K72" s="37" t="n">
        <v>0</v>
      </c>
      <c r="L72" s="37" t="n">
        <v>0</v>
      </c>
      <c r="M72" s="37" t="n">
        <v>0</v>
      </c>
      <c r="N72" s="37" t="n">
        <v>0</v>
      </c>
      <c r="O72" s="37" t="n">
        <v>0</v>
      </c>
      <c r="P72" s="37" t="n">
        <v>0</v>
      </c>
      <c r="Q72" s="37" t="n">
        <v>0</v>
      </c>
      <c r="R72" s="37" t="n">
        <v>0</v>
      </c>
      <c r="S72" s="37" t="n">
        <v>0</v>
      </c>
      <c r="T72" s="38" t="n">
        <v>25.6</v>
      </c>
      <c r="U72" s="37" t="n">
        <v>0</v>
      </c>
      <c r="V72" s="36" t="n">
        <v>0</v>
      </c>
      <c r="W72" s="52" t="n">
        <v>25.6</v>
      </c>
    </row>
    <row r="73">
      <c r="A73" s="81" t="inlineStr">
        <is>
          <t>R. Carre</t>
        </is>
      </c>
      <c r="B73" s="36">
        <f t="array" ref="B73:C73">_xlfn.XLOOKUP(A73,'Player List'!$A$2:$A$177,'Player List'!$B$2:$C$177)</f>
        <v/>
      </c>
      <c r="C73" s="36" t="inlineStr">
        <is>
          <t>Prop</t>
        </is>
      </c>
      <c r="D73" s="37" t="n">
        <v>24</v>
      </c>
      <c r="F73" s="37" t="n">
        <v>3</v>
      </c>
      <c r="G73" s="37" t="n">
        <v>0</v>
      </c>
      <c r="H73" s="37" t="n">
        <v>0</v>
      </c>
      <c r="I73" s="37" t="n">
        <v>4.8</v>
      </c>
      <c r="J73" s="37" t="n">
        <v>0</v>
      </c>
      <c r="K73" s="37" t="n">
        <v>0</v>
      </c>
      <c r="L73" s="37" t="n">
        <v>0</v>
      </c>
      <c r="M73" s="37" t="n">
        <v>0</v>
      </c>
      <c r="N73" s="37" t="n">
        <v>0</v>
      </c>
      <c r="O73" s="37" t="n">
        <v>0</v>
      </c>
      <c r="P73" s="37" t="n">
        <v>0</v>
      </c>
      <c r="Q73" s="37" t="n">
        <v>0</v>
      </c>
      <c r="R73" s="37" t="n">
        <v>0</v>
      </c>
      <c r="S73" s="37" t="n">
        <v>0</v>
      </c>
      <c r="T73" s="38" t="n">
        <v>7.8</v>
      </c>
      <c r="U73" s="37" t="n">
        <v>0</v>
      </c>
      <c r="V73" s="36" t="n">
        <v>0</v>
      </c>
      <c r="W73" s="52" t="n">
        <v>7.8</v>
      </c>
    </row>
    <row r="74">
      <c r="A74" s="81" t="inlineStr">
        <is>
          <t>T. Francis</t>
        </is>
      </c>
      <c r="B74" s="36">
        <f t="array" ref="B74:C74">_xlfn.XLOOKUP(A74,'Player List'!$A$2:$A$177,'Player List'!$B$2:$C$177)</f>
        <v/>
      </c>
      <c r="C74" s="36" t="inlineStr">
        <is>
          <t>Prop</t>
        </is>
      </c>
      <c r="D74" s="37" t="n">
        <v>56</v>
      </c>
      <c r="F74" s="37" t="n">
        <v>11</v>
      </c>
      <c r="G74" s="37" t="n">
        <v>0</v>
      </c>
      <c r="H74" s="37" t="n">
        <v>0</v>
      </c>
      <c r="I74" s="37" t="n">
        <v>1.4</v>
      </c>
      <c r="J74" s="37" t="n">
        <v>0</v>
      </c>
      <c r="K74" s="37" t="n">
        <v>0</v>
      </c>
      <c r="L74" s="37" t="n">
        <v>0</v>
      </c>
      <c r="M74" s="37" t="n">
        <v>0</v>
      </c>
      <c r="N74" s="37" t="n">
        <v>0</v>
      </c>
      <c r="O74" s="37" t="n">
        <v>0</v>
      </c>
      <c r="P74" s="37" t="n">
        <v>0</v>
      </c>
      <c r="Q74" s="37" t="n">
        <v>0</v>
      </c>
      <c r="R74" s="37" t="n">
        <v>0</v>
      </c>
      <c r="S74" s="37" t="n">
        <v>0</v>
      </c>
      <c r="T74" s="38" t="n">
        <v>12.4</v>
      </c>
      <c r="U74" s="37" t="n">
        <v>0</v>
      </c>
      <c r="V74" s="36" t="n">
        <v>0</v>
      </c>
      <c r="W74" s="52" t="n">
        <v>12.4</v>
      </c>
    </row>
    <row r="75">
      <c r="A75" s="81" t="inlineStr">
        <is>
          <t>D. Lewis</t>
        </is>
      </c>
      <c r="B75" s="36">
        <f t="array" ref="B75:C75">_xlfn.XLOOKUP(A75,'Player List'!$A$2:$A$177,'Player List'!$B$2:$C$177)</f>
        <v/>
      </c>
      <c r="C75" s="36" t="inlineStr">
        <is>
          <t>Prop</t>
        </is>
      </c>
      <c r="D75" s="37" t="n">
        <v>24</v>
      </c>
      <c r="F75" s="37" t="n">
        <v>2</v>
      </c>
      <c r="G75" s="37" t="n">
        <v>0</v>
      </c>
      <c r="H75" s="37" t="n">
        <v>0</v>
      </c>
      <c r="I75" s="37" t="n">
        <v>0.6</v>
      </c>
      <c r="J75" s="37" t="n">
        <v>0</v>
      </c>
      <c r="K75" s="37" t="n">
        <v>0</v>
      </c>
      <c r="L75" s="37" t="n">
        <v>0</v>
      </c>
      <c r="M75" s="37" t="n">
        <v>0</v>
      </c>
      <c r="N75" s="37" t="n">
        <v>0</v>
      </c>
      <c r="O75" s="37" t="n">
        <v>0</v>
      </c>
      <c r="P75" s="37" t="n">
        <v>0</v>
      </c>
      <c r="Q75" s="37" t="n">
        <v>0</v>
      </c>
      <c r="R75" s="37" t="n">
        <v>0</v>
      </c>
      <c r="S75" s="37" t="n">
        <v>0</v>
      </c>
      <c r="T75" s="38" t="n">
        <v>2.6</v>
      </c>
      <c r="U75" s="37" t="n">
        <v>0</v>
      </c>
      <c r="V75" s="36" t="n">
        <v>0</v>
      </c>
      <c r="W75" s="52" t="n">
        <v>2.6</v>
      </c>
    </row>
    <row r="76">
      <c r="A76" s="81" t="inlineStr">
        <is>
          <t>G. Thomas</t>
        </is>
      </c>
      <c r="B76" s="36">
        <f t="array" ref="B76:C76">_xlfn.XLOOKUP(A76,'Player List'!$A$2:$A$177,'Player List'!$B$2:$C$177)</f>
        <v/>
      </c>
      <c r="C76" s="36" t="inlineStr">
        <is>
          <t>Prop</t>
        </is>
      </c>
      <c r="D76" s="37" t="n">
        <v>56</v>
      </c>
      <c r="F76" s="37" t="n">
        <v>11</v>
      </c>
      <c r="G76" s="37" t="n">
        <v>0</v>
      </c>
      <c r="H76" s="37" t="n">
        <v>7</v>
      </c>
      <c r="I76" s="37" t="n">
        <v>5.8</v>
      </c>
      <c r="J76" s="37" t="n">
        <v>0</v>
      </c>
      <c r="K76" s="37" t="n">
        <v>0</v>
      </c>
      <c r="L76" s="37" t="n">
        <v>0</v>
      </c>
      <c r="M76" s="37" t="n">
        <v>0</v>
      </c>
      <c r="N76" s="37" t="n">
        <v>0</v>
      </c>
      <c r="O76" s="37" t="n">
        <v>0</v>
      </c>
      <c r="P76" s="37" t="n">
        <v>0</v>
      </c>
      <c r="Q76" s="37" t="n">
        <v>0</v>
      </c>
      <c r="R76" s="37" t="n">
        <v>0</v>
      </c>
      <c r="S76" s="37" t="n">
        <v>0</v>
      </c>
      <c r="T76" s="38" t="n">
        <v>23.8</v>
      </c>
      <c r="U76" s="37" t="n">
        <v>0</v>
      </c>
      <c r="V76" s="36" t="n">
        <v>0</v>
      </c>
      <c r="W76" s="52" t="n">
        <v>23.8</v>
      </c>
    </row>
    <row r="77">
      <c r="A77" s="81" t="inlineStr">
        <is>
          <t>K. Owens</t>
        </is>
      </c>
      <c r="B77" s="36">
        <f t="array" ref="B77:C77">_xlfn.XLOOKUP(A77,'Player List'!$A$2:$A$177,'Player List'!$B$2:$C$177)</f>
        <v/>
      </c>
      <c r="C77" s="36" t="inlineStr">
        <is>
          <t>Hooker</t>
        </is>
      </c>
      <c r="D77" s="37" t="n">
        <v>69</v>
      </c>
      <c r="F77" s="37" t="n">
        <v>8</v>
      </c>
      <c r="G77" s="37" t="n">
        <v>7</v>
      </c>
      <c r="H77" s="37" t="n">
        <v>0</v>
      </c>
      <c r="I77" s="37" t="n">
        <v>5.8</v>
      </c>
      <c r="J77" s="37" t="n">
        <v>0</v>
      </c>
      <c r="K77" s="37" t="n">
        <v>0</v>
      </c>
      <c r="L77" s="37" t="n">
        <v>0</v>
      </c>
      <c r="M77" s="37" t="n">
        <v>0</v>
      </c>
      <c r="N77" s="37" t="n">
        <v>0</v>
      </c>
      <c r="O77" s="37" t="n">
        <v>0</v>
      </c>
      <c r="P77" s="37" t="n">
        <v>0</v>
      </c>
      <c r="Q77" s="37" t="n">
        <v>0</v>
      </c>
      <c r="R77" s="37" t="n">
        <v>0</v>
      </c>
      <c r="S77" s="37" t="n">
        <v>0</v>
      </c>
      <c r="T77" s="38" t="n">
        <v>20.8</v>
      </c>
      <c r="U77" s="37" t="n">
        <v>0</v>
      </c>
      <c r="V77" s="36" t="n">
        <v>0</v>
      </c>
      <c r="W77" s="52" t="n">
        <v>20.8</v>
      </c>
    </row>
    <row r="78">
      <c r="A78" s="81" t="inlineStr">
        <is>
          <t>B. Roberts</t>
        </is>
      </c>
      <c r="B78" s="36">
        <f t="array" ref="B78:C78">_xlfn.XLOOKUP(A78,'Player List'!$A$2:$A$177,'Player List'!$B$2:$C$177)</f>
        <v/>
      </c>
      <c r="C78" s="36" t="inlineStr">
        <is>
          <t>Hooker</t>
        </is>
      </c>
      <c r="D78" s="37" t="n">
        <v>11</v>
      </c>
      <c r="F78" s="37" t="n">
        <v>3</v>
      </c>
      <c r="G78" s="37" t="n">
        <v>0</v>
      </c>
      <c r="H78" s="37" t="n">
        <v>0</v>
      </c>
      <c r="I78" s="37" t="n">
        <v>1</v>
      </c>
      <c r="J78" s="37" t="n">
        <v>0</v>
      </c>
      <c r="K78" s="37" t="n">
        <v>0</v>
      </c>
      <c r="L78" s="37" t="n">
        <v>0</v>
      </c>
      <c r="M78" s="37" t="n">
        <v>0</v>
      </c>
      <c r="N78" s="37" t="n">
        <v>0</v>
      </c>
      <c r="O78" s="37" t="n">
        <v>0</v>
      </c>
      <c r="P78" s="37" t="n">
        <v>0</v>
      </c>
      <c r="Q78" s="37" t="n">
        <v>0</v>
      </c>
      <c r="R78" s="37" t="n">
        <v>0</v>
      </c>
      <c r="S78" s="37" t="n">
        <v>0</v>
      </c>
      <c r="T78" s="38" t="n">
        <v>4</v>
      </c>
      <c r="U78" s="37" t="n">
        <v>0</v>
      </c>
      <c r="V78" s="36" t="n">
        <v>0</v>
      </c>
      <c r="W78" s="52" t="n">
        <v>4</v>
      </c>
    </row>
    <row r="79">
      <c r="A79" s="81" t="inlineStr">
        <is>
          <t>H. Arundell</t>
        </is>
      </c>
      <c r="B79" s="36">
        <f t="array" ref="B79:C79">_xlfn.XLOOKUP(A79,'Player List'!$A$2:$A$177,'Player List'!$B$2:$C$177)</f>
        <v/>
      </c>
      <c r="C79" s="36" t="inlineStr">
        <is>
          <t>Back Three</t>
        </is>
      </c>
      <c r="D79" s="37" t="n">
        <v>1</v>
      </c>
      <c r="F79" s="37" t="n">
        <v>0</v>
      </c>
      <c r="G79" s="37" t="n">
        <v>0</v>
      </c>
      <c r="H79" s="37" t="n">
        <v>0</v>
      </c>
      <c r="I79" s="37" t="n">
        <v>2.4</v>
      </c>
      <c r="J79" s="37" t="n">
        <v>0</v>
      </c>
      <c r="K79" s="37" t="n">
        <v>0</v>
      </c>
      <c r="L79" s="37" t="n">
        <v>0</v>
      </c>
      <c r="M79" s="37" t="n">
        <v>0</v>
      </c>
      <c r="N79" s="37" t="n">
        <v>0</v>
      </c>
      <c r="O79" s="37" t="n">
        <v>0</v>
      </c>
      <c r="P79" s="37" t="n">
        <v>0</v>
      </c>
      <c r="Q79" s="37" t="n">
        <v>0</v>
      </c>
      <c r="R79" s="37" t="n">
        <v>0</v>
      </c>
      <c r="S79" s="37" t="n">
        <v>0</v>
      </c>
      <c r="T79" s="38" t="n">
        <v>2.4</v>
      </c>
      <c r="U79" s="37" t="n">
        <v>0</v>
      </c>
      <c r="V79" s="36" t="n">
        <v>0</v>
      </c>
      <c r="W79" s="52" t="n">
        <v>2.4</v>
      </c>
    </row>
    <row r="80">
      <c r="A80" s="81" t="inlineStr">
        <is>
          <t>M. Malins</t>
        </is>
      </c>
      <c r="B80" s="36">
        <f t="array" ref="B80:C80">_xlfn.XLOOKUP(A80,'Player List'!$A$2:$A$177,'Player List'!$B$2:$C$177)</f>
        <v/>
      </c>
      <c r="C80" s="36" t="inlineStr">
        <is>
          <t>Back Three</t>
        </is>
      </c>
      <c r="D80" s="37" t="n">
        <v>80</v>
      </c>
      <c r="F80" s="37" t="n">
        <v>11</v>
      </c>
      <c r="G80" s="37" t="n">
        <v>7</v>
      </c>
      <c r="H80" s="37" t="n">
        <v>7</v>
      </c>
      <c r="I80" s="37" t="n">
        <v>13.2</v>
      </c>
      <c r="J80" s="37" t="n">
        <v>0</v>
      </c>
      <c r="K80" s="37" t="n">
        <v>0</v>
      </c>
      <c r="L80" s="37" t="n">
        <v>0</v>
      </c>
      <c r="M80" s="37" t="n">
        <v>0</v>
      </c>
      <c r="N80" s="37" t="n">
        <v>0</v>
      </c>
      <c r="O80" s="37" t="n">
        <v>0</v>
      </c>
      <c r="P80" s="37" t="n">
        <v>0</v>
      </c>
      <c r="Q80" s="37" t="n">
        <v>0</v>
      </c>
      <c r="R80" s="37" t="n">
        <v>0</v>
      </c>
      <c r="S80" s="37" t="n">
        <v>0</v>
      </c>
      <c r="T80" s="38" t="n">
        <v>38.2</v>
      </c>
      <c r="U80" s="37" t="n">
        <v>0</v>
      </c>
      <c r="V80" s="36" t="n">
        <v>0</v>
      </c>
      <c r="W80" s="52" t="n">
        <v>38.2</v>
      </c>
    </row>
    <row r="81">
      <c r="A81" s="81" t="inlineStr">
        <is>
          <t>F. Steward</t>
        </is>
      </c>
      <c r="B81" s="36">
        <f t="array" ref="B81:C81">_xlfn.XLOOKUP(A81,'Player List'!$A$2:$A$177,'Player List'!$B$2:$C$177)</f>
        <v/>
      </c>
      <c r="C81" s="36" t="inlineStr">
        <is>
          <t>Back Three</t>
        </is>
      </c>
      <c r="D81" s="37" t="n">
        <v>80</v>
      </c>
      <c r="F81" s="37" t="n">
        <v>3</v>
      </c>
      <c r="G81" s="37" t="n">
        <v>7</v>
      </c>
      <c r="H81" s="37" t="n">
        <v>0</v>
      </c>
      <c r="I81" s="37" t="n">
        <v>18.8</v>
      </c>
      <c r="J81" s="37" t="n">
        <v>0</v>
      </c>
      <c r="K81" s="37" t="n">
        <v>0</v>
      </c>
      <c r="L81" s="37" t="n">
        <v>0</v>
      </c>
      <c r="M81" s="37" t="n">
        <v>0</v>
      </c>
      <c r="N81" s="37" t="n">
        <v>7</v>
      </c>
      <c r="O81" s="37" t="n">
        <v>0</v>
      </c>
      <c r="P81" s="37" t="n">
        <v>0</v>
      </c>
      <c r="Q81" s="37" t="n">
        <v>0</v>
      </c>
      <c r="R81" s="37" t="n">
        <v>0</v>
      </c>
      <c r="S81" s="37" t="n">
        <v>0</v>
      </c>
      <c r="T81" s="38" t="n">
        <v>35.8</v>
      </c>
      <c r="U81" s="37" t="n">
        <v>15</v>
      </c>
      <c r="V81" s="36" t="n">
        <v>0</v>
      </c>
      <c r="W81" s="52" t="n">
        <v>50.8</v>
      </c>
    </row>
    <row r="82">
      <c r="A82" s="81" t="inlineStr">
        <is>
          <t>A. Watson</t>
        </is>
      </c>
      <c r="B82" s="36">
        <f t="array" ref="B82:C82">_xlfn.XLOOKUP(A82,'Player List'!$A$2:$A$177,'Player List'!$B$2:$C$177)</f>
        <v/>
      </c>
      <c r="C82" s="36" t="inlineStr">
        <is>
          <t>Back Three</t>
        </is>
      </c>
      <c r="D82" s="37" t="n">
        <v>80</v>
      </c>
      <c r="F82" s="37" t="n">
        <v>3</v>
      </c>
      <c r="G82" s="37" t="n">
        <v>7</v>
      </c>
      <c r="H82" s="37" t="n">
        <v>14</v>
      </c>
      <c r="I82" s="37" t="n">
        <v>11.6</v>
      </c>
      <c r="J82" s="37" t="n">
        <v>0</v>
      </c>
      <c r="K82" s="37" t="n">
        <v>0</v>
      </c>
      <c r="L82" s="37" t="n">
        <v>0</v>
      </c>
      <c r="M82" s="37" t="n">
        <v>15</v>
      </c>
      <c r="N82" s="37" t="n">
        <v>0</v>
      </c>
      <c r="O82" s="37" t="n">
        <v>0</v>
      </c>
      <c r="P82" s="37" t="n">
        <v>0</v>
      </c>
      <c r="Q82" s="37" t="n">
        <v>0</v>
      </c>
      <c r="R82" s="37" t="n">
        <v>0</v>
      </c>
      <c r="S82" s="37" t="n">
        <v>0</v>
      </c>
      <c r="T82" s="38" t="n">
        <v>50.6</v>
      </c>
      <c r="U82" s="37" t="n">
        <v>0</v>
      </c>
      <c r="V82" s="36" t="n">
        <v>0</v>
      </c>
      <c r="W82" s="52" t="n">
        <v>50.6</v>
      </c>
    </row>
    <row r="83">
      <c r="A83" s="81" t="inlineStr">
        <is>
          <t>O. Farrell</t>
        </is>
      </c>
      <c r="B83" s="36">
        <f t="array" ref="B83:C83">_xlfn.XLOOKUP(A83,'Player List'!$A$2:$A$177,'Player List'!$B$2:$C$177)</f>
        <v/>
      </c>
      <c r="C83" s="36" t="inlineStr">
        <is>
          <t>Centre</t>
        </is>
      </c>
      <c r="D83" s="37" t="n">
        <v>80</v>
      </c>
      <c r="F83" s="37" t="n">
        <v>17</v>
      </c>
      <c r="G83" s="37" t="n">
        <v>0</v>
      </c>
      <c r="H83" s="37" t="n">
        <v>0</v>
      </c>
      <c r="I83" s="37" t="n">
        <v>4.6</v>
      </c>
      <c r="J83" s="37" t="n">
        <v>0</v>
      </c>
      <c r="K83" s="37" t="n">
        <v>0</v>
      </c>
      <c r="L83" s="37" t="n">
        <v>14</v>
      </c>
      <c r="M83" s="37" t="n">
        <v>0</v>
      </c>
      <c r="N83" s="37" t="n">
        <v>0</v>
      </c>
      <c r="O83" s="37" t="n">
        <v>2</v>
      </c>
      <c r="P83" s="37" t="n">
        <v>5</v>
      </c>
      <c r="Q83" s="37" t="n">
        <v>0</v>
      </c>
      <c r="R83" s="37" t="n">
        <v>0</v>
      </c>
      <c r="S83" s="37" t="n">
        <v>0</v>
      </c>
      <c r="T83" s="38" t="n">
        <v>42.6</v>
      </c>
      <c r="U83" s="37" t="n">
        <v>0</v>
      </c>
      <c r="V83" s="36" t="n">
        <v>0</v>
      </c>
      <c r="W83" s="52" t="n">
        <v>42.6</v>
      </c>
    </row>
    <row r="84">
      <c r="A84" s="81" t="inlineStr">
        <is>
          <t>O. Lawrence</t>
        </is>
      </c>
      <c r="B84" s="36">
        <f t="array" ref="B84:C84">_xlfn.XLOOKUP(A84,'Player List'!$A$2:$A$177,'Player List'!$B$2:$C$177)</f>
        <v/>
      </c>
      <c r="C84" s="36" t="inlineStr">
        <is>
          <t>Centre</t>
        </is>
      </c>
      <c r="D84" s="37" t="n">
        <v>80</v>
      </c>
      <c r="F84" s="37" t="n">
        <v>7</v>
      </c>
      <c r="G84" s="37" t="n">
        <v>14</v>
      </c>
      <c r="H84" s="37" t="n">
        <v>7</v>
      </c>
      <c r="I84" s="37" t="n">
        <v>17.2</v>
      </c>
      <c r="J84" s="37" t="n">
        <v>0</v>
      </c>
      <c r="K84" s="37" t="n">
        <v>0</v>
      </c>
      <c r="L84" s="37" t="n">
        <v>7</v>
      </c>
      <c r="M84" s="37" t="n">
        <v>15</v>
      </c>
      <c r="N84" s="37" t="n">
        <v>0</v>
      </c>
      <c r="O84" s="37" t="n">
        <v>0</v>
      </c>
      <c r="P84" s="37" t="n">
        <v>0</v>
      </c>
      <c r="Q84" s="37" t="n">
        <v>0</v>
      </c>
      <c r="R84" s="37" t="n">
        <v>0</v>
      </c>
      <c r="S84" s="37" t="n">
        <v>0</v>
      </c>
      <c r="T84" s="38" t="n">
        <v>67.2</v>
      </c>
      <c r="U84" s="37" t="n">
        <v>0</v>
      </c>
      <c r="V84" s="36" t="n">
        <v>0</v>
      </c>
      <c r="W84" s="52" t="n">
        <v>67.2</v>
      </c>
    </row>
    <row r="85">
      <c r="A85" s="81" t="inlineStr">
        <is>
          <t>H. Slade</t>
        </is>
      </c>
      <c r="B85" s="36">
        <f t="array" ref="B85:C85">_xlfn.XLOOKUP(A85,'Player List'!$A$2:$A$177,'Player List'!$B$2:$C$177)</f>
        <v/>
      </c>
      <c r="C85" s="36" t="inlineStr">
        <is>
          <t>Centre</t>
        </is>
      </c>
      <c r="D85" s="37" t="n">
        <v>80</v>
      </c>
      <c r="F85" s="37" t="n">
        <v>5</v>
      </c>
      <c r="G85" s="37" t="n">
        <v>0</v>
      </c>
      <c r="H85" s="37" t="n">
        <v>21</v>
      </c>
      <c r="I85" s="37" t="n">
        <v>8.199999999999999</v>
      </c>
      <c r="J85" s="37" t="n">
        <v>0</v>
      </c>
      <c r="K85" s="37" t="n">
        <v>0</v>
      </c>
      <c r="L85" s="37" t="n">
        <v>0</v>
      </c>
      <c r="M85" s="37" t="n">
        <v>0</v>
      </c>
      <c r="N85" s="37" t="n">
        <v>0</v>
      </c>
      <c r="O85" s="37" t="n">
        <v>0</v>
      </c>
      <c r="P85" s="37" t="n">
        <v>0</v>
      </c>
      <c r="Q85" s="37" t="n">
        <v>0</v>
      </c>
      <c r="R85" s="37" t="n">
        <v>0</v>
      </c>
      <c r="S85" s="37" t="n">
        <v>0</v>
      </c>
      <c r="T85" s="38" t="n">
        <v>34.2</v>
      </c>
      <c r="U85" s="37" t="n">
        <v>0</v>
      </c>
      <c r="V85" s="36" t="n">
        <v>0</v>
      </c>
      <c r="W85" s="52" t="n">
        <v>34.2</v>
      </c>
    </row>
    <row r="86">
      <c r="A86" s="81" t="inlineStr">
        <is>
          <t>M. Smith</t>
        </is>
      </c>
      <c r="B86" s="36">
        <f t="array" ref="B86:C86">_xlfn.XLOOKUP(A86,'Player List'!$A$2:$A$177,'Player List'!$B$2:$C$177)</f>
        <v/>
      </c>
      <c r="C86" s="36" t="inlineStr">
        <is>
          <t>Fly Half</t>
        </is>
      </c>
      <c r="D86" s="37" t="n">
        <v>1</v>
      </c>
      <c r="F86" s="37" t="n">
        <v>0</v>
      </c>
      <c r="G86" s="37" t="n">
        <v>0</v>
      </c>
      <c r="H86" s="37" t="n">
        <v>0</v>
      </c>
      <c r="I86" s="37" t="n">
        <v>1.4</v>
      </c>
      <c r="J86" s="37" t="n">
        <v>0</v>
      </c>
      <c r="K86" s="37" t="n">
        <v>0</v>
      </c>
      <c r="L86" s="37" t="n">
        <v>0</v>
      </c>
      <c r="M86" s="37" t="n">
        <v>0</v>
      </c>
      <c r="N86" s="37" t="n">
        <v>0</v>
      </c>
      <c r="O86" s="37" t="n">
        <v>0</v>
      </c>
      <c r="P86" s="37" t="n">
        <v>0</v>
      </c>
      <c r="Q86" s="37" t="n">
        <v>0</v>
      </c>
      <c r="R86" s="37" t="n">
        <v>0</v>
      </c>
      <c r="S86" s="37" t="n">
        <v>0</v>
      </c>
      <c r="T86" s="38" t="n">
        <v>1.4</v>
      </c>
      <c r="U86" s="37" t="n">
        <v>0</v>
      </c>
      <c r="V86" s="36" t="n">
        <v>0</v>
      </c>
      <c r="W86" s="52" t="n">
        <v>1.4</v>
      </c>
    </row>
    <row r="87">
      <c r="A87" s="81" t="inlineStr">
        <is>
          <t>A. Mitchell</t>
        </is>
      </c>
      <c r="B87" s="36">
        <f t="array" ref="B87:C87">_xlfn.XLOOKUP(A87,'Player List'!$A$2:$A$177,'Player List'!$B$2:$C$177)</f>
        <v/>
      </c>
      <c r="C87" s="36" t="inlineStr">
        <is>
          <t>Scrum Half</t>
        </is>
      </c>
      <c r="D87" s="37" t="n">
        <v>8</v>
      </c>
      <c r="F87" s="37" t="n">
        <v>1</v>
      </c>
      <c r="G87" s="37" t="n">
        <v>0</v>
      </c>
      <c r="H87" s="37" t="n">
        <v>0</v>
      </c>
      <c r="I87" s="37" t="n">
        <v>0</v>
      </c>
      <c r="J87" s="37" t="n">
        <v>0</v>
      </c>
      <c r="K87" s="37" t="n">
        <v>0</v>
      </c>
      <c r="L87" s="37" t="n">
        <v>0</v>
      </c>
      <c r="M87" s="37" t="n">
        <v>0</v>
      </c>
      <c r="N87" s="37" t="n">
        <v>0</v>
      </c>
      <c r="O87" s="37" t="n">
        <v>0</v>
      </c>
      <c r="P87" s="37" t="n">
        <v>0</v>
      </c>
      <c r="Q87" s="37" t="n">
        <v>0</v>
      </c>
      <c r="R87" s="37" t="n">
        <v>0</v>
      </c>
      <c r="S87" s="37" t="n">
        <v>0</v>
      </c>
      <c r="T87" s="38" t="n">
        <v>1</v>
      </c>
      <c r="U87" s="37" t="n">
        <v>0</v>
      </c>
      <c r="V87" s="36" t="n">
        <v>0</v>
      </c>
      <c r="W87" s="52" t="n">
        <v>1</v>
      </c>
    </row>
    <row r="88">
      <c r="A88" s="81" t="inlineStr">
        <is>
          <t>J. van Poortvliet</t>
        </is>
      </c>
      <c r="B88" s="36">
        <f t="array" ref="B88:C88">_xlfn.XLOOKUP(A88,'Player List'!$A$2:$A$177,'Player List'!$B$2:$C$177)</f>
        <v/>
      </c>
      <c r="C88" s="36" t="inlineStr">
        <is>
          <t>Scrum Half</t>
        </is>
      </c>
      <c r="D88" s="37" t="n">
        <v>72</v>
      </c>
      <c r="F88" s="37" t="n">
        <v>7</v>
      </c>
      <c r="G88" s="37" t="n">
        <v>0</v>
      </c>
      <c r="H88" s="37" t="n">
        <v>0</v>
      </c>
      <c r="I88" s="37" t="n">
        <v>1.2</v>
      </c>
      <c r="J88" s="37" t="n">
        <v>0</v>
      </c>
      <c r="K88" s="37" t="n">
        <v>0</v>
      </c>
      <c r="L88" s="37" t="n">
        <v>0</v>
      </c>
      <c r="M88" s="37" t="n">
        <v>0</v>
      </c>
      <c r="N88" s="37" t="n">
        <v>0</v>
      </c>
      <c r="O88" s="37" t="n">
        <v>0</v>
      </c>
      <c r="P88" s="37" t="n">
        <v>0</v>
      </c>
      <c r="Q88" s="37" t="n">
        <v>0</v>
      </c>
      <c r="R88" s="37" t="n">
        <v>0</v>
      </c>
      <c r="S88" s="37" t="n">
        <v>0</v>
      </c>
      <c r="T88" s="38" t="n">
        <v>8.199999999999999</v>
      </c>
      <c r="U88" s="37" t="n">
        <v>0</v>
      </c>
      <c r="V88" s="36" t="n">
        <v>0</v>
      </c>
      <c r="W88" s="52" t="n">
        <v>8.199999999999999</v>
      </c>
    </row>
    <row r="89">
      <c r="A89" s="81" t="inlineStr">
        <is>
          <t>B. Curry</t>
        </is>
      </c>
      <c r="B89" s="36">
        <f t="array" ref="B89:C89">_xlfn.XLOOKUP(A89,'Player List'!$A$2:$A$177,'Player List'!$B$2:$C$177)</f>
        <v/>
      </c>
      <c r="C89" s="36" t="inlineStr">
        <is>
          <t>Back Row</t>
        </is>
      </c>
      <c r="D89" s="37" t="n">
        <v>21</v>
      </c>
      <c r="F89" s="37" t="n">
        <v>4</v>
      </c>
      <c r="G89" s="37" t="n">
        <v>7</v>
      </c>
      <c r="H89" s="37" t="n">
        <v>0</v>
      </c>
      <c r="I89" s="37" t="n">
        <v>3.2</v>
      </c>
      <c r="J89" s="37" t="n">
        <v>0</v>
      </c>
      <c r="K89" s="37" t="n">
        <v>0</v>
      </c>
      <c r="L89" s="37" t="n">
        <v>7</v>
      </c>
      <c r="M89" s="37" t="n">
        <v>0</v>
      </c>
      <c r="N89" s="37" t="n">
        <v>0</v>
      </c>
      <c r="O89" s="37" t="n">
        <v>0</v>
      </c>
      <c r="P89" s="37" t="n">
        <v>0</v>
      </c>
      <c r="Q89" s="37" t="n">
        <v>0</v>
      </c>
      <c r="R89" s="37" t="n">
        <v>0</v>
      </c>
      <c r="S89" s="37" t="n">
        <v>0</v>
      </c>
      <c r="T89" s="38" t="n">
        <v>21.2</v>
      </c>
      <c r="U89" s="37" t="n">
        <v>0</v>
      </c>
      <c r="V89" s="36" t="n">
        <v>0</v>
      </c>
      <c r="W89" s="52" t="n">
        <v>21.2</v>
      </c>
    </row>
    <row r="90">
      <c r="A90" s="81" t="inlineStr">
        <is>
          <t>A. Dombrandt</t>
        </is>
      </c>
      <c r="B90" s="36">
        <f t="array" ref="B90:C90">_xlfn.XLOOKUP(A90,'Player List'!$A$2:$A$177,'Player List'!$B$2:$C$177)</f>
        <v/>
      </c>
      <c r="C90" s="36" t="inlineStr">
        <is>
          <t>Back Row</t>
        </is>
      </c>
      <c r="D90" s="37" t="n">
        <v>69</v>
      </c>
      <c r="F90" s="37" t="n">
        <v>6</v>
      </c>
      <c r="G90" s="37" t="n">
        <v>0</v>
      </c>
      <c r="H90" s="37" t="n">
        <v>7</v>
      </c>
      <c r="I90" s="37" t="n">
        <v>11.2</v>
      </c>
      <c r="J90" s="37" t="n">
        <v>0</v>
      </c>
      <c r="K90" s="37" t="n">
        <v>0</v>
      </c>
      <c r="L90" s="37" t="n">
        <v>0</v>
      </c>
      <c r="M90" s="37" t="n">
        <v>0</v>
      </c>
      <c r="N90" s="37" t="n">
        <v>7</v>
      </c>
      <c r="O90" s="37" t="n">
        <v>0</v>
      </c>
      <c r="P90" s="37" t="n">
        <v>0</v>
      </c>
      <c r="Q90" s="37" t="n">
        <v>0</v>
      </c>
      <c r="R90" s="37" t="n">
        <v>0</v>
      </c>
      <c r="S90" s="37" t="n">
        <v>0</v>
      </c>
      <c r="T90" s="38" t="n">
        <v>31.2</v>
      </c>
      <c r="U90" s="37" t="n">
        <v>0</v>
      </c>
      <c r="V90" s="36" t="n">
        <v>0</v>
      </c>
      <c r="W90" s="52" t="n">
        <v>31.2</v>
      </c>
    </row>
    <row r="91">
      <c r="A91" s="81" t="inlineStr">
        <is>
          <t>L. Ludlam</t>
        </is>
      </c>
      <c r="B91" s="36">
        <f t="array" ref="B91:C91">_xlfn.XLOOKUP(A91,'Player List'!$A$2:$A$177,'Player List'!$B$2:$C$177)</f>
        <v/>
      </c>
      <c r="C91" s="36" t="inlineStr">
        <is>
          <t>Back Row</t>
        </is>
      </c>
      <c r="D91" s="37" t="n">
        <v>80</v>
      </c>
      <c r="F91" s="37" t="n">
        <v>13</v>
      </c>
      <c r="G91" s="37" t="n">
        <v>14</v>
      </c>
      <c r="H91" s="37" t="n">
        <v>0</v>
      </c>
      <c r="I91" s="37" t="n">
        <v>5</v>
      </c>
      <c r="J91" s="37" t="n">
        <v>0</v>
      </c>
      <c r="K91" s="37" t="n">
        <v>0</v>
      </c>
      <c r="L91" s="37" t="n">
        <v>7</v>
      </c>
      <c r="M91" s="37" t="n">
        <v>0</v>
      </c>
      <c r="N91" s="37" t="n">
        <v>0</v>
      </c>
      <c r="O91" s="37" t="n">
        <v>0</v>
      </c>
      <c r="P91" s="37" t="n">
        <v>0</v>
      </c>
      <c r="Q91" s="37" t="n">
        <v>0</v>
      </c>
      <c r="R91" s="37" t="n">
        <v>0</v>
      </c>
      <c r="S91" s="37" t="n">
        <v>0</v>
      </c>
      <c r="T91" s="38" t="n">
        <v>39</v>
      </c>
      <c r="U91" s="37" t="n">
        <v>0</v>
      </c>
      <c r="V91" s="36" t="n">
        <v>0</v>
      </c>
      <c r="W91" s="52" t="n">
        <v>39</v>
      </c>
    </row>
    <row r="92">
      <c r="A92" s="81" t="inlineStr">
        <is>
          <t>J. Willis</t>
        </is>
      </c>
      <c r="B92" s="36">
        <f t="array" ref="B92:C92">_xlfn.XLOOKUP(A92,'Player List'!$A$2:$A$177,'Player List'!$B$2:$C$177)</f>
        <v/>
      </c>
      <c r="C92" s="36" t="inlineStr">
        <is>
          <t>Back Row</t>
        </is>
      </c>
      <c r="D92" s="37" t="n">
        <v>59</v>
      </c>
      <c r="F92" s="37" t="n">
        <v>7</v>
      </c>
      <c r="G92" s="37" t="n">
        <v>14</v>
      </c>
      <c r="H92" s="37" t="n">
        <v>0</v>
      </c>
      <c r="I92" s="37" t="n">
        <v>2.2</v>
      </c>
      <c r="J92" s="37" t="n">
        <v>0</v>
      </c>
      <c r="K92" s="37" t="n">
        <v>0</v>
      </c>
      <c r="L92" s="37" t="n">
        <v>7</v>
      </c>
      <c r="M92" s="37" t="n">
        <v>0</v>
      </c>
      <c r="N92" s="37" t="n">
        <v>0</v>
      </c>
      <c r="O92" s="37" t="n">
        <v>0</v>
      </c>
      <c r="P92" s="37" t="n">
        <v>0</v>
      </c>
      <c r="Q92" s="37" t="n">
        <v>0</v>
      </c>
      <c r="R92" s="37" t="n">
        <v>0</v>
      </c>
      <c r="S92" s="37" t="n">
        <v>0</v>
      </c>
      <c r="T92" s="38" t="n">
        <v>30.2</v>
      </c>
      <c r="U92" s="37" t="n">
        <v>0</v>
      </c>
      <c r="V92" s="36" t="n">
        <v>0</v>
      </c>
      <c r="W92" s="52" t="n">
        <v>30.2</v>
      </c>
    </row>
    <row r="93">
      <c r="A93" s="81" t="inlineStr">
        <is>
          <t>O. Chessum</t>
        </is>
      </c>
      <c r="B93" s="36">
        <f t="array" ref="B93:C93">_xlfn.XLOOKUP(A93,'Player List'!$A$2:$A$177,'Player List'!$B$2:$C$177)</f>
        <v/>
      </c>
      <c r="C93" s="36" t="inlineStr">
        <is>
          <t>Second Row</t>
        </is>
      </c>
      <c r="D93" s="37" t="n">
        <v>80</v>
      </c>
      <c r="F93" s="37" t="n">
        <v>9</v>
      </c>
      <c r="G93" s="37" t="n">
        <v>21</v>
      </c>
      <c r="H93" s="37" t="n">
        <v>0</v>
      </c>
      <c r="I93" s="37" t="n">
        <v>1</v>
      </c>
      <c r="J93" s="37" t="n">
        <v>0</v>
      </c>
      <c r="K93" s="37" t="n">
        <v>0</v>
      </c>
      <c r="L93" s="37" t="n">
        <v>0</v>
      </c>
      <c r="M93" s="37" t="n">
        <v>0</v>
      </c>
      <c r="N93" s="37" t="n">
        <v>0</v>
      </c>
      <c r="O93" s="37" t="n">
        <v>0</v>
      </c>
      <c r="P93" s="37" t="n">
        <v>0</v>
      </c>
      <c r="Q93" s="37" t="n">
        <v>0</v>
      </c>
      <c r="R93" s="37" t="n">
        <v>0</v>
      </c>
      <c r="S93" s="37" t="n">
        <v>0</v>
      </c>
      <c r="T93" s="38" t="n">
        <v>31</v>
      </c>
      <c r="U93" s="37" t="n">
        <v>0</v>
      </c>
      <c r="V93" s="36" t="n">
        <v>0</v>
      </c>
      <c r="W93" s="52" t="n">
        <v>31</v>
      </c>
    </row>
    <row r="94">
      <c r="A94" s="81" t="inlineStr">
        <is>
          <t>M. Itoje</t>
        </is>
      </c>
      <c r="B94" s="36">
        <f t="array" ref="B94:C94">_xlfn.XLOOKUP(A94,'Player List'!$A$2:$A$177,'Player List'!$B$2:$C$177)</f>
        <v/>
      </c>
      <c r="C94" s="36" t="inlineStr">
        <is>
          <t>Second Row</t>
        </is>
      </c>
      <c r="D94" s="37" t="n">
        <v>80</v>
      </c>
      <c r="F94" s="37" t="n">
        <v>16</v>
      </c>
      <c r="G94" s="37" t="n">
        <v>14</v>
      </c>
      <c r="H94" s="37" t="n">
        <v>0</v>
      </c>
      <c r="I94" s="37" t="n">
        <v>3.2</v>
      </c>
      <c r="J94" s="37" t="n">
        <v>0</v>
      </c>
      <c r="K94" s="37" t="n">
        <v>0</v>
      </c>
      <c r="L94" s="37" t="n">
        <v>0</v>
      </c>
      <c r="M94" s="37" t="n">
        <v>0</v>
      </c>
      <c r="N94" s="37" t="n">
        <v>7</v>
      </c>
      <c r="O94" s="37" t="n">
        <v>0</v>
      </c>
      <c r="P94" s="37" t="n">
        <v>0</v>
      </c>
      <c r="Q94" s="37" t="n">
        <v>0</v>
      </c>
      <c r="R94" s="37" t="n">
        <v>0</v>
      </c>
      <c r="S94" s="37" t="n">
        <v>0</v>
      </c>
      <c r="T94" s="38" t="n">
        <v>40.2</v>
      </c>
      <c r="U94" s="37" t="n">
        <v>0</v>
      </c>
      <c r="V94" s="36" t="n">
        <v>0</v>
      </c>
      <c r="W94" s="52" t="n">
        <v>40.2</v>
      </c>
    </row>
    <row r="95">
      <c r="A95" s="81" t="inlineStr">
        <is>
          <t>C. Lawes</t>
        </is>
      </c>
      <c r="B95" s="36">
        <f t="array" ref="B95:C95">_xlfn.XLOOKUP(A95,'Player List'!$A$2:$A$177,'Player List'!$B$2:$C$177)</f>
        <v/>
      </c>
      <c r="C95" s="36" t="inlineStr">
        <is>
          <t>Second Row</t>
        </is>
      </c>
      <c r="D95" s="37" t="n">
        <v>11</v>
      </c>
      <c r="F95" s="37" t="n">
        <v>1</v>
      </c>
      <c r="G95" s="37" t="n">
        <v>0</v>
      </c>
      <c r="H95" s="37" t="n">
        <v>0</v>
      </c>
      <c r="I95" s="37" t="n">
        <v>1.2</v>
      </c>
      <c r="J95" s="37" t="n">
        <v>0</v>
      </c>
      <c r="K95" s="37" t="n">
        <v>0</v>
      </c>
      <c r="L95" s="37" t="n">
        <v>0</v>
      </c>
      <c r="M95" s="37" t="n">
        <v>0</v>
      </c>
      <c r="N95" s="37" t="n">
        <v>0</v>
      </c>
      <c r="O95" s="37" t="n">
        <v>0</v>
      </c>
      <c r="P95" s="37" t="n">
        <v>0</v>
      </c>
      <c r="Q95" s="37" t="n">
        <v>0</v>
      </c>
      <c r="R95" s="37" t="n">
        <v>0</v>
      </c>
      <c r="S95" s="37" t="n">
        <v>0</v>
      </c>
      <c r="T95" s="38" t="n">
        <v>2.2</v>
      </c>
      <c r="U95" s="37" t="n">
        <v>0</v>
      </c>
      <c r="V95" s="36" t="n">
        <v>0</v>
      </c>
      <c r="W95" s="52" t="n">
        <v>2.2</v>
      </c>
    </row>
    <row r="96">
      <c r="A96" s="81" t="inlineStr">
        <is>
          <t>D. Cole</t>
        </is>
      </c>
      <c r="B96" s="36">
        <f t="array" ref="B96:C96">_xlfn.XLOOKUP(A96,'Player List'!$A$2:$A$177,'Player List'!$B$2:$C$177)</f>
        <v/>
      </c>
      <c r="C96" s="36" t="inlineStr">
        <is>
          <t>Prop</t>
        </is>
      </c>
      <c r="D96" s="37" t="n">
        <v>16</v>
      </c>
      <c r="F96" s="37" t="n">
        <v>3</v>
      </c>
      <c r="G96" s="37" t="n">
        <v>0</v>
      </c>
      <c r="H96" s="37" t="n">
        <v>0</v>
      </c>
      <c r="I96" s="37" t="n">
        <v>1.2</v>
      </c>
      <c r="J96" s="37" t="n">
        <v>0</v>
      </c>
      <c r="K96" s="37" t="n">
        <v>0</v>
      </c>
      <c r="L96" s="37" t="n">
        <v>0</v>
      </c>
      <c r="M96" s="37" t="n">
        <v>0</v>
      </c>
      <c r="N96" s="37" t="n">
        <v>0</v>
      </c>
      <c r="O96" s="37" t="n">
        <v>0</v>
      </c>
      <c r="P96" s="37" t="n">
        <v>0</v>
      </c>
      <c r="Q96" s="37" t="n">
        <v>0</v>
      </c>
      <c r="R96" s="37" t="n">
        <v>0</v>
      </c>
      <c r="S96" s="37" t="n">
        <v>0</v>
      </c>
      <c r="T96" s="38" t="n">
        <v>4.2</v>
      </c>
      <c r="U96" s="37" t="n">
        <v>0</v>
      </c>
      <c r="V96" s="36" t="n">
        <v>0</v>
      </c>
      <c r="W96" s="52" t="n">
        <v>4.2</v>
      </c>
    </row>
    <row r="97">
      <c r="A97" s="81" t="inlineStr">
        <is>
          <t>E. Genge</t>
        </is>
      </c>
      <c r="B97" s="36">
        <f t="array" ref="B97:C97">_xlfn.XLOOKUP(A97,'Player List'!$A$2:$A$177,'Player List'!$B$2:$C$177)</f>
        <v/>
      </c>
      <c r="C97" s="36" t="inlineStr">
        <is>
          <t>Prop</t>
        </is>
      </c>
      <c r="D97" s="37" t="n">
        <v>54</v>
      </c>
      <c r="F97" s="37" t="n">
        <v>9</v>
      </c>
      <c r="G97" s="37" t="n">
        <v>7</v>
      </c>
      <c r="H97" s="37" t="n">
        <v>0</v>
      </c>
      <c r="I97" s="37" t="n">
        <v>12.2</v>
      </c>
      <c r="J97" s="37" t="n">
        <v>0</v>
      </c>
      <c r="K97" s="37" t="n">
        <v>0</v>
      </c>
      <c r="L97" s="37" t="n">
        <v>0</v>
      </c>
      <c r="M97" s="37" t="n">
        <v>0</v>
      </c>
      <c r="N97" s="37" t="n">
        <v>0</v>
      </c>
      <c r="O97" s="37" t="n">
        <v>0</v>
      </c>
      <c r="P97" s="37" t="n">
        <v>0</v>
      </c>
      <c r="Q97" s="37" t="n">
        <v>0</v>
      </c>
      <c r="R97" s="37" t="n">
        <v>0</v>
      </c>
      <c r="S97" s="37" t="n">
        <v>0</v>
      </c>
      <c r="T97" s="38" t="n">
        <v>28.2</v>
      </c>
      <c r="U97" s="37" t="n">
        <v>0</v>
      </c>
      <c r="V97" s="36" t="n">
        <v>0</v>
      </c>
      <c r="W97" s="52" t="n">
        <v>28.2</v>
      </c>
    </row>
    <row r="98">
      <c r="A98" s="81" t="inlineStr">
        <is>
          <t>K. Sinckler</t>
        </is>
      </c>
      <c r="B98" s="36">
        <f t="array" ref="B98:C98">_xlfn.XLOOKUP(A98,'Player List'!$A$2:$A$177,'Player List'!$B$2:$C$177)</f>
        <v/>
      </c>
      <c r="C98" s="36" t="inlineStr">
        <is>
          <t>Prop</t>
        </is>
      </c>
      <c r="D98" s="37" t="n">
        <v>64</v>
      </c>
      <c r="F98" s="37" t="n">
        <v>11</v>
      </c>
      <c r="G98" s="37" t="n">
        <v>7</v>
      </c>
      <c r="H98" s="37" t="n">
        <v>0</v>
      </c>
      <c r="I98" s="37" t="n">
        <v>4.8</v>
      </c>
      <c r="J98" s="37" t="n">
        <v>0</v>
      </c>
      <c r="K98" s="37" t="n">
        <v>0</v>
      </c>
      <c r="L98" s="37" t="n">
        <v>0</v>
      </c>
      <c r="M98" s="37" t="n">
        <v>15</v>
      </c>
      <c r="N98" s="37" t="n">
        <v>0</v>
      </c>
      <c r="O98" s="37" t="n">
        <v>0</v>
      </c>
      <c r="P98" s="37" t="n">
        <v>0</v>
      </c>
      <c r="Q98" s="37" t="n">
        <v>0</v>
      </c>
      <c r="R98" s="37" t="n">
        <v>0</v>
      </c>
      <c r="S98" s="37" t="n">
        <v>0</v>
      </c>
      <c r="T98" s="38" t="n">
        <v>37.8</v>
      </c>
      <c r="U98" s="37" t="n">
        <v>0</v>
      </c>
      <c r="V98" s="36" t="n">
        <v>0</v>
      </c>
      <c r="W98" s="52" t="n">
        <v>37.8</v>
      </c>
    </row>
    <row r="99">
      <c r="A99" s="81" t="inlineStr">
        <is>
          <t>M. Vunipola</t>
        </is>
      </c>
      <c r="B99" s="36">
        <f t="array" ref="B99:C99">_xlfn.XLOOKUP(A99,'Player List'!$A$2:$A$177,'Player List'!$B$2:$C$177)</f>
        <v/>
      </c>
      <c r="C99" s="36" t="inlineStr">
        <is>
          <t>Prop</t>
        </is>
      </c>
      <c r="D99" s="37" t="n">
        <v>26</v>
      </c>
      <c r="F99" s="37" t="n">
        <v>5</v>
      </c>
      <c r="G99" s="37" t="n">
        <v>0</v>
      </c>
      <c r="H99" s="37" t="n">
        <v>0</v>
      </c>
      <c r="I99" s="37" t="n">
        <v>3.6</v>
      </c>
      <c r="J99" s="37" t="n">
        <v>0</v>
      </c>
      <c r="K99" s="37" t="n">
        <v>0</v>
      </c>
      <c r="L99" s="37" t="n">
        <v>0</v>
      </c>
      <c r="M99" s="37" t="n">
        <v>0</v>
      </c>
      <c r="N99" s="37" t="n">
        <v>0</v>
      </c>
      <c r="O99" s="37" t="n">
        <v>0</v>
      </c>
      <c r="P99" s="37" t="n">
        <v>0</v>
      </c>
      <c r="Q99" s="37" t="n">
        <v>0</v>
      </c>
      <c r="R99" s="37" t="n">
        <v>0</v>
      </c>
      <c r="S99" s="37" t="n">
        <v>0</v>
      </c>
      <c r="T99" s="38" t="n">
        <v>8.6</v>
      </c>
      <c r="U99" s="37" t="n">
        <v>0</v>
      </c>
      <c r="V99" s="36" t="n">
        <v>0</v>
      </c>
      <c r="W99" s="52" t="n">
        <v>8.6</v>
      </c>
    </row>
    <row r="100">
      <c r="A100" s="81" t="inlineStr">
        <is>
          <t>J. George</t>
        </is>
      </c>
      <c r="B100" s="36">
        <f t="array" ref="B100:C100">_xlfn.XLOOKUP(A100,'Player List'!$A$2:$A$177,'Player List'!$B$2:$C$177)</f>
        <v/>
      </c>
      <c r="C100" s="36" t="inlineStr">
        <is>
          <t>Hooker</t>
        </is>
      </c>
      <c r="D100" s="37" t="n">
        <v>80</v>
      </c>
      <c r="F100" s="37" t="n">
        <v>15</v>
      </c>
      <c r="G100" s="37" t="n">
        <v>7</v>
      </c>
      <c r="H100" s="37" t="n">
        <v>0</v>
      </c>
      <c r="I100" s="37" t="n">
        <v>3.6</v>
      </c>
      <c r="J100" s="37" t="n">
        <v>0</v>
      </c>
      <c r="K100" s="37" t="n">
        <v>0</v>
      </c>
      <c r="L100" s="37" t="n">
        <v>0</v>
      </c>
      <c r="M100" s="37" t="n">
        <v>0</v>
      </c>
      <c r="N100" s="37" t="n">
        <v>0</v>
      </c>
      <c r="O100" s="37" t="n">
        <v>0</v>
      </c>
      <c r="P100" s="37" t="n">
        <v>0</v>
      </c>
      <c r="Q100" s="37" t="n">
        <v>0</v>
      </c>
      <c r="R100" s="37" t="n">
        <v>0</v>
      </c>
      <c r="S100" s="37" t="n">
        <v>0</v>
      </c>
      <c r="T100" s="38" t="n">
        <v>25.6</v>
      </c>
      <c r="U100" s="37" t="n">
        <v>0</v>
      </c>
      <c r="V100" s="36" t="n">
        <v>0</v>
      </c>
      <c r="W100" s="52" t="n">
        <v>25.6</v>
      </c>
    </row>
    <row r="101">
      <c r="A101" s="81" t="inlineStr">
        <is>
          <t>J. Walker</t>
        </is>
      </c>
      <c r="B101" s="36">
        <f t="array" ref="B101:C101">_xlfn.XLOOKUP(A101,'Player List'!$A$2:$A$177,'Player List'!$B$2:$C$177)</f>
        <v/>
      </c>
      <c r="C101" s="36" t="inlineStr">
        <is>
          <t>Hooker</t>
        </is>
      </c>
      <c r="D101" s="37" t="n">
        <v>1</v>
      </c>
      <c r="F101" s="37" t="n">
        <v>0</v>
      </c>
      <c r="G101" s="37" t="n">
        <v>0</v>
      </c>
      <c r="H101" s="37" t="n">
        <v>0</v>
      </c>
      <c r="I101" s="37" t="n">
        <v>0</v>
      </c>
      <c r="J101" s="37" t="n">
        <v>0</v>
      </c>
      <c r="K101" s="37" t="n">
        <v>0</v>
      </c>
      <c r="L101" s="37" t="n">
        <v>0</v>
      </c>
      <c r="M101" s="37" t="n">
        <v>0</v>
      </c>
      <c r="N101" s="37" t="n">
        <v>0</v>
      </c>
      <c r="O101" s="37" t="n">
        <v>0</v>
      </c>
      <c r="P101" s="37" t="n">
        <v>0</v>
      </c>
      <c r="Q101" s="37" t="n">
        <v>0</v>
      </c>
      <c r="R101" s="37" t="n">
        <v>0</v>
      </c>
      <c r="S101" s="37" t="n">
        <v>0</v>
      </c>
      <c r="T101" s="38" t="n">
        <v>0</v>
      </c>
      <c r="U101" s="37" t="n">
        <v>0</v>
      </c>
      <c r="V101" s="36" t="n">
        <v>0</v>
      </c>
      <c r="W101" s="52" t="n">
        <v>0</v>
      </c>
    </row>
    <row r="102">
      <c r="A102" s="81" t="inlineStr">
        <is>
          <t>D. Penaud</t>
        </is>
      </c>
      <c r="B102" s="36">
        <f t="array" ref="B102:C102">_xlfn.XLOOKUP(A102,'Player List'!$A$2:$A$177,'Player List'!$B$2:$C$177)</f>
        <v/>
      </c>
      <c r="C102" s="36" t="inlineStr">
        <is>
          <t>Back Three</t>
        </is>
      </c>
      <c r="D102" s="37" t="n">
        <v>80</v>
      </c>
      <c r="F102" s="37" t="n">
        <v>3</v>
      </c>
      <c r="G102" s="37" t="n">
        <v>0</v>
      </c>
      <c r="H102" s="37" t="n">
        <v>0</v>
      </c>
      <c r="I102" s="37" t="n">
        <v>4.8</v>
      </c>
      <c r="J102" s="37" t="n">
        <v>0</v>
      </c>
      <c r="K102" s="37" t="n">
        <v>0</v>
      </c>
      <c r="L102" s="37" t="n">
        <v>0</v>
      </c>
      <c r="M102" s="37" t="n">
        <v>0</v>
      </c>
      <c r="N102" s="37" t="n">
        <v>0</v>
      </c>
      <c r="O102" s="37" t="n">
        <v>0</v>
      </c>
      <c r="P102" s="37" t="n">
        <v>0</v>
      </c>
      <c r="Q102" s="37" t="n">
        <v>0</v>
      </c>
      <c r="R102" s="37" t="n">
        <v>0</v>
      </c>
      <c r="S102" s="37" t="n">
        <v>0</v>
      </c>
      <c r="T102" s="38" t="n">
        <v>7.8</v>
      </c>
      <c r="U102" s="37" t="n">
        <v>0</v>
      </c>
      <c r="V102" s="36" t="n">
        <v>0</v>
      </c>
      <c r="W102" s="52" t="n">
        <v>7.8</v>
      </c>
    </row>
    <row r="103">
      <c r="A103" s="81" t="inlineStr">
        <is>
          <t>T. Ramos</t>
        </is>
      </c>
      <c r="B103" s="36">
        <f t="array" ref="B103:C103">_xlfn.XLOOKUP(A103,'Player List'!$A$2:$A$177,'Player List'!$B$2:$C$177)</f>
        <v/>
      </c>
      <c r="C103" s="36" t="inlineStr">
        <is>
          <t>Back Three</t>
        </is>
      </c>
      <c r="D103" s="37" t="n">
        <v>80</v>
      </c>
      <c r="F103" s="37" t="n">
        <v>0</v>
      </c>
      <c r="G103" s="37" t="n">
        <v>0</v>
      </c>
      <c r="H103" s="37" t="n">
        <v>14</v>
      </c>
      <c r="I103" s="37" t="n">
        <v>34.6</v>
      </c>
      <c r="J103" s="37" t="n">
        <v>0</v>
      </c>
      <c r="K103" s="37" t="n">
        <v>0</v>
      </c>
      <c r="L103" s="37" t="n">
        <v>0</v>
      </c>
      <c r="M103" s="37" t="n">
        <v>15</v>
      </c>
      <c r="N103" s="37" t="n">
        <v>0</v>
      </c>
      <c r="O103" s="37" t="n">
        <v>6</v>
      </c>
      <c r="P103" s="37" t="n">
        <v>10</v>
      </c>
      <c r="Q103" s="37" t="n">
        <v>0</v>
      </c>
      <c r="R103" s="37" t="n">
        <v>0</v>
      </c>
      <c r="S103" s="37" t="n">
        <v>0</v>
      </c>
      <c r="T103" s="38" t="n">
        <v>79.59999999999999</v>
      </c>
      <c r="U103" s="37" t="n">
        <v>0</v>
      </c>
      <c r="V103" s="36" t="n">
        <v>0</v>
      </c>
      <c r="W103" s="52" t="n">
        <v>79.59999999999999</v>
      </c>
    </row>
    <row r="104">
      <c r="A104" s="81" t="inlineStr">
        <is>
          <t>E. Dumortier</t>
        </is>
      </c>
      <c r="B104" s="36">
        <f t="array" ref="B104:C104">_xlfn.XLOOKUP(A104,'Player List'!$A$2:$A$177,'Player List'!$B$2:$C$177)</f>
        <v/>
      </c>
      <c r="C104" s="36" t="inlineStr">
        <is>
          <t>Centre</t>
        </is>
      </c>
      <c r="D104" s="37" t="n">
        <v>80</v>
      </c>
      <c r="F104" s="37" t="n">
        <v>3</v>
      </c>
      <c r="G104" s="37" t="n">
        <v>0</v>
      </c>
      <c r="H104" s="37" t="n">
        <v>14</v>
      </c>
      <c r="I104" s="37" t="n">
        <v>9.199999999999999</v>
      </c>
      <c r="J104" s="37" t="n">
        <v>0</v>
      </c>
      <c r="K104" s="37" t="n">
        <v>0</v>
      </c>
      <c r="L104" s="37" t="n">
        <v>0</v>
      </c>
      <c r="M104" s="37" t="n">
        <v>15</v>
      </c>
      <c r="N104" s="37" t="n">
        <v>0</v>
      </c>
      <c r="O104" s="37" t="n">
        <v>0</v>
      </c>
      <c r="P104" s="37" t="n">
        <v>0</v>
      </c>
      <c r="Q104" s="37" t="n">
        <v>0</v>
      </c>
      <c r="R104" s="37" t="n">
        <v>0</v>
      </c>
      <c r="S104" s="37" t="n">
        <v>0</v>
      </c>
      <c r="T104" s="38" t="n">
        <v>41.2</v>
      </c>
      <c r="U104" s="37" t="n">
        <v>0</v>
      </c>
      <c r="V104" s="36" t="n">
        <v>0</v>
      </c>
      <c r="W104" s="52" t="n">
        <v>41.2</v>
      </c>
    </row>
    <row r="105">
      <c r="A105" s="81" t="inlineStr">
        <is>
          <t>G. Fickou</t>
        </is>
      </c>
      <c r="B105" s="36">
        <f t="array" ref="B105:C105">_xlfn.XLOOKUP(A105,'Player List'!$A$2:$A$177,'Player List'!$B$2:$C$177)</f>
        <v/>
      </c>
      <c r="C105" s="36" t="inlineStr">
        <is>
          <t>Centre</t>
        </is>
      </c>
      <c r="D105" s="37" t="n">
        <v>80</v>
      </c>
      <c r="F105" s="37" t="n">
        <v>15</v>
      </c>
      <c r="G105" s="37" t="n">
        <v>0</v>
      </c>
      <c r="H105" s="37" t="n">
        <v>7</v>
      </c>
      <c r="I105" s="37" t="n">
        <v>11</v>
      </c>
      <c r="J105" s="37" t="n">
        <v>0</v>
      </c>
      <c r="K105" s="37" t="n">
        <v>0</v>
      </c>
      <c r="L105" s="37" t="n">
        <v>0</v>
      </c>
      <c r="M105" s="37" t="n">
        <v>15</v>
      </c>
      <c r="N105" s="37" t="n">
        <v>0</v>
      </c>
      <c r="O105" s="37" t="n">
        <v>0</v>
      </c>
      <c r="P105" s="37" t="n">
        <v>0</v>
      </c>
      <c r="Q105" s="37" t="n">
        <v>0</v>
      </c>
      <c r="R105" s="37" t="n">
        <v>0</v>
      </c>
      <c r="S105" s="37" t="n">
        <v>0</v>
      </c>
      <c r="T105" s="38" t="n">
        <v>48</v>
      </c>
      <c r="U105" s="37" t="n">
        <v>15</v>
      </c>
      <c r="V105" s="36" t="n">
        <v>0</v>
      </c>
      <c r="W105" s="52" t="n">
        <v>63</v>
      </c>
    </row>
    <row r="106">
      <c r="A106" s="81" t="inlineStr">
        <is>
          <t>Y. Moefana</t>
        </is>
      </c>
      <c r="B106" s="36">
        <f t="array" ref="B106:C106">_xlfn.XLOOKUP(A106,'Player List'!$A$2:$A$177,'Player List'!$B$2:$C$177)</f>
        <v/>
      </c>
      <c r="C106" s="36" t="inlineStr">
        <is>
          <t>Centre</t>
        </is>
      </c>
      <c r="D106" s="37" t="n">
        <v>80</v>
      </c>
      <c r="F106" s="37" t="n">
        <v>10</v>
      </c>
      <c r="G106" s="37" t="n">
        <v>0</v>
      </c>
      <c r="H106" s="37" t="n">
        <v>7</v>
      </c>
      <c r="I106" s="37" t="n">
        <v>7.8</v>
      </c>
      <c r="J106" s="37" t="n">
        <v>0</v>
      </c>
      <c r="K106" s="37" t="n">
        <v>0</v>
      </c>
      <c r="L106" s="37" t="n">
        <v>0</v>
      </c>
      <c r="M106" s="37" t="n">
        <v>0</v>
      </c>
      <c r="N106" s="37" t="n">
        <v>0</v>
      </c>
      <c r="O106" s="37" t="n">
        <v>0</v>
      </c>
      <c r="P106" s="37" t="n">
        <v>0</v>
      </c>
      <c r="Q106" s="37" t="n">
        <v>0</v>
      </c>
      <c r="R106" s="37" t="n">
        <v>0</v>
      </c>
      <c r="S106" s="37" t="n">
        <v>0</v>
      </c>
      <c r="T106" s="38" t="n">
        <v>24.8</v>
      </c>
      <c r="U106" s="37" t="n">
        <v>0</v>
      </c>
      <c r="V106" s="36" t="n">
        <v>0</v>
      </c>
      <c r="W106" s="52" t="n">
        <v>24.8</v>
      </c>
    </row>
    <row r="107">
      <c r="A107" s="81" t="inlineStr">
        <is>
          <t>M. Jalibert</t>
        </is>
      </c>
      <c r="B107" s="36">
        <f t="array" ref="B107:C107">_xlfn.XLOOKUP(A107,'Player List'!$A$2:$A$177,'Player List'!$B$2:$C$177)</f>
        <v/>
      </c>
      <c r="C107" s="36" t="inlineStr">
        <is>
          <t>Fly Half</t>
        </is>
      </c>
      <c r="D107" s="37" t="n">
        <v>11</v>
      </c>
      <c r="F107" s="37" t="n">
        <v>1</v>
      </c>
      <c r="G107" s="37" t="n">
        <v>0</v>
      </c>
      <c r="H107" s="37" t="n">
        <v>0</v>
      </c>
      <c r="I107" s="37" t="n">
        <v>2</v>
      </c>
      <c r="J107" s="37" t="n">
        <v>0</v>
      </c>
      <c r="K107" s="37" t="n">
        <v>0</v>
      </c>
      <c r="L107" s="37" t="n">
        <v>0</v>
      </c>
      <c r="M107" s="37" t="n">
        <v>0</v>
      </c>
      <c r="N107" s="37" t="n">
        <v>0</v>
      </c>
      <c r="O107" s="37" t="n">
        <v>0</v>
      </c>
      <c r="P107" s="37" t="n">
        <v>0</v>
      </c>
      <c r="Q107" s="37" t="n">
        <v>0</v>
      </c>
      <c r="R107" s="37" t="n">
        <v>0</v>
      </c>
      <c r="S107" s="37" t="n">
        <v>0</v>
      </c>
      <c r="T107" s="38" t="n">
        <v>3</v>
      </c>
      <c r="U107" s="37" t="n">
        <v>0</v>
      </c>
      <c r="V107" s="36" t="n">
        <v>0</v>
      </c>
      <c r="W107" s="52" t="n">
        <v>3</v>
      </c>
    </row>
    <row r="108">
      <c r="A108" s="81" t="inlineStr">
        <is>
          <t>R. Ntamack</t>
        </is>
      </c>
      <c r="B108" s="36">
        <f t="array" ref="B108:C108">_xlfn.XLOOKUP(A108,'Player List'!$A$2:$A$177,'Player List'!$B$2:$C$177)</f>
        <v/>
      </c>
      <c r="C108" s="36" t="inlineStr">
        <is>
          <t>Fly Half</t>
        </is>
      </c>
      <c r="D108" s="37" t="n">
        <v>69</v>
      </c>
      <c r="F108" s="37" t="n">
        <v>12</v>
      </c>
      <c r="G108" s="37" t="n">
        <v>0</v>
      </c>
      <c r="H108" s="37" t="n">
        <v>7</v>
      </c>
      <c r="I108" s="37" t="n">
        <v>4</v>
      </c>
      <c r="J108" s="37" t="n">
        <v>0</v>
      </c>
      <c r="K108" s="37" t="n">
        <v>0</v>
      </c>
      <c r="L108" s="37" t="n">
        <v>0</v>
      </c>
      <c r="M108" s="37" t="n">
        <v>15</v>
      </c>
      <c r="N108" s="37" t="n">
        <v>7</v>
      </c>
      <c r="O108" s="37" t="n">
        <v>0</v>
      </c>
      <c r="P108" s="37" t="n">
        <v>0</v>
      </c>
      <c r="Q108" s="37" t="n">
        <v>0</v>
      </c>
      <c r="R108" s="37" t="n">
        <v>0</v>
      </c>
      <c r="S108" s="37" t="n">
        <v>0</v>
      </c>
      <c r="T108" s="38" t="n">
        <v>45</v>
      </c>
      <c r="U108" s="37" t="n">
        <v>0</v>
      </c>
      <c r="V108" s="36" t="n">
        <v>0</v>
      </c>
      <c r="W108" s="52" t="n">
        <v>45</v>
      </c>
    </row>
    <row r="109">
      <c r="A109" s="81" t="inlineStr">
        <is>
          <t>A. Dupont</t>
        </is>
      </c>
      <c r="B109" s="36">
        <f t="array" ref="B109:C109">_xlfn.XLOOKUP(A109,'Player List'!$A$2:$A$177,'Player List'!$B$2:$C$177)</f>
        <v/>
      </c>
      <c r="C109" s="36" t="inlineStr">
        <is>
          <t>Scrum Half</t>
        </is>
      </c>
      <c r="D109" s="37" t="n">
        <v>80</v>
      </c>
      <c r="F109" s="37" t="n">
        <v>13</v>
      </c>
      <c r="G109" s="37" t="n">
        <v>0</v>
      </c>
      <c r="H109" s="37" t="n">
        <v>0</v>
      </c>
      <c r="I109" s="37" t="n">
        <v>2.8</v>
      </c>
      <c r="J109" s="37" t="n">
        <v>0</v>
      </c>
      <c r="K109" s="37" t="n">
        <v>0</v>
      </c>
      <c r="L109" s="37" t="n">
        <v>7</v>
      </c>
      <c r="M109" s="37" t="n">
        <v>0</v>
      </c>
      <c r="N109" s="37" t="n">
        <v>14</v>
      </c>
      <c r="O109" s="37" t="n">
        <v>0</v>
      </c>
      <c r="P109" s="37" t="n">
        <v>0</v>
      </c>
      <c r="Q109" s="37" t="n">
        <v>0</v>
      </c>
      <c r="R109" s="37" t="n">
        <v>0</v>
      </c>
      <c r="S109" s="37" t="n">
        <v>0</v>
      </c>
      <c r="T109" s="38" t="n">
        <v>36.8</v>
      </c>
      <c r="U109" s="37" t="n">
        <v>0</v>
      </c>
      <c r="V109" s="36" t="n">
        <v>0</v>
      </c>
      <c r="W109" s="52" t="n">
        <v>36.8</v>
      </c>
    </row>
    <row r="110">
      <c r="A110" s="81" t="inlineStr">
        <is>
          <t>G. Alldritt</t>
        </is>
      </c>
      <c r="B110" s="36">
        <f t="array" ref="B110:C110">_xlfn.XLOOKUP(A110,'Player List'!$A$2:$A$177,'Player List'!$B$2:$C$177)</f>
        <v/>
      </c>
      <c r="C110" s="36" t="inlineStr">
        <is>
          <t>Back Row</t>
        </is>
      </c>
      <c r="D110" s="37" t="n">
        <v>12</v>
      </c>
      <c r="F110" s="37" t="n">
        <v>0</v>
      </c>
      <c r="G110" s="37" t="n">
        <v>0</v>
      </c>
      <c r="H110" s="37" t="n">
        <v>0</v>
      </c>
      <c r="I110" s="37" t="n">
        <v>1.2</v>
      </c>
      <c r="J110" s="37" t="n">
        <v>0</v>
      </c>
      <c r="K110" s="37" t="n">
        <v>0</v>
      </c>
      <c r="L110" s="37" t="n">
        <v>0</v>
      </c>
      <c r="M110" s="37" t="n">
        <v>0</v>
      </c>
      <c r="N110" s="37" t="n">
        <v>0</v>
      </c>
      <c r="O110" s="37" t="n">
        <v>0</v>
      </c>
      <c r="P110" s="37" t="n">
        <v>0</v>
      </c>
      <c r="Q110" s="37" t="n">
        <v>0</v>
      </c>
      <c r="R110" s="37" t="n">
        <v>0</v>
      </c>
      <c r="S110" s="37" t="n">
        <v>0</v>
      </c>
      <c r="T110" s="38" t="n">
        <v>1.2</v>
      </c>
      <c r="U110" s="37" t="n">
        <v>0</v>
      </c>
      <c r="V110" s="36" t="n">
        <v>0</v>
      </c>
      <c r="W110" s="52" t="n">
        <v>1.2</v>
      </c>
    </row>
    <row r="111">
      <c r="A111" s="81" t="inlineStr">
        <is>
          <t>F. Cros</t>
        </is>
      </c>
      <c r="B111" s="36">
        <f t="array" ref="B111:C111">_xlfn.XLOOKUP(A111,'Player List'!$A$2:$A$177,'Player List'!$B$2:$C$177)</f>
        <v/>
      </c>
      <c r="C111" s="36" t="inlineStr">
        <is>
          <t>Back Row</t>
        </is>
      </c>
      <c r="D111" s="37" t="n">
        <v>63</v>
      </c>
      <c r="F111" s="37" t="n">
        <v>10</v>
      </c>
      <c r="G111" s="37" t="n">
        <v>14</v>
      </c>
      <c r="H111" s="37" t="n">
        <v>0</v>
      </c>
      <c r="I111" s="37" t="n">
        <v>5.2</v>
      </c>
      <c r="J111" s="37" t="n">
        <v>0</v>
      </c>
      <c r="K111" s="37" t="n">
        <v>0</v>
      </c>
      <c r="L111" s="37" t="n">
        <v>0</v>
      </c>
      <c r="M111" s="37" t="n">
        <v>0</v>
      </c>
      <c r="N111" s="37" t="n">
        <v>0</v>
      </c>
      <c r="O111" s="37" t="n">
        <v>0</v>
      </c>
      <c r="P111" s="37" t="n">
        <v>0</v>
      </c>
      <c r="Q111" s="37" t="n">
        <v>0</v>
      </c>
      <c r="R111" s="37" t="n">
        <v>0</v>
      </c>
      <c r="S111" s="37" t="n">
        <v>0</v>
      </c>
      <c r="T111" s="38" t="n">
        <v>29.2</v>
      </c>
      <c r="U111" s="37" t="n">
        <v>0</v>
      </c>
      <c r="V111" s="36" t="n">
        <v>0</v>
      </c>
      <c r="W111" s="52" t="n">
        <v>29.2</v>
      </c>
    </row>
    <row r="112">
      <c r="A112" s="81" t="inlineStr">
        <is>
          <t>A. Jelonch</t>
        </is>
      </c>
      <c r="B112" s="36">
        <f t="array" ref="B112:C112">_xlfn.XLOOKUP(A112,'Player List'!$A$2:$A$177,'Player List'!$B$2:$C$177)</f>
        <v/>
      </c>
      <c r="C112" s="36" t="inlineStr">
        <is>
          <t>Back Row</t>
        </is>
      </c>
      <c r="D112" s="37" t="n">
        <v>17</v>
      </c>
      <c r="F112" s="37" t="n">
        <v>4</v>
      </c>
      <c r="G112" s="37" t="n">
        <v>14</v>
      </c>
      <c r="H112" s="37" t="n">
        <v>0</v>
      </c>
      <c r="I112" s="37" t="n">
        <v>3.8</v>
      </c>
      <c r="J112" s="37" t="n">
        <v>0</v>
      </c>
      <c r="K112" s="37" t="n">
        <v>0</v>
      </c>
      <c r="L112" s="37" t="n">
        <v>0</v>
      </c>
      <c r="M112" s="37" t="n">
        <v>0</v>
      </c>
      <c r="N112" s="37" t="n">
        <v>0</v>
      </c>
      <c r="O112" s="37" t="n">
        <v>0</v>
      </c>
      <c r="P112" s="37" t="n">
        <v>0</v>
      </c>
      <c r="Q112" s="37" t="n">
        <v>0</v>
      </c>
      <c r="R112" s="37" t="n">
        <v>0</v>
      </c>
      <c r="S112" s="37" t="n">
        <v>0</v>
      </c>
      <c r="T112" s="38" t="n">
        <v>21.8</v>
      </c>
      <c r="U112" s="37" t="n">
        <v>0</v>
      </c>
      <c r="V112" s="36" t="n">
        <v>0</v>
      </c>
      <c r="W112" s="52" t="n">
        <v>21.8</v>
      </c>
    </row>
    <row r="113">
      <c r="A113" s="81" t="inlineStr">
        <is>
          <t>C. Ollivon</t>
        </is>
      </c>
      <c r="B113" s="36">
        <f t="array" ref="B113:C113">_xlfn.XLOOKUP(A113,'Player List'!$A$2:$A$177,'Player List'!$B$2:$C$177)</f>
        <v/>
      </c>
      <c r="C113" s="36" t="inlineStr">
        <is>
          <t>Back Row</t>
        </is>
      </c>
      <c r="D113" s="37" t="n">
        <v>80</v>
      </c>
      <c r="F113" s="37" t="n">
        <v>15</v>
      </c>
      <c r="G113" s="37" t="n">
        <v>7</v>
      </c>
      <c r="H113" s="37" t="n">
        <v>0</v>
      </c>
      <c r="I113" s="37" t="n">
        <v>7</v>
      </c>
      <c r="J113" s="37" t="n">
        <v>0</v>
      </c>
      <c r="K113" s="37" t="n">
        <v>0</v>
      </c>
      <c r="L113" s="37" t="n">
        <v>0</v>
      </c>
      <c r="M113" s="37" t="n">
        <v>0</v>
      </c>
      <c r="N113" s="37" t="n">
        <v>0</v>
      </c>
      <c r="O113" s="37" t="n">
        <v>0</v>
      </c>
      <c r="P113" s="37" t="n">
        <v>0</v>
      </c>
      <c r="Q113" s="37" t="n">
        <v>0</v>
      </c>
      <c r="R113" s="37" t="n">
        <v>0</v>
      </c>
      <c r="S113" s="37" t="n">
        <v>0</v>
      </c>
      <c r="T113" s="38" t="n">
        <v>29</v>
      </c>
      <c r="U113" s="37" t="n">
        <v>0</v>
      </c>
      <c r="V113" s="36" t="n">
        <v>0</v>
      </c>
      <c r="W113" s="52" t="n">
        <v>29</v>
      </c>
    </row>
    <row r="114">
      <c r="A114" s="81" t="inlineStr">
        <is>
          <t>T. Flament</t>
        </is>
      </c>
      <c r="B114" s="36">
        <f t="array" ref="B114:C114">_xlfn.XLOOKUP(A114,'Player List'!$A$2:$A$177,'Player List'!$B$2:$C$177)</f>
        <v/>
      </c>
      <c r="C114" s="36" t="inlineStr">
        <is>
          <t>Second Row</t>
        </is>
      </c>
      <c r="D114" s="37" t="n">
        <v>80</v>
      </c>
      <c r="F114" s="37" t="n">
        <v>14</v>
      </c>
      <c r="G114" s="37" t="n">
        <v>7</v>
      </c>
      <c r="H114" s="37" t="n">
        <v>0</v>
      </c>
      <c r="I114" s="37" t="n">
        <v>3</v>
      </c>
      <c r="J114" s="37" t="n">
        <v>0</v>
      </c>
      <c r="K114" s="37" t="n">
        <v>0</v>
      </c>
      <c r="L114" s="37" t="n">
        <v>0</v>
      </c>
      <c r="M114" s="37" t="n">
        <v>0</v>
      </c>
      <c r="N114" s="37" t="n">
        <v>0</v>
      </c>
      <c r="O114" s="37" t="n">
        <v>0</v>
      </c>
      <c r="P114" s="37" t="n">
        <v>0</v>
      </c>
      <c r="Q114" s="37" t="n">
        <v>0</v>
      </c>
      <c r="R114" s="37" t="n">
        <v>0</v>
      </c>
      <c r="S114" s="37" t="n">
        <v>0</v>
      </c>
      <c r="T114" s="38" t="n">
        <v>24</v>
      </c>
      <c r="U114" s="37" t="n">
        <v>0</v>
      </c>
      <c r="V114" s="36" t="n">
        <v>0</v>
      </c>
      <c r="W114" s="52" t="n">
        <v>24</v>
      </c>
    </row>
    <row r="115">
      <c r="A115" s="81" t="inlineStr">
        <is>
          <t>R. Taofifenua</t>
        </is>
      </c>
      <c r="B115" s="36">
        <f t="array" ref="B115:C115">_xlfn.XLOOKUP(A115,'Player List'!$A$2:$A$177,'Player List'!$B$2:$C$177)</f>
        <v/>
      </c>
      <c r="C115" s="36" t="inlineStr">
        <is>
          <t>Second Row</t>
        </is>
      </c>
      <c r="D115" s="37" t="n">
        <v>27</v>
      </c>
      <c r="F115" s="37" t="n">
        <v>4</v>
      </c>
      <c r="G115" s="37" t="n">
        <v>0</v>
      </c>
      <c r="H115" s="37" t="n">
        <v>0</v>
      </c>
      <c r="I115" s="37" t="n">
        <v>1.6</v>
      </c>
      <c r="J115" s="37" t="n">
        <v>0</v>
      </c>
      <c r="K115" s="37" t="n">
        <v>0</v>
      </c>
      <c r="L115" s="37" t="n">
        <v>7</v>
      </c>
      <c r="M115" s="37" t="n">
        <v>0</v>
      </c>
      <c r="N115" s="37" t="n">
        <v>0</v>
      </c>
      <c r="O115" s="37" t="n">
        <v>0</v>
      </c>
      <c r="P115" s="37" t="n">
        <v>0</v>
      </c>
      <c r="Q115" s="37" t="n">
        <v>0</v>
      </c>
      <c r="R115" s="37" t="n">
        <v>0</v>
      </c>
      <c r="S115" s="37" t="n">
        <v>0</v>
      </c>
      <c r="T115" s="38" t="n">
        <v>12.6</v>
      </c>
      <c r="U115" s="37" t="n">
        <v>0</v>
      </c>
      <c r="V115" s="36" t="n">
        <v>0</v>
      </c>
      <c r="W115" s="52" t="n">
        <v>12.6</v>
      </c>
    </row>
    <row r="116">
      <c r="A116" s="81" t="inlineStr">
        <is>
          <t>P. Willemse</t>
        </is>
      </c>
      <c r="B116" s="36">
        <f t="array" ref="B116:C116">_xlfn.XLOOKUP(A116,'Player List'!$A$2:$A$177,'Player List'!$B$2:$C$177)</f>
        <v/>
      </c>
      <c r="C116" s="36" t="inlineStr">
        <is>
          <t>Second Row</t>
        </is>
      </c>
      <c r="D116" s="37" t="n">
        <v>53</v>
      </c>
      <c r="F116" s="37" t="n">
        <v>9</v>
      </c>
      <c r="G116" s="37" t="n">
        <v>7</v>
      </c>
      <c r="H116" s="37" t="n">
        <v>0</v>
      </c>
      <c r="I116" s="37" t="n">
        <v>4</v>
      </c>
      <c r="J116" s="37" t="n">
        <v>0</v>
      </c>
      <c r="K116" s="37" t="n">
        <v>0</v>
      </c>
      <c r="L116" s="37" t="n">
        <v>0</v>
      </c>
      <c r="M116" s="37" t="n">
        <v>0</v>
      </c>
      <c r="N116" s="37" t="n">
        <v>0</v>
      </c>
      <c r="O116" s="37" t="n">
        <v>0</v>
      </c>
      <c r="P116" s="37" t="n">
        <v>0</v>
      </c>
      <c r="Q116" s="37" t="n">
        <v>0</v>
      </c>
      <c r="R116" s="37" t="n">
        <v>0</v>
      </c>
      <c r="S116" s="37" t="n">
        <v>0</v>
      </c>
      <c r="T116" s="38" t="n">
        <v>20</v>
      </c>
      <c r="U116" s="37" t="n">
        <v>0</v>
      </c>
      <c r="V116" s="36" t="n">
        <v>0</v>
      </c>
      <c r="W116" s="52" t="n">
        <v>20</v>
      </c>
    </row>
    <row r="117">
      <c r="A117" s="81" t="inlineStr">
        <is>
          <t>C. Baille</t>
        </is>
      </c>
      <c r="B117" s="36">
        <f t="array" ref="B117:C117">_xlfn.XLOOKUP(A117,'Player List'!$A$2:$A$177,'Player List'!$B$2:$C$177)</f>
        <v/>
      </c>
      <c r="C117" s="36" t="inlineStr">
        <is>
          <t>Prop</t>
        </is>
      </c>
      <c r="D117" s="37" t="n">
        <v>63</v>
      </c>
      <c r="F117" s="37" t="n">
        <v>3</v>
      </c>
      <c r="G117" s="37" t="n">
        <v>7</v>
      </c>
      <c r="H117" s="37" t="n">
        <v>0</v>
      </c>
      <c r="I117" s="37" t="n">
        <v>8.199999999999999</v>
      </c>
      <c r="J117" s="37" t="n">
        <v>0</v>
      </c>
      <c r="K117" s="37" t="n">
        <v>0</v>
      </c>
      <c r="L117" s="37" t="n">
        <v>0</v>
      </c>
      <c r="M117" s="37" t="n">
        <v>0</v>
      </c>
      <c r="N117" s="37" t="n">
        <v>0</v>
      </c>
      <c r="O117" s="37" t="n">
        <v>0</v>
      </c>
      <c r="P117" s="37" t="n">
        <v>0</v>
      </c>
      <c r="Q117" s="37" t="n">
        <v>0</v>
      </c>
      <c r="R117" s="37" t="n">
        <v>0</v>
      </c>
      <c r="S117" s="37" t="n">
        <v>0</v>
      </c>
      <c r="T117" s="38" t="n">
        <v>18.2</v>
      </c>
      <c r="U117" s="37" t="n">
        <v>0</v>
      </c>
      <c r="V117" s="36" t="n">
        <v>0</v>
      </c>
      <c r="W117" s="52" t="n">
        <v>18.2</v>
      </c>
    </row>
    <row r="118">
      <c r="A118" s="81" t="inlineStr">
        <is>
          <t>S. Falatea</t>
        </is>
      </c>
      <c r="B118" s="36">
        <f t="array" ref="B118:C118">_xlfn.XLOOKUP(A118,'Player List'!$A$2:$A$177,'Player List'!$B$2:$C$177)</f>
        <v/>
      </c>
      <c r="C118" s="36" t="inlineStr">
        <is>
          <t>Prop</t>
        </is>
      </c>
      <c r="D118" s="37" t="n">
        <v>68</v>
      </c>
      <c r="F118" s="37" t="n">
        <v>7</v>
      </c>
      <c r="G118" s="37" t="n">
        <v>14</v>
      </c>
      <c r="H118" s="37" t="n">
        <v>0</v>
      </c>
      <c r="I118" s="37" t="n">
        <v>4.4</v>
      </c>
      <c r="J118" s="37" t="n">
        <v>0</v>
      </c>
      <c r="K118" s="37" t="n">
        <v>0</v>
      </c>
      <c r="L118" s="37" t="n">
        <v>0</v>
      </c>
      <c r="M118" s="37" t="n">
        <v>0</v>
      </c>
      <c r="N118" s="37" t="n">
        <v>0</v>
      </c>
      <c r="O118" s="37" t="n">
        <v>0</v>
      </c>
      <c r="P118" s="37" t="n">
        <v>0</v>
      </c>
      <c r="Q118" s="37" t="n">
        <v>0</v>
      </c>
      <c r="R118" s="37" t="n">
        <v>0</v>
      </c>
      <c r="S118" s="37" t="n">
        <v>0</v>
      </c>
      <c r="T118" s="38" t="n">
        <v>25.4</v>
      </c>
      <c r="U118" s="37" t="n">
        <v>0</v>
      </c>
      <c r="V118" s="36" t="n">
        <v>0</v>
      </c>
      <c r="W118" s="52" t="n">
        <v>25.4</v>
      </c>
    </row>
    <row r="119">
      <c r="A119" s="81" t="inlineStr">
        <is>
          <t>M. Haouas</t>
        </is>
      </c>
      <c r="B119" s="36">
        <f t="array" ref="B119:C119">_xlfn.XLOOKUP(A119,'Player List'!$A$2:$A$177,'Player List'!$B$2:$C$177)</f>
        <v/>
      </c>
      <c r="C119" s="36" t="inlineStr">
        <is>
          <t>Prop</t>
        </is>
      </c>
      <c r="D119" s="37" t="n">
        <v>11</v>
      </c>
      <c r="F119" s="37" t="n">
        <v>1</v>
      </c>
      <c r="G119" s="37" t="n">
        <v>0</v>
      </c>
      <c r="H119" s="37" t="n">
        <v>0</v>
      </c>
      <c r="I119" s="37" t="n">
        <v>0</v>
      </c>
      <c r="J119" s="37" t="n">
        <v>0</v>
      </c>
      <c r="K119" s="37" t="n">
        <v>0</v>
      </c>
      <c r="L119" s="37" t="n">
        <v>0</v>
      </c>
      <c r="M119" s="37" t="n">
        <v>0</v>
      </c>
      <c r="N119" s="37" t="n">
        <v>0</v>
      </c>
      <c r="O119" s="37" t="n">
        <v>0</v>
      </c>
      <c r="P119" s="37" t="n">
        <v>0</v>
      </c>
      <c r="Q119" s="37" t="n">
        <v>0</v>
      </c>
      <c r="R119" s="37" t="n">
        <v>0</v>
      </c>
      <c r="S119" s="37" t="n">
        <v>-10</v>
      </c>
      <c r="T119" s="38" t="n">
        <v>-9</v>
      </c>
      <c r="U119" s="37" t="n">
        <v>0</v>
      </c>
      <c r="V119" s="36" t="n">
        <v>0</v>
      </c>
      <c r="W119" s="52" t="n">
        <v>-9</v>
      </c>
    </row>
    <row r="120">
      <c r="A120" s="81" t="inlineStr">
        <is>
          <t>R. Wardi</t>
        </is>
      </c>
      <c r="B120" s="36">
        <f t="array" ref="B120:C120">_xlfn.XLOOKUP(A120,'Player List'!$A$2:$A$177,'Player List'!$B$2:$C$177)</f>
        <v/>
      </c>
      <c r="C120" s="36" t="inlineStr">
        <is>
          <t>Prop</t>
        </is>
      </c>
      <c r="D120" s="37" t="n">
        <v>17</v>
      </c>
      <c r="F120" s="37" t="n">
        <v>0</v>
      </c>
      <c r="G120" s="37" t="n">
        <v>0</v>
      </c>
      <c r="H120" s="37" t="n">
        <v>0</v>
      </c>
      <c r="I120" s="37" t="n">
        <v>1.6</v>
      </c>
      <c r="J120" s="37" t="n">
        <v>0</v>
      </c>
      <c r="K120" s="37" t="n">
        <v>0</v>
      </c>
      <c r="L120" s="37" t="n">
        <v>0</v>
      </c>
      <c r="M120" s="37" t="n">
        <v>0</v>
      </c>
      <c r="N120" s="37" t="n">
        <v>0</v>
      </c>
      <c r="O120" s="37" t="n">
        <v>0</v>
      </c>
      <c r="P120" s="37" t="n">
        <v>0</v>
      </c>
      <c r="Q120" s="37" t="n">
        <v>0</v>
      </c>
      <c r="R120" s="37" t="n">
        <v>0</v>
      </c>
      <c r="S120" s="37" t="n">
        <v>0</v>
      </c>
      <c r="T120" s="38" t="n">
        <v>1.6</v>
      </c>
      <c r="U120" s="37" t="n">
        <v>0</v>
      </c>
      <c r="V120" s="36" t="n">
        <v>0</v>
      </c>
      <c r="W120" s="52" t="n">
        <v>1.6</v>
      </c>
    </row>
    <row r="121">
      <c r="A121" s="81" t="inlineStr">
        <is>
          <t>G. Barlot</t>
        </is>
      </c>
      <c r="B121" s="36">
        <f t="array" ref="B121:C121">_xlfn.XLOOKUP(A121,'Player List'!$A$2:$A$177,'Player List'!$B$2:$C$177)</f>
        <v/>
      </c>
      <c r="C121" s="36" t="inlineStr">
        <is>
          <t>Hooker</t>
        </is>
      </c>
      <c r="D121" s="37" t="n">
        <v>11</v>
      </c>
      <c r="F121" s="37" t="n">
        <v>0</v>
      </c>
      <c r="G121" s="37" t="n">
        <v>0</v>
      </c>
      <c r="H121" s="37" t="n">
        <v>0</v>
      </c>
      <c r="I121" s="37" t="n">
        <v>1.8</v>
      </c>
      <c r="J121" s="37" t="n">
        <v>0</v>
      </c>
      <c r="K121" s="37" t="n">
        <v>7</v>
      </c>
      <c r="L121" s="37" t="n">
        <v>0</v>
      </c>
      <c r="M121" s="37" t="n">
        <v>0</v>
      </c>
      <c r="N121" s="37" t="n">
        <v>0</v>
      </c>
      <c r="O121" s="37" t="n">
        <v>0</v>
      </c>
      <c r="P121" s="37" t="n">
        <v>0</v>
      </c>
      <c r="Q121" s="37" t="n">
        <v>0</v>
      </c>
      <c r="R121" s="37" t="n">
        <v>0</v>
      </c>
      <c r="S121" s="37" t="n">
        <v>0</v>
      </c>
      <c r="T121" s="38" t="n">
        <v>8.800000000000001</v>
      </c>
      <c r="U121" s="37" t="n">
        <v>0</v>
      </c>
      <c r="V121" s="36" t="n">
        <v>0</v>
      </c>
      <c r="W121" s="52" t="n">
        <v>8.800000000000001</v>
      </c>
    </row>
    <row r="122">
      <c r="A122" s="81" t="inlineStr">
        <is>
          <t>J. Marchand</t>
        </is>
      </c>
      <c r="B122" s="36">
        <f t="array" ref="B122:C122">_xlfn.XLOOKUP(A122,'Player List'!$A$2:$A$177,'Player List'!$B$2:$C$177)</f>
        <v/>
      </c>
      <c r="C122" s="36" t="inlineStr">
        <is>
          <t>Hooker</t>
        </is>
      </c>
      <c r="D122" s="37" t="n">
        <v>69</v>
      </c>
      <c r="F122" s="37" t="n">
        <v>16</v>
      </c>
      <c r="G122" s="37" t="n">
        <v>0</v>
      </c>
      <c r="H122" s="37" t="n">
        <v>0</v>
      </c>
      <c r="I122" s="37" t="n">
        <v>3.4</v>
      </c>
      <c r="J122" s="37" t="n">
        <v>0</v>
      </c>
      <c r="K122" s="37" t="n">
        <v>0</v>
      </c>
      <c r="L122" s="37" t="n">
        <v>0</v>
      </c>
      <c r="M122" s="37" t="n">
        <v>0</v>
      </c>
      <c r="N122" s="37" t="n">
        <v>0</v>
      </c>
      <c r="O122" s="37" t="n">
        <v>0</v>
      </c>
      <c r="P122" s="37" t="n">
        <v>0</v>
      </c>
      <c r="Q122" s="37" t="n">
        <v>0</v>
      </c>
      <c r="R122" s="37" t="n">
        <v>0</v>
      </c>
      <c r="S122" s="37" t="n">
        <v>0</v>
      </c>
      <c r="T122" s="38" t="n">
        <v>19.4</v>
      </c>
      <c r="U122" s="37" t="n">
        <v>0</v>
      </c>
      <c r="V122" s="36" t="n">
        <v>0</v>
      </c>
      <c r="W122" s="52" t="n">
        <v>19.4</v>
      </c>
    </row>
    <row r="123">
      <c r="A123" s="81" t="inlineStr">
        <is>
          <t>S. Hogg</t>
        </is>
      </c>
      <c r="B123" s="36">
        <f t="array" ref="B123:C123">_xlfn.XLOOKUP(A123,'Player List'!$A$2:$A$177,'Player List'!$B$2:$C$177)</f>
        <v/>
      </c>
      <c r="C123" s="36" t="inlineStr">
        <is>
          <t>Back Three</t>
        </is>
      </c>
      <c r="D123" s="37" t="n">
        <v>80</v>
      </c>
      <c r="F123" s="37" t="n">
        <v>6</v>
      </c>
      <c r="G123" s="37" t="n">
        <v>0</v>
      </c>
      <c r="H123" s="37" t="n">
        <v>7</v>
      </c>
      <c r="I123" s="37" t="n">
        <v>17.4</v>
      </c>
      <c r="J123" s="37" t="n">
        <v>0</v>
      </c>
      <c r="K123" s="37" t="n">
        <v>0</v>
      </c>
      <c r="L123" s="37" t="n">
        <v>0</v>
      </c>
      <c r="M123" s="37" t="n">
        <v>0</v>
      </c>
      <c r="N123" s="37" t="n">
        <v>0</v>
      </c>
      <c r="O123" s="37" t="n">
        <v>0</v>
      </c>
      <c r="P123" s="37" t="n">
        <v>0</v>
      </c>
      <c r="Q123" s="37" t="n">
        <v>0</v>
      </c>
      <c r="R123" s="37" t="n">
        <v>0</v>
      </c>
      <c r="S123" s="37" t="n">
        <v>0</v>
      </c>
      <c r="T123" s="38" t="n">
        <v>30.4</v>
      </c>
      <c r="U123" s="37" t="n">
        <v>0</v>
      </c>
      <c r="V123" s="36" t="n">
        <v>0</v>
      </c>
      <c r="W123" s="52" t="n">
        <v>30.4</v>
      </c>
    </row>
    <row r="124">
      <c r="A124" s="81" t="inlineStr">
        <is>
          <t>B. Kinghorn</t>
        </is>
      </c>
      <c r="B124" s="36">
        <f t="array" ref="B124:C124">_xlfn.XLOOKUP(A124,'Player List'!$A$2:$A$177,'Player List'!$B$2:$C$177)</f>
        <v/>
      </c>
      <c r="C124" s="36" t="inlineStr">
        <is>
          <t>Back Three</t>
        </is>
      </c>
      <c r="D124" s="37" t="n">
        <v>11</v>
      </c>
      <c r="F124" s="37" t="n">
        <v>1</v>
      </c>
      <c r="G124" s="37" t="n">
        <v>0</v>
      </c>
      <c r="H124" s="37" t="n">
        <v>0</v>
      </c>
      <c r="I124" s="37" t="n">
        <v>0</v>
      </c>
      <c r="J124" s="37" t="n">
        <v>0</v>
      </c>
      <c r="K124" s="37" t="n">
        <v>0</v>
      </c>
      <c r="L124" s="37" t="n">
        <v>0</v>
      </c>
      <c r="M124" s="37" t="n">
        <v>0</v>
      </c>
      <c r="N124" s="37" t="n">
        <v>0</v>
      </c>
      <c r="O124" s="37" t="n">
        <v>0</v>
      </c>
      <c r="P124" s="37" t="n">
        <v>0</v>
      </c>
      <c r="Q124" s="37" t="n">
        <v>0</v>
      </c>
      <c r="R124" s="37" t="n">
        <v>0</v>
      </c>
      <c r="S124" s="37" t="n">
        <v>0</v>
      </c>
      <c r="T124" s="38" t="n">
        <v>1</v>
      </c>
      <c r="U124" s="37" t="n">
        <v>0</v>
      </c>
      <c r="V124" s="36" t="n">
        <v>0</v>
      </c>
      <c r="W124" s="52" t="n">
        <v>1</v>
      </c>
    </row>
    <row r="125">
      <c r="A125" s="81" t="inlineStr">
        <is>
          <t>K. Steyn</t>
        </is>
      </c>
      <c r="B125" s="36">
        <f t="array" ref="B125:C125">_xlfn.XLOOKUP(A125,'Player List'!$A$2:$A$177,'Player List'!$B$2:$C$177)</f>
        <v/>
      </c>
      <c r="C125" s="36" t="inlineStr">
        <is>
          <t>Back Three</t>
        </is>
      </c>
      <c r="D125" s="37" t="n">
        <v>69</v>
      </c>
      <c r="F125" s="37" t="n">
        <v>2</v>
      </c>
      <c r="G125" s="37" t="n">
        <v>0</v>
      </c>
      <c r="H125" s="37" t="n">
        <v>0</v>
      </c>
      <c r="I125" s="37" t="n">
        <v>9</v>
      </c>
      <c r="J125" s="37" t="n">
        <v>0</v>
      </c>
      <c r="K125" s="37" t="n">
        <v>0</v>
      </c>
      <c r="L125" s="37" t="n">
        <v>0</v>
      </c>
      <c r="M125" s="37" t="n">
        <v>0</v>
      </c>
      <c r="N125" s="37" t="n">
        <v>0</v>
      </c>
      <c r="O125" s="37" t="n">
        <v>0</v>
      </c>
      <c r="P125" s="37" t="n">
        <v>0</v>
      </c>
      <c r="Q125" s="37" t="n">
        <v>0</v>
      </c>
      <c r="R125" s="37" t="n">
        <v>0</v>
      </c>
      <c r="S125" s="37" t="n">
        <v>0</v>
      </c>
      <c r="T125" s="38" t="n">
        <v>11</v>
      </c>
      <c r="U125" s="37" t="n">
        <v>0</v>
      </c>
      <c r="V125" s="36" t="n">
        <v>0</v>
      </c>
      <c r="W125" s="52" t="n">
        <v>11</v>
      </c>
    </row>
    <row r="126">
      <c r="A126" s="81" t="inlineStr">
        <is>
          <t>D. van der Merwe</t>
        </is>
      </c>
      <c r="B126" s="36">
        <f t="array" ref="B126:C126">_xlfn.XLOOKUP(A126,'Player List'!$A$2:$A$177,'Player List'!$B$2:$C$177)</f>
        <v/>
      </c>
      <c r="C126" s="36" t="inlineStr">
        <is>
          <t>Back Three</t>
        </is>
      </c>
      <c r="D126" s="37" t="n">
        <v>80</v>
      </c>
      <c r="F126" s="37" t="n">
        <v>4</v>
      </c>
      <c r="G126" s="37" t="n">
        <v>0</v>
      </c>
      <c r="H126" s="37" t="n">
        <v>0</v>
      </c>
      <c r="I126" s="37" t="n">
        <v>4.2</v>
      </c>
      <c r="J126" s="37" t="n">
        <v>0</v>
      </c>
      <c r="K126" s="37" t="n">
        <v>0</v>
      </c>
      <c r="L126" s="37" t="n">
        <v>0</v>
      </c>
      <c r="M126" s="37" t="n">
        <v>0</v>
      </c>
      <c r="N126" s="37" t="n">
        <v>0</v>
      </c>
      <c r="O126" s="37" t="n">
        <v>0</v>
      </c>
      <c r="P126" s="37" t="n">
        <v>0</v>
      </c>
      <c r="Q126" s="37" t="n">
        <v>0</v>
      </c>
      <c r="R126" s="37" t="n">
        <v>0</v>
      </c>
      <c r="S126" s="37" t="n">
        <v>0</v>
      </c>
      <c r="T126" s="38" t="n">
        <v>8.199999999999999</v>
      </c>
      <c r="U126" s="37" t="n">
        <v>0</v>
      </c>
      <c r="V126" s="36" t="n">
        <v>0</v>
      </c>
      <c r="W126" s="52" t="n">
        <v>8.199999999999999</v>
      </c>
    </row>
    <row r="127">
      <c r="A127" s="81" t="inlineStr">
        <is>
          <t>H. Jones</t>
        </is>
      </c>
      <c r="B127" s="36">
        <f t="array" ref="B127:C127">_xlfn.XLOOKUP(A127,'Player List'!$A$2:$A$177,'Player List'!$B$2:$C$177)</f>
        <v/>
      </c>
      <c r="C127" s="36" t="inlineStr">
        <is>
          <t>Centre</t>
        </is>
      </c>
      <c r="D127" s="37" t="n">
        <v>80</v>
      </c>
      <c r="F127" s="37" t="n">
        <v>4</v>
      </c>
      <c r="G127" s="37" t="n">
        <v>0</v>
      </c>
      <c r="H127" s="37" t="n">
        <v>7</v>
      </c>
      <c r="I127" s="37" t="n">
        <v>28.2</v>
      </c>
      <c r="J127" s="37" t="n">
        <v>0</v>
      </c>
      <c r="K127" s="37" t="n">
        <v>0</v>
      </c>
      <c r="L127" s="37" t="n">
        <v>0</v>
      </c>
      <c r="M127" s="37" t="n">
        <v>30</v>
      </c>
      <c r="N127" s="37" t="n">
        <v>0</v>
      </c>
      <c r="O127" s="37" t="n">
        <v>0</v>
      </c>
      <c r="P127" s="37" t="n">
        <v>0</v>
      </c>
      <c r="Q127" s="37" t="n">
        <v>0</v>
      </c>
      <c r="R127" s="37" t="n">
        <v>0</v>
      </c>
      <c r="S127" s="37" t="n">
        <v>0</v>
      </c>
      <c r="T127" s="38" t="n">
        <v>69.2</v>
      </c>
      <c r="U127" s="37" t="n">
        <v>0</v>
      </c>
      <c r="V127" s="36" t="n">
        <v>0</v>
      </c>
      <c r="W127" s="52" t="n">
        <v>69.2</v>
      </c>
    </row>
    <row r="128">
      <c r="A128" s="81" t="inlineStr">
        <is>
          <t>S. Tuipulotu</t>
        </is>
      </c>
      <c r="B128" s="36">
        <f t="array" ref="B128:C128">_xlfn.XLOOKUP(A128,'Player List'!$A$2:$A$177,'Player List'!$B$2:$C$177)</f>
        <v/>
      </c>
      <c r="C128" s="36" t="inlineStr">
        <is>
          <t>Centre</t>
        </is>
      </c>
      <c r="D128" s="37" t="n">
        <v>80</v>
      </c>
      <c r="F128" s="37" t="n">
        <v>9</v>
      </c>
      <c r="G128" s="37" t="n">
        <v>0</v>
      </c>
      <c r="H128" s="37" t="n">
        <v>0</v>
      </c>
      <c r="I128" s="37" t="n">
        <v>10.4</v>
      </c>
      <c r="J128" s="37" t="n">
        <v>0</v>
      </c>
      <c r="K128" s="37" t="n">
        <v>0</v>
      </c>
      <c r="L128" s="37" t="n">
        <v>0</v>
      </c>
      <c r="M128" s="37" t="n">
        <v>0</v>
      </c>
      <c r="N128" s="37" t="n">
        <v>7</v>
      </c>
      <c r="O128" s="37" t="n">
        <v>0</v>
      </c>
      <c r="P128" s="37" t="n">
        <v>0</v>
      </c>
      <c r="Q128" s="37" t="n">
        <v>0</v>
      </c>
      <c r="R128" s="37" t="n">
        <v>0</v>
      </c>
      <c r="S128" s="37" t="n">
        <v>0</v>
      </c>
      <c r="T128" s="38" t="n">
        <v>26.4</v>
      </c>
      <c r="U128" s="37" t="n">
        <v>0</v>
      </c>
      <c r="V128" s="36" t="n">
        <v>0</v>
      </c>
      <c r="W128" s="52" t="n">
        <v>26.4</v>
      </c>
    </row>
    <row r="129">
      <c r="A129" s="81" t="inlineStr">
        <is>
          <t>F. Russell</t>
        </is>
      </c>
      <c r="B129" s="36">
        <f t="array" ref="B129:C129">_xlfn.XLOOKUP(A129,'Player List'!$A$2:$A$177,'Player List'!$B$2:$C$177)</f>
        <v/>
      </c>
      <c r="C129" s="36" t="inlineStr">
        <is>
          <t>Fly Half</t>
        </is>
      </c>
      <c r="D129" s="37" t="n">
        <v>80</v>
      </c>
      <c r="F129" s="37" t="n">
        <v>7</v>
      </c>
      <c r="G129" s="37" t="n">
        <v>0</v>
      </c>
      <c r="H129" s="37" t="n">
        <v>7</v>
      </c>
      <c r="I129" s="37" t="n">
        <v>23.4</v>
      </c>
      <c r="J129" s="37" t="n">
        <v>10</v>
      </c>
      <c r="K129" s="37" t="n">
        <v>0</v>
      </c>
      <c r="L129" s="37" t="n">
        <v>0</v>
      </c>
      <c r="M129" s="37" t="n">
        <v>15</v>
      </c>
      <c r="N129" s="37" t="n">
        <v>7</v>
      </c>
      <c r="O129" s="37" t="n">
        <v>6</v>
      </c>
      <c r="P129" s="37" t="n">
        <v>0</v>
      </c>
      <c r="Q129" s="37" t="n">
        <v>0</v>
      </c>
      <c r="R129" s="37" t="n">
        <v>0</v>
      </c>
      <c r="S129" s="37" t="n">
        <v>0</v>
      </c>
      <c r="T129" s="38" t="n">
        <v>75.40000000000001</v>
      </c>
      <c r="U129" s="37" t="n">
        <v>0</v>
      </c>
      <c r="V129" s="36" t="n">
        <v>0</v>
      </c>
      <c r="W129" s="52" t="n">
        <v>75.40000000000001</v>
      </c>
    </row>
    <row r="130">
      <c r="A130" s="81" t="inlineStr">
        <is>
          <t>A. Price</t>
        </is>
      </c>
      <c r="B130" s="36">
        <f t="array" ref="B130:C130">_xlfn.XLOOKUP(A130,'Player List'!$A$2:$A$177,'Player List'!$B$2:$C$177)</f>
        <v/>
      </c>
      <c r="C130" s="36" t="inlineStr">
        <is>
          <t>Scrum Half</t>
        </is>
      </c>
      <c r="D130" s="37" t="n">
        <v>23</v>
      </c>
      <c r="F130" s="37" t="n">
        <v>1</v>
      </c>
      <c r="G130" s="37" t="n">
        <v>0</v>
      </c>
      <c r="H130" s="37" t="n">
        <v>0</v>
      </c>
      <c r="I130" s="37" t="n">
        <v>0</v>
      </c>
      <c r="J130" s="37" t="n">
        <v>0</v>
      </c>
      <c r="K130" s="37" t="n">
        <v>0</v>
      </c>
      <c r="L130" s="37" t="n">
        <v>0</v>
      </c>
      <c r="M130" s="37" t="n">
        <v>0</v>
      </c>
      <c r="N130" s="37" t="n">
        <v>7</v>
      </c>
      <c r="O130" s="37" t="n">
        <v>0</v>
      </c>
      <c r="P130" s="37" t="n">
        <v>0</v>
      </c>
      <c r="Q130" s="37" t="n">
        <v>0</v>
      </c>
      <c r="R130" s="37" t="n">
        <v>0</v>
      </c>
      <c r="S130" s="37" t="n">
        <v>0</v>
      </c>
      <c r="T130" s="38" t="n">
        <v>8</v>
      </c>
      <c r="U130" s="37" t="n">
        <v>0</v>
      </c>
      <c r="V130" s="36" t="n">
        <v>0</v>
      </c>
      <c r="W130" s="52" t="n">
        <v>8</v>
      </c>
    </row>
    <row r="131">
      <c r="A131" s="81" t="inlineStr">
        <is>
          <t>B. White</t>
        </is>
      </c>
      <c r="B131" s="36">
        <f t="array" ref="B131:C131">_xlfn.XLOOKUP(A131,'Player List'!$A$2:$A$177,'Player List'!$B$2:$C$177)</f>
        <v/>
      </c>
      <c r="C131" s="36" t="inlineStr">
        <is>
          <t>Scrum Half</t>
        </is>
      </c>
      <c r="D131" s="37" t="n">
        <v>57</v>
      </c>
      <c r="F131" s="37" t="n">
        <v>5</v>
      </c>
      <c r="G131" s="37" t="n">
        <v>0</v>
      </c>
      <c r="H131" s="37" t="n">
        <v>0</v>
      </c>
      <c r="I131" s="37" t="n">
        <v>4</v>
      </c>
      <c r="J131" s="37" t="n">
        <v>0</v>
      </c>
      <c r="K131" s="37" t="n">
        <v>0</v>
      </c>
      <c r="L131" s="37" t="n">
        <v>0</v>
      </c>
      <c r="M131" s="37" t="n">
        <v>0</v>
      </c>
      <c r="N131" s="37" t="n">
        <v>0</v>
      </c>
      <c r="O131" s="37" t="n">
        <v>0</v>
      </c>
      <c r="P131" s="37" t="n">
        <v>0</v>
      </c>
      <c r="Q131" s="37" t="n">
        <v>0</v>
      </c>
      <c r="R131" s="37" t="n">
        <v>0</v>
      </c>
      <c r="S131" s="37" t="n">
        <v>0</v>
      </c>
      <c r="T131" s="38" t="n">
        <v>9</v>
      </c>
      <c r="U131" s="37" t="n">
        <v>0</v>
      </c>
      <c r="V131" s="36" t="n">
        <v>0</v>
      </c>
      <c r="W131" s="52" t="n">
        <v>9</v>
      </c>
    </row>
    <row r="132">
      <c r="A132" s="81" t="inlineStr">
        <is>
          <t>J. Dempsey</t>
        </is>
      </c>
      <c r="B132" s="36">
        <f t="array" ref="B132:C132">_xlfn.XLOOKUP(A132,'Player List'!$A$2:$A$177,'Player List'!$B$2:$C$177)</f>
        <v/>
      </c>
      <c r="C132" s="36" t="inlineStr">
        <is>
          <t>Back Row</t>
        </is>
      </c>
      <c r="D132" s="37" t="n">
        <v>23</v>
      </c>
      <c r="F132" s="37" t="n">
        <v>2</v>
      </c>
      <c r="G132" s="37" t="n">
        <v>0</v>
      </c>
      <c r="H132" s="37" t="n">
        <v>0</v>
      </c>
      <c r="I132" s="37" t="n">
        <v>4</v>
      </c>
      <c r="J132" s="37" t="n">
        <v>0</v>
      </c>
      <c r="K132" s="37" t="n">
        <v>0</v>
      </c>
      <c r="L132" s="37" t="n">
        <v>0</v>
      </c>
      <c r="M132" s="37" t="n">
        <v>0</v>
      </c>
      <c r="N132" s="37" t="n">
        <v>0</v>
      </c>
      <c r="O132" s="37" t="n">
        <v>0</v>
      </c>
      <c r="P132" s="37" t="n">
        <v>0</v>
      </c>
      <c r="Q132" s="37" t="n">
        <v>0</v>
      </c>
      <c r="R132" s="37" t="n">
        <v>0</v>
      </c>
      <c r="S132" s="37" t="n">
        <v>0</v>
      </c>
      <c r="T132" s="38" t="n">
        <v>6</v>
      </c>
      <c r="U132" s="37" t="n">
        <v>0</v>
      </c>
      <c r="V132" s="36" t="n">
        <v>0</v>
      </c>
      <c r="W132" s="52" t="n">
        <v>6</v>
      </c>
    </row>
    <row r="133">
      <c r="A133" s="81" t="inlineStr">
        <is>
          <t>M. Fagerson</t>
        </is>
      </c>
      <c r="B133" s="36">
        <f t="array" ref="B133:C133">_xlfn.XLOOKUP(A133,'Player List'!$A$2:$A$177,'Player List'!$B$2:$C$177)</f>
        <v/>
      </c>
      <c r="C133" s="36" t="inlineStr">
        <is>
          <t>Back Row</t>
        </is>
      </c>
      <c r="D133" s="37" t="n">
        <v>57</v>
      </c>
      <c r="F133" s="37" t="n">
        <v>11</v>
      </c>
      <c r="G133" s="37" t="n">
        <v>0</v>
      </c>
      <c r="H133" s="37" t="n">
        <v>0</v>
      </c>
      <c r="I133" s="37" t="n">
        <v>3.4</v>
      </c>
      <c r="J133" s="37" t="n">
        <v>0</v>
      </c>
      <c r="K133" s="37" t="n">
        <v>0</v>
      </c>
      <c r="L133" s="37" t="n">
        <v>0</v>
      </c>
      <c r="M133" s="37" t="n">
        <v>0</v>
      </c>
      <c r="N133" s="37" t="n">
        <v>0</v>
      </c>
      <c r="O133" s="37" t="n">
        <v>0</v>
      </c>
      <c r="P133" s="37" t="n">
        <v>0</v>
      </c>
      <c r="Q133" s="37" t="n">
        <v>0</v>
      </c>
      <c r="R133" s="37" t="n">
        <v>0</v>
      </c>
      <c r="S133" s="37" t="n">
        <v>0</v>
      </c>
      <c r="T133" s="38" t="n">
        <v>14.4</v>
      </c>
      <c r="U133" s="37" t="n">
        <v>0</v>
      </c>
      <c r="V133" s="36" t="n">
        <v>0</v>
      </c>
      <c r="W133" s="52" t="n">
        <v>14.4</v>
      </c>
    </row>
    <row r="134">
      <c r="A134" s="81" t="inlineStr">
        <is>
          <t>J. Ritchie</t>
        </is>
      </c>
      <c r="B134" s="36">
        <f t="array" ref="B134:C134">_xlfn.XLOOKUP(A134,'Player List'!$A$2:$A$177,'Player List'!$B$2:$C$177)</f>
        <v/>
      </c>
      <c r="C134" s="36" t="inlineStr">
        <is>
          <t>Back Row</t>
        </is>
      </c>
      <c r="D134" s="37" t="n">
        <v>80</v>
      </c>
      <c r="F134" s="37" t="n">
        <v>13</v>
      </c>
      <c r="G134" s="37" t="n">
        <v>0</v>
      </c>
      <c r="H134" s="37" t="n">
        <v>0</v>
      </c>
      <c r="I134" s="37" t="n">
        <v>9.199999999999999</v>
      </c>
      <c r="J134" s="37" t="n">
        <v>0</v>
      </c>
      <c r="K134" s="37" t="n">
        <v>0</v>
      </c>
      <c r="L134" s="37" t="n">
        <v>0</v>
      </c>
      <c r="M134" s="37" t="n">
        <v>0</v>
      </c>
      <c r="N134" s="37" t="n">
        <v>0</v>
      </c>
      <c r="O134" s="37" t="n">
        <v>0</v>
      </c>
      <c r="P134" s="37" t="n">
        <v>0</v>
      </c>
      <c r="Q134" s="37" t="n">
        <v>0</v>
      </c>
      <c r="R134" s="37" t="n">
        <v>0</v>
      </c>
      <c r="S134" s="37" t="n">
        <v>0</v>
      </c>
      <c r="T134" s="38" t="n">
        <v>22.2</v>
      </c>
      <c r="U134" s="37" t="n">
        <v>0</v>
      </c>
      <c r="V134" s="36" t="n">
        <v>0</v>
      </c>
      <c r="W134" s="52" t="n">
        <v>22.2</v>
      </c>
    </row>
    <row r="135">
      <c r="A135" s="81" t="inlineStr">
        <is>
          <t>S. Skinner</t>
        </is>
      </c>
      <c r="B135" s="36">
        <f t="array" ref="B135:C135">_xlfn.XLOOKUP(A135,'Player List'!$A$2:$A$177,'Player List'!$B$2:$C$177)</f>
        <v/>
      </c>
      <c r="C135" s="36" t="inlineStr">
        <is>
          <t>Back Row</t>
        </is>
      </c>
      <c r="D135" s="37" t="n">
        <v>9</v>
      </c>
      <c r="F135" s="37" t="n">
        <v>4</v>
      </c>
      <c r="G135" s="37" t="n">
        <v>0</v>
      </c>
      <c r="H135" s="37" t="n">
        <v>0</v>
      </c>
      <c r="I135" s="37" t="n">
        <v>0</v>
      </c>
      <c r="J135" s="37" t="n">
        <v>0</v>
      </c>
      <c r="K135" s="37" t="n">
        <v>0</v>
      </c>
      <c r="L135" s="37" t="n">
        <v>7</v>
      </c>
      <c r="M135" s="37" t="n">
        <v>0</v>
      </c>
      <c r="N135" s="37" t="n">
        <v>0</v>
      </c>
      <c r="O135" s="37" t="n">
        <v>0</v>
      </c>
      <c r="P135" s="37" t="n">
        <v>0</v>
      </c>
      <c r="Q135" s="37" t="n">
        <v>0</v>
      </c>
      <c r="R135" s="37" t="n">
        <v>0</v>
      </c>
      <c r="S135" s="37" t="n">
        <v>0</v>
      </c>
      <c r="T135" s="38" t="n">
        <v>11</v>
      </c>
      <c r="U135" s="37" t="n">
        <v>0</v>
      </c>
      <c r="V135" s="36" t="n">
        <v>0</v>
      </c>
      <c r="W135" s="52" t="n">
        <v>11</v>
      </c>
    </row>
    <row r="136">
      <c r="A136" s="81" t="inlineStr">
        <is>
          <t>H. Watson</t>
        </is>
      </c>
      <c r="B136" s="36">
        <f t="array" ref="B136:C136">_xlfn.XLOOKUP(A136,'Player List'!$A$2:$A$177,'Player List'!$B$2:$C$177)</f>
        <v/>
      </c>
      <c r="C136" s="36" t="inlineStr">
        <is>
          <t>Back Row</t>
        </is>
      </c>
      <c r="D136" s="37" t="n">
        <v>10</v>
      </c>
      <c r="F136" s="37" t="n">
        <v>5</v>
      </c>
      <c r="G136" s="37" t="n">
        <v>0</v>
      </c>
      <c r="H136" s="37" t="n">
        <v>0</v>
      </c>
      <c r="I136" s="37" t="n">
        <v>0</v>
      </c>
      <c r="J136" s="37" t="n">
        <v>0</v>
      </c>
      <c r="K136" s="37" t="n">
        <v>0</v>
      </c>
      <c r="L136" s="37" t="n">
        <v>0</v>
      </c>
      <c r="M136" s="37" t="n">
        <v>0</v>
      </c>
      <c r="N136" s="37" t="n">
        <v>0</v>
      </c>
      <c r="O136" s="37" t="n">
        <v>0</v>
      </c>
      <c r="P136" s="37" t="n">
        <v>0</v>
      </c>
      <c r="Q136" s="37" t="n">
        <v>0</v>
      </c>
      <c r="R136" s="37" t="n">
        <v>0</v>
      </c>
      <c r="S136" s="37" t="n">
        <v>0</v>
      </c>
      <c r="T136" s="38" t="n">
        <v>5</v>
      </c>
      <c r="U136" s="37" t="n">
        <v>0</v>
      </c>
      <c r="V136" s="36" t="n">
        <v>0</v>
      </c>
      <c r="W136" s="52" t="n">
        <v>5</v>
      </c>
    </row>
    <row r="137">
      <c r="A137" s="81" t="inlineStr">
        <is>
          <t>G. Gilchrist</t>
        </is>
      </c>
      <c r="B137" s="36">
        <f t="array" ref="B137:C137">_xlfn.XLOOKUP(A137,'Player List'!$A$2:$A$177,'Player List'!$B$2:$C$177)</f>
        <v/>
      </c>
      <c r="C137" s="36" t="inlineStr">
        <is>
          <t>Second Row</t>
        </is>
      </c>
      <c r="D137" s="37" t="n">
        <v>7</v>
      </c>
      <c r="F137" s="37" t="n">
        <v>3</v>
      </c>
      <c r="G137" s="37" t="n">
        <v>0</v>
      </c>
      <c r="H137" s="37" t="n">
        <v>0</v>
      </c>
      <c r="I137" s="37" t="n">
        <v>0</v>
      </c>
      <c r="J137" s="37" t="n">
        <v>0</v>
      </c>
      <c r="K137" s="37" t="n">
        <v>0</v>
      </c>
      <c r="L137" s="37" t="n">
        <v>0</v>
      </c>
      <c r="M137" s="37" t="n">
        <v>0</v>
      </c>
      <c r="N137" s="37" t="n">
        <v>0</v>
      </c>
      <c r="O137" s="37" t="n">
        <v>0</v>
      </c>
      <c r="P137" s="37" t="n">
        <v>0</v>
      </c>
      <c r="Q137" s="37" t="n">
        <v>0</v>
      </c>
      <c r="R137" s="37" t="n">
        <v>0</v>
      </c>
      <c r="S137" s="37" t="n">
        <v>-10</v>
      </c>
      <c r="T137" s="38" t="n">
        <v>-7</v>
      </c>
      <c r="U137" s="37" t="n">
        <v>0</v>
      </c>
      <c r="V137" s="36" t="n">
        <v>0</v>
      </c>
      <c r="W137" s="52" t="n">
        <v>-7</v>
      </c>
    </row>
    <row r="138">
      <c r="A138" s="81" t="inlineStr">
        <is>
          <t>J. Gray</t>
        </is>
      </c>
      <c r="B138" s="36">
        <f t="array" ref="B138:C138">_xlfn.XLOOKUP(A138,'Player List'!$A$2:$A$177,'Player List'!$B$2:$C$177)</f>
        <v/>
      </c>
      <c r="C138" s="36" t="inlineStr">
        <is>
          <t>Second Row</t>
        </is>
      </c>
      <c r="D138" s="37" t="n">
        <v>70</v>
      </c>
      <c r="F138" s="37" t="n">
        <v>8</v>
      </c>
      <c r="G138" s="37" t="n">
        <v>7</v>
      </c>
      <c r="H138" s="37" t="n">
        <v>0</v>
      </c>
      <c r="I138" s="37" t="n">
        <v>5.6</v>
      </c>
      <c r="J138" s="37" t="n">
        <v>0</v>
      </c>
      <c r="K138" s="37" t="n">
        <v>0</v>
      </c>
      <c r="L138" s="37" t="n">
        <v>0</v>
      </c>
      <c r="M138" s="37" t="n">
        <v>0</v>
      </c>
      <c r="N138" s="37" t="n">
        <v>0</v>
      </c>
      <c r="O138" s="37" t="n">
        <v>0</v>
      </c>
      <c r="P138" s="37" t="n">
        <v>0</v>
      </c>
      <c r="Q138" s="37" t="n">
        <v>0</v>
      </c>
      <c r="R138" s="37" t="n">
        <v>0</v>
      </c>
      <c r="S138" s="37" t="n">
        <v>0</v>
      </c>
      <c r="T138" s="38" t="n">
        <v>20.6</v>
      </c>
      <c r="U138" s="37" t="n">
        <v>0</v>
      </c>
      <c r="V138" s="36" t="n">
        <v>0</v>
      </c>
      <c r="W138" s="52" t="n">
        <v>20.6</v>
      </c>
    </row>
    <row r="139">
      <c r="A139" s="81" t="inlineStr">
        <is>
          <t>R. Gray</t>
        </is>
      </c>
      <c r="B139" s="36">
        <f t="array" ref="B139:C139">_xlfn.XLOOKUP(A139,'Player List'!$A$2:$A$177,'Player List'!$B$2:$C$177)</f>
        <v/>
      </c>
      <c r="C139" s="36" t="inlineStr">
        <is>
          <t>Second Row</t>
        </is>
      </c>
      <c r="D139" s="37" t="n">
        <v>71</v>
      </c>
      <c r="F139" s="37" t="n">
        <v>7</v>
      </c>
      <c r="G139" s="37" t="n">
        <v>0</v>
      </c>
      <c r="H139" s="37" t="n">
        <v>0</v>
      </c>
      <c r="I139" s="37" t="n">
        <v>3</v>
      </c>
      <c r="J139" s="37" t="n">
        <v>0</v>
      </c>
      <c r="K139" s="37" t="n">
        <v>0</v>
      </c>
      <c r="L139" s="37" t="n">
        <v>0</v>
      </c>
      <c r="M139" s="37" t="n">
        <v>0</v>
      </c>
      <c r="N139" s="37" t="n">
        <v>0</v>
      </c>
      <c r="O139" s="37" t="n">
        <v>0</v>
      </c>
      <c r="P139" s="37" t="n">
        <v>0</v>
      </c>
      <c r="Q139" s="37" t="n">
        <v>0</v>
      </c>
      <c r="R139" s="37" t="n">
        <v>0</v>
      </c>
      <c r="S139" s="37" t="n">
        <v>0</v>
      </c>
      <c r="T139" s="38" t="n">
        <v>10</v>
      </c>
      <c r="U139" s="37" t="n">
        <v>0</v>
      </c>
      <c r="V139" s="36" t="n">
        <v>0</v>
      </c>
      <c r="W139" s="52" t="n">
        <v>10</v>
      </c>
    </row>
    <row r="140">
      <c r="A140" s="81" t="inlineStr">
        <is>
          <t>J. Bhatti</t>
        </is>
      </c>
      <c r="B140" s="36">
        <f t="array" ref="B140:C140">_xlfn.XLOOKUP(A140,'Player List'!$A$2:$A$177,'Player List'!$B$2:$C$177)</f>
        <v/>
      </c>
      <c r="C140" s="36" t="inlineStr">
        <is>
          <t>Prop</t>
        </is>
      </c>
      <c r="D140" s="37" t="n">
        <v>17</v>
      </c>
      <c r="F140" s="37" t="n">
        <v>2</v>
      </c>
      <c r="G140" s="37" t="n">
        <v>7</v>
      </c>
      <c r="H140" s="37" t="n">
        <v>0</v>
      </c>
      <c r="I140" s="37" t="n">
        <v>0</v>
      </c>
      <c r="J140" s="37" t="n">
        <v>0</v>
      </c>
      <c r="K140" s="37" t="n">
        <v>0</v>
      </c>
      <c r="L140" s="37" t="n">
        <v>0</v>
      </c>
      <c r="M140" s="37" t="n">
        <v>0</v>
      </c>
      <c r="N140" s="37" t="n">
        <v>0</v>
      </c>
      <c r="O140" s="37" t="n">
        <v>0</v>
      </c>
      <c r="P140" s="37" t="n">
        <v>0</v>
      </c>
      <c r="Q140" s="37" t="n">
        <v>0</v>
      </c>
      <c r="R140" s="37" t="n">
        <v>0</v>
      </c>
      <c r="S140" s="37" t="n">
        <v>0</v>
      </c>
      <c r="T140" s="38" t="n">
        <v>9</v>
      </c>
      <c r="U140" s="37" t="n">
        <v>0</v>
      </c>
      <c r="V140" s="36" t="n">
        <v>0</v>
      </c>
      <c r="W140" s="52" t="n">
        <v>9</v>
      </c>
    </row>
    <row r="141">
      <c r="A141" s="81" t="inlineStr">
        <is>
          <t>Z. Fagerson</t>
        </is>
      </c>
      <c r="B141" s="36">
        <f t="array" ref="B141:C141">_xlfn.XLOOKUP(A141,'Player List'!$A$2:$A$177,'Player List'!$B$2:$C$177)</f>
        <v/>
      </c>
      <c r="C141" s="36" t="inlineStr">
        <is>
          <t>Prop</t>
        </is>
      </c>
      <c r="D141" s="37" t="n">
        <v>63</v>
      </c>
      <c r="F141" s="37" t="n">
        <v>6</v>
      </c>
      <c r="G141" s="37" t="n">
        <v>0</v>
      </c>
      <c r="H141" s="37" t="n">
        <v>0</v>
      </c>
      <c r="I141" s="37" t="n">
        <v>5.8</v>
      </c>
      <c r="J141" s="37" t="n">
        <v>0</v>
      </c>
      <c r="K141" s="37" t="n">
        <v>0</v>
      </c>
      <c r="L141" s="37" t="n">
        <v>0</v>
      </c>
      <c r="M141" s="37" t="n">
        <v>0</v>
      </c>
      <c r="N141" s="37" t="n">
        <v>0</v>
      </c>
      <c r="O141" s="37" t="n">
        <v>0</v>
      </c>
      <c r="P141" s="37" t="n">
        <v>0</v>
      </c>
      <c r="Q141" s="37" t="n">
        <v>0</v>
      </c>
      <c r="R141" s="37" t="n">
        <v>0</v>
      </c>
      <c r="S141" s="37" t="n">
        <v>0</v>
      </c>
      <c r="T141" s="38" t="n">
        <v>11.8</v>
      </c>
      <c r="U141" s="37" t="n">
        <v>0</v>
      </c>
      <c r="V141" s="36" t="n">
        <v>0</v>
      </c>
      <c r="W141" s="52" t="n">
        <v>11.8</v>
      </c>
    </row>
    <row r="142">
      <c r="A142" s="81" t="inlineStr">
        <is>
          <t>W. Nel</t>
        </is>
      </c>
      <c r="B142" s="36">
        <f t="array" ref="B142:C142">_xlfn.XLOOKUP(A142,'Player List'!$A$2:$A$177,'Player List'!$B$2:$C$177)</f>
        <v/>
      </c>
      <c r="C142" s="36" t="inlineStr">
        <is>
          <t>Prop</t>
        </is>
      </c>
      <c r="D142" s="37" t="n">
        <v>17</v>
      </c>
      <c r="F142" s="37" t="n">
        <v>3</v>
      </c>
      <c r="G142" s="37" t="n">
        <v>0</v>
      </c>
      <c r="H142" s="37" t="n">
        <v>0</v>
      </c>
      <c r="I142" s="37" t="n">
        <v>1</v>
      </c>
      <c r="J142" s="37" t="n">
        <v>0</v>
      </c>
      <c r="K142" s="37" t="n">
        <v>0</v>
      </c>
      <c r="L142" s="37" t="n">
        <v>0</v>
      </c>
      <c r="M142" s="37" t="n">
        <v>0</v>
      </c>
      <c r="N142" s="37" t="n">
        <v>0</v>
      </c>
      <c r="O142" s="37" t="n">
        <v>0</v>
      </c>
      <c r="P142" s="37" t="n">
        <v>0</v>
      </c>
      <c r="Q142" s="37" t="n">
        <v>0</v>
      </c>
      <c r="R142" s="37" t="n">
        <v>0</v>
      </c>
      <c r="S142" s="37" t="n">
        <v>0</v>
      </c>
      <c r="T142" s="38" t="n">
        <v>4</v>
      </c>
      <c r="U142" s="37" t="n">
        <v>0</v>
      </c>
      <c r="V142" s="36" t="n">
        <v>0</v>
      </c>
      <c r="W142" s="52" t="n">
        <v>4</v>
      </c>
    </row>
    <row r="143">
      <c r="A143" s="81" t="inlineStr">
        <is>
          <t>P. Schoeman</t>
        </is>
      </c>
      <c r="B143" s="36">
        <f t="array" ref="B143:C143">_xlfn.XLOOKUP(A143,'Player List'!$A$2:$A$177,'Player List'!$B$2:$C$177)</f>
        <v/>
      </c>
      <c r="C143" s="36" t="inlineStr">
        <is>
          <t>Prop</t>
        </is>
      </c>
      <c r="D143" s="37" t="n">
        <v>63</v>
      </c>
      <c r="F143" s="37" t="n">
        <v>7</v>
      </c>
      <c r="G143" s="37" t="n">
        <v>0</v>
      </c>
      <c r="H143" s="37" t="n">
        <v>0</v>
      </c>
      <c r="I143" s="37" t="n">
        <v>13</v>
      </c>
      <c r="J143" s="37" t="n">
        <v>0</v>
      </c>
      <c r="K143" s="37" t="n">
        <v>0</v>
      </c>
      <c r="L143" s="37" t="n">
        <v>7</v>
      </c>
      <c r="M143" s="37" t="n">
        <v>0</v>
      </c>
      <c r="N143" s="37" t="n">
        <v>0</v>
      </c>
      <c r="O143" s="37" t="n">
        <v>0</v>
      </c>
      <c r="P143" s="37" t="n">
        <v>0</v>
      </c>
      <c r="Q143" s="37" t="n">
        <v>0</v>
      </c>
      <c r="R143" s="37" t="n">
        <v>0</v>
      </c>
      <c r="S143" s="37" t="n">
        <v>0</v>
      </c>
      <c r="T143" s="38" t="n">
        <v>27</v>
      </c>
      <c r="U143" s="37" t="n">
        <v>0</v>
      </c>
      <c r="V143" s="36" t="n">
        <v>0</v>
      </c>
      <c r="W143" s="52" t="n">
        <v>27</v>
      </c>
    </row>
    <row r="144">
      <c r="A144" s="81" t="inlineStr">
        <is>
          <t>F. Brown</t>
        </is>
      </c>
      <c r="B144" s="36">
        <f t="array" ref="B144:C144">_xlfn.XLOOKUP(A144,'Player List'!$A$2:$A$177,'Player List'!$B$2:$C$177)</f>
        <v/>
      </c>
      <c r="C144" s="36" t="inlineStr">
        <is>
          <t>Hooker</t>
        </is>
      </c>
      <c r="D144" s="37" t="n">
        <v>17</v>
      </c>
      <c r="F144" s="37" t="n">
        <v>4</v>
      </c>
      <c r="G144" s="37" t="n">
        <v>0</v>
      </c>
      <c r="H144" s="37" t="n">
        <v>0</v>
      </c>
      <c r="I144" s="37" t="n">
        <v>1.4</v>
      </c>
      <c r="J144" s="37" t="n">
        <v>0</v>
      </c>
      <c r="K144" s="37" t="n">
        <v>0</v>
      </c>
      <c r="L144" s="37" t="n">
        <v>0</v>
      </c>
      <c r="M144" s="37" t="n">
        <v>0</v>
      </c>
      <c r="N144" s="37" t="n">
        <v>0</v>
      </c>
      <c r="O144" s="37" t="n">
        <v>0</v>
      </c>
      <c r="P144" s="37" t="n">
        <v>0</v>
      </c>
      <c r="Q144" s="37" t="n">
        <v>0</v>
      </c>
      <c r="R144" s="37" t="n">
        <v>0</v>
      </c>
      <c r="S144" s="37" t="n">
        <v>0</v>
      </c>
      <c r="T144" s="38" t="n">
        <v>5.4</v>
      </c>
      <c r="U144" s="37" t="n">
        <v>0</v>
      </c>
      <c r="V144" s="36" t="n">
        <v>0</v>
      </c>
      <c r="W144" s="52" t="n">
        <v>5.4</v>
      </c>
    </row>
    <row r="145" ht="16" customHeight="1" thickBot="1">
      <c r="A145" s="82" t="inlineStr">
        <is>
          <t>G. Turner</t>
        </is>
      </c>
      <c r="B145" s="75">
        <f t="array" ref="B145:C145">_xlfn.XLOOKUP(A145,'Player List'!$A$2:$A$177,'Player List'!$B$2:$C$177)</f>
        <v/>
      </c>
      <c r="C145" s="75" t="inlineStr">
        <is>
          <t>Hooker</t>
        </is>
      </c>
      <c r="D145" s="79" t="n">
        <v>63</v>
      </c>
      <c r="E145" s="48" t="n"/>
      <c r="F145" s="79" t="n">
        <v>5</v>
      </c>
      <c r="G145" s="79" t="n">
        <v>0</v>
      </c>
      <c r="H145" s="79" t="n">
        <v>0</v>
      </c>
      <c r="I145" s="79" t="n">
        <v>9.4</v>
      </c>
      <c r="J145" s="79" t="n">
        <v>0</v>
      </c>
      <c r="K145" s="79" t="n">
        <v>0</v>
      </c>
      <c r="L145" s="79" t="n">
        <v>0</v>
      </c>
      <c r="M145" s="79" t="n">
        <v>0</v>
      </c>
      <c r="N145" s="79" t="n">
        <v>0</v>
      </c>
      <c r="O145" s="79" t="n">
        <v>0</v>
      </c>
      <c r="P145" s="79" t="n">
        <v>0</v>
      </c>
      <c r="Q145" s="79" t="n">
        <v>0</v>
      </c>
      <c r="R145" s="79" t="n">
        <v>0</v>
      </c>
      <c r="S145" s="79" t="n">
        <v>0</v>
      </c>
      <c r="T145" s="74" t="n">
        <v>14.4</v>
      </c>
      <c r="U145" s="79" t="n">
        <v>0</v>
      </c>
      <c r="V145" s="75" t="n">
        <v>0</v>
      </c>
      <c r="W145" s="49" t="n">
        <v>14.4</v>
      </c>
    </row>
  </sheetData>
  <autoFilter ref="A9:W145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Z147"/>
  <sheetViews>
    <sheetView workbookViewId="0">
      <selection activeCell="F2" sqref="F2:G4"/>
    </sheetView>
  </sheetViews>
  <sheetFormatPr baseColWidth="10" defaultColWidth="8.83203125" defaultRowHeight="15"/>
  <cols>
    <col width="11.1640625" customWidth="1" min="5" max="5"/>
    <col width="9.83203125" customWidth="1" min="6" max="6"/>
    <col width="10.5" customWidth="1" min="7" max="7"/>
    <col width="11.83203125" customWidth="1" min="8" max="8"/>
    <col width="9.83203125" customWidth="1" min="9" max="9"/>
    <col width="10.1640625" customWidth="1" min="10" max="10"/>
    <col width="11.6640625" customWidth="1" min="12" max="12"/>
    <col width="11.6640625" customWidth="1" min="18" max="18"/>
  </cols>
  <sheetData>
    <row r="1" ht="31" customHeight="1" thickBot="1">
      <c r="J1" s="43" t="n"/>
      <c r="K1" s="44" t="inlineStr">
        <is>
          <t>Win</t>
        </is>
      </c>
      <c r="L1" s="45" t="inlineStr">
        <is>
          <t>Tackles</t>
        </is>
      </c>
      <c r="M1" s="45" t="inlineStr">
        <is>
          <t>Dominant Tackles</t>
        </is>
      </c>
      <c r="N1" s="45" t="inlineStr">
        <is>
          <t>Line Breaks</t>
        </is>
      </c>
      <c r="O1" s="45" t="inlineStr">
        <is>
          <t>Metres Carried</t>
        </is>
      </c>
      <c r="P1" s="45" t="inlineStr">
        <is>
          <t>50-22</t>
        </is>
      </c>
      <c r="Q1" s="45" t="inlineStr">
        <is>
          <t>Lineout Steal</t>
        </is>
      </c>
      <c r="R1" s="45" t="inlineStr">
        <is>
          <t>Breakdown Steal</t>
        </is>
      </c>
      <c r="S1" s="45" t="inlineStr">
        <is>
          <t>Try</t>
        </is>
      </c>
      <c r="T1" s="45" t="inlineStr">
        <is>
          <t>Assists</t>
        </is>
      </c>
      <c r="U1" s="45" t="inlineStr">
        <is>
          <t>Conversion</t>
        </is>
      </c>
      <c r="V1" s="45" t="inlineStr">
        <is>
          <t>Penalty</t>
        </is>
      </c>
      <c r="W1" s="45" t="inlineStr">
        <is>
          <t>Drop Goal</t>
        </is>
      </c>
      <c r="X1" s="45" t="inlineStr">
        <is>
          <t>Yellow Card</t>
        </is>
      </c>
      <c r="Y1" s="45" t="inlineStr">
        <is>
          <t>Red Card</t>
        </is>
      </c>
      <c r="Z1" s="46" t="inlineStr">
        <is>
          <t>MOM</t>
        </is>
      </c>
    </row>
    <row r="2" ht="16" customHeight="1" thickBot="1">
      <c r="B2" s="43" t="inlineStr">
        <is>
          <t>Scotland</t>
        </is>
      </c>
      <c r="C2" s="50" t="inlineStr">
        <is>
          <t>Loss</t>
        </is>
      </c>
      <c r="E2" s="43" t="inlineStr">
        <is>
          <t>Italy</t>
        </is>
      </c>
      <c r="F2" s="44" t="n">
        <v>17</v>
      </c>
      <c r="G2" s="44" t="n">
        <v>29</v>
      </c>
      <c r="H2" s="50" t="inlineStr">
        <is>
          <t>Wales</t>
        </is>
      </c>
      <c r="J2" s="47" t="inlineStr">
        <is>
          <t>Points</t>
        </is>
      </c>
      <c r="K2" s="48" t="n">
        <v>8</v>
      </c>
      <c r="L2" s="48" t="n">
        <v>1</v>
      </c>
      <c r="M2" s="48" t="n">
        <v>7</v>
      </c>
      <c r="N2" s="48" t="n">
        <v>7</v>
      </c>
      <c r="O2" s="48" t="n">
        <v>0.2</v>
      </c>
      <c r="P2" s="48" t="n">
        <v>10</v>
      </c>
      <c r="Q2" s="48" t="n">
        <v>7</v>
      </c>
      <c r="R2" s="48" t="n">
        <v>7</v>
      </c>
      <c r="S2" s="48" t="n">
        <v>15</v>
      </c>
      <c r="T2" s="48" t="n">
        <v>7</v>
      </c>
      <c r="U2" s="48" t="n">
        <v>2</v>
      </c>
      <c r="V2" s="48" t="n">
        <v>5</v>
      </c>
      <c r="W2" s="48" t="n">
        <v>7</v>
      </c>
      <c r="X2" s="48" t="n">
        <v>-5</v>
      </c>
      <c r="Y2" s="48" t="n">
        <v>-10</v>
      </c>
      <c r="Z2" s="49" t="n">
        <v>15</v>
      </c>
    </row>
    <row r="3">
      <c r="B3" s="51" t="inlineStr">
        <is>
          <t>Wales</t>
        </is>
      </c>
      <c r="C3" s="52" t="inlineStr">
        <is>
          <t>Win</t>
        </is>
      </c>
      <c r="E3" s="51" t="inlineStr">
        <is>
          <t>England</t>
        </is>
      </c>
      <c r="F3" t="n">
        <v>53</v>
      </c>
      <c r="G3" t="n">
        <v>10</v>
      </c>
      <c r="H3" s="52" t="inlineStr">
        <is>
          <t>France</t>
        </is>
      </c>
    </row>
    <row r="4" ht="16" customHeight="1" thickBot="1">
      <c r="B4" s="51" t="inlineStr">
        <is>
          <t>Ireland</t>
        </is>
      </c>
      <c r="C4" s="52" t="inlineStr">
        <is>
          <t>Win</t>
        </is>
      </c>
      <c r="E4" s="47" t="inlineStr">
        <is>
          <t>Scotland</t>
        </is>
      </c>
      <c r="F4" s="48" t="n">
        <v>7</v>
      </c>
      <c r="G4" s="48" t="n">
        <v>22</v>
      </c>
      <c r="H4" s="49" t="inlineStr">
        <is>
          <t>Ireland</t>
        </is>
      </c>
    </row>
    <row r="5">
      <c r="B5" s="51" t="inlineStr">
        <is>
          <t>England</t>
        </is>
      </c>
      <c r="C5" s="52" t="inlineStr">
        <is>
          <t>Loss</t>
        </is>
      </c>
    </row>
    <row r="6">
      <c r="B6" s="51" t="inlineStr">
        <is>
          <t>France</t>
        </is>
      </c>
      <c r="C6" s="52" t="inlineStr">
        <is>
          <t>Win</t>
        </is>
      </c>
    </row>
    <row r="7" ht="16" customHeight="1" thickBot="1">
      <c r="B7" s="47" t="inlineStr">
        <is>
          <t>Italy</t>
        </is>
      </c>
      <c r="C7" s="49" t="inlineStr">
        <is>
          <t>Loss</t>
        </is>
      </c>
    </row>
    <row r="8" ht="16" customHeight="1" thickBot="1"/>
    <row r="9" ht="31" customHeight="1" thickBot="1">
      <c r="A9" s="39" t="inlineStr">
        <is>
          <t>Name</t>
        </is>
      </c>
      <c r="B9" s="40" t="inlineStr">
        <is>
          <t>Nation</t>
        </is>
      </c>
      <c r="C9" s="40" t="inlineStr">
        <is>
          <t>Position</t>
        </is>
      </c>
      <c r="D9" s="40" t="inlineStr">
        <is>
          <t>Time Played</t>
        </is>
      </c>
      <c r="E9" s="40" t="n"/>
      <c r="F9" s="41" t="inlineStr">
        <is>
          <t>Tackles</t>
        </is>
      </c>
      <c r="G9" s="41" t="inlineStr">
        <is>
          <t>Dominant Tackles</t>
        </is>
      </c>
      <c r="H9" s="41" t="inlineStr">
        <is>
          <t>Line Breaks</t>
        </is>
      </c>
      <c r="I9" s="41" t="inlineStr">
        <is>
          <t>Metres Carried</t>
        </is>
      </c>
      <c r="J9" s="41" t="inlineStr">
        <is>
          <t>50-22</t>
        </is>
      </c>
      <c r="K9" s="41" t="inlineStr">
        <is>
          <t>Lineout Steal</t>
        </is>
      </c>
      <c r="L9" s="41" t="inlineStr">
        <is>
          <t>Breakdown Steal</t>
        </is>
      </c>
      <c r="M9" s="41" t="inlineStr">
        <is>
          <t>Try</t>
        </is>
      </c>
      <c r="N9" s="41" t="inlineStr">
        <is>
          <t>Assists</t>
        </is>
      </c>
      <c r="O9" s="41" t="inlineStr">
        <is>
          <t>Conversion</t>
        </is>
      </c>
      <c r="P9" s="41" t="inlineStr">
        <is>
          <t>Penalty</t>
        </is>
      </c>
      <c r="Q9" s="41" t="inlineStr">
        <is>
          <t>Drop Goal</t>
        </is>
      </c>
      <c r="R9" s="41" t="inlineStr">
        <is>
          <t>Yellow Card</t>
        </is>
      </c>
      <c r="S9" s="41" t="inlineStr">
        <is>
          <t>Red Card</t>
        </is>
      </c>
      <c r="T9" s="41" t="inlineStr">
        <is>
          <t>Game Total</t>
        </is>
      </c>
      <c r="U9" s="41" t="inlineStr">
        <is>
          <t>MoM</t>
        </is>
      </c>
      <c r="V9" s="41" t="inlineStr">
        <is>
          <t>Win Points</t>
        </is>
      </c>
      <c r="W9" s="42" t="inlineStr">
        <is>
          <t>Total Points</t>
        </is>
      </c>
    </row>
    <row r="10">
      <c r="A10" s="36" t="inlineStr">
        <is>
          <t>P. Bruno</t>
        </is>
      </c>
      <c r="B10" s="36">
        <f t="array" ref="B10:C10">_xlfn.XLOOKUP(A10,'Player List'!$A$2:$A$177,'Player List'!$B$2:$C$177)</f>
        <v/>
      </c>
      <c r="C10" s="36" t="inlineStr">
        <is>
          <t>Back Three</t>
        </is>
      </c>
      <c r="D10" s="37" t="n">
        <v>69</v>
      </c>
      <c r="F10" s="37" t="n">
        <v>2</v>
      </c>
      <c r="G10" s="37" t="n">
        <v>0</v>
      </c>
      <c r="H10" s="37" t="n">
        <v>0</v>
      </c>
      <c r="I10" s="37" t="n">
        <v>5.8</v>
      </c>
      <c r="J10" s="37" t="n">
        <v>0</v>
      </c>
      <c r="K10" s="37" t="n">
        <v>0</v>
      </c>
      <c r="L10" s="37" t="n">
        <v>0</v>
      </c>
      <c r="M10" s="37" t="n">
        <v>0</v>
      </c>
      <c r="N10" s="37" t="n">
        <v>7</v>
      </c>
      <c r="O10" s="37" t="n">
        <v>0</v>
      </c>
      <c r="P10" s="37" t="n">
        <v>0</v>
      </c>
      <c r="Q10" s="37" t="n">
        <v>0</v>
      </c>
      <c r="R10" s="37" t="n">
        <v>-5</v>
      </c>
      <c r="S10" s="37" t="n">
        <v>0</v>
      </c>
      <c r="T10" s="38" t="n">
        <v>9.800000000000001</v>
      </c>
      <c r="U10" s="37" t="n">
        <v>0</v>
      </c>
      <c r="V10" s="36" t="n">
        <v>0</v>
      </c>
      <c r="W10" t="n">
        <v>9.800000000000001</v>
      </c>
    </row>
    <row r="11">
      <c r="A11" s="36" t="inlineStr">
        <is>
          <t>A. Fusco</t>
        </is>
      </c>
      <c r="B11" s="36">
        <f t="array" ref="B11:C11">_xlfn.XLOOKUP(A11,'Player List'!$A$2:$A$177,'Player List'!$B$2:$C$177)</f>
        <v/>
      </c>
      <c r="C11" s="36" t="inlineStr">
        <is>
          <t>Back Three</t>
        </is>
      </c>
      <c r="D11" s="37" t="n">
        <v>24</v>
      </c>
      <c r="F11" s="37" t="n">
        <v>0</v>
      </c>
      <c r="G11" s="37" t="n">
        <v>0</v>
      </c>
      <c r="H11" s="37" t="n">
        <v>7</v>
      </c>
      <c r="I11" s="37" t="n">
        <v>10</v>
      </c>
      <c r="J11" s="37" t="n">
        <v>0</v>
      </c>
      <c r="K11" s="37" t="n">
        <v>0</v>
      </c>
      <c r="L11" s="37" t="n">
        <v>0</v>
      </c>
      <c r="M11" s="37" t="n">
        <v>0</v>
      </c>
      <c r="N11" s="37" t="n">
        <v>0</v>
      </c>
      <c r="O11" s="37" t="n">
        <v>0</v>
      </c>
      <c r="P11" s="37" t="n">
        <v>0</v>
      </c>
      <c r="Q11" s="37" t="n">
        <v>0</v>
      </c>
      <c r="R11" s="37" t="n">
        <v>0</v>
      </c>
      <c r="S11" s="37" t="n">
        <v>0</v>
      </c>
      <c r="T11" s="38" t="n">
        <v>17</v>
      </c>
      <c r="U11" s="37" t="n">
        <v>0</v>
      </c>
      <c r="V11" s="36" t="n">
        <v>0</v>
      </c>
      <c r="W11" t="n">
        <v>17</v>
      </c>
    </row>
    <row r="12">
      <c r="A12" s="36" t="inlineStr">
        <is>
          <t>T. Menoncello</t>
        </is>
      </c>
      <c r="B12" s="36">
        <f t="array" ref="B12:C12">_xlfn.XLOOKUP(A12,'Player List'!$A$2:$A$177,'Player List'!$B$2:$C$177)</f>
        <v/>
      </c>
      <c r="C12" s="36" t="inlineStr">
        <is>
          <t>Back Three</t>
        </is>
      </c>
      <c r="D12" s="37" t="n">
        <v>59</v>
      </c>
      <c r="F12" s="37" t="n">
        <v>7</v>
      </c>
      <c r="G12" s="37" t="n">
        <v>7</v>
      </c>
      <c r="H12" s="37" t="n">
        <v>7</v>
      </c>
      <c r="I12" s="37" t="n">
        <v>15.8</v>
      </c>
      <c r="J12" s="37" t="n">
        <v>0</v>
      </c>
      <c r="K12" s="37" t="n">
        <v>0</v>
      </c>
      <c r="L12" s="37" t="n">
        <v>0</v>
      </c>
      <c r="M12" s="37" t="n">
        <v>0</v>
      </c>
      <c r="N12" s="37" t="n">
        <v>0</v>
      </c>
      <c r="O12" s="37" t="n">
        <v>0</v>
      </c>
      <c r="P12" s="37" t="n">
        <v>0</v>
      </c>
      <c r="Q12" s="37" t="n">
        <v>0</v>
      </c>
      <c r="R12" s="37" t="n">
        <v>0</v>
      </c>
      <c r="S12" s="37" t="n">
        <v>0</v>
      </c>
      <c r="T12" s="38" t="n">
        <v>36.8</v>
      </c>
      <c r="U12" s="37" t="n">
        <v>0</v>
      </c>
      <c r="V12" s="36" t="n">
        <v>0</v>
      </c>
      <c r="W12" t="n">
        <v>36.8</v>
      </c>
    </row>
    <row r="13">
      <c r="A13" s="36" t="inlineStr">
        <is>
          <t>E. Padovani</t>
        </is>
      </c>
      <c r="B13" s="36">
        <f t="array" ref="B13:C13">_xlfn.XLOOKUP(A13,'Player List'!$A$2:$A$177,'Player List'!$B$2:$C$177)</f>
        <v/>
      </c>
      <c r="C13" s="36" t="inlineStr">
        <is>
          <t>Back Three</t>
        </is>
      </c>
      <c r="D13" s="37" t="n">
        <v>80</v>
      </c>
      <c r="F13" s="37" t="n">
        <v>1</v>
      </c>
      <c r="G13" s="37" t="n">
        <v>7</v>
      </c>
      <c r="H13" s="37" t="n">
        <v>7</v>
      </c>
      <c r="I13" s="37" t="n">
        <v>10.2</v>
      </c>
      <c r="J13" s="37" t="n">
        <v>0</v>
      </c>
      <c r="K13" s="37" t="n">
        <v>0</v>
      </c>
      <c r="L13" s="37" t="n">
        <v>0</v>
      </c>
      <c r="M13" s="37" t="n">
        <v>0</v>
      </c>
      <c r="N13" s="37" t="n">
        <v>0</v>
      </c>
      <c r="O13" s="37" t="n">
        <v>0</v>
      </c>
      <c r="P13" s="37" t="n">
        <v>0</v>
      </c>
      <c r="Q13" s="37" t="n">
        <v>0</v>
      </c>
      <c r="R13" s="37" t="n">
        <v>0</v>
      </c>
      <c r="S13" s="37" t="n">
        <v>0</v>
      </c>
      <c r="T13" s="38" t="n">
        <v>25.2</v>
      </c>
      <c r="U13" s="37" t="n">
        <v>0</v>
      </c>
      <c r="V13" s="36" t="n">
        <v>0</v>
      </c>
      <c r="W13" t="n">
        <v>25.2</v>
      </c>
    </row>
    <row r="14">
      <c r="A14" s="36" t="inlineStr">
        <is>
          <t>J. Brex</t>
        </is>
      </c>
      <c r="B14" s="36">
        <f t="array" ref="B14:C14">_xlfn.XLOOKUP(A14,'Player List'!$A$2:$A$177,'Player List'!$B$2:$C$177)</f>
        <v/>
      </c>
      <c r="C14" s="36" t="inlineStr">
        <is>
          <t>Centre</t>
        </is>
      </c>
      <c r="D14" s="37" t="n">
        <v>80</v>
      </c>
      <c r="F14" s="37" t="n">
        <v>2</v>
      </c>
      <c r="G14" s="37" t="n">
        <v>0</v>
      </c>
      <c r="H14" s="37" t="n">
        <v>7</v>
      </c>
      <c r="I14" s="37" t="n">
        <v>18</v>
      </c>
      <c r="J14" s="37" t="n">
        <v>0</v>
      </c>
      <c r="K14" s="37" t="n">
        <v>0</v>
      </c>
      <c r="L14" s="37" t="n">
        <v>0</v>
      </c>
      <c r="M14" s="37" t="n">
        <v>15</v>
      </c>
      <c r="N14" s="37" t="n">
        <v>0</v>
      </c>
      <c r="O14" s="37" t="n">
        <v>0</v>
      </c>
      <c r="P14" s="37" t="n">
        <v>0</v>
      </c>
      <c r="Q14" s="37" t="n">
        <v>0</v>
      </c>
      <c r="R14" s="37" t="n">
        <v>0</v>
      </c>
      <c r="S14" s="37" t="n">
        <v>0</v>
      </c>
      <c r="T14" s="38" t="n">
        <v>42</v>
      </c>
      <c r="U14" s="37" t="n">
        <v>0</v>
      </c>
      <c r="V14" s="36" t="n">
        <v>0</v>
      </c>
      <c r="W14" t="n">
        <v>42</v>
      </c>
    </row>
    <row r="15">
      <c r="A15" s="36" t="inlineStr">
        <is>
          <t>L. Morisi</t>
        </is>
      </c>
      <c r="B15" s="36">
        <f t="array" ref="B15:C15">_xlfn.XLOOKUP(A15,'Player List'!$A$2:$A$177,'Player List'!$B$2:$C$177)</f>
        <v/>
      </c>
      <c r="C15" s="36" t="inlineStr">
        <is>
          <t>Centre</t>
        </is>
      </c>
      <c r="D15" s="37" t="n">
        <v>21</v>
      </c>
      <c r="F15" s="37" t="n">
        <v>0</v>
      </c>
      <c r="G15" s="37" t="n">
        <v>0</v>
      </c>
      <c r="H15" s="37" t="n">
        <v>0</v>
      </c>
      <c r="I15" s="37" t="n">
        <v>4.8</v>
      </c>
      <c r="J15" s="37" t="n">
        <v>0</v>
      </c>
      <c r="K15" s="37" t="n">
        <v>0</v>
      </c>
      <c r="L15" s="37" t="n">
        <v>0</v>
      </c>
      <c r="M15" s="37" t="n">
        <v>0</v>
      </c>
      <c r="N15" s="37" t="n">
        <v>0</v>
      </c>
      <c r="O15" s="37" t="n">
        <v>0</v>
      </c>
      <c r="P15" s="37" t="n">
        <v>0</v>
      </c>
      <c r="Q15" s="37" t="n">
        <v>0</v>
      </c>
      <c r="R15" s="37" t="n">
        <v>0</v>
      </c>
      <c r="S15" s="37" t="n">
        <v>0</v>
      </c>
      <c r="T15" s="38" t="n">
        <v>4.8</v>
      </c>
      <c r="U15" s="37" t="n">
        <v>0</v>
      </c>
      <c r="V15" s="36" t="n">
        <v>0</v>
      </c>
      <c r="W15" t="n">
        <v>4.8</v>
      </c>
    </row>
    <row r="16">
      <c r="A16" s="36" t="inlineStr">
        <is>
          <t>T. Allan</t>
        </is>
      </c>
      <c r="B16" s="36">
        <f t="array" ref="B16:C16">_xlfn.XLOOKUP(A16,'Player List'!$A$2:$A$177,'Player List'!$B$2:$C$177)</f>
        <v/>
      </c>
      <c r="C16" s="36" t="inlineStr">
        <is>
          <t>Fly Half</t>
        </is>
      </c>
      <c r="D16" s="37" t="n">
        <v>80</v>
      </c>
      <c r="F16" s="37" t="n">
        <v>0</v>
      </c>
      <c r="G16" s="37" t="n">
        <v>0</v>
      </c>
      <c r="H16" s="37" t="n">
        <v>21</v>
      </c>
      <c r="I16" s="37" t="n">
        <v>15.6</v>
      </c>
      <c r="J16" s="37" t="n">
        <v>0</v>
      </c>
      <c r="K16" s="37" t="n">
        <v>0</v>
      </c>
      <c r="L16" s="37" t="n">
        <v>0</v>
      </c>
      <c r="M16" s="37" t="n">
        <v>0</v>
      </c>
      <c r="N16" s="37" t="n">
        <v>7</v>
      </c>
      <c r="O16" s="37" t="n">
        <v>4</v>
      </c>
      <c r="P16" s="37" t="n">
        <v>5</v>
      </c>
      <c r="Q16" s="37" t="n">
        <v>0</v>
      </c>
      <c r="R16" s="37" t="n">
        <v>0</v>
      </c>
      <c r="S16" s="37" t="n">
        <v>0</v>
      </c>
      <c r="T16" s="38" t="n">
        <v>52.6</v>
      </c>
      <c r="U16" s="37" t="n">
        <v>0</v>
      </c>
      <c r="V16" s="36" t="n">
        <v>0</v>
      </c>
      <c r="W16" t="n">
        <v>52.6</v>
      </c>
    </row>
    <row r="17">
      <c r="A17" s="36" t="inlineStr">
        <is>
          <t>P. Garbisi</t>
        </is>
      </c>
      <c r="B17" s="36">
        <f t="array" ref="B17:C17">_xlfn.XLOOKUP(A17,'Player List'!$A$2:$A$177,'Player List'!$B$2:$C$177)</f>
        <v/>
      </c>
      <c r="C17" s="36" t="inlineStr">
        <is>
          <t>Fly Half</t>
        </is>
      </c>
      <c r="D17" s="37" t="n">
        <v>80</v>
      </c>
      <c r="F17" s="37" t="n">
        <v>6</v>
      </c>
      <c r="G17" s="37" t="n">
        <v>0</v>
      </c>
      <c r="H17" s="37" t="n">
        <v>7</v>
      </c>
      <c r="I17" s="37" t="n">
        <v>7.4</v>
      </c>
      <c r="J17" s="37" t="n">
        <v>0</v>
      </c>
      <c r="K17" s="37" t="n">
        <v>0</v>
      </c>
      <c r="L17" s="37" t="n">
        <v>0</v>
      </c>
      <c r="M17" s="37" t="n">
        <v>0</v>
      </c>
      <c r="N17" s="37" t="n">
        <v>0</v>
      </c>
      <c r="O17" s="37" t="n">
        <v>0</v>
      </c>
      <c r="P17" s="37" t="n">
        <v>0</v>
      </c>
      <c r="Q17" s="37" t="n">
        <v>0</v>
      </c>
      <c r="R17" s="37" t="n">
        <v>0</v>
      </c>
      <c r="S17" s="37" t="n">
        <v>0</v>
      </c>
      <c r="T17" s="38" t="n">
        <v>20.4</v>
      </c>
      <c r="U17" s="37" t="n">
        <v>0</v>
      </c>
      <c r="V17" s="36" t="n">
        <v>0</v>
      </c>
      <c r="W17" t="n">
        <v>20.4</v>
      </c>
    </row>
    <row r="18">
      <c r="A18" s="36" t="inlineStr">
        <is>
          <t>S. Varney</t>
        </is>
      </c>
      <c r="B18" s="36">
        <f t="array" ref="B18:C18">_xlfn.XLOOKUP(A18,'Player List'!$A$2:$A$177,'Player List'!$B$2:$C$177)</f>
        <v/>
      </c>
      <c r="C18" s="36" t="inlineStr">
        <is>
          <t>Scrum Half</t>
        </is>
      </c>
      <c r="D18" s="37" t="n">
        <v>56</v>
      </c>
      <c r="F18" s="37" t="n">
        <v>3</v>
      </c>
      <c r="G18" s="37" t="n">
        <v>0</v>
      </c>
      <c r="H18" s="37" t="n">
        <v>0</v>
      </c>
      <c r="I18" s="37" t="n">
        <v>7.6</v>
      </c>
      <c r="J18" s="37" t="n">
        <v>0</v>
      </c>
      <c r="K18" s="37" t="n">
        <v>0</v>
      </c>
      <c r="L18" s="37" t="n">
        <v>0</v>
      </c>
      <c r="M18" s="37" t="n">
        <v>0</v>
      </c>
      <c r="N18" s="37" t="n">
        <v>0</v>
      </c>
      <c r="O18" s="37" t="n">
        <v>0</v>
      </c>
      <c r="P18" s="37" t="n">
        <v>0</v>
      </c>
      <c r="Q18" s="37" t="n">
        <v>0</v>
      </c>
      <c r="R18" s="37" t="n">
        <v>0</v>
      </c>
      <c r="S18" s="37" t="n">
        <v>0</v>
      </c>
      <c r="T18" s="38" t="n">
        <v>10.6</v>
      </c>
      <c r="U18" s="37" t="n">
        <v>0</v>
      </c>
      <c r="V18" s="36" t="n">
        <v>0</v>
      </c>
      <c r="W18" t="n">
        <v>10.6</v>
      </c>
    </row>
    <row r="19">
      <c r="A19" s="36" t="inlineStr">
        <is>
          <t>E. Iachizzi</t>
        </is>
      </c>
      <c r="B19" s="36">
        <f t="array" ref="B19:C19">_xlfn.XLOOKUP(A19,'Player List'!$A$2:$A$177,'Player List'!$B$2:$C$177)</f>
        <v/>
      </c>
      <c r="C19" s="36" t="inlineStr">
        <is>
          <t>Back Row</t>
        </is>
      </c>
      <c r="D19" s="37" t="n">
        <v>20</v>
      </c>
      <c r="F19" s="37" t="n">
        <v>1</v>
      </c>
      <c r="G19" s="37" t="n">
        <v>0</v>
      </c>
      <c r="H19" s="37" t="n">
        <v>7</v>
      </c>
      <c r="I19" s="37" t="n">
        <v>5.6</v>
      </c>
      <c r="J19" s="37" t="n">
        <v>0</v>
      </c>
      <c r="K19" s="37" t="n">
        <v>0</v>
      </c>
      <c r="L19" s="37" t="n">
        <v>7</v>
      </c>
      <c r="M19" s="37" t="n">
        <v>0</v>
      </c>
      <c r="N19" s="37" t="n">
        <v>0</v>
      </c>
      <c r="O19" s="37" t="n">
        <v>0</v>
      </c>
      <c r="P19" s="37" t="n">
        <v>0</v>
      </c>
      <c r="Q19" s="37" t="n">
        <v>0</v>
      </c>
      <c r="R19" s="37" t="n">
        <v>0</v>
      </c>
      <c r="S19" s="37" t="n">
        <v>0</v>
      </c>
      <c r="T19" s="38" t="n">
        <v>20.6</v>
      </c>
      <c r="U19" s="37" t="n">
        <v>0</v>
      </c>
      <c r="V19" s="36" t="n">
        <v>0</v>
      </c>
      <c r="W19" t="n">
        <v>20.6</v>
      </c>
    </row>
    <row r="20">
      <c r="A20" s="36" t="inlineStr">
        <is>
          <t>M. Lamaro</t>
        </is>
      </c>
      <c r="B20" s="36">
        <f t="array" ref="B20:C20">_xlfn.XLOOKUP(A20,'Player List'!$A$2:$A$177,'Player List'!$B$2:$C$177)</f>
        <v/>
      </c>
      <c r="C20" s="36" t="inlineStr">
        <is>
          <t>Back Row</t>
        </is>
      </c>
      <c r="D20" s="37" t="n">
        <v>77</v>
      </c>
      <c r="F20" s="37" t="n">
        <v>7</v>
      </c>
      <c r="G20" s="37" t="n">
        <v>0</v>
      </c>
      <c r="H20" s="37" t="n">
        <v>0</v>
      </c>
      <c r="I20" s="37" t="n">
        <v>4.8</v>
      </c>
      <c r="J20" s="37" t="n">
        <v>0</v>
      </c>
      <c r="K20" s="37" t="n">
        <v>0</v>
      </c>
      <c r="L20" s="37" t="n">
        <v>0</v>
      </c>
      <c r="M20" s="37" t="n">
        <v>0</v>
      </c>
      <c r="N20" s="37" t="n">
        <v>0</v>
      </c>
      <c r="O20" s="37" t="n">
        <v>0</v>
      </c>
      <c r="P20" s="37" t="n">
        <v>0</v>
      </c>
      <c r="Q20" s="37" t="n">
        <v>0</v>
      </c>
      <c r="R20" s="37" t="n">
        <v>0</v>
      </c>
      <c r="S20" s="37" t="n">
        <v>0</v>
      </c>
      <c r="T20" s="38" t="n">
        <v>11.8</v>
      </c>
      <c r="U20" s="37" t="n">
        <v>0</v>
      </c>
      <c r="V20" s="36" t="n">
        <v>0</v>
      </c>
      <c r="W20" t="n">
        <v>11.8</v>
      </c>
    </row>
    <row r="21">
      <c r="A21" s="36" t="inlineStr">
        <is>
          <t>S. Negri</t>
        </is>
      </c>
      <c r="B21" s="36">
        <f t="array" ref="B21:C21">_xlfn.XLOOKUP(A21,'Player List'!$A$2:$A$177,'Player List'!$B$2:$C$177)</f>
        <v/>
      </c>
      <c r="C21" s="36" t="inlineStr">
        <is>
          <t>Back Row</t>
        </is>
      </c>
      <c r="D21" s="37" t="n">
        <v>52</v>
      </c>
      <c r="F21" s="37" t="n">
        <v>5</v>
      </c>
      <c r="G21" s="37" t="n">
        <v>0</v>
      </c>
      <c r="H21" s="37" t="n">
        <v>7</v>
      </c>
      <c r="I21" s="37" t="n">
        <v>10</v>
      </c>
      <c r="J21" s="37" t="n">
        <v>0</v>
      </c>
      <c r="K21" s="37" t="n">
        <v>0</v>
      </c>
      <c r="L21" s="37" t="n">
        <v>0</v>
      </c>
      <c r="M21" s="37" t="n">
        <v>15</v>
      </c>
      <c r="N21" s="37" t="n">
        <v>0</v>
      </c>
      <c r="O21" s="37" t="n">
        <v>0</v>
      </c>
      <c r="P21" s="37" t="n">
        <v>0</v>
      </c>
      <c r="Q21" s="37" t="n">
        <v>0</v>
      </c>
      <c r="R21" s="37" t="n">
        <v>0</v>
      </c>
      <c r="S21" s="37" t="n">
        <v>0</v>
      </c>
      <c r="T21" s="38" t="n">
        <v>37</v>
      </c>
      <c r="U21" s="37" t="n">
        <v>0</v>
      </c>
      <c r="V21" s="36" t="n">
        <v>0</v>
      </c>
      <c r="W21" t="n">
        <v>37</v>
      </c>
    </row>
    <row r="22">
      <c r="A22" s="36" t="inlineStr">
        <is>
          <t>G. Pettinelli</t>
        </is>
      </c>
      <c r="B22" s="36">
        <f t="array" ref="B22:C22">_xlfn.XLOOKUP(A22,'Player List'!$A$2:$A$177,'Player List'!$B$2:$C$177)</f>
        <v/>
      </c>
      <c r="C22" s="36" t="inlineStr">
        <is>
          <t>Back Row</t>
        </is>
      </c>
      <c r="D22" s="37" t="n">
        <v>3</v>
      </c>
      <c r="F22" s="37" t="n">
        <v>0</v>
      </c>
      <c r="G22" s="37" t="n">
        <v>0</v>
      </c>
      <c r="H22" s="37" t="n">
        <v>0</v>
      </c>
      <c r="I22" s="37" t="n">
        <v>0</v>
      </c>
      <c r="J22" s="37" t="n">
        <v>0</v>
      </c>
      <c r="K22" s="37" t="n">
        <v>0</v>
      </c>
      <c r="L22" s="37" t="n">
        <v>0</v>
      </c>
      <c r="M22" s="37" t="n">
        <v>0</v>
      </c>
      <c r="N22" s="37" t="n">
        <v>0</v>
      </c>
      <c r="O22" s="37" t="n">
        <v>0</v>
      </c>
      <c r="P22" s="37" t="n">
        <v>0</v>
      </c>
      <c r="Q22" s="37" t="n">
        <v>0</v>
      </c>
      <c r="R22" s="37" t="n">
        <v>0</v>
      </c>
      <c r="S22" s="37" t="n">
        <v>0</v>
      </c>
      <c r="T22" s="38" t="n">
        <v>0</v>
      </c>
      <c r="U22" s="37" t="n">
        <v>0</v>
      </c>
      <c r="V22" s="36" t="n">
        <v>0</v>
      </c>
      <c r="W22" t="n">
        <v>0</v>
      </c>
    </row>
    <row r="23">
      <c r="A23" s="36" t="inlineStr">
        <is>
          <t>N. Cannone</t>
        </is>
      </c>
      <c r="B23" s="36">
        <f t="array" ref="B23:C23">_xlfn.XLOOKUP(A23,'Player List'!$A$2:$A$177,'Player List'!$B$2:$C$177)</f>
        <v/>
      </c>
      <c r="C23" s="36" t="inlineStr">
        <is>
          <t>Second Row</t>
        </is>
      </c>
      <c r="D23" s="37" t="n">
        <v>60</v>
      </c>
      <c r="F23" s="37" t="n">
        <v>3</v>
      </c>
      <c r="G23" s="37" t="n">
        <v>0</v>
      </c>
      <c r="H23" s="37" t="n">
        <v>0</v>
      </c>
      <c r="I23" s="37" t="n">
        <v>3.2</v>
      </c>
      <c r="J23" s="37" t="n">
        <v>0</v>
      </c>
      <c r="K23" s="37" t="n">
        <v>0</v>
      </c>
      <c r="L23" s="37" t="n">
        <v>0</v>
      </c>
      <c r="M23" s="37" t="n">
        <v>0</v>
      </c>
      <c r="N23" s="37" t="n">
        <v>0</v>
      </c>
      <c r="O23" s="37" t="n">
        <v>0</v>
      </c>
      <c r="P23" s="37" t="n">
        <v>0</v>
      </c>
      <c r="Q23" s="37" t="n">
        <v>0</v>
      </c>
      <c r="R23" s="37" t="n">
        <v>0</v>
      </c>
      <c r="S23" s="37" t="n">
        <v>0</v>
      </c>
      <c r="T23" s="38" t="n">
        <v>6.2</v>
      </c>
      <c r="U23" s="37" t="n">
        <v>0</v>
      </c>
      <c r="V23" s="36" t="n">
        <v>0</v>
      </c>
      <c r="W23" t="n">
        <v>6.2</v>
      </c>
    </row>
    <row r="24">
      <c r="A24" s="36" t="inlineStr">
        <is>
          <t>L. Cannone</t>
        </is>
      </c>
      <c r="B24" s="36">
        <f t="array" ref="B24:C24">_xlfn.XLOOKUP(A24,'Player List'!$A$2:$A$177,'Player List'!$B$2:$C$177)</f>
        <v/>
      </c>
      <c r="C24" s="36" t="inlineStr">
        <is>
          <t>Second Row</t>
        </is>
      </c>
      <c r="D24" s="37" t="n">
        <v>71</v>
      </c>
      <c r="F24" s="37" t="n">
        <v>7</v>
      </c>
      <c r="G24" s="37" t="n">
        <v>7</v>
      </c>
      <c r="H24" s="37" t="n">
        <v>0</v>
      </c>
      <c r="I24" s="37" t="n">
        <v>10.2</v>
      </c>
      <c r="J24" s="37" t="n">
        <v>0</v>
      </c>
      <c r="K24" s="37" t="n">
        <v>0</v>
      </c>
      <c r="L24" s="37" t="n">
        <v>0</v>
      </c>
      <c r="M24" s="37" t="n">
        <v>0</v>
      </c>
      <c r="N24" s="37" t="n">
        <v>0</v>
      </c>
      <c r="O24" s="37" t="n">
        <v>0</v>
      </c>
      <c r="P24" s="37" t="n">
        <v>0</v>
      </c>
      <c r="Q24" s="37" t="n">
        <v>0</v>
      </c>
      <c r="R24" s="37" t="n">
        <v>-5</v>
      </c>
      <c r="S24" s="37" t="n">
        <v>0</v>
      </c>
      <c r="T24" s="38" t="n">
        <v>19.2</v>
      </c>
      <c r="U24" s="37" t="n">
        <v>0</v>
      </c>
      <c r="V24" s="36" t="n">
        <v>0</v>
      </c>
      <c r="W24" t="n">
        <v>19.2</v>
      </c>
    </row>
    <row r="25">
      <c r="A25" s="36" t="inlineStr">
        <is>
          <t>F. Ruzza</t>
        </is>
      </c>
      <c r="B25" s="36">
        <f t="array" ref="B25:C25">_xlfn.XLOOKUP(A25,'Player List'!$A$2:$A$177,'Player List'!$B$2:$C$177)</f>
        <v/>
      </c>
      <c r="C25" s="36" t="inlineStr">
        <is>
          <t>Second Row</t>
        </is>
      </c>
      <c r="D25" s="37" t="n">
        <v>80</v>
      </c>
      <c r="F25" s="37" t="n">
        <v>3</v>
      </c>
      <c r="G25" s="37" t="n">
        <v>0</v>
      </c>
      <c r="H25" s="37" t="n">
        <v>0</v>
      </c>
      <c r="I25" s="37" t="n">
        <v>7</v>
      </c>
      <c r="J25" s="37" t="n">
        <v>0</v>
      </c>
      <c r="K25" s="37" t="n">
        <v>0</v>
      </c>
      <c r="L25" s="37" t="n">
        <v>0</v>
      </c>
      <c r="M25" s="37" t="n">
        <v>0</v>
      </c>
      <c r="N25" s="37" t="n">
        <v>0</v>
      </c>
      <c r="O25" s="37" t="n">
        <v>0</v>
      </c>
      <c r="P25" s="37" t="n">
        <v>0</v>
      </c>
      <c r="Q25" s="37" t="n">
        <v>0</v>
      </c>
      <c r="R25" s="37" t="n">
        <v>0</v>
      </c>
      <c r="S25" s="37" t="n">
        <v>0</v>
      </c>
      <c r="T25" s="38" t="n">
        <v>10</v>
      </c>
      <c r="U25" s="37" t="n">
        <v>0</v>
      </c>
      <c r="V25" s="36" t="n">
        <v>0</v>
      </c>
      <c r="W25" t="n">
        <v>10</v>
      </c>
    </row>
    <row r="26">
      <c r="A26" s="36" t="inlineStr">
        <is>
          <t>M. Zuliani</t>
        </is>
      </c>
      <c r="B26" s="36">
        <f t="array" ref="B26:C26">_xlfn.XLOOKUP(A26,'Player List'!$A$2:$A$177,'Player List'!$B$2:$C$177)</f>
        <v/>
      </c>
      <c r="C26" s="36" t="inlineStr">
        <is>
          <t>Second Row</t>
        </is>
      </c>
      <c r="D26" s="37" t="n">
        <v>28</v>
      </c>
      <c r="F26" s="37" t="n">
        <v>1</v>
      </c>
      <c r="G26" s="37" t="n">
        <v>0</v>
      </c>
      <c r="H26" s="37" t="n">
        <v>7</v>
      </c>
      <c r="I26" s="37" t="n">
        <v>7.2</v>
      </c>
      <c r="J26" s="37" t="n">
        <v>0</v>
      </c>
      <c r="K26" s="37" t="n">
        <v>0</v>
      </c>
      <c r="L26" s="37" t="n">
        <v>7</v>
      </c>
      <c r="M26" s="37" t="n">
        <v>0</v>
      </c>
      <c r="N26" s="37" t="n">
        <v>0</v>
      </c>
      <c r="O26" s="37" t="n">
        <v>0</v>
      </c>
      <c r="P26" s="37" t="n">
        <v>0</v>
      </c>
      <c r="Q26" s="37" t="n">
        <v>0</v>
      </c>
      <c r="R26" s="37" t="n">
        <v>0</v>
      </c>
      <c r="S26" s="37" t="n">
        <v>0</v>
      </c>
      <c r="T26" s="38" t="n">
        <v>22.2</v>
      </c>
      <c r="U26" s="37" t="n">
        <v>0</v>
      </c>
      <c r="V26" s="36" t="n">
        <v>0</v>
      </c>
      <c r="W26" t="n">
        <v>22.2</v>
      </c>
    </row>
    <row r="27">
      <c r="A27" s="36" t="inlineStr">
        <is>
          <t>S. Ferrari</t>
        </is>
      </c>
      <c r="B27" s="36">
        <f t="array" ref="B27:C27">_xlfn.XLOOKUP(A27,'Player List'!$A$2:$A$177,'Player List'!$B$2:$C$177)</f>
        <v/>
      </c>
      <c r="C27" s="36" t="inlineStr">
        <is>
          <t>Prop</t>
        </is>
      </c>
      <c r="D27" s="37" t="n">
        <v>42</v>
      </c>
      <c r="F27" s="37" t="n">
        <v>4</v>
      </c>
      <c r="G27" s="37" t="n">
        <v>7</v>
      </c>
      <c r="H27" s="37" t="n">
        <v>0</v>
      </c>
      <c r="I27" s="37" t="n">
        <v>0</v>
      </c>
      <c r="J27" s="37" t="n">
        <v>0</v>
      </c>
      <c r="K27" s="37" t="n">
        <v>0</v>
      </c>
      <c r="L27" s="37" t="n">
        <v>0</v>
      </c>
      <c r="M27" s="37" t="n">
        <v>0</v>
      </c>
      <c r="N27" s="37" t="n">
        <v>0</v>
      </c>
      <c r="O27" s="37" t="n">
        <v>0</v>
      </c>
      <c r="P27" s="37" t="n">
        <v>0</v>
      </c>
      <c r="Q27" s="37" t="n">
        <v>0</v>
      </c>
      <c r="R27" s="37" t="n">
        <v>0</v>
      </c>
      <c r="S27" s="37" t="n">
        <v>0</v>
      </c>
      <c r="T27" s="38" t="n">
        <v>11</v>
      </c>
      <c r="U27" s="37" t="n">
        <v>0</v>
      </c>
      <c r="V27" s="36" t="n">
        <v>0</v>
      </c>
      <c r="W27" t="n">
        <v>11</v>
      </c>
    </row>
    <row r="28">
      <c r="A28" s="36" t="inlineStr">
        <is>
          <t>D. Fischetti</t>
        </is>
      </c>
      <c r="B28" s="36">
        <f t="array" ref="B28:C28">_xlfn.XLOOKUP(A28,'Player List'!$A$2:$A$177,'Player List'!$B$2:$C$177)</f>
        <v/>
      </c>
      <c r="C28" s="36" t="inlineStr">
        <is>
          <t>Prop</t>
        </is>
      </c>
      <c r="D28" s="37" t="n">
        <v>62</v>
      </c>
      <c r="F28" s="37" t="n">
        <v>5</v>
      </c>
      <c r="G28" s="37" t="n">
        <v>0</v>
      </c>
      <c r="H28" s="37" t="n">
        <v>0</v>
      </c>
      <c r="I28" s="37" t="n">
        <v>7.8</v>
      </c>
      <c r="J28" s="37" t="n">
        <v>0</v>
      </c>
      <c r="K28" s="37" t="n">
        <v>0</v>
      </c>
      <c r="L28" s="37" t="n">
        <v>0</v>
      </c>
      <c r="M28" s="37" t="n">
        <v>0</v>
      </c>
      <c r="N28" s="37" t="n">
        <v>0</v>
      </c>
      <c r="O28" s="37" t="n">
        <v>0</v>
      </c>
      <c r="P28" s="37" t="n">
        <v>0</v>
      </c>
      <c r="Q28" s="37" t="n">
        <v>0</v>
      </c>
      <c r="R28" s="37" t="n">
        <v>0</v>
      </c>
      <c r="S28" s="37" t="n">
        <v>0</v>
      </c>
      <c r="T28" s="38" t="n">
        <v>12.8</v>
      </c>
      <c r="U28" s="37" t="n">
        <v>0</v>
      </c>
      <c r="V28" s="36" t="n">
        <v>0</v>
      </c>
      <c r="W28" t="n">
        <v>12.8</v>
      </c>
    </row>
    <row r="29">
      <c r="A29" s="36" t="inlineStr">
        <is>
          <t>M. Riccioni</t>
        </is>
      </c>
      <c r="B29" s="36">
        <f t="array" ref="B29:C29">_xlfn.XLOOKUP(A29,'Player List'!$A$2:$A$177,'Player List'!$B$2:$C$177)</f>
        <v/>
      </c>
      <c r="C29" s="36" t="inlineStr">
        <is>
          <t>Prop</t>
        </is>
      </c>
      <c r="D29" s="37" t="n">
        <v>38</v>
      </c>
      <c r="F29" s="37" t="n">
        <v>2</v>
      </c>
      <c r="G29" s="37" t="n">
        <v>0</v>
      </c>
      <c r="H29" s="37" t="n">
        <v>0</v>
      </c>
      <c r="I29" s="37" t="n">
        <v>2.8</v>
      </c>
      <c r="J29" s="37" t="n">
        <v>0</v>
      </c>
      <c r="K29" s="37" t="n">
        <v>0</v>
      </c>
      <c r="L29" s="37" t="n">
        <v>0</v>
      </c>
      <c r="M29" s="37" t="n">
        <v>0</v>
      </c>
      <c r="N29" s="37" t="n">
        <v>0</v>
      </c>
      <c r="O29" s="37" t="n">
        <v>0</v>
      </c>
      <c r="P29" s="37" t="n">
        <v>0</v>
      </c>
      <c r="Q29" s="37" t="n">
        <v>0</v>
      </c>
      <c r="R29" s="37" t="n">
        <v>0</v>
      </c>
      <c r="S29" s="37" t="n">
        <v>0</v>
      </c>
      <c r="T29" s="38" t="n">
        <v>4.8</v>
      </c>
      <c r="U29" s="37" t="n">
        <v>0</v>
      </c>
      <c r="V29" s="36" t="n">
        <v>0</v>
      </c>
      <c r="W29" t="n">
        <v>4.8</v>
      </c>
    </row>
    <row r="30">
      <c r="A30" s="36" t="inlineStr">
        <is>
          <t>F. Zani</t>
        </is>
      </c>
      <c r="B30" s="36">
        <f t="array" ref="B30:C30">_xlfn.XLOOKUP(A30,'Player List'!$A$2:$A$177,'Player List'!$B$2:$C$177)</f>
        <v/>
      </c>
      <c r="C30" s="36" t="inlineStr">
        <is>
          <t>Prop</t>
        </is>
      </c>
      <c r="D30" s="37" t="n">
        <v>18</v>
      </c>
      <c r="F30" s="37" t="n">
        <v>0</v>
      </c>
      <c r="G30" s="37" t="n">
        <v>0</v>
      </c>
      <c r="H30" s="37" t="n">
        <v>0</v>
      </c>
      <c r="I30" s="37" t="n">
        <v>0</v>
      </c>
      <c r="J30" s="37" t="n">
        <v>0</v>
      </c>
      <c r="K30" s="37" t="n">
        <v>0</v>
      </c>
      <c r="L30" s="37" t="n">
        <v>0</v>
      </c>
      <c r="M30" s="37" t="n">
        <v>0</v>
      </c>
      <c r="N30" s="37" t="n">
        <v>0</v>
      </c>
      <c r="O30" s="37" t="n">
        <v>0</v>
      </c>
      <c r="P30" s="37" t="n">
        <v>0</v>
      </c>
      <c r="Q30" s="37" t="n">
        <v>0</v>
      </c>
      <c r="R30" s="37" t="n">
        <v>0</v>
      </c>
      <c r="S30" s="37" t="n">
        <v>0</v>
      </c>
      <c r="T30" s="38" t="n">
        <v>0</v>
      </c>
      <c r="U30" s="37" t="n">
        <v>0</v>
      </c>
      <c r="V30" s="36" t="n">
        <v>0</v>
      </c>
      <c r="W30" t="n">
        <v>0</v>
      </c>
    </row>
    <row r="31">
      <c r="A31" s="36" t="inlineStr">
        <is>
          <t>L. Bigi</t>
        </is>
      </c>
      <c r="B31" s="36">
        <f t="array" ref="B31:C31">_xlfn.XLOOKUP(A31,'Player List'!$A$2:$A$177,'Player List'!$B$2:$C$177)</f>
        <v/>
      </c>
      <c r="C31" s="36" t="inlineStr">
        <is>
          <t>Hooker</t>
        </is>
      </c>
      <c r="D31" s="37" t="n">
        <v>28</v>
      </c>
      <c r="F31" s="37" t="n">
        <v>3</v>
      </c>
      <c r="G31" s="37" t="n">
        <v>0</v>
      </c>
      <c r="H31" s="37" t="n">
        <v>0</v>
      </c>
      <c r="I31" s="37" t="n">
        <v>0</v>
      </c>
      <c r="J31" s="37" t="n">
        <v>0</v>
      </c>
      <c r="K31" s="37" t="n">
        <v>0</v>
      </c>
      <c r="L31" s="37" t="n">
        <v>0</v>
      </c>
      <c r="M31" s="37" t="n">
        <v>0</v>
      </c>
      <c r="N31" s="37" t="n">
        <v>0</v>
      </c>
      <c r="O31" s="37" t="n">
        <v>0</v>
      </c>
      <c r="P31" s="37" t="n">
        <v>0</v>
      </c>
      <c r="Q31" s="37" t="n">
        <v>0</v>
      </c>
      <c r="R31" s="37" t="n">
        <v>0</v>
      </c>
      <c r="S31" s="37" t="n">
        <v>0</v>
      </c>
      <c r="T31" s="38" t="n">
        <v>3</v>
      </c>
      <c r="U31" s="37" t="n">
        <v>0</v>
      </c>
      <c r="V31" s="36" t="n">
        <v>0</v>
      </c>
      <c r="W31" t="n">
        <v>3</v>
      </c>
    </row>
    <row r="32">
      <c r="A32" s="36" t="inlineStr">
        <is>
          <t>G. Nicotera</t>
        </is>
      </c>
      <c r="B32" s="36">
        <f t="array" ref="B32:C32">_xlfn.XLOOKUP(A32,'Player List'!$A$2:$A$177,'Player List'!$B$2:$C$177)</f>
        <v/>
      </c>
      <c r="C32" s="36" t="inlineStr">
        <is>
          <t>Hooker</t>
        </is>
      </c>
      <c r="D32" s="37" t="n">
        <v>52</v>
      </c>
      <c r="F32" s="37" t="n">
        <v>11</v>
      </c>
      <c r="G32" s="37" t="n">
        <v>0</v>
      </c>
      <c r="H32" s="37" t="n">
        <v>0</v>
      </c>
      <c r="I32" s="37" t="n">
        <v>3.4</v>
      </c>
      <c r="J32" s="37" t="n">
        <v>0</v>
      </c>
      <c r="K32" s="37" t="n">
        <v>0</v>
      </c>
      <c r="L32" s="37" t="n">
        <v>7</v>
      </c>
      <c r="M32" s="37" t="n">
        <v>0</v>
      </c>
      <c r="N32" s="37" t="n">
        <v>0</v>
      </c>
      <c r="O32" s="37" t="n">
        <v>0</v>
      </c>
      <c r="P32" s="37" t="n">
        <v>0</v>
      </c>
      <c r="Q32" s="37" t="n">
        <v>0</v>
      </c>
      <c r="R32" s="37" t="n">
        <v>0</v>
      </c>
      <c r="S32" s="37" t="n">
        <v>0</v>
      </c>
      <c r="T32" s="38" t="n">
        <v>21.4</v>
      </c>
      <c r="U32" s="37" t="n">
        <v>0</v>
      </c>
      <c r="V32" s="36" t="n">
        <v>0</v>
      </c>
      <c r="W32" t="n">
        <v>21.4</v>
      </c>
    </row>
    <row r="33">
      <c r="A33" s="36" t="inlineStr">
        <is>
          <t>J. Adams</t>
        </is>
      </c>
      <c r="B33" s="36">
        <f t="array" ref="B33:C33">_xlfn.XLOOKUP(A33,'Player List'!$A$2:$A$177,'Player List'!$B$2:$C$177)</f>
        <v/>
      </c>
      <c r="C33" s="36" t="inlineStr">
        <is>
          <t>Back Three</t>
        </is>
      </c>
      <c r="D33" s="37" t="n">
        <v>51</v>
      </c>
      <c r="F33" s="37" t="n">
        <v>1</v>
      </c>
      <c r="G33" s="37" t="n">
        <v>7</v>
      </c>
      <c r="H33" s="37" t="n">
        <v>7</v>
      </c>
      <c r="I33" s="37" t="n">
        <v>6.2</v>
      </c>
      <c r="J33" s="37" t="n">
        <v>0</v>
      </c>
      <c r="K33" s="37" t="n">
        <v>0</v>
      </c>
      <c r="L33" s="37" t="n">
        <v>0</v>
      </c>
      <c r="M33" s="37" t="n">
        <v>0</v>
      </c>
      <c r="N33" s="37" t="n">
        <v>0</v>
      </c>
      <c r="O33" s="37" t="n">
        <v>0</v>
      </c>
      <c r="P33" s="37" t="n">
        <v>0</v>
      </c>
      <c r="Q33" s="37" t="n">
        <v>0</v>
      </c>
      <c r="R33" s="37" t="n">
        <v>0</v>
      </c>
      <c r="S33" s="37" t="n">
        <v>0</v>
      </c>
      <c r="T33" s="38" t="n">
        <v>21.2</v>
      </c>
      <c r="U33" s="37" t="n">
        <v>0</v>
      </c>
      <c r="V33" s="36" t="n">
        <v>0</v>
      </c>
      <c r="W33" t="n">
        <v>21.2</v>
      </c>
    </row>
    <row r="34">
      <c r="A34" s="36" t="inlineStr">
        <is>
          <t>R. Dyer</t>
        </is>
      </c>
      <c r="B34" s="36">
        <f t="array" ref="B34:C34">_xlfn.XLOOKUP(A34,'Player List'!$A$2:$A$177,'Player List'!$B$2:$C$177)</f>
        <v/>
      </c>
      <c r="C34" s="36" t="inlineStr">
        <is>
          <t>Back Three</t>
        </is>
      </c>
      <c r="D34" s="37" t="n">
        <v>80</v>
      </c>
      <c r="F34" s="37" t="n">
        <v>4</v>
      </c>
      <c r="G34" s="37" t="n">
        <v>7</v>
      </c>
      <c r="H34" s="37" t="n">
        <v>7</v>
      </c>
      <c r="I34" s="37" t="n">
        <v>3.8</v>
      </c>
      <c r="J34" s="37" t="n">
        <v>0</v>
      </c>
      <c r="K34" s="37" t="n">
        <v>0</v>
      </c>
      <c r="L34" s="37" t="n">
        <v>0</v>
      </c>
      <c r="M34" s="37" t="n">
        <v>15</v>
      </c>
      <c r="N34" s="37" t="n">
        <v>0</v>
      </c>
      <c r="O34" s="37" t="n">
        <v>0</v>
      </c>
      <c r="P34" s="37" t="n">
        <v>0</v>
      </c>
      <c r="Q34" s="37" t="n">
        <v>0</v>
      </c>
      <c r="R34" s="37" t="n">
        <v>0</v>
      </c>
      <c r="S34" s="37" t="n">
        <v>0</v>
      </c>
      <c r="T34" s="38" t="n">
        <v>36.8</v>
      </c>
      <c r="U34" s="37" t="n">
        <v>0</v>
      </c>
      <c r="V34" s="36" t="n">
        <v>0</v>
      </c>
      <c r="W34" t="n">
        <v>36.8</v>
      </c>
    </row>
    <row r="35">
      <c r="A35" s="36" t="inlineStr">
        <is>
          <t>L. Rees-Zammit</t>
        </is>
      </c>
      <c r="B35" s="36">
        <f t="array" ref="B35:C35">_xlfn.XLOOKUP(A35,'Player List'!$A$2:$A$177,'Player List'!$B$2:$C$177)</f>
        <v/>
      </c>
      <c r="C35" s="36" t="inlineStr">
        <is>
          <t>Back Three</t>
        </is>
      </c>
      <c r="D35" s="37" t="n">
        <v>29</v>
      </c>
      <c r="F35" s="37" t="n">
        <v>3</v>
      </c>
      <c r="G35" s="37" t="n">
        <v>0</v>
      </c>
      <c r="H35" s="37" t="n">
        <v>0</v>
      </c>
      <c r="I35" s="37" t="n">
        <v>9.199999999999999</v>
      </c>
      <c r="J35" s="37" t="n">
        <v>0</v>
      </c>
      <c r="K35" s="37" t="n">
        <v>0</v>
      </c>
      <c r="L35" s="37" t="n">
        <v>0</v>
      </c>
      <c r="M35" s="37" t="n">
        <v>0</v>
      </c>
      <c r="N35" s="37" t="n">
        <v>0</v>
      </c>
      <c r="O35" s="37" t="n">
        <v>0</v>
      </c>
      <c r="P35" s="37" t="n">
        <v>0</v>
      </c>
      <c r="Q35" s="37" t="n">
        <v>0</v>
      </c>
      <c r="R35" s="37" t="n">
        <v>0</v>
      </c>
      <c r="S35" s="37" t="n">
        <v>0</v>
      </c>
      <c r="T35" s="38" t="n">
        <v>12.2</v>
      </c>
      <c r="U35" s="37" t="n">
        <v>0</v>
      </c>
      <c r="V35" s="36" t="n">
        <v>0</v>
      </c>
      <c r="W35" t="n">
        <v>12.2</v>
      </c>
    </row>
    <row r="36">
      <c r="A36" s="36" t="inlineStr">
        <is>
          <t>L. Williams</t>
        </is>
      </c>
      <c r="B36" s="36">
        <f t="array" ref="B36:C36">_xlfn.XLOOKUP(A36,'Player List'!$A$2:$A$177,'Player List'!$B$2:$C$177)</f>
        <v/>
      </c>
      <c r="C36" s="36" t="inlineStr">
        <is>
          <t>Back Three</t>
        </is>
      </c>
      <c r="D36" s="37" t="n">
        <v>62</v>
      </c>
      <c r="F36" s="37" t="n">
        <v>1</v>
      </c>
      <c r="G36" s="37" t="n">
        <v>0</v>
      </c>
      <c r="H36" s="37" t="n">
        <v>7</v>
      </c>
      <c r="I36" s="37" t="n">
        <v>17.4</v>
      </c>
      <c r="J36" s="37" t="n">
        <v>0</v>
      </c>
      <c r="K36" s="37" t="n">
        <v>0</v>
      </c>
      <c r="L36" s="37" t="n">
        <v>7</v>
      </c>
      <c r="M36" s="37" t="n">
        <v>15</v>
      </c>
      <c r="N36" s="37" t="n">
        <v>0</v>
      </c>
      <c r="O36" s="37" t="n">
        <v>0</v>
      </c>
      <c r="P36" s="37" t="n">
        <v>0</v>
      </c>
      <c r="Q36" s="37" t="n">
        <v>0</v>
      </c>
      <c r="R36" s="37" t="n">
        <v>0</v>
      </c>
      <c r="S36" s="37" t="n">
        <v>0</v>
      </c>
      <c r="T36" s="38" t="n">
        <v>47.4</v>
      </c>
      <c r="U36" s="37" t="n">
        <v>0</v>
      </c>
      <c r="V36" s="36" t="n">
        <v>0</v>
      </c>
      <c r="W36" t="n">
        <v>47.4</v>
      </c>
    </row>
    <row r="37">
      <c r="A37" s="36" t="inlineStr">
        <is>
          <t>M. Grady</t>
        </is>
      </c>
      <c r="B37" s="36">
        <f t="array" ref="B37:C37">_xlfn.XLOOKUP(A37,'Player List'!$A$2:$A$177,'Player List'!$B$2:$C$177)</f>
        <v/>
      </c>
      <c r="C37" s="36" t="inlineStr">
        <is>
          <t>Centre</t>
        </is>
      </c>
      <c r="D37" s="37" t="n">
        <v>80</v>
      </c>
      <c r="F37" s="37" t="n">
        <v>5</v>
      </c>
      <c r="G37" s="37" t="n">
        <v>0</v>
      </c>
      <c r="H37" s="37" t="n">
        <v>0</v>
      </c>
      <c r="I37" s="37" t="n">
        <v>5.2</v>
      </c>
      <c r="J37" s="37" t="n">
        <v>0</v>
      </c>
      <c r="K37" s="37" t="n">
        <v>0</v>
      </c>
      <c r="L37" s="37" t="n">
        <v>0</v>
      </c>
      <c r="M37" s="37" t="n">
        <v>0</v>
      </c>
      <c r="N37" s="37" t="n">
        <v>0</v>
      </c>
      <c r="O37" s="37" t="n">
        <v>0</v>
      </c>
      <c r="P37" s="37" t="n">
        <v>0</v>
      </c>
      <c r="Q37" s="37" t="n">
        <v>0</v>
      </c>
      <c r="R37" s="37" t="n">
        <v>0</v>
      </c>
      <c r="S37" s="37" t="n">
        <v>0</v>
      </c>
      <c r="T37" s="38" t="n">
        <v>10.2</v>
      </c>
      <c r="U37" s="37" t="n">
        <v>0</v>
      </c>
      <c r="V37" s="36" t="n">
        <v>0</v>
      </c>
      <c r="W37" t="n">
        <v>10.2</v>
      </c>
    </row>
    <row r="38">
      <c r="A38" s="36" t="inlineStr">
        <is>
          <t>J. Hawkins</t>
        </is>
      </c>
      <c r="B38" s="36">
        <f t="array" ref="B38:C38">_xlfn.XLOOKUP(A38,'Player List'!$A$2:$A$177,'Player List'!$B$2:$C$177)</f>
        <v/>
      </c>
      <c r="C38" s="36" t="inlineStr">
        <is>
          <t>Centre</t>
        </is>
      </c>
      <c r="D38" s="37" t="n">
        <v>80</v>
      </c>
      <c r="F38" s="37" t="n">
        <v>3</v>
      </c>
      <c r="G38" s="37" t="n">
        <v>7</v>
      </c>
      <c r="H38" s="37" t="n">
        <v>0</v>
      </c>
      <c r="I38" s="37" t="n">
        <v>19.4</v>
      </c>
      <c r="J38" s="37" t="n">
        <v>0</v>
      </c>
      <c r="K38" s="37" t="n">
        <v>0</v>
      </c>
      <c r="L38" s="37" t="n">
        <v>0</v>
      </c>
      <c r="M38" s="37" t="n">
        <v>0</v>
      </c>
      <c r="N38" s="37" t="n">
        <v>0</v>
      </c>
      <c r="O38" s="37" t="n">
        <v>0</v>
      </c>
      <c r="P38" s="37" t="n">
        <v>0</v>
      </c>
      <c r="Q38" s="37" t="n">
        <v>0</v>
      </c>
      <c r="R38" s="37" t="n">
        <v>0</v>
      </c>
      <c r="S38" s="37" t="n">
        <v>0</v>
      </c>
      <c r="T38" s="38" t="n">
        <v>29.4</v>
      </c>
      <c r="U38" s="37" t="n">
        <v>0</v>
      </c>
      <c r="V38" s="36" t="n">
        <v>0</v>
      </c>
      <c r="W38" t="n">
        <v>29.4</v>
      </c>
    </row>
    <row r="39">
      <c r="A39" s="36" t="inlineStr">
        <is>
          <t>G. North</t>
        </is>
      </c>
      <c r="B39" s="36">
        <f t="array" ref="B39:C39">_xlfn.XLOOKUP(A39,'Player List'!$A$2:$A$177,'Player List'!$B$2:$C$177)</f>
        <v/>
      </c>
      <c r="C39" s="36" t="inlineStr">
        <is>
          <t>Centre</t>
        </is>
      </c>
      <c r="D39" s="37" t="n">
        <v>18</v>
      </c>
      <c r="F39" s="37" t="n">
        <v>1</v>
      </c>
      <c r="G39" s="37" t="n">
        <v>0</v>
      </c>
      <c r="H39" s="37" t="n">
        <v>0</v>
      </c>
      <c r="I39" s="37" t="n">
        <v>0</v>
      </c>
      <c r="J39" s="37" t="n">
        <v>0</v>
      </c>
      <c r="K39" s="37" t="n">
        <v>0</v>
      </c>
      <c r="L39" s="37" t="n">
        <v>0</v>
      </c>
      <c r="M39" s="37" t="n">
        <v>0</v>
      </c>
      <c r="N39" s="37" t="n">
        <v>0</v>
      </c>
      <c r="O39" s="37" t="n">
        <v>0</v>
      </c>
      <c r="P39" s="37" t="n">
        <v>0</v>
      </c>
      <c r="Q39" s="37" t="n">
        <v>0</v>
      </c>
      <c r="R39" s="37" t="n">
        <v>0</v>
      </c>
      <c r="S39" s="37" t="n">
        <v>0</v>
      </c>
      <c r="T39" s="38" t="n">
        <v>1</v>
      </c>
      <c r="U39" s="37" t="n">
        <v>0</v>
      </c>
      <c r="V39" s="36" t="n">
        <v>0</v>
      </c>
      <c r="W39" t="n">
        <v>1</v>
      </c>
    </row>
    <row r="40">
      <c r="A40" s="36" t="inlineStr">
        <is>
          <t>O. Williams</t>
        </is>
      </c>
      <c r="B40" s="36">
        <f t="array" ref="B40:C40">_xlfn.XLOOKUP(A40,'Player List'!$A$2:$A$177,'Player List'!$B$2:$C$177)</f>
        <v/>
      </c>
      <c r="C40" s="36" t="inlineStr">
        <is>
          <t>Fly Half</t>
        </is>
      </c>
      <c r="D40" s="37" t="n">
        <v>80</v>
      </c>
      <c r="F40" s="37" t="n">
        <v>8</v>
      </c>
      <c r="G40" s="37" t="n">
        <v>0</v>
      </c>
      <c r="H40" s="37" t="n">
        <v>0</v>
      </c>
      <c r="I40" s="37" t="n">
        <v>3.8</v>
      </c>
      <c r="J40" s="37" t="n">
        <v>0</v>
      </c>
      <c r="K40" s="37" t="n">
        <v>0</v>
      </c>
      <c r="L40" s="37" t="n">
        <v>0</v>
      </c>
      <c r="M40" s="37" t="n">
        <v>0</v>
      </c>
      <c r="N40" s="37" t="n">
        <v>0</v>
      </c>
      <c r="O40" s="37" t="n">
        <v>4</v>
      </c>
      <c r="P40" s="37" t="n">
        <v>5</v>
      </c>
      <c r="Q40" s="37" t="n">
        <v>0</v>
      </c>
      <c r="R40" s="37" t="n">
        <v>0</v>
      </c>
      <c r="S40" s="37" t="n">
        <v>0</v>
      </c>
      <c r="T40" s="38" t="n">
        <v>20.8</v>
      </c>
      <c r="U40" s="37" t="n">
        <v>0</v>
      </c>
      <c r="V40" s="36" t="n">
        <v>0</v>
      </c>
      <c r="W40" t="n">
        <v>20.8</v>
      </c>
    </row>
    <row r="41">
      <c r="A41" s="36" t="inlineStr">
        <is>
          <t>R. Webb</t>
        </is>
      </c>
      <c r="B41" s="36">
        <f t="array" ref="B41:C41">_xlfn.XLOOKUP(A41,'Player List'!$A$2:$A$177,'Player List'!$B$2:$C$177)</f>
        <v/>
      </c>
      <c r="C41" s="36" t="inlineStr">
        <is>
          <t>Scrum Half</t>
        </is>
      </c>
      <c r="D41" s="37" t="n">
        <v>54</v>
      </c>
      <c r="F41" s="37" t="n">
        <v>5</v>
      </c>
      <c r="G41" s="37" t="n">
        <v>7</v>
      </c>
      <c r="H41" s="37" t="n">
        <v>7</v>
      </c>
      <c r="I41" s="37" t="n">
        <v>5.6</v>
      </c>
      <c r="J41" s="37" t="n">
        <v>10</v>
      </c>
      <c r="K41" s="37" t="n">
        <v>0</v>
      </c>
      <c r="L41" s="37" t="n">
        <v>0</v>
      </c>
      <c r="M41" s="37" t="n">
        <v>0</v>
      </c>
      <c r="N41" s="37" t="n">
        <v>14</v>
      </c>
      <c r="O41" s="37" t="n">
        <v>0</v>
      </c>
      <c r="P41" s="37" t="n">
        <v>0</v>
      </c>
      <c r="Q41" s="37" t="n">
        <v>0</v>
      </c>
      <c r="R41" s="37" t="n">
        <v>0</v>
      </c>
      <c r="S41" s="37" t="n">
        <v>0</v>
      </c>
      <c r="T41" s="38" t="n">
        <v>48.6</v>
      </c>
      <c r="U41" s="37" t="n">
        <v>15</v>
      </c>
      <c r="V41" s="36" t="n">
        <v>0</v>
      </c>
      <c r="W41" t="n">
        <v>63.6</v>
      </c>
    </row>
    <row r="42">
      <c r="A42" s="36" t="inlineStr">
        <is>
          <t>T. Williams</t>
        </is>
      </c>
      <c r="B42" s="36">
        <f t="array" ref="B42:C42">_xlfn.XLOOKUP(A42,'Player List'!$A$2:$A$177,'Player List'!$B$2:$C$177)</f>
        <v/>
      </c>
      <c r="C42" s="36" t="inlineStr">
        <is>
          <t>Scrum Half</t>
        </is>
      </c>
      <c r="D42" s="37" t="n">
        <v>26</v>
      </c>
      <c r="F42" s="37" t="n">
        <v>2</v>
      </c>
      <c r="G42" s="37" t="n">
        <v>0</v>
      </c>
      <c r="H42" s="37" t="n">
        <v>0</v>
      </c>
      <c r="I42" s="37" t="n">
        <v>0</v>
      </c>
      <c r="J42" s="37" t="n">
        <v>0</v>
      </c>
      <c r="K42" s="37" t="n">
        <v>0</v>
      </c>
      <c r="L42" s="37" t="n">
        <v>0</v>
      </c>
      <c r="M42" s="37" t="n">
        <v>0</v>
      </c>
      <c r="N42" s="37" t="n">
        <v>0</v>
      </c>
      <c r="O42" s="37" t="n">
        <v>0</v>
      </c>
      <c r="P42" s="37" t="n">
        <v>0</v>
      </c>
      <c r="Q42" s="37" t="n">
        <v>0</v>
      </c>
      <c r="R42" s="37" t="n">
        <v>0</v>
      </c>
      <c r="S42" s="37" t="n">
        <v>0</v>
      </c>
      <c r="T42" s="38" t="n">
        <v>2</v>
      </c>
      <c r="U42" s="37" t="n">
        <v>0</v>
      </c>
      <c r="V42" s="36" t="n">
        <v>0</v>
      </c>
      <c r="W42" t="n">
        <v>2</v>
      </c>
    </row>
    <row r="43">
      <c r="A43" s="36" t="inlineStr">
        <is>
          <t>T. Faletau</t>
        </is>
      </c>
      <c r="B43" s="36">
        <f t="array" ref="B43:C43">_xlfn.XLOOKUP(A43,'Player List'!$A$2:$A$177,'Player List'!$B$2:$C$177)</f>
        <v/>
      </c>
      <c r="C43" s="36" t="inlineStr">
        <is>
          <t>Back Row</t>
        </is>
      </c>
      <c r="D43" s="37" t="n">
        <v>80</v>
      </c>
      <c r="F43" s="37" t="n">
        <v>12</v>
      </c>
      <c r="G43" s="37" t="n">
        <v>0</v>
      </c>
      <c r="H43" s="37" t="n">
        <v>0</v>
      </c>
      <c r="I43" s="37" t="n">
        <v>10.8</v>
      </c>
      <c r="J43" s="37" t="n">
        <v>0</v>
      </c>
      <c r="K43" s="37" t="n">
        <v>0</v>
      </c>
      <c r="L43" s="37" t="n">
        <v>0</v>
      </c>
      <c r="M43" s="37" t="n">
        <v>15</v>
      </c>
      <c r="N43" s="37" t="n">
        <v>0</v>
      </c>
      <c r="O43" s="37" t="n">
        <v>0</v>
      </c>
      <c r="P43" s="37" t="n">
        <v>0</v>
      </c>
      <c r="Q43" s="37" t="n">
        <v>0</v>
      </c>
      <c r="R43" s="37" t="n">
        <v>0</v>
      </c>
      <c r="S43" s="37" t="n">
        <v>0</v>
      </c>
      <c r="T43" s="38" t="n">
        <v>37.8</v>
      </c>
      <c r="U43" s="37" t="n">
        <v>0</v>
      </c>
      <c r="V43" s="36" t="n">
        <v>0</v>
      </c>
      <c r="W43" t="n">
        <v>37.8</v>
      </c>
    </row>
    <row r="44">
      <c r="A44" s="36" t="inlineStr">
        <is>
          <t>J. Morgan</t>
        </is>
      </c>
      <c r="B44" s="36">
        <f t="array" ref="B44:C44">_xlfn.XLOOKUP(A44,'Player List'!$A$2:$A$177,'Player List'!$B$2:$C$177)</f>
        <v/>
      </c>
      <c r="C44" s="36" t="inlineStr">
        <is>
          <t>Back Row</t>
        </is>
      </c>
      <c r="D44" s="37" t="n">
        <v>60</v>
      </c>
      <c r="F44" s="37" t="n">
        <v>14</v>
      </c>
      <c r="G44" s="37" t="n">
        <v>0</v>
      </c>
      <c r="H44" s="37" t="n">
        <v>0</v>
      </c>
      <c r="I44" s="37" t="n">
        <v>3.8</v>
      </c>
      <c r="J44" s="37" t="n">
        <v>0</v>
      </c>
      <c r="K44" s="37" t="n">
        <v>0</v>
      </c>
      <c r="L44" s="37" t="n">
        <v>0</v>
      </c>
      <c r="M44" s="37" t="n">
        <v>0</v>
      </c>
      <c r="N44" s="37" t="n">
        <v>0</v>
      </c>
      <c r="O44" s="37" t="n">
        <v>0</v>
      </c>
      <c r="P44" s="37" t="n">
        <v>0</v>
      </c>
      <c r="Q44" s="37" t="n">
        <v>0</v>
      </c>
      <c r="R44" s="37" t="n">
        <v>0</v>
      </c>
      <c r="S44" s="37" t="n">
        <v>0</v>
      </c>
      <c r="T44" s="38" t="n">
        <v>17.8</v>
      </c>
      <c r="U44" s="37" t="n">
        <v>0</v>
      </c>
      <c r="V44" s="36" t="n">
        <v>0</v>
      </c>
      <c r="W44" t="n">
        <v>17.8</v>
      </c>
    </row>
    <row r="45">
      <c r="A45" s="36" t="inlineStr">
        <is>
          <t>T. Reffell</t>
        </is>
      </c>
      <c r="B45" s="36">
        <f t="array" ref="B45:C45">_xlfn.XLOOKUP(A45,'Player List'!$A$2:$A$177,'Player List'!$B$2:$C$177)</f>
        <v/>
      </c>
      <c r="C45" s="36" t="inlineStr">
        <is>
          <t>Back Row</t>
        </is>
      </c>
      <c r="D45" s="37" t="n">
        <v>20</v>
      </c>
      <c r="F45" s="37" t="n">
        <v>1</v>
      </c>
      <c r="G45" s="37" t="n">
        <v>0</v>
      </c>
      <c r="H45" s="37" t="n">
        <v>0</v>
      </c>
      <c r="I45" s="37" t="n">
        <v>0</v>
      </c>
      <c r="J45" s="37" t="n">
        <v>0</v>
      </c>
      <c r="K45" s="37" t="n">
        <v>0</v>
      </c>
      <c r="L45" s="37" t="n">
        <v>0</v>
      </c>
      <c r="M45" s="37" t="n">
        <v>0</v>
      </c>
      <c r="N45" s="37" t="n">
        <v>0</v>
      </c>
      <c r="O45" s="37" t="n">
        <v>0</v>
      </c>
      <c r="P45" s="37" t="n">
        <v>0</v>
      </c>
      <c r="Q45" s="37" t="n">
        <v>0</v>
      </c>
      <c r="R45" s="37" t="n">
        <v>0</v>
      </c>
      <c r="S45" s="37" t="n">
        <v>0</v>
      </c>
      <c r="T45" s="38" t="n">
        <v>1</v>
      </c>
      <c r="U45" s="37" t="n">
        <v>0</v>
      </c>
      <c r="V45" s="36" t="n">
        <v>0</v>
      </c>
      <c r="W45" t="n">
        <v>1</v>
      </c>
    </row>
    <row r="46">
      <c r="A46" s="36" t="inlineStr">
        <is>
          <t>J. Tipuric</t>
        </is>
      </c>
      <c r="B46" s="36">
        <f t="array" ref="B46:C46">_xlfn.XLOOKUP(A46,'Player List'!$A$2:$A$177,'Player List'!$B$2:$C$177)</f>
        <v/>
      </c>
      <c r="C46" s="36" t="inlineStr">
        <is>
          <t>Back Row</t>
        </is>
      </c>
      <c r="D46" s="37" t="n">
        <v>80</v>
      </c>
      <c r="F46" s="37" t="n">
        <v>8</v>
      </c>
      <c r="G46" s="37" t="n">
        <v>7</v>
      </c>
      <c r="H46" s="37" t="n">
        <v>0</v>
      </c>
      <c r="I46" s="37" t="n">
        <v>0.4</v>
      </c>
      <c r="J46" s="37" t="n">
        <v>0</v>
      </c>
      <c r="K46" s="37" t="n">
        <v>14</v>
      </c>
      <c r="L46" s="37" t="n">
        <v>0</v>
      </c>
      <c r="M46" s="37" t="n">
        <v>0</v>
      </c>
      <c r="N46" s="37" t="n">
        <v>0</v>
      </c>
      <c r="O46" s="37" t="n">
        <v>0</v>
      </c>
      <c r="P46" s="37" t="n">
        <v>0</v>
      </c>
      <c r="Q46" s="37" t="n">
        <v>0</v>
      </c>
      <c r="R46" s="37" t="n">
        <v>0</v>
      </c>
      <c r="S46" s="37" t="n">
        <v>0</v>
      </c>
      <c r="T46" s="38" t="n">
        <v>29.4</v>
      </c>
      <c r="U46" s="37" t="n">
        <v>0</v>
      </c>
      <c r="V46" s="36" t="n">
        <v>0</v>
      </c>
      <c r="W46" t="n">
        <v>29.4</v>
      </c>
    </row>
    <row r="47">
      <c r="A47" s="36" t="inlineStr">
        <is>
          <t>A. Beard</t>
        </is>
      </c>
      <c r="B47" s="36">
        <f t="array" ref="B47:C47">_xlfn.XLOOKUP(A47,'Player List'!$A$2:$A$177,'Player List'!$B$2:$C$177)</f>
        <v/>
      </c>
      <c r="C47" s="36" t="inlineStr">
        <is>
          <t>Second Row</t>
        </is>
      </c>
      <c r="D47" s="37" t="n">
        <v>80</v>
      </c>
      <c r="F47" s="37" t="n">
        <v>5</v>
      </c>
      <c r="G47" s="37" t="n">
        <v>0</v>
      </c>
      <c r="H47" s="37" t="n">
        <v>0</v>
      </c>
      <c r="I47" s="37" t="n">
        <v>0.4</v>
      </c>
      <c r="J47" s="37" t="n">
        <v>0</v>
      </c>
      <c r="K47" s="37" t="n">
        <v>7</v>
      </c>
      <c r="L47" s="37" t="n">
        <v>7</v>
      </c>
      <c r="M47" s="37" t="n">
        <v>0</v>
      </c>
      <c r="N47" s="37" t="n">
        <v>0</v>
      </c>
      <c r="O47" s="37" t="n">
        <v>0</v>
      </c>
      <c r="P47" s="37" t="n">
        <v>0</v>
      </c>
      <c r="Q47" s="37" t="n">
        <v>0</v>
      </c>
      <c r="R47" s="37" t="n">
        <v>0</v>
      </c>
      <c r="S47" s="37" t="n">
        <v>0</v>
      </c>
      <c r="T47" s="38" t="n">
        <v>19.4</v>
      </c>
      <c r="U47" s="37" t="n">
        <v>0</v>
      </c>
      <c r="V47" s="36" t="n">
        <v>0</v>
      </c>
      <c r="W47" t="n">
        <v>19.4</v>
      </c>
    </row>
    <row r="48">
      <c r="A48" s="36" t="inlineStr">
        <is>
          <t>R. Davies</t>
        </is>
      </c>
      <c r="B48" s="36">
        <f t="array" ref="B48:C48">_xlfn.XLOOKUP(A48,'Player List'!$A$2:$A$177,'Player List'!$B$2:$C$177)</f>
        <v/>
      </c>
      <c r="C48" s="36" t="inlineStr">
        <is>
          <t>Second Row</t>
        </is>
      </c>
      <c r="D48" s="37" t="n">
        <v>11</v>
      </c>
      <c r="F48" s="37" t="n">
        <v>2</v>
      </c>
      <c r="G48" s="37" t="n">
        <v>0</v>
      </c>
      <c r="H48" s="37" t="n">
        <v>0</v>
      </c>
      <c r="I48" s="37" t="n">
        <v>0.4</v>
      </c>
      <c r="J48" s="37" t="n">
        <v>0</v>
      </c>
      <c r="K48" s="37" t="n">
        <v>0</v>
      </c>
      <c r="L48" s="37" t="n">
        <v>0</v>
      </c>
      <c r="M48" s="37" t="n">
        <v>0</v>
      </c>
      <c r="N48" s="37" t="n">
        <v>0</v>
      </c>
      <c r="O48" s="37" t="n">
        <v>0</v>
      </c>
      <c r="P48" s="37" t="n">
        <v>0</v>
      </c>
      <c r="Q48" s="37" t="n">
        <v>0</v>
      </c>
      <c r="R48" s="37" t="n">
        <v>0</v>
      </c>
      <c r="S48" s="37" t="n">
        <v>0</v>
      </c>
      <c r="T48" s="38" t="n">
        <v>2.4</v>
      </c>
      <c r="U48" s="37" t="n">
        <v>0</v>
      </c>
      <c r="V48" s="36" t="n">
        <v>0</v>
      </c>
      <c r="W48" t="n">
        <v>2.4</v>
      </c>
    </row>
    <row r="49">
      <c r="A49" s="36" t="inlineStr">
        <is>
          <t>D. Jenkins</t>
        </is>
      </c>
      <c r="B49" s="36">
        <f t="array" ref="B49:C49">_xlfn.XLOOKUP(A49,'Player List'!$A$2:$A$177,'Player List'!$B$2:$C$177)</f>
        <v/>
      </c>
      <c r="C49" s="36" t="inlineStr">
        <is>
          <t>Second Row</t>
        </is>
      </c>
      <c r="D49" s="37" t="n">
        <v>69</v>
      </c>
      <c r="F49" s="37" t="n">
        <v>13</v>
      </c>
      <c r="G49" s="37" t="n">
        <v>7</v>
      </c>
      <c r="H49" s="37" t="n">
        <v>0</v>
      </c>
      <c r="I49" s="37" t="n">
        <v>0.2</v>
      </c>
      <c r="J49" s="37" t="n">
        <v>0</v>
      </c>
      <c r="K49" s="37" t="n">
        <v>0</v>
      </c>
      <c r="L49" s="37" t="n">
        <v>0</v>
      </c>
      <c r="M49" s="37" t="n">
        <v>0</v>
      </c>
      <c r="N49" s="37" t="n">
        <v>0</v>
      </c>
      <c r="O49" s="37" t="n">
        <v>0</v>
      </c>
      <c r="P49" s="37" t="n">
        <v>0</v>
      </c>
      <c r="Q49" s="37" t="n">
        <v>0</v>
      </c>
      <c r="R49" s="37" t="n">
        <v>0</v>
      </c>
      <c r="S49" s="37" t="n">
        <v>0</v>
      </c>
      <c r="T49" s="38" t="n">
        <v>20.2</v>
      </c>
      <c r="U49" s="37" t="n">
        <v>0</v>
      </c>
      <c r="V49" s="36" t="n">
        <v>0</v>
      </c>
      <c r="W49" t="n">
        <v>20.2</v>
      </c>
    </row>
    <row r="50">
      <c r="A50" s="36" t="inlineStr">
        <is>
          <t>T. Francis</t>
        </is>
      </c>
      <c r="B50" s="36">
        <f t="array" ref="B50:C50">_xlfn.XLOOKUP(A50,'Player List'!$A$2:$A$177,'Player List'!$B$2:$C$177)</f>
        <v/>
      </c>
      <c r="C50" s="36" t="inlineStr">
        <is>
          <t>Prop</t>
        </is>
      </c>
      <c r="D50" s="37" t="n">
        <v>53</v>
      </c>
      <c r="F50" s="37" t="n">
        <v>7</v>
      </c>
      <c r="G50" s="37" t="n">
        <v>0</v>
      </c>
      <c r="H50" s="37" t="n">
        <v>0</v>
      </c>
      <c r="I50" s="37" t="n">
        <v>1</v>
      </c>
      <c r="J50" s="37" t="n">
        <v>0</v>
      </c>
      <c r="K50" s="37" t="n">
        <v>0</v>
      </c>
      <c r="L50" s="37" t="n">
        <v>0</v>
      </c>
      <c r="M50" s="37" t="n">
        <v>0</v>
      </c>
      <c r="N50" s="37" t="n">
        <v>0</v>
      </c>
      <c r="O50" s="37" t="n">
        <v>0</v>
      </c>
      <c r="P50" s="37" t="n">
        <v>0</v>
      </c>
      <c r="Q50" s="37" t="n">
        <v>0</v>
      </c>
      <c r="R50" s="37" t="n">
        <v>0</v>
      </c>
      <c r="S50" s="37" t="n">
        <v>0</v>
      </c>
      <c r="T50" s="38" t="n">
        <v>8</v>
      </c>
      <c r="U50" s="37" t="n">
        <v>0</v>
      </c>
      <c r="V50" s="36" t="n">
        <v>0</v>
      </c>
      <c r="W50" t="n">
        <v>8</v>
      </c>
    </row>
    <row r="51">
      <c r="A51" s="36" t="inlineStr">
        <is>
          <t>W. Jones</t>
        </is>
      </c>
      <c r="B51" s="36">
        <f t="array" ref="B51:C51">_xlfn.XLOOKUP(A51,'Player List'!$A$2:$A$177,'Player List'!$B$2:$C$177)</f>
        <v/>
      </c>
      <c r="C51" s="36" t="inlineStr">
        <is>
          <t>Prop</t>
        </is>
      </c>
      <c r="D51" s="37" t="n">
        <v>45</v>
      </c>
      <c r="F51" s="37" t="n">
        <v>4</v>
      </c>
      <c r="G51" s="37" t="n">
        <v>0</v>
      </c>
      <c r="H51" s="37" t="n">
        <v>0</v>
      </c>
      <c r="I51" s="37" t="n">
        <v>3</v>
      </c>
      <c r="J51" s="37" t="n">
        <v>0</v>
      </c>
      <c r="K51" s="37" t="n">
        <v>0</v>
      </c>
      <c r="L51" s="37" t="n">
        <v>0</v>
      </c>
      <c r="M51" s="37" t="n">
        <v>0</v>
      </c>
      <c r="N51" s="37" t="n">
        <v>0</v>
      </c>
      <c r="O51" s="37" t="n">
        <v>0</v>
      </c>
      <c r="P51" s="37" t="n">
        <v>0</v>
      </c>
      <c r="Q51" s="37" t="n">
        <v>0</v>
      </c>
      <c r="R51" s="37" t="n">
        <v>0</v>
      </c>
      <c r="S51" s="37" t="n">
        <v>0</v>
      </c>
      <c r="T51" s="38" t="n">
        <v>7</v>
      </c>
      <c r="U51" s="37" t="n">
        <v>0</v>
      </c>
      <c r="V51" s="36" t="n">
        <v>0</v>
      </c>
      <c r="W51" t="n">
        <v>7</v>
      </c>
    </row>
    <row r="52">
      <c r="A52" s="36" t="inlineStr">
        <is>
          <t>D. Lewis</t>
        </is>
      </c>
      <c r="B52" s="36">
        <f t="array" ref="B52:C52">_xlfn.XLOOKUP(A52,'Player List'!$A$2:$A$177,'Player List'!$B$2:$C$177)</f>
        <v/>
      </c>
      <c r="C52" s="36" t="inlineStr">
        <is>
          <t>Prop</t>
        </is>
      </c>
      <c r="D52" s="37" t="n">
        <v>27</v>
      </c>
      <c r="F52" s="37" t="n">
        <v>4</v>
      </c>
      <c r="G52" s="37" t="n">
        <v>0</v>
      </c>
      <c r="H52" s="37" t="n">
        <v>0</v>
      </c>
      <c r="I52" s="37" t="n">
        <v>0</v>
      </c>
      <c r="J52" s="37" t="n">
        <v>0</v>
      </c>
      <c r="K52" s="37" t="n">
        <v>0</v>
      </c>
      <c r="L52" s="37" t="n">
        <v>0</v>
      </c>
      <c r="M52" s="37" t="n">
        <v>0</v>
      </c>
      <c r="N52" s="37" t="n">
        <v>0</v>
      </c>
      <c r="O52" s="37" t="n">
        <v>0</v>
      </c>
      <c r="P52" s="37" t="n">
        <v>0</v>
      </c>
      <c r="Q52" s="37" t="n">
        <v>0</v>
      </c>
      <c r="R52" s="37" t="n">
        <v>0</v>
      </c>
      <c r="S52" s="37" t="n">
        <v>0</v>
      </c>
      <c r="T52" s="38" t="n">
        <v>4</v>
      </c>
      <c r="U52" s="37" t="n">
        <v>0</v>
      </c>
      <c r="V52" s="36" t="n">
        <v>0</v>
      </c>
      <c r="W52" t="n">
        <v>4</v>
      </c>
    </row>
    <row r="53">
      <c r="A53" s="36" t="inlineStr">
        <is>
          <t>G. Thomas</t>
        </is>
      </c>
      <c r="B53" s="36">
        <f t="array" ref="B53:C53">_xlfn.XLOOKUP(A53,'Player List'!$A$2:$A$177,'Player List'!$B$2:$C$177)</f>
        <v/>
      </c>
      <c r="C53" s="36" t="inlineStr">
        <is>
          <t>Prop</t>
        </is>
      </c>
      <c r="D53" s="37" t="n">
        <v>35</v>
      </c>
      <c r="F53" s="37" t="n">
        <v>3</v>
      </c>
      <c r="G53" s="37" t="n">
        <v>0</v>
      </c>
      <c r="H53" s="37" t="n">
        <v>0</v>
      </c>
      <c r="I53" s="37" t="n">
        <v>1</v>
      </c>
      <c r="J53" s="37" t="n">
        <v>0</v>
      </c>
      <c r="K53" s="37" t="n">
        <v>0</v>
      </c>
      <c r="L53" s="37" t="n">
        <v>0</v>
      </c>
      <c r="M53" s="37" t="n">
        <v>0</v>
      </c>
      <c r="N53" s="37" t="n">
        <v>0</v>
      </c>
      <c r="O53" s="37" t="n">
        <v>0</v>
      </c>
      <c r="P53" s="37" t="n">
        <v>0</v>
      </c>
      <c r="Q53" s="37" t="n">
        <v>0</v>
      </c>
      <c r="R53" s="37" t="n">
        <v>0</v>
      </c>
      <c r="S53" s="37" t="n">
        <v>0</v>
      </c>
      <c r="T53" s="38" t="n">
        <v>4</v>
      </c>
      <c r="U53" s="37" t="n">
        <v>0</v>
      </c>
      <c r="V53" s="36" t="n">
        <v>0</v>
      </c>
      <c r="W53" t="n">
        <v>4</v>
      </c>
    </row>
    <row r="54">
      <c r="A54" s="36" t="inlineStr">
        <is>
          <t>S. Baldwin</t>
        </is>
      </c>
      <c r="B54" s="36">
        <f t="array" ref="B54:C54">_xlfn.XLOOKUP(A54,'Player List'!$A$2:$A$177,'Player List'!$B$2:$C$177)</f>
        <v/>
      </c>
      <c r="C54" s="36" t="inlineStr">
        <is>
          <t>Hooker</t>
        </is>
      </c>
      <c r="D54" s="37" t="n">
        <v>6</v>
      </c>
      <c r="F54" s="37" t="n">
        <v>2</v>
      </c>
      <c r="G54" s="37" t="n">
        <v>0</v>
      </c>
      <c r="H54" s="37" t="n">
        <v>0</v>
      </c>
      <c r="I54" s="37" t="n">
        <v>0</v>
      </c>
      <c r="J54" s="37" t="n">
        <v>0</v>
      </c>
      <c r="K54" s="37" t="n">
        <v>0</v>
      </c>
      <c r="L54" s="37" t="n">
        <v>0</v>
      </c>
      <c r="M54" s="37" t="n">
        <v>0</v>
      </c>
      <c r="N54" s="37" t="n">
        <v>0</v>
      </c>
      <c r="O54" s="37" t="n">
        <v>0</v>
      </c>
      <c r="P54" s="37" t="n">
        <v>0</v>
      </c>
      <c r="Q54" s="37" t="n">
        <v>0</v>
      </c>
      <c r="R54" s="37" t="n">
        <v>0</v>
      </c>
      <c r="S54" s="37" t="n">
        <v>0</v>
      </c>
      <c r="T54" s="38" t="n">
        <v>2</v>
      </c>
      <c r="U54" s="37" t="n">
        <v>0</v>
      </c>
      <c r="V54" s="36" t="n">
        <v>0</v>
      </c>
      <c r="W54" t="n">
        <v>2</v>
      </c>
    </row>
    <row r="55">
      <c r="A55" s="36" t="inlineStr">
        <is>
          <t>K. Owens</t>
        </is>
      </c>
      <c r="B55" s="36">
        <f t="array" ref="B55:C55">_xlfn.XLOOKUP(A55,'Player List'!$A$2:$A$177,'Player List'!$B$2:$C$177)</f>
        <v/>
      </c>
      <c r="C55" s="36" t="inlineStr">
        <is>
          <t>Hooker</t>
        </is>
      </c>
      <c r="D55" s="37" t="n">
        <v>74</v>
      </c>
      <c r="F55" s="37" t="n">
        <v>12</v>
      </c>
      <c r="G55" s="37" t="n">
        <v>0</v>
      </c>
      <c r="H55" s="37" t="n">
        <v>0</v>
      </c>
      <c r="I55" s="37" t="n">
        <v>2.4</v>
      </c>
      <c r="J55" s="37" t="n">
        <v>0</v>
      </c>
      <c r="K55" s="37" t="n">
        <v>0</v>
      </c>
      <c r="L55" s="37" t="n">
        <v>0</v>
      </c>
      <c r="M55" s="37" t="n">
        <v>0</v>
      </c>
      <c r="N55" s="37" t="n">
        <v>0</v>
      </c>
      <c r="O55" s="37" t="n">
        <v>0</v>
      </c>
      <c r="P55" s="37" t="n">
        <v>0</v>
      </c>
      <c r="Q55" s="37" t="n">
        <v>0</v>
      </c>
      <c r="R55" s="37" t="n">
        <v>0</v>
      </c>
      <c r="S55" s="37" t="n">
        <v>0</v>
      </c>
      <c r="T55" s="38" t="n">
        <v>14.4</v>
      </c>
      <c r="U55" s="37" t="n">
        <v>0</v>
      </c>
      <c r="V55" s="36" t="n">
        <v>0</v>
      </c>
      <c r="W55" t="n">
        <v>14.4</v>
      </c>
    </row>
    <row r="56">
      <c r="A56" s="36" t="inlineStr">
        <is>
          <t>H. Arundell</t>
        </is>
      </c>
      <c r="B56" s="36">
        <f t="array" ref="B56:C56">_xlfn.XLOOKUP(A56,'Player List'!$A$2:$A$177,'Player List'!$B$2:$C$177)</f>
        <v/>
      </c>
      <c r="C56" s="36" t="inlineStr">
        <is>
          <t>Back Three</t>
        </is>
      </c>
      <c r="D56" s="37" t="n">
        <v>22</v>
      </c>
      <c r="F56" s="37" t="n">
        <v>1</v>
      </c>
      <c r="G56" s="37" t="n">
        <v>0</v>
      </c>
      <c r="H56" s="37" t="n">
        <v>0</v>
      </c>
      <c r="I56" s="37" t="n">
        <v>2.8</v>
      </c>
      <c r="J56" s="37" t="n">
        <v>0</v>
      </c>
      <c r="K56" s="37" t="n">
        <v>0</v>
      </c>
      <c r="L56" s="37" t="n">
        <v>0</v>
      </c>
      <c r="M56" s="37" t="n">
        <v>0</v>
      </c>
      <c r="N56" s="37" t="n">
        <v>0</v>
      </c>
      <c r="O56" s="37" t="n">
        <v>0</v>
      </c>
      <c r="P56" s="37" t="n">
        <v>0</v>
      </c>
      <c r="Q56" s="37" t="n">
        <v>0</v>
      </c>
      <c r="R56" s="37" t="n">
        <v>0</v>
      </c>
      <c r="S56" s="37" t="n">
        <v>0</v>
      </c>
      <c r="T56" s="38" t="n">
        <v>3.8</v>
      </c>
      <c r="U56" s="37" t="n">
        <v>0</v>
      </c>
      <c r="V56" s="36" t="n">
        <v>0</v>
      </c>
      <c r="W56" t="n">
        <v>3.8</v>
      </c>
    </row>
    <row r="57">
      <c r="A57" s="36" t="inlineStr">
        <is>
          <t>M. Malins</t>
        </is>
      </c>
      <c r="B57" s="36">
        <f t="array" ref="B57:C57">_xlfn.XLOOKUP(A57,'Player List'!$A$2:$A$177,'Player List'!$B$2:$C$177)</f>
        <v/>
      </c>
      <c r="C57" s="36" t="inlineStr">
        <is>
          <t>Back Three</t>
        </is>
      </c>
      <c r="D57" s="37" t="n">
        <v>58</v>
      </c>
      <c r="F57" s="37" t="n">
        <v>7</v>
      </c>
      <c r="G57" s="37" t="n">
        <v>0</v>
      </c>
      <c r="H57" s="37" t="n">
        <v>0</v>
      </c>
      <c r="I57" s="37" t="n">
        <v>8</v>
      </c>
      <c r="J57" s="37" t="n">
        <v>0</v>
      </c>
      <c r="K57" s="37" t="n">
        <v>0</v>
      </c>
      <c r="L57" s="37" t="n">
        <v>0</v>
      </c>
      <c r="M57" s="37" t="n">
        <v>0</v>
      </c>
      <c r="N57" s="37" t="n">
        <v>0</v>
      </c>
      <c r="O57" s="37" t="n">
        <v>0</v>
      </c>
      <c r="P57" s="37" t="n">
        <v>0</v>
      </c>
      <c r="Q57" s="37" t="n">
        <v>0</v>
      </c>
      <c r="R57" s="37" t="n">
        <v>0</v>
      </c>
      <c r="S57" s="37" t="n">
        <v>0</v>
      </c>
      <c r="T57" s="38" t="n">
        <v>15</v>
      </c>
      <c r="U57" s="37" t="n">
        <v>0</v>
      </c>
      <c r="V57" s="36" t="n">
        <v>0</v>
      </c>
      <c r="W57" t="n">
        <v>15</v>
      </c>
    </row>
    <row r="58">
      <c r="A58" s="36" t="inlineStr">
        <is>
          <t>F. Steward</t>
        </is>
      </c>
      <c r="B58" s="36">
        <f t="array" ref="B58:C58">_xlfn.XLOOKUP(A58,'Player List'!$A$2:$A$177,'Player List'!$B$2:$C$177)</f>
        <v/>
      </c>
      <c r="C58" s="36" t="inlineStr">
        <is>
          <t>Back Three</t>
        </is>
      </c>
      <c r="D58" s="37" t="n">
        <v>80</v>
      </c>
      <c r="F58" s="37" t="n">
        <v>2</v>
      </c>
      <c r="G58" s="37" t="n">
        <v>7</v>
      </c>
      <c r="H58" s="37" t="n">
        <v>0</v>
      </c>
      <c r="I58" s="37" t="n">
        <v>32.6</v>
      </c>
      <c r="J58" s="37" t="n">
        <v>0</v>
      </c>
      <c r="K58" s="37" t="n">
        <v>0</v>
      </c>
      <c r="L58" s="37" t="n">
        <v>0</v>
      </c>
      <c r="M58" s="37" t="n">
        <v>15</v>
      </c>
      <c r="N58" s="37" t="n">
        <v>0</v>
      </c>
      <c r="O58" s="37" t="n">
        <v>0</v>
      </c>
      <c r="P58" s="37" t="n">
        <v>0</v>
      </c>
      <c r="Q58" s="37" t="n">
        <v>0</v>
      </c>
      <c r="R58" s="37" t="n">
        <v>0</v>
      </c>
      <c r="S58" s="37" t="n">
        <v>0</v>
      </c>
      <c r="T58" s="38" t="n">
        <v>56.6</v>
      </c>
      <c r="U58" s="37" t="n">
        <v>0</v>
      </c>
      <c r="V58" s="36" t="n">
        <v>0</v>
      </c>
      <c r="W58" t="n">
        <v>56.6</v>
      </c>
    </row>
    <row r="59">
      <c r="A59" s="36" t="inlineStr">
        <is>
          <t>A. Watson</t>
        </is>
      </c>
      <c r="B59" s="36">
        <f t="array" ref="B59:C59">_xlfn.XLOOKUP(A59,'Player List'!$A$2:$A$177,'Player List'!$B$2:$C$177)</f>
        <v/>
      </c>
      <c r="C59" s="36" t="inlineStr">
        <is>
          <t>Back Three</t>
        </is>
      </c>
      <c r="D59" s="37" t="n">
        <v>80</v>
      </c>
      <c r="F59" s="37" t="n">
        <v>3</v>
      </c>
      <c r="G59" s="37" t="n">
        <v>14</v>
      </c>
      <c r="H59" s="37" t="n">
        <v>0</v>
      </c>
      <c r="I59" s="37" t="n">
        <v>9.6</v>
      </c>
      <c r="J59" s="37" t="n">
        <v>0</v>
      </c>
      <c r="K59" s="37" t="n">
        <v>0</v>
      </c>
      <c r="L59" s="37" t="n">
        <v>0</v>
      </c>
      <c r="M59" s="37" t="n">
        <v>0</v>
      </c>
      <c r="N59" s="37" t="n">
        <v>0</v>
      </c>
      <c r="O59" s="37" t="n">
        <v>0</v>
      </c>
      <c r="P59" s="37" t="n">
        <v>0</v>
      </c>
      <c r="Q59" s="37" t="n">
        <v>0</v>
      </c>
      <c r="R59" s="37" t="n">
        <v>0</v>
      </c>
      <c r="S59" s="37" t="n">
        <v>0</v>
      </c>
      <c r="T59" s="38" t="n">
        <v>26.6</v>
      </c>
      <c r="U59" s="37" t="n">
        <v>0</v>
      </c>
      <c r="V59" s="36" t="n">
        <v>0</v>
      </c>
      <c r="W59" t="n">
        <v>26.6</v>
      </c>
    </row>
    <row r="60">
      <c r="A60" s="36" t="inlineStr">
        <is>
          <t>O. Farrell</t>
        </is>
      </c>
      <c r="B60" s="36">
        <f t="array" ref="B60:C60">_xlfn.XLOOKUP(A60,'Player List'!$A$2:$A$177,'Player List'!$B$2:$C$177)</f>
        <v/>
      </c>
      <c r="C60" s="36" t="inlineStr">
        <is>
          <t>Centre</t>
        </is>
      </c>
      <c r="D60" s="37" t="n">
        <v>34</v>
      </c>
      <c r="F60" s="37" t="n">
        <v>4</v>
      </c>
      <c r="G60" s="37" t="n">
        <v>0</v>
      </c>
      <c r="H60" s="37" t="n">
        <v>0</v>
      </c>
      <c r="I60" s="37" t="n">
        <v>8.800000000000001</v>
      </c>
      <c r="J60" s="37" t="n">
        <v>0</v>
      </c>
      <c r="K60" s="37" t="n">
        <v>0</v>
      </c>
      <c r="L60" s="37" t="n">
        <v>0</v>
      </c>
      <c r="M60" s="37" t="n">
        <v>0</v>
      </c>
      <c r="N60" s="37" t="n">
        <v>0</v>
      </c>
      <c r="O60" s="37" t="n">
        <v>0</v>
      </c>
      <c r="P60" s="37" t="n">
        <v>0</v>
      </c>
      <c r="Q60" s="37" t="n">
        <v>0</v>
      </c>
      <c r="R60" s="37" t="n">
        <v>0</v>
      </c>
      <c r="S60" s="37" t="n">
        <v>0</v>
      </c>
      <c r="T60" s="38" t="n">
        <v>12.8</v>
      </c>
      <c r="U60" s="37" t="n">
        <v>0</v>
      </c>
      <c r="V60" s="36" t="n">
        <v>0</v>
      </c>
      <c r="W60" t="n">
        <v>12.8</v>
      </c>
    </row>
    <row r="61">
      <c r="A61" s="36" t="inlineStr">
        <is>
          <t>O. Lawrence</t>
        </is>
      </c>
      <c r="B61" s="36">
        <f t="array" ref="B61:C61">_xlfn.XLOOKUP(A61,'Player List'!$A$2:$A$177,'Player List'!$B$2:$C$177)</f>
        <v/>
      </c>
      <c r="C61" s="36" t="inlineStr">
        <is>
          <t>Centre</t>
        </is>
      </c>
      <c r="D61" s="37" t="n">
        <v>61</v>
      </c>
      <c r="F61" s="37" t="n">
        <v>3</v>
      </c>
      <c r="G61" s="37" t="n">
        <v>0</v>
      </c>
      <c r="H61" s="37" t="n">
        <v>0</v>
      </c>
      <c r="I61" s="37" t="n">
        <v>4.8</v>
      </c>
      <c r="J61" s="37" t="n">
        <v>0</v>
      </c>
      <c r="K61" s="37" t="n">
        <v>0</v>
      </c>
      <c r="L61" s="37" t="n">
        <v>0</v>
      </c>
      <c r="M61" s="37" t="n">
        <v>0</v>
      </c>
      <c r="N61" s="37" t="n">
        <v>0</v>
      </c>
      <c r="O61" s="37" t="n">
        <v>0</v>
      </c>
      <c r="P61" s="37" t="n">
        <v>0</v>
      </c>
      <c r="Q61" s="37" t="n">
        <v>0</v>
      </c>
      <c r="R61" s="37" t="n">
        <v>0</v>
      </c>
      <c r="S61" s="37" t="n">
        <v>0</v>
      </c>
      <c r="T61" s="38" t="n">
        <v>7.8</v>
      </c>
      <c r="U61" s="37" t="n">
        <v>0</v>
      </c>
      <c r="V61" s="36" t="n">
        <v>0</v>
      </c>
      <c r="W61" t="n">
        <v>7.8</v>
      </c>
    </row>
    <row r="62">
      <c r="A62" s="36" t="inlineStr">
        <is>
          <t>H. Slade</t>
        </is>
      </c>
      <c r="B62" s="36">
        <f t="array" ref="B62:C62">_xlfn.XLOOKUP(A62,'Player List'!$A$2:$A$177,'Player List'!$B$2:$C$177)</f>
        <v/>
      </c>
      <c r="C62" s="36" t="inlineStr">
        <is>
          <t>Centre</t>
        </is>
      </c>
      <c r="D62" s="37" t="n">
        <v>46</v>
      </c>
      <c r="F62" s="37" t="n">
        <v>1</v>
      </c>
      <c r="G62" s="37" t="n">
        <v>0</v>
      </c>
      <c r="H62" s="37" t="n">
        <v>0</v>
      </c>
      <c r="I62" s="37" t="n">
        <v>3</v>
      </c>
      <c r="J62" s="37" t="n">
        <v>0</v>
      </c>
      <c r="K62" s="37" t="n">
        <v>0</v>
      </c>
      <c r="L62" s="37" t="n">
        <v>0</v>
      </c>
      <c r="M62" s="37" t="n">
        <v>0</v>
      </c>
      <c r="N62" s="37" t="n">
        <v>0</v>
      </c>
      <c r="O62" s="37" t="n">
        <v>0</v>
      </c>
      <c r="P62" s="37" t="n">
        <v>0</v>
      </c>
      <c r="Q62" s="37" t="n">
        <v>0</v>
      </c>
      <c r="R62" s="37" t="n">
        <v>0</v>
      </c>
      <c r="S62" s="37" t="n">
        <v>0</v>
      </c>
      <c r="T62" s="38" t="n">
        <v>4</v>
      </c>
      <c r="U62" s="37" t="n">
        <v>0</v>
      </c>
      <c r="V62" s="36" t="n">
        <v>0</v>
      </c>
      <c r="W62" t="n">
        <v>4</v>
      </c>
    </row>
    <row r="63">
      <c r="A63" s="36" t="inlineStr">
        <is>
          <t>M. Smith</t>
        </is>
      </c>
      <c r="B63" s="36">
        <f t="array" ref="B63:C63">_xlfn.XLOOKUP(A63,'Player List'!$A$2:$A$177,'Player List'!$B$2:$C$177)</f>
        <v/>
      </c>
      <c r="C63" s="36" t="inlineStr">
        <is>
          <t>Fly Half</t>
        </is>
      </c>
      <c r="D63" s="37" t="n">
        <v>80</v>
      </c>
      <c r="F63" s="37" t="n">
        <v>10</v>
      </c>
      <c r="G63" s="37" t="n">
        <v>0</v>
      </c>
      <c r="H63" s="37" t="n">
        <v>7</v>
      </c>
      <c r="I63" s="37" t="n">
        <v>23</v>
      </c>
      <c r="J63" s="37" t="n">
        <v>0</v>
      </c>
      <c r="K63" s="37" t="n">
        <v>0</v>
      </c>
      <c r="L63" s="37" t="n">
        <v>0</v>
      </c>
      <c r="M63" s="37" t="n">
        <v>0</v>
      </c>
      <c r="N63" s="37" t="n">
        <v>0</v>
      </c>
      <c r="O63" s="37" t="n">
        <v>2</v>
      </c>
      <c r="P63" s="37" t="n">
        <v>5</v>
      </c>
      <c r="Q63" s="37" t="n">
        <v>0</v>
      </c>
      <c r="R63" s="37" t="n">
        <v>0</v>
      </c>
      <c r="S63" s="37" t="n">
        <v>0</v>
      </c>
      <c r="T63" s="38" t="n">
        <v>47</v>
      </c>
      <c r="U63" s="37" t="n">
        <v>0</v>
      </c>
      <c r="V63" s="36" t="n">
        <v>0</v>
      </c>
      <c r="W63" t="n">
        <v>47</v>
      </c>
    </row>
    <row r="64">
      <c r="A64" s="36" t="inlineStr">
        <is>
          <t>A. Mitchell</t>
        </is>
      </c>
      <c r="B64" s="36">
        <f t="array" ref="B64:C64">_xlfn.XLOOKUP(A64,'Player List'!$A$2:$A$177,'Player List'!$B$2:$C$177)</f>
        <v/>
      </c>
      <c r="C64" s="36" t="inlineStr">
        <is>
          <t>Scrum Half</t>
        </is>
      </c>
      <c r="D64" s="37" t="n">
        <v>34</v>
      </c>
      <c r="F64" s="37" t="n">
        <v>0</v>
      </c>
      <c r="G64" s="37" t="n">
        <v>0</v>
      </c>
      <c r="H64" s="37" t="n">
        <v>0</v>
      </c>
      <c r="I64" s="37" t="n">
        <v>1.6</v>
      </c>
      <c r="J64" s="37" t="n">
        <v>0</v>
      </c>
      <c r="K64" s="37" t="n">
        <v>0</v>
      </c>
      <c r="L64" s="37" t="n">
        <v>0</v>
      </c>
      <c r="M64" s="37" t="n">
        <v>0</v>
      </c>
      <c r="N64" s="37" t="n">
        <v>7</v>
      </c>
      <c r="O64" s="37" t="n">
        <v>0</v>
      </c>
      <c r="P64" s="37" t="n">
        <v>0</v>
      </c>
      <c r="Q64" s="37" t="n">
        <v>0</v>
      </c>
      <c r="R64" s="37" t="n">
        <v>0</v>
      </c>
      <c r="S64" s="37" t="n">
        <v>0</v>
      </c>
      <c r="T64" s="38" t="n">
        <v>8.6</v>
      </c>
      <c r="U64" s="37" t="n">
        <v>0</v>
      </c>
      <c r="V64" s="36" t="n">
        <v>0</v>
      </c>
      <c r="W64" t="n">
        <v>8.6</v>
      </c>
    </row>
    <row r="65">
      <c r="A65" s="36" t="inlineStr">
        <is>
          <t>J. van Poortvliet</t>
        </is>
      </c>
      <c r="B65" s="36">
        <f t="array" ref="B65:C65">_xlfn.XLOOKUP(A65,'Player List'!$A$2:$A$177,'Player List'!$B$2:$C$177)</f>
        <v/>
      </c>
      <c r="C65" s="36" t="inlineStr">
        <is>
          <t>Scrum Half</t>
        </is>
      </c>
      <c r="D65" s="37" t="n">
        <v>46</v>
      </c>
      <c r="F65" s="37" t="n">
        <v>3</v>
      </c>
      <c r="G65" s="37" t="n">
        <v>0</v>
      </c>
      <c r="H65" s="37" t="n">
        <v>0</v>
      </c>
      <c r="I65" s="37" t="n">
        <v>0.8</v>
      </c>
      <c r="J65" s="37" t="n">
        <v>0</v>
      </c>
      <c r="K65" s="37" t="n">
        <v>0</v>
      </c>
      <c r="L65" s="37" t="n">
        <v>0</v>
      </c>
      <c r="M65" s="37" t="n">
        <v>0</v>
      </c>
      <c r="N65" s="37" t="n">
        <v>0</v>
      </c>
      <c r="O65" s="37" t="n">
        <v>0</v>
      </c>
      <c r="P65" s="37" t="n">
        <v>0</v>
      </c>
      <c r="Q65" s="37" t="n">
        <v>0</v>
      </c>
      <c r="R65" s="37" t="n">
        <v>0</v>
      </c>
      <c r="S65" s="37" t="n">
        <v>0</v>
      </c>
      <c r="T65" s="38" t="n">
        <v>3.8</v>
      </c>
      <c r="U65" s="37" t="n">
        <v>0</v>
      </c>
      <c r="V65" s="36" t="n">
        <v>0</v>
      </c>
      <c r="W65" t="n">
        <v>3.8</v>
      </c>
    </row>
    <row r="66">
      <c r="A66" s="36" t="inlineStr">
        <is>
          <t>B. Curry</t>
        </is>
      </c>
      <c r="B66" s="36">
        <f t="array" ref="B66:C66">_xlfn.XLOOKUP(A66,'Player List'!$A$2:$A$177,'Player List'!$B$2:$C$177)</f>
        <v/>
      </c>
      <c r="C66" s="36" t="inlineStr">
        <is>
          <t>Back Row</t>
        </is>
      </c>
      <c r="D66" s="37" t="n">
        <v>27</v>
      </c>
      <c r="F66" s="37" t="n">
        <v>5</v>
      </c>
      <c r="G66" s="37" t="n">
        <v>0</v>
      </c>
      <c r="H66" s="37" t="n">
        <v>0</v>
      </c>
      <c r="I66" s="37" t="n">
        <v>2.2</v>
      </c>
      <c r="J66" s="37" t="n">
        <v>0</v>
      </c>
      <c r="K66" s="37" t="n">
        <v>0</v>
      </c>
      <c r="L66" s="37" t="n">
        <v>7</v>
      </c>
      <c r="M66" s="37" t="n">
        <v>0</v>
      </c>
      <c r="N66" s="37" t="n">
        <v>0</v>
      </c>
      <c r="O66" s="37" t="n">
        <v>0</v>
      </c>
      <c r="P66" s="37" t="n">
        <v>0</v>
      </c>
      <c r="Q66" s="37" t="n">
        <v>0</v>
      </c>
      <c r="R66" s="37" t="n">
        <v>0</v>
      </c>
      <c r="S66" s="37" t="n">
        <v>0</v>
      </c>
      <c r="T66" s="38" t="n">
        <v>14.2</v>
      </c>
      <c r="U66" s="37" t="n">
        <v>0</v>
      </c>
      <c r="V66" s="36" t="n">
        <v>0</v>
      </c>
      <c r="W66" t="n">
        <v>14.2</v>
      </c>
    </row>
    <row r="67">
      <c r="A67" s="36" t="inlineStr">
        <is>
          <t>A. Dombrandt</t>
        </is>
      </c>
      <c r="B67" s="36">
        <f t="array" ref="B67:C67">_xlfn.XLOOKUP(A67,'Player List'!$A$2:$A$177,'Player List'!$B$2:$C$177)</f>
        <v/>
      </c>
      <c r="C67" s="36" t="inlineStr">
        <is>
          <t>Back Row</t>
        </is>
      </c>
      <c r="D67" s="37" t="n">
        <v>75</v>
      </c>
      <c r="F67" s="37" t="n">
        <v>12</v>
      </c>
      <c r="G67" s="37" t="n">
        <v>7</v>
      </c>
      <c r="H67" s="37" t="n">
        <v>0</v>
      </c>
      <c r="I67" s="37" t="n">
        <v>8.800000000000001</v>
      </c>
      <c r="J67" s="37" t="n">
        <v>0</v>
      </c>
      <c r="K67" s="37" t="n">
        <v>0</v>
      </c>
      <c r="L67" s="37" t="n">
        <v>0</v>
      </c>
      <c r="M67" s="37" t="n">
        <v>0</v>
      </c>
      <c r="N67" s="37" t="n">
        <v>0</v>
      </c>
      <c r="O67" s="37" t="n">
        <v>0</v>
      </c>
      <c r="P67" s="37" t="n">
        <v>0</v>
      </c>
      <c r="Q67" s="37" t="n">
        <v>0</v>
      </c>
      <c r="R67" s="37" t="n">
        <v>0</v>
      </c>
      <c r="S67" s="37" t="n">
        <v>0</v>
      </c>
      <c r="T67" s="38" t="n">
        <v>27.8</v>
      </c>
      <c r="U67" s="37" t="n">
        <v>0</v>
      </c>
      <c r="V67" s="36" t="n">
        <v>0</v>
      </c>
      <c r="W67" t="n">
        <v>27.8</v>
      </c>
    </row>
    <row r="68">
      <c r="A68" s="36" t="inlineStr">
        <is>
          <t>L. Ludlam</t>
        </is>
      </c>
      <c r="B68" s="36">
        <f t="array" ref="B68:C68">_xlfn.XLOOKUP(A68,'Player List'!$A$2:$A$177,'Player List'!$B$2:$C$177)</f>
        <v/>
      </c>
      <c r="C68" s="36" t="inlineStr">
        <is>
          <t>Back Row</t>
        </is>
      </c>
      <c r="D68" s="37" t="n">
        <v>80</v>
      </c>
      <c r="F68" s="37" t="n">
        <v>11</v>
      </c>
      <c r="G68" s="37" t="n">
        <v>7</v>
      </c>
      <c r="H68" s="37" t="n">
        <v>0</v>
      </c>
      <c r="I68" s="37" t="n">
        <v>5.4</v>
      </c>
      <c r="J68" s="37" t="n">
        <v>0</v>
      </c>
      <c r="K68" s="37" t="n">
        <v>0</v>
      </c>
      <c r="L68" s="37" t="n">
        <v>0</v>
      </c>
      <c r="M68" s="37" t="n">
        <v>0</v>
      </c>
      <c r="N68" s="37" t="n">
        <v>0</v>
      </c>
      <c r="O68" s="37" t="n">
        <v>0</v>
      </c>
      <c r="P68" s="37" t="n">
        <v>0</v>
      </c>
      <c r="Q68" s="37" t="n">
        <v>0</v>
      </c>
      <c r="R68" s="37" t="n">
        <v>0</v>
      </c>
      <c r="S68" s="37" t="n">
        <v>0</v>
      </c>
      <c r="T68" s="38" t="n">
        <v>23.4</v>
      </c>
      <c r="U68" s="37" t="n">
        <v>0</v>
      </c>
      <c r="V68" s="36" t="n">
        <v>0</v>
      </c>
      <c r="W68" t="n">
        <v>23.4</v>
      </c>
    </row>
    <row r="69">
      <c r="A69" s="36" t="inlineStr">
        <is>
          <t>J. Willis</t>
        </is>
      </c>
      <c r="B69" s="36">
        <f t="array" ref="B69:C69">_xlfn.XLOOKUP(A69,'Player List'!$A$2:$A$177,'Player List'!$B$2:$C$177)</f>
        <v/>
      </c>
      <c r="C69" s="36" t="inlineStr">
        <is>
          <t>Back Row</t>
        </is>
      </c>
      <c r="D69" s="37" t="n">
        <v>53</v>
      </c>
      <c r="F69" s="37" t="n">
        <v>7</v>
      </c>
      <c r="G69" s="37" t="n">
        <v>0</v>
      </c>
      <c r="H69" s="37" t="n">
        <v>0</v>
      </c>
      <c r="I69" s="37" t="n">
        <v>3.4</v>
      </c>
      <c r="J69" s="37" t="n">
        <v>0</v>
      </c>
      <c r="K69" s="37" t="n">
        <v>0</v>
      </c>
      <c r="L69" s="37" t="n">
        <v>0</v>
      </c>
      <c r="M69" s="37" t="n">
        <v>0</v>
      </c>
      <c r="N69" s="37" t="n">
        <v>0</v>
      </c>
      <c r="O69" s="37" t="n">
        <v>0</v>
      </c>
      <c r="P69" s="37" t="n">
        <v>0</v>
      </c>
      <c r="Q69" s="37" t="n">
        <v>0</v>
      </c>
      <c r="R69" s="37" t="n">
        <v>0</v>
      </c>
      <c r="S69" s="37" t="n">
        <v>0</v>
      </c>
      <c r="T69" s="38" t="n">
        <v>10.4</v>
      </c>
      <c r="U69" s="37" t="n">
        <v>0</v>
      </c>
      <c r="V69" s="36" t="n">
        <v>0</v>
      </c>
      <c r="W69" t="n">
        <v>10.4</v>
      </c>
    </row>
    <row r="70">
      <c r="A70" s="36" t="inlineStr">
        <is>
          <t>O. Chessum</t>
        </is>
      </c>
      <c r="B70" s="36">
        <f t="array" ref="B70:C70">_xlfn.XLOOKUP(A70,'Player List'!$A$2:$A$177,'Player List'!$B$2:$C$177)</f>
        <v/>
      </c>
      <c r="C70" s="36" t="inlineStr">
        <is>
          <t>Second Row</t>
        </is>
      </c>
      <c r="D70" s="37" t="n">
        <v>80</v>
      </c>
      <c r="F70" s="37" t="n">
        <v>4</v>
      </c>
      <c r="G70" s="37" t="n">
        <v>0</v>
      </c>
      <c r="H70" s="37" t="n">
        <v>0</v>
      </c>
      <c r="I70" s="37" t="n">
        <v>5</v>
      </c>
      <c r="J70" s="37" t="n">
        <v>0</v>
      </c>
      <c r="K70" s="37" t="n">
        <v>0</v>
      </c>
      <c r="L70" s="37" t="n">
        <v>0</v>
      </c>
      <c r="M70" s="37" t="n">
        <v>0</v>
      </c>
      <c r="N70" s="37" t="n">
        <v>0</v>
      </c>
      <c r="O70" s="37" t="n">
        <v>0</v>
      </c>
      <c r="P70" s="37" t="n">
        <v>0</v>
      </c>
      <c r="Q70" s="37" t="n">
        <v>0</v>
      </c>
      <c r="R70" s="37" t="n">
        <v>0</v>
      </c>
      <c r="S70" s="37" t="n">
        <v>0</v>
      </c>
      <c r="T70" s="38" t="n">
        <v>9</v>
      </c>
      <c r="U70" s="37" t="n">
        <v>0</v>
      </c>
      <c r="V70" s="36" t="n">
        <v>0</v>
      </c>
      <c r="W70" t="n">
        <v>9</v>
      </c>
    </row>
    <row r="71">
      <c r="A71" s="36" t="inlineStr">
        <is>
          <t>M. Itoje</t>
        </is>
      </c>
      <c r="B71" s="36">
        <f t="array" ref="B71:C71">_xlfn.XLOOKUP(A71,'Player List'!$A$2:$A$177,'Player List'!$B$2:$C$177)</f>
        <v/>
      </c>
      <c r="C71" s="36" t="inlineStr">
        <is>
          <t>Second Row</t>
        </is>
      </c>
      <c r="D71" s="37" t="n">
        <v>80</v>
      </c>
      <c r="F71" s="37" t="n">
        <v>8</v>
      </c>
      <c r="G71" s="37" t="n">
        <v>7</v>
      </c>
      <c r="H71" s="37" t="n">
        <v>0</v>
      </c>
      <c r="I71" s="37" t="n">
        <v>4.6</v>
      </c>
      <c r="J71" s="37" t="n">
        <v>0</v>
      </c>
      <c r="K71" s="37" t="n">
        <v>0</v>
      </c>
      <c r="L71" s="37" t="n">
        <v>14</v>
      </c>
      <c r="M71" s="37" t="n">
        <v>0</v>
      </c>
      <c r="N71" s="37" t="n">
        <v>0</v>
      </c>
      <c r="O71" s="37" t="n">
        <v>0</v>
      </c>
      <c r="P71" s="37" t="n">
        <v>0</v>
      </c>
      <c r="Q71" s="37" t="n">
        <v>0</v>
      </c>
      <c r="R71" s="37" t="n">
        <v>0</v>
      </c>
      <c r="S71" s="37" t="n">
        <v>0</v>
      </c>
      <c r="T71" s="38" t="n">
        <v>33.6</v>
      </c>
      <c r="U71" s="37" t="n">
        <v>0</v>
      </c>
      <c r="V71" s="36" t="n">
        <v>0</v>
      </c>
      <c r="W71" t="n">
        <v>33.6</v>
      </c>
    </row>
    <row r="72">
      <c r="A72" s="36" t="inlineStr">
        <is>
          <t>D. Ribbans</t>
        </is>
      </c>
      <c r="B72" s="36">
        <f t="array" ref="B72:C72">_xlfn.XLOOKUP(A72,'Player List'!$A$2:$A$177,'Player List'!$B$2:$C$177)</f>
        <v/>
      </c>
      <c r="C72" s="36" t="inlineStr">
        <is>
          <t>Second Row</t>
        </is>
      </c>
      <c r="D72" s="37" t="n">
        <v>5</v>
      </c>
      <c r="F72" s="37" t="n">
        <v>0</v>
      </c>
      <c r="G72" s="37" t="n">
        <v>0</v>
      </c>
      <c r="H72" s="37" t="n">
        <v>0</v>
      </c>
      <c r="I72" s="37" t="n">
        <v>0.6</v>
      </c>
      <c r="J72" s="37" t="n">
        <v>0</v>
      </c>
      <c r="K72" s="37" t="n">
        <v>0</v>
      </c>
      <c r="L72" s="37" t="n">
        <v>0</v>
      </c>
      <c r="M72" s="37" t="n">
        <v>0</v>
      </c>
      <c r="N72" s="37" t="n">
        <v>0</v>
      </c>
      <c r="O72" s="37" t="n">
        <v>0</v>
      </c>
      <c r="P72" s="37" t="n">
        <v>0</v>
      </c>
      <c r="Q72" s="37" t="n">
        <v>0</v>
      </c>
      <c r="R72" s="37" t="n">
        <v>0</v>
      </c>
      <c r="S72" s="37" t="n">
        <v>0</v>
      </c>
      <c r="T72" s="38" t="n">
        <v>0.6</v>
      </c>
      <c r="U72" s="37" t="n">
        <v>0</v>
      </c>
      <c r="V72" s="36" t="n">
        <v>0</v>
      </c>
      <c r="W72" t="n">
        <v>0.6</v>
      </c>
    </row>
    <row r="73">
      <c r="A73" s="36" t="inlineStr">
        <is>
          <t>D. Cole</t>
        </is>
      </c>
      <c r="B73" s="36">
        <f t="array" ref="B73:C73">_xlfn.XLOOKUP(A73,'Player List'!$A$2:$A$177,'Player List'!$B$2:$C$177)</f>
        <v/>
      </c>
      <c r="C73" s="36" t="inlineStr">
        <is>
          <t>Prop</t>
        </is>
      </c>
      <c r="D73" s="37" t="n">
        <v>15</v>
      </c>
      <c r="F73" s="37" t="n">
        <v>1</v>
      </c>
      <c r="G73" s="37" t="n">
        <v>0</v>
      </c>
      <c r="H73" s="37" t="n">
        <v>0</v>
      </c>
      <c r="I73" s="37" t="n">
        <v>0</v>
      </c>
      <c r="J73" s="37" t="n">
        <v>0</v>
      </c>
      <c r="K73" s="37" t="n">
        <v>0</v>
      </c>
      <c r="L73" s="37" t="n">
        <v>0</v>
      </c>
      <c r="M73" s="37" t="n">
        <v>0</v>
      </c>
      <c r="N73" s="37" t="n">
        <v>0</v>
      </c>
      <c r="O73" s="37" t="n">
        <v>0</v>
      </c>
      <c r="P73" s="37" t="n">
        <v>0</v>
      </c>
      <c r="Q73" s="37" t="n">
        <v>0</v>
      </c>
      <c r="R73" s="37" t="n">
        <v>0</v>
      </c>
      <c r="S73" s="37" t="n">
        <v>0</v>
      </c>
      <c r="T73" s="38" t="n">
        <v>1</v>
      </c>
      <c r="U73" s="37" t="n">
        <v>0</v>
      </c>
      <c r="V73" s="36" t="n">
        <v>0</v>
      </c>
      <c r="W73" t="n">
        <v>1</v>
      </c>
    </row>
    <row r="74">
      <c r="A74" s="36" t="inlineStr">
        <is>
          <t>E. Genge</t>
        </is>
      </c>
      <c r="B74" s="36">
        <f t="array" ref="B74:C74">_xlfn.XLOOKUP(A74,'Player List'!$A$2:$A$177,'Player List'!$B$2:$C$177)</f>
        <v/>
      </c>
      <c r="C74" s="36" t="inlineStr">
        <is>
          <t>Prop</t>
        </is>
      </c>
      <c r="D74" s="37" t="n">
        <v>65</v>
      </c>
      <c r="F74" s="37" t="n">
        <v>4</v>
      </c>
      <c r="G74" s="37" t="n">
        <v>7</v>
      </c>
      <c r="H74" s="37" t="n">
        <v>0</v>
      </c>
      <c r="I74" s="37" t="n">
        <v>3.4</v>
      </c>
      <c r="J74" s="37" t="n">
        <v>0</v>
      </c>
      <c r="K74" s="37" t="n">
        <v>0</v>
      </c>
      <c r="L74" s="37" t="n">
        <v>0</v>
      </c>
      <c r="M74" s="37" t="n">
        <v>0</v>
      </c>
      <c r="N74" s="37" t="n">
        <v>0</v>
      </c>
      <c r="O74" s="37" t="n">
        <v>0</v>
      </c>
      <c r="P74" s="37" t="n">
        <v>0</v>
      </c>
      <c r="Q74" s="37" t="n">
        <v>0</v>
      </c>
      <c r="R74" s="37" t="n">
        <v>0</v>
      </c>
      <c r="S74" s="37" t="n">
        <v>0</v>
      </c>
      <c r="T74" s="38" t="n">
        <v>14.4</v>
      </c>
      <c r="U74" s="37" t="n">
        <v>0</v>
      </c>
      <c r="V74" s="36" t="n">
        <v>0</v>
      </c>
      <c r="W74" t="n">
        <v>14.4</v>
      </c>
    </row>
    <row r="75">
      <c r="A75" s="36" t="inlineStr">
        <is>
          <t>K. Sinckler</t>
        </is>
      </c>
      <c r="B75" s="36">
        <f t="array" ref="B75:C75">_xlfn.XLOOKUP(A75,'Player List'!$A$2:$A$177,'Player List'!$B$2:$C$177)</f>
        <v/>
      </c>
      <c r="C75" s="36" t="inlineStr">
        <is>
          <t>Prop</t>
        </is>
      </c>
      <c r="D75" s="37" t="n">
        <v>65</v>
      </c>
      <c r="F75" s="37" t="n">
        <v>8</v>
      </c>
      <c r="G75" s="37" t="n">
        <v>7</v>
      </c>
      <c r="H75" s="37" t="n">
        <v>0</v>
      </c>
      <c r="I75" s="37" t="n">
        <v>4.8</v>
      </c>
      <c r="J75" s="37" t="n">
        <v>0</v>
      </c>
      <c r="K75" s="37" t="n">
        <v>0</v>
      </c>
      <c r="L75" s="37" t="n">
        <v>0</v>
      </c>
      <c r="M75" s="37" t="n">
        <v>0</v>
      </c>
      <c r="N75" s="37" t="n">
        <v>0</v>
      </c>
      <c r="O75" s="37" t="n">
        <v>0</v>
      </c>
      <c r="P75" s="37" t="n">
        <v>0</v>
      </c>
      <c r="Q75" s="37" t="n">
        <v>0</v>
      </c>
      <c r="R75" s="37" t="n">
        <v>0</v>
      </c>
      <c r="S75" s="37" t="n">
        <v>0</v>
      </c>
      <c r="T75" s="38" t="n">
        <v>19.8</v>
      </c>
      <c r="U75" s="37" t="n">
        <v>0</v>
      </c>
      <c r="V75" s="36" t="n">
        <v>0</v>
      </c>
      <c r="W75" t="n">
        <v>19.8</v>
      </c>
    </row>
    <row r="76">
      <c r="A76" s="36" t="inlineStr">
        <is>
          <t>M. Vunipola</t>
        </is>
      </c>
      <c r="B76" s="36">
        <f t="array" ref="B76:C76">_xlfn.XLOOKUP(A76,'Player List'!$A$2:$A$177,'Player List'!$B$2:$C$177)</f>
        <v/>
      </c>
      <c r="C76" s="36" t="inlineStr">
        <is>
          <t>Prop</t>
        </is>
      </c>
      <c r="D76" s="37" t="n">
        <v>15</v>
      </c>
      <c r="F76" s="37" t="n">
        <v>0</v>
      </c>
      <c r="G76" s="37" t="n">
        <v>0</v>
      </c>
      <c r="H76" s="37" t="n">
        <v>0</v>
      </c>
      <c r="I76" s="37" t="n">
        <v>2.8</v>
      </c>
      <c r="J76" s="37" t="n">
        <v>0</v>
      </c>
      <c r="K76" s="37" t="n">
        <v>0</v>
      </c>
      <c r="L76" s="37" t="n">
        <v>0</v>
      </c>
      <c r="M76" s="37" t="n">
        <v>0</v>
      </c>
      <c r="N76" s="37" t="n">
        <v>0</v>
      </c>
      <c r="O76" s="37" t="n">
        <v>0</v>
      </c>
      <c r="P76" s="37" t="n">
        <v>0</v>
      </c>
      <c r="Q76" s="37" t="n">
        <v>0</v>
      </c>
      <c r="R76" s="37" t="n">
        <v>0</v>
      </c>
      <c r="S76" s="37" t="n">
        <v>0</v>
      </c>
      <c r="T76" s="38" t="n">
        <v>2.8</v>
      </c>
      <c r="U76" s="37" t="n">
        <v>0</v>
      </c>
      <c r="V76" s="36" t="n">
        <v>0</v>
      </c>
      <c r="W76" t="n">
        <v>2.8</v>
      </c>
    </row>
    <row r="77">
      <c r="A77" s="36" t="inlineStr">
        <is>
          <t>J. George</t>
        </is>
      </c>
      <c r="B77" s="36">
        <f t="array" ref="B77:C77">_xlfn.XLOOKUP(A77,'Player List'!$A$2:$A$177,'Player List'!$B$2:$C$177)</f>
        <v/>
      </c>
      <c r="C77" s="36" t="inlineStr">
        <is>
          <t>Hooker</t>
        </is>
      </c>
      <c r="D77" s="37" t="n">
        <v>80</v>
      </c>
      <c r="F77" s="37" t="n">
        <v>6</v>
      </c>
      <c r="G77" s="37" t="n">
        <v>0</v>
      </c>
      <c r="H77" s="37" t="n">
        <v>0</v>
      </c>
      <c r="I77" s="37" t="n">
        <v>2.8</v>
      </c>
      <c r="J77" s="37" t="n">
        <v>0</v>
      </c>
      <c r="K77" s="37" t="n">
        <v>0</v>
      </c>
      <c r="L77" s="37" t="n">
        <v>0</v>
      </c>
      <c r="M77" s="37" t="n">
        <v>0</v>
      </c>
      <c r="N77" s="37" t="n">
        <v>0</v>
      </c>
      <c r="O77" s="37" t="n">
        <v>0</v>
      </c>
      <c r="P77" s="37" t="n">
        <v>0</v>
      </c>
      <c r="Q77" s="37" t="n">
        <v>0</v>
      </c>
      <c r="R77" s="37" t="n">
        <v>0</v>
      </c>
      <c r="S77" s="37" t="n">
        <v>0</v>
      </c>
      <c r="T77" s="38" t="n">
        <v>8.800000000000001</v>
      </c>
      <c r="U77" s="37" t="n">
        <v>0</v>
      </c>
      <c r="V77" s="36" t="n">
        <v>0</v>
      </c>
      <c r="W77" t="n">
        <v>8.800000000000001</v>
      </c>
    </row>
    <row r="78">
      <c r="A78" s="36" t="inlineStr">
        <is>
          <t>J. Walker</t>
        </is>
      </c>
      <c r="B78" s="36">
        <f t="array" ref="B78:C78">_xlfn.XLOOKUP(A78,'Player List'!$A$2:$A$177,'Player List'!$B$2:$C$177)</f>
        <v/>
      </c>
      <c r="C78" s="36" t="inlineStr">
        <is>
          <t>Hooker</t>
        </is>
      </c>
      <c r="D78" s="37" t="n">
        <v>19</v>
      </c>
      <c r="F78" s="37" t="n">
        <v>3</v>
      </c>
      <c r="G78" s="37" t="n">
        <v>0</v>
      </c>
      <c r="H78" s="37" t="n">
        <v>0</v>
      </c>
      <c r="I78" s="37" t="n">
        <v>4.2</v>
      </c>
      <c r="J78" s="37" t="n">
        <v>0</v>
      </c>
      <c r="K78" s="37" t="n">
        <v>0</v>
      </c>
      <c r="L78" s="37" t="n">
        <v>0</v>
      </c>
      <c r="M78" s="37" t="n">
        <v>0</v>
      </c>
      <c r="N78" s="37" t="n">
        <v>0</v>
      </c>
      <c r="O78" s="37" t="n">
        <v>0</v>
      </c>
      <c r="P78" s="37" t="n">
        <v>0</v>
      </c>
      <c r="Q78" s="37" t="n">
        <v>0</v>
      </c>
      <c r="R78" s="37" t="n">
        <v>0</v>
      </c>
      <c r="S78" s="37" t="n">
        <v>0</v>
      </c>
      <c r="T78" s="38" t="n">
        <v>7.2</v>
      </c>
      <c r="U78" s="37" t="n">
        <v>0</v>
      </c>
      <c r="V78" s="36" t="n">
        <v>0</v>
      </c>
      <c r="W78" t="n">
        <v>7.2</v>
      </c>
    </row>
    <row r="79">
      <c r="A79" s="36" t="inlineStr">
        <is>
          <t>M. Jaminet</t>
        </is>
      </c>
      <c r="B79" s="36">
        <f t="array" ref="B79:C79">_xlfn.XLOOKUP(A79,'Player List'!$A$2:$A$177,'Player List'!$B$2:$C$177)</f>
        <v/>
      </c>
      <c r="C79" s="36" t="inlineStr">
        <is>
          <t>Back Three</t>
        </is>
      </c>
      <c r="D79" s="37" t="n">
        <v>7</v>
      </c>
      <c r="F79" s="37" t="n">
        <v>2</v>
      </c>
      <c r="G79" s="37" t="n">
        <v>0</v>
      </c>
      <c r="H79" s="37" t="n">
        <v>0</v>
      </c>
      <c r="I79" s="37" t="n">
        <v>2.2</v>
      </c>
      <c r="J79" s="37" t="n">
        <v>0</v>
      </c>
      <c r="K79" s="37" t="n">
        <v>0</v>
      </c>
      <c r="L79" s="37" t="n">
        <v>0</v>
      </c>
      <c r="M79" s="37" t="n">
        <v>0</v>
      </c>
      <c r="N79" s="37" t="n">
        <v>7</v>
      </c>
      <c r="O79" s="37" t="n">
        <v>0</v>
      </c>
      <c r="P79" s="37" t="n">
        <v>0</v>
      </c>
      <c r="Q79" s="37" t="n">
        <v>0</v>
      </c>
      <c r="R79" s="37" t="n">
        <v>0</v>
      </c>
      <c r="S79" s="37" t="n">
        <v>0</v>
      </c>
      <c r="T79" s="38" t="n">
        <v>11.2</v>
      </c>
      <c r="U79" s="37" t="n">
        <v>0</v>
      </c>
      <c r="V79" s="36" t="n">
        <v>0</v>
      </c>
      <c r="W79" t="n">
        <v>11.2</v>
      </c>
    </row>
    <row r="80">
      <c r="A80" s="36" t="inlineStr">
        <is>
          <t>D. Penaud</t>
        </is>
      </c>
      <c r="B80" s="36">
        <f t="array" ref="B80:C80">_xlfn.XLOOKUP(A80,'Player List'!$A$2:$A$177,'Player List'!$B$2:$C$177)</f>
        <v/>
      </c>
      <c r="C80" s="36" t="inlineStr">
        <is>
          <t>Back Three</t>
        </is>
      </c>
      <c r="D80" s="37" t="n">
        <v>80</v>
      </c>
      <c r="F80" s="37" t="n">
        <v>4</v>
      </c>
      <c r="G80" s="37" t="n">
        <v>0</v>
      </c>
      <c r="H80" s="37" t="n">
        <v>14</v>
      </c>
      <c r="I80" s="37" t="n">
        <v>17.2</v>
      </c>
      <c r="J80" s="37" t="n">
        <v>0</v>
      </c>
      <c r="K80" s="37" t="n">
        <v>0</v>
      </c>
      <c r="L80" s="37" t="n">
        <v>0</v>
      </c>
      <c r="M80" s="37" t="n">
        <v>30</v>
      </c>
      <c r="N80" s="37" t="n">
        <v>0</v>
      </c>
      <c r="O80" s="37" t="n">
        <v>0</v>
      </c>
      <c r="P80" s="37" t="n">
        <v>0</v>
      </c>
      <c r="Q80" s="37" t="n">
        <v>0</v>
      </c>
      <c r="R80" s="37" t="n">
        <v>0</v>
      </c>
      <c r="S80" s="37" t="n">
        <v>0</v>
      </c>
      <c r="T80" s="38" t="n">
        <v>65.2</v>
      </c>
      <c r="U80" s="37" t="n">
        <v>0</v>
      </c>
      <c r="V80" s="36" t="n">
        <v>0</v>
      </c>
      <c r="W80" t="n">
        <v>65.2</v>
      </c>
    </row>
    <row r="81">
      <c r="A81" s="36" t="inlineStr">
        <is>
          <t>T. Ramos</t>
        </is>
      </c>
      <c r="B81" s="36">
        <f t="array" ref="B81:C81">_xlfn.XLOOKUP(A81,'Player List'!$A$2:$A$177,'Player List'!$B$2:$C$177)</f>
        <v/>
      </c>
      <c r="C81" s="36" t="inlineStr">
        <is>
          <t>Back Three</t>
        </is>
      </c>
      <c r="D81" s="37" t="n">
        <v>80</v>
      </c>
      <c r="F81" s="37" t="n">
        <v>0</v>
      </c>
      <c r="G81" s="37" t="n">
        <v>7</v>
      </c>
      <c r="H81" s="37" t="n">
        <v>7</v>
      </c>
      <c r="I81" s="37" t="n">
        <v>19.2</v>
      </c>
      <c r="J81" s="37" t="n">
        <v>0</v>
      </c>
      <c r="K81" s="37" t="n">
        <v>0</v>
      </c>
      <c r="L81" s="37" t="n">
        <v>0</v>
      </c>
      <c r="M81" s="37" t="n">
        <v>15</v>
      </c>
      <c r="N81" s="37" t="n">
        <v>0</v>
      </c>
      <c r="O81" s="37" t="n">
        <v>12</v>
      </c>
      <c r="P81" s="37" t="n">
        <v>10</v>
      </c>
      <c r="Q81" s="37" t="n">
        <v>0</v>
      </c>
      <c r="R81" s="37" t="n">
        <v>0</v>
      </c>
      <c r="S81" s="37" t="n">
        <v>0</v>
      </c>
      <c r="T81" s="38" t="n">
        <v>70.2</v>
      </c>
      <c r="U81" s="37" t="n">
        <v>15</v>
      </c>
      <c r="V81" s="36" t="n">
        <v>0</v>
      </c>
      <c r="W81" t="n">
        <v>85.2</v>
      </c>
    </row>
    <row r="82">
      <c r="A82" s="36" t="inlineStr">
        <is>
          <t>J. Danty</t>
        </is>
      </c>
      <c r="B82" s="36">
        <f t="array" ref="B82:C82">_xlfn.XLOOKUP(A82,'Player List'!$A$2:$A$177,'Player List'!$B$2:$C$177)</f>
        <v/>
      </c>
      <c r="C82" s="36" t="inlineStr">
        <is>
          <t>Centre</t>
        </is>
      </c>
      <c r="D82" s="37" t="n">
        <v>65</v>
      </c>
      <c r="F82" s="37" t="n">
        <v>8</v>
      </c>
      <c r="G82" s="37" t="n">
        <v>7</v>
      </c>
      <c r="H82" s="37" t="n">
        <v>0</v>
      </c>
      <c r="I82" s="37" t="n">
        <v>5.2</v>
      </c>
      <c r="J82" s="37" t="n">
        <v>0</v>
      </c>
      <c r="K82" s="37" t="n">
        <v>0</v>
      </c>
      <c r="L82" s="37" t="n">
        <v>7</v>
      </c>
      <c r="M82" s="37" t="n">
        <v>0</v>
      </c>
      <c r="N82" s="37" t="n">
        <v>0</v>
      </c>
      <c r="O82" s="37" t="n">
        <v>0</v>
      </c>
      <c r="P82" s="37" t="n">
        <v>0</v>
      </c>
      <c r="Q82" s="37" t="n">
        <v>0</v>
      </c>
      <c r="R82" s="37" t="n">
        <v>0</v>
      </c>
      <c r="S82" s="37" t="n">
        <v>0</v>
      </c>
      <c r="T82" s="38" t="n">
        <v>27.2</v>
      </c>
      <c r="U82" s="37" t="n">
        <v>0</v>
      </c>
      <c r="V82" s="36" t="n">
        <v>0</v>
      </c>
      <c r="W82" t="n">
        <v>27.2</v>
      </c>
    </row>
    <row r="83">
      <c r="A83" s="36" t="inlineStr">
        <is>
          <t>E. Dumortier</t>
        </is>
      </c>
      <c r="B83" s="36">
        <f t="array" ref="B83:C83">_xlfn.XLOOKUP(A83,'Player List'!$A$2:$A$177,'Player List'!$B$2:$C$177)</f>
        <v/>
      </c>
      <c r="C83" s="36" t="inlineStr">
        <is>
          <t>Centre</t>
        </is>
      </c>
      <c r="D83" s="37" t="n">
        <v>80</v>
      </c>
      <c r="F83" s="37" t="n">
        <v>0</v>
      </c>
      <c r="G83" s="37" t="n">
        <v>0</v>
      </c>
      <c r="H83" s="37" t="n">
        <v>7</v>
      </c>
      <c r="I83" s="37" t="n">
        <v>10</v>
      </c>
      <c r="J83" s="37" t="n">
        <v>0</v>
      </c>
      <c r="K83" s="37" t="n">
        <v>0</v>
      </c>
      <c r="L83" s="37" t="n">
        <v>0</v>
      </c>
      <c r="M83" s="37" t="n">
        <v>0</v>
      </c>
      <c r="N83" s="37" t="n">
        <v>7</v>
      </c>
      <c r="O83" s="37" t="n">
        <v>0</v>
      </c>
      <c r="P83" s="37" t="n">
        <v>0</v>
      </c>
      <c r="Q83" s="37" t="n">
        <v>0</v>
      </c>
      <c r="R83" s="37" t="n">
        <v>0</v>
      </c>
      <c r="S83" s="37" t="n">
        <v>0</v>
      </c>
      <c r="T83" s="38" t="n">
        <v>24</v>
      </c>
      <c r="U83" s="37" t="n">
        <v>0</v>
      </c>
      <c r="V83" s="36" t="n">
        <v>0</v>
      </c>
      <c r="W83" t="n">
        <v>24</v>
      </c>
    </row>
    <row r="84">
      <c r="A84" s="36" t="inlineStr">
        <is>
          <t>G. Fickou</t>
        </is>
      </c>
      <c r="B84" s="36">
        <f t="array" ref="B84:C84">_xlfn.XLOOKUP(A84,'Player List'!$A$2:$A$177,'Player List'!$B$2:$C$177)</f>
        <v/>
      </c>
      <c r="C84" s="36" t="inlineStr">
        <is>
          <t>Centre</t>
        </is>
      </c>
      <c r="D84" s="37" t="n">
        <v>80</v>
      </c>
      <c r="F84" s="37" t="n">
        <v>12</v>
      </c>
      <c r="G84" s="37" t="n">
        <v>7</v>
      </c>
      <c r="H84" s="37" t="n">
        <v>0</v>
      </c>
      <c r="I84" s="37" t="n">
        <v>10.8</v>
      </c>
      <c r="J84" s="37" t="n">
        <v>0</v>
      </c>
      <c r="K84" s="37" t="n">
        <v>0</v>
      </c>
      <c r="L84" s="37" t="n">
        <v>0</v>
      </c>
      <c r="M84" s="37" t="n">
        <v>0</v>
      </c>
      <c r="N84" s="37" t="n">
        <v>7</v>
      </c>
      <c r="O84" s="37" t="n">
        <v>0</v>
      </c>
      <c r="P84" s="37" t="n">
        <v>0</v>
      </c>
      <c r="Q84" s="37" t="n">
        <v>0</v>
      </c>
      <c r="R84" s="37" t="n">
        <v>0</v>
      </c>
      <c r="S84" s="37" t="n">
        <v>0</v>
      </c>
      <c r="T84" s="38" t="n">
        <v>36.8</v>
      </c>
      <c r="U84" s="37" t="n">
        <v>0</v>
      </c>
      <c r="V84" s="36" t="n">
        <v>0</v>
      </c>
      <c r="W84" t="n">
        <v>36.8</v>
      </c>
    </row>
    <row r="85">
      <c r="A85" s="36" t="inlineStr">
        <is>
          <t>Y. Moefana</t>
        </is>
      </c>
      <c r="B85" s="36">
        <f t="array" ref="B85:C85">_xlfn.XLOOKUP(A85,'Player List'!$A$2:$A$177,'Player List'!$B$2:$C$177)</f>
        <v/>
      </c>
      <c r="C85" s="36" t="inlineStr">
        <is>
          <t>Centre</t>
        </is>
      </c>
      <c r="D85" s="37" t="n">
        <v>15</v>
      </c>
      <c r="F85" s="37" t="n">
        <v>2</v>
      </c>
      <c r="G85" s="37" t="n">
        <v>0</v>
      </c>
      <c r="H85" s="37" t="n">
        <v>0</v>
      </c>
      <c r="I85" s="37" t="n">
        <v>2.2</v>
      </c>
      <c r="J85" s="37" t="n">
        <v>0</v>
      </c>
      <c r="K85" s="37" t="n">
        <v>0</v>
      </c>
      <c r="L85" s="37" t="n">
        <v>0</v>
      </c>
      <c r="M85" s="37" t="n">
        <v>0</v>
      </c>
      <c r="N85" s="37" t="n">
        <v>0</v>
      </c>
      <c r="O85" s="37" t="n">
        <v>0</v>
      </c>
      <c r="P85" s="37" t="n">
        <v>0</v>
      </c>
      <c r="Q85" s="37" t="n">
        <v>0</v>
      </c>
      <c r="R85" s="37" t="n">
        <v>0</v>
      </c>
      <c r="S85" s="37" t="n">
        <v>0</v>
      </c>
      <c r="T85" s="38" t="n">
        <v>4.2</v>
      </c>
      <c r="U85" s="37" t="n">
        <v>0</v>
      </c>
      <c r="V85" s="36" t="n">
        <v>0</v>
      </c>
      <c r="W85" t="n">
        <v>4.2</v>
      </c>
    </row>
    <row r="86">
      <c r="A86" s="36" t="inlineStr">
        <is>
          <t>R. Ntamack</t>
        </is>
      </c>
      <c r="B86" s="36">
        <f t="array" ref="B86:C86">_xlfn.XLOOKUP(A86,'Player List'!$A$2:$A$177,'Player List'!$B$2:$C$177)</f>
        <v/>
      </c>
      <c r="C86" s="36" t="inlineStr">
        <is>
          <t>Fly Half</t>
        </is>
      </c>
      <c r="D86" s="37" t="n">
        <v>73</v>
      </c>
      <c r="F86" s="37" t="n">
        <v>6</v>
      </c>
      <c r="G86" s="37" t="n">
        <v>0</v>
      </c>
      <c r="H86" s="37" t="n">
        <v>0</v>
      </c>
      <c r="I86" s="37" t="n">
        <v>3.2</v>
      </c>
      <c r="J86" s="37" t="n">
        <v>0</v>
      </c>
      <c r="K86" s="37" t="n">
        <v>0</v>
      </c>
      <c r="L86" s="37" t="n">
        <v>0</v>
      </c>
      <c r="M86" s="37" t="n">
        <v>0</v>
      </c>
      <c r="N86" s="37" t="n">
        <v>7</v>
      </c>
      <c r="O86" s="37" t="n">
        <v>0</v>
      </c>
      <c r="P86" s="37" t="n">
        <v>0</v>
      </c>
      <c r="Q86" s="37" t="n">
        <v>0</v>
      </c>
      <c r="R86" s="37" t="n">
        <v>0</v>
      </c>
      <c r="S86" s="37" t="n">
        <v>0</v>
      </c>
      <c r="T86" s="38" t="n">
        <v>16.2</v>
      </c>
      <c r="U86" s="37" t="n">
        <v>0</v>
      </c>
      <c r="V86" s="36" t="n">
        <v>0</v>
      </c>
      <c r="W86" t="n">
        <v>16.2</v>
      </c>
    </row>
    <row r="87">
      <c r="A87" s="36" t="inlineStr">
        <is>
          <t>A. Dupont</t>
        </is>
      </c>
      <c r="B87" s="36">
        <f t="array" ref="B87:C87">_xlfn.XLOOKUP(A87,'Player List'!$A$2:$A$177,'Player List'!$B$2:$C$177)</f>
        <v/>
      </c>
      <c r="C87" s="36" t="inlineStr">
        <is>
          <t>Scrum Half</t>
        </is>
      </c>
      <c r="D87" s="37" t="n">
        <v>69</v>
      </c>
      <c r="F87" s="37" t="n">
        <v>9</v>
      </c>
      <c r="G87" s="37" t="n">
        <v>7</v>
      </c>
      <c r="H87" s="37" t="n">
        <v>7</v>
      </c>
      <c r="I87" s="37" t="n">
        <v>9</v>
      </c>
      <c r="J87" s="37" t="n">
        <v>10</v>
      </c>
      <c r="K87" s="37" t="n">
        <v>0</v>
      </c>
      <c r="L87" s="37" t="n">
        <v>0</v>
      </c>
      <c r="M87" s="37" t="n">
        <v>0</v>
      </c>
      <c r="N87" s="37" t="n">
        <v>7</v>
      </c>
      <c r="O87" s="37" t="n">
        <v>0</v>
      </c>
      <c r="P87" s="37" t="n">
        <v>0</v>
      </c>
      <c r="Q87" s="37" t="n">
        <v>0</v>
      </c>
      <c r="R87" s="37" t="n">
        <v>0</v>
      </c>
      <c r="S87" s="37" t="n">
        <v>0</v>
      </c>
      <c r="T87" s="38" t="n">
        <v>49</v>
      </c>
      <c r="U87" s="37" t="n">
        <v>0</v>
      </c>
      <c r="V87" s="36" t="n">
        <v>0</v>
      </c>
      <c r="W87" t="n">
        <v>49</v>
      </c>
    </row>
    <row r="88">
      <c r="A88" s="36" t="inlineStr">
        <is>
          <t>M. Lucu</t>
        </is>
      </c>
      <c r="B88" s="36">
        <f t="array" ref="B88:C88">_xlfn.XLOOKUP(A88,'Player List'!$A$2:$A$177,'Player List'!$B$2:$C$177)</f>
        <v/>
      </c>
      <c r="C88" s="36" t="inlineStr">
        <is>
          <t>Scrum Half</t>
        </is>
      </c>
      <c r="D88" s="37" t="n">
        <v>11</v>
      </c>
      <c r="F88" s="37" t="n">
        <v>0</v>
      </c>
      <c r="G88" s="37" t="n">
        <v>0</v>
      </c>
      <c r="H88" s="37" t="n">
        <v>0</v>
      </c>
      <c r="I88" s="37" t="n">
        <v>0.4</v>
      </c>
      <c r="J88" s="37" t="n">
        <v>0</v>
      </c>
      <c r="K88" s="37" t="n">
        <v>0</v>
      </c>
      <c r="L88" s="37" t="n">
        <v>0</v>
      </c>
      <c r="M88" s="37" t="n">
        <v>0</v>
      </c>
      <c r="N88" s="37" t="n">
        <v>0</v>
      </c>
      <c r="O88" s="37" t="n">
        <v>0</v>
      </c>
      <c r="P88" s="37" t="n">
        <v>0</v>
      </c>
      <c r="Q88" s="37" t="n">
        <v>0</v>
      </c>
      <c r="R88" s="37" t="n">
        <v>0</v>
      </c>
      <c r="S88" s="37" t="n">
        <v>0</v>
      </c>
      <c r="T88" s="38" t="n">
        <v>0.4</v>
      </c>
      <c r="U88" s="37" t="n">
        <v>0</v>
      </c>
      <c r="V88" s="36" t="n">
        <v>0</v>
      </c>
      <c r="W88" t="n">
        <v>0.4</v>
      </c>
    </row>
    <row r="89">
      <c r="A89" s="36" t="inlineStr">
        <is>
          <t>G. Alldritt</t>
        </is>
      </c>
      <c r="B89" s="36">
        <f t="array" ref="B89:C89">_xlfn.XLOOKUP(A89,'Player List'!$A$2:$A$177,'Player List'!$B$2:$C$177)</f>
        <v/>
      </c>
      <c r="C89" s="36" t="inlineStr">
        <is>
          <t>Back Row</t>
        </is>
      </c>
      <c r="D89" s="37" t="n">
        <v>80</v>
      </c>
      <c r="F89" s="37" t="n">
        <v>7</v>
      </c>
      <c r="G89" s="37" t="n">
        <v>7</v>
      </c>
      <c r="H89" s="37" t="n">
        <v>7</v>
      </c>
      <c r="I89" s="37" t="n">
        <v>18.6</v>
      </c>
      <c r="J89" s="37" t="n">
        <v>0</v>
      </c>
      <c r="K89" s="37" t="n">
        <v>0</v>
      </c>
      <c r="L89" s="37" t="n">
        <v>14</v>
      </c>
      <c r="M89" s="37" t="n">
        <v>0</v>
      </c>
      <c r="N89" s="37" t="n">
        <v>7</v>
      </c>
      <c r="O89" s="37" t="n">
        <v>0</v>
      </c>
      <c r="P89" s="37" t="n">
        <v>0</v>
      </c>
      <c r="Q89" s="37" t="n">
        <v>0</v>
      </c>
      <c r="R89" s="37" t="n">
        <v>0</v>
      </c>
      <c r="S89" s="37" t="n">
        <v>0</v>
      </c>
      <c r="T89" s="38" t="n">
        <v>60.6</v>
      </c>
      <c r="U89" s="37" t="n">
        <v>0</v>
      </c>
      <c r="V89" s="36" t="n">
        <v>0</v>
      </c>
      <c r="W89" t="n">
        <v>60.6</v>
      </c>
    </row>
    <row r="90">
      <c r="A90" s="36" t="inlineStr">
        <is>
          <t>F. Cros</t>
        </is>
      </c>
      <c r="B90" s="36">
        <f t="array" ref="B90:C90">_xlfn.XLOOKUP(A90,'Player List'!$A$2:$A$177,'Player List'!$B$2:$C$177)</f>
        <v/>
      </c>
      <c r="C90" s="36" t="inlineStr">
        <is>
          <t>Back Row</t>
        </is>
      </c>
      <c r="D90" s="37" t="n">
        <v>80</v>
      </c>
      <c r="F90" s="37" t="n">
        <v>12</v>
      </c>
      <c r="G90" s="37" t="n">
        <v>7</v>
      </c>
      <c r="H90" s="37" t="n">
        <v>0</v>
      </c>
      <c r="I90" s="37" t="n">
        <v>6.6</v>
      </c>
      <c r="J90" s="37" t="n">
        <v>0</v>
      </c>
      <c r="K90" s="37" t="n">
        <v>0</v>
      </c>
      <c r="L90" s="37" t="n">
        <v>0</v>
      </c>
      <c r="M90" s="37" t="n">
        <v>0</v>
      </c>
      <c r="N90" s="37" t="n">
        <v>0</v>
      </c>
      <c r="O90" s="37" t="n">
        <v>0</v>
      </c>
      <c r="P90" s="37" t="n">
        <v>0</v>
      </c>
      <c r="Q90" s="37" t="n">
        <v>0</v>
      </c>
      <c r="R90" s="37" t="n">
        <v>0</v>
      </c>
      <c r="S90" s="37" t="n">
        <v>0</v>
      </c>
      <c r="T90" s="38" t="n">
        <v>25.6</v>
      </c>
      <c r="U90" s="37" t="n">
        <v>0</v>
      </c>
      <c r="V90" s="36" t="n">
        <v>0</v>
      </c>
      <c r="W90" t="n">
        <v>25.6</v>
      </c>
    </row>
    <row r="91">
      <c r="A91" s="36" t="inlineStr">
        <is>
          <t>S. Macalou</t>
        </is>
      </c>
      <c r="B91" s="36">
        <f t="array" ref="B91:C91">_xlfn.XLOOKUP(A91,'Player List'!$A$2:$A$177,'Player List'!$B$2:$C$177)</f>
        <v/>
      </c>
      <c r="C91" s="36" t="inlineStr">
        <is>
          <t>Back Row</t>
        </is>
      </c>
      <c r="D91" s="37" t="n">
        <v>18</v>
      </c>
      <c r="F91" s="37" t="n">
        <v>2</v>
      </c>
      <c r="G91" s="37" t="n">
        <v>0</v>
      </c>
      <c r="H91" s="37" t="n">
        <v>0</v>
      </c>
      <c r="I91" s="37" t="n">
        <v>0</v>
      </c>
      <c r="J91" s="37" t="n">
        <v>0</v>
      </c>
      <c r="K91" s="37" t="n">
        <v>0</v>
      </c>
      <c r="L91" s="37" t="n">
        <v>0</v>
      </c>
      <c r="M91" s="37" t="n">
        <v>0</v>
      </c>
      <c r="N91" s="37" t="n">
        <v>0</v>
      </c>
      <c r="O91" s="37" t="n">
        <v>0</v>
      </c>
      <c r="P91" s="37" t="n">
        <v>0</v>
      </c>
      <c r="Q91" s="37" t="n">
        <v>0</v>
      </c>
      <c r="R91" s="37" t="n">
        <v>0</v>
      </c>
      <c r="S91" s="37" t="n">
        <v>0</v>
      </c>
      <c r="T91" s="38" t="n">
        <v>2</v>
      </c>
      <c r="U91" s="37" t="n">
        <v>0</v>
      </c>
      <c r="V91" s="36" t="n">
        <v>0</v>
      </c>
      <c r="W91" t="n">
        <v>2</v>
      </c>
    </row>
    <row r="92">
      <c r="A92" s="36" t="inlineStr">
        <is>
          <t>C. Ollivon</t>
        </is>
      </c>
      <c r="B92" s="36">
        <f t="array" ref="B92:C92">_xlfn.XLOOKUP(A92,'Player List'!$A$2:$A$177,'Player List'!$B$2:$C$177)</f>
        <v/>
      </c>
      <c r="C92" s="36" t="inlineStr">
        <is>
          <t>Back Row</t>
        </is>
      </c>
      <c r="D92" s="37" t="n">
        <v>62</v>
      </c>
      <c r="F92" s="37" t="n">
        <v>5</v>
      </c>
      <c r="G92" s="37" t="n">
        <v>7</v>
      </c>
      <c r="H92" s="37" t="n">
        <v>7</v>
      </c>
      <c r="I92" s="37" t="n">
        <v>11.8</v>
      </c>
      <c r="J92" s="37" t="n">
        <v>0</v>
      </c>
      <c r="K92" s="37" t="n">
        <v>0</v>
      </c>
      <c r="L92" s="37" t="n">
        <v>0</v>
      </c>
      <c r="M92" s="37" t="n">
        <v>30</v>
      </c>
      <c r="N92" s="37" t="n">
        <v>0</v>
      </c>
      <c r="O92" s="37" t="n">
        <v>0</v>
      </c>
      <c r="P92" s="37" t="n">
        <v>0</v>
      </c>
      <c r="Q92" s="37" t="n">
        <v>0</v>
      </c>
      <c r="R92" s="37" t="n">
        <v>0</v>
      </c>
      <c r="S92" s="37" t="n">
        <v>0</v>
      </c>
      <c r="T92" s="38" t="n">
        <v>60.8</v>
      </c>
      <c r="U92" s="37" t="n">
        <v>0</v>
      </c>
      <c r="V92" s="36" t="n">
        <v>0</v>
      </c>
      <c r="W92" t="n">
        <v>60.8</v>
      </c>
    </row>
    <row r="93">
      <c r="A93" s="36" t="inlineStr">
        <is>
          <t>T. Flament</t>
        </is>
      </c>
      <c r="B93" s="36">
        <f t="array" ref="B93:C93">_xlfn.XLOOKUP(A93,'Player List'!$A$2:$A$177,'Player List'!$B$2:$C$177)</f>
        <v/>
      </c>
      <c r="C93" s="36" t="inlineStr">
        <is>
          <t>Second Row</t>
        </is>
      </c>
      <c r="D93" s="37" t="n">
        <v>80</v>
      </c>
      <c r="F93" s="37" t="n">
        <v>9</v>
      </c>
      <c r="G93" s="37" t="n">
        <v>0</v>
      </c>
      <c r="H93" s="37" t="n">
        <v>14</v>
      </c>
      <c r="I93" s="37" t="n">
        <v>9.6</v>
      </c>
      <c r="J93" s="37" t="n">
        <v>0</v>
      </c>
      <c r="K93" s="37" t="n">
        <v>0</v>
      </c>
      <c r="L93" s="37" t="n">
        <v>0</v>
      </c>
      <c r="M93" s="37" t="n">
        <v>30</v>
      </c>
      <c r="N93" s="37" t="n">
        <v>0</v>
      </c>
      <c r="O93" s="37" t="n">
        <v>0</v>
      </c>
      <c r="P93" s="37" t="n">
        <v>0</v>
      </c>
      <c r="Q93" s="37" t="n">
        <v>0</v>
      </c>
      <c r="R93" s="37" t="n">
        <v>0</v>
      </c>
      <c r="S93" s="37" t="n">
        <v>0</v>
      </c>
      <c r="T93" s="38" t="n">
        <v>62.6</v>
      </c>
      <c r="U93" s="37" t="n">
        <v>0</v>
      </c>
      <c r="V93" s="36" t="n">
        <v>0</v>
      </c>
      <c r="W93" t="n">
        <v>62.6</v>
      </c>
    </row>
    <row r="94">
      <c r="A94" s="36" t="inlineStr">
        <is>
          <t>R. Taofifenua</t>
        </is>
      </c>
      <c r="B94" s="36">
        <f t="array" ref="B94:C94">_xlfn.XLOOKUP(A94,'Player List'!$A$2:$A$177,'Player List'!$B$2:$C$177)</f>
        <v/>
      </c>
      <c r="C94" s="36" t="inlineStr">
        <is>
          <t>Second Row</t>
        </is>
      </c>
      <c r="D94" s="37" t="n">
        <v>30</v>
      </c>
      <c r="F94" s="37" t="n">
        <v>7</v>
      </c>
      <c r="G94" s="37" t="n">
        <v>0</v>
      </c>
      <c r="H94" s="37" t="n">
        <v>0</v>
      </c>
      <c r="I94" s="37" t="n">
        <v>2.6</v>
      </c>
      <c r="J94" s="37" t="n">
        <v>0</v>
      </c>
      <c r="K94" s="37" t="n">
        <v>0</v>
      </c>
      <c r="L94" s="37" t="n">
        <v>0</v>
      </c>
      <c r="M94" s="37" t="n">
        <v>0</v>
      </c>
      <c r="N94" s="37" t="n">
        <v>0</v>
      </c>
      <c r="O94" s="37" t="n">
        <v>0</v>
      </c>
      <c r="P94" s="37" t="n">
        <v>0</v>
      </c>
      <c r="Q94" s="37" t="n">
        <v>0</v>
      </c>
      <c r="R94" s="37" t="n">
        <v>0</v>
      </c>
      <c r="S94" s="37" t="n">
        <v>0</v>
      </c>
      <c r="T94" s="38" t="n">
        <v>9.6</v>
      </c>
      <c r="U94" s="37" t="n">
        <v>0</v>
      </c>
      <c r="V94" s="36" t="n">
        <v>0</v>
      </c>
      <c r="W94" t="n">
        <v>9.6</v>
      </c>
    </row>
    <row r="95">
      <c r="A95" s="36" t="inlineStr">
        <is>
          <t>P. Willemse</t>
        </is>
      </c>
      <c r="B95" s="36">
        <f t="array" ref="B95:C95">_xlfn.XLOOKUP(A95,'Player List'!$A$2:$A$177,'Player List'!$B$2:$C$177)</f>
        <v/>
      </c>
      <c r="C95" s="36" t="inlineStr">
        <is>
          <t>Second Row</t>
        </is>
      </c>
      <c r="D95" s="37" t="n">
        <v>50</v>
      </c>
      <c r="F95" s="37" t="n">
        <v>8</v>
      </c>
      <c r="G95" s="37" t="n">
        <v>0</v>
      </c>
      <c r="H95" s="37" t="n">
        <v>0</v>
      </c>
      <c r="I95" s="37" t="n">
        <v>0</v>
      </c>
      <c r="J95" s="37" t="n">
        <v>0</v>
      </c>
      <c r="K95" s="37" t="n">
        <v>0</v>
      </c>
      <c r="L95" s="37" t="n">
        <v>0</v>
      </c>
      <c r="M95" s="37" t="n">
        <v>0</v>
      </c>
      <c r="N95" s="37" t="n">
        <v>0</v>
      </c>
      <c r="O95" s="37" t="n">
        <v>0</v>
      </c>
      <c r="P95" s="37" t="n">
        <v>0</v>
      </c>
      <c r="Q95" s="37" t="n">
        <v>0</v>
      </c>
      <c r="R95" s="37" t="n">
        <v>0</v>
      </c>
      <c r="S95" s="37" t="n">
        <v>0</v>
      </c>
      <c r="T95" s="38" t="n">
        <v>8</v>
      </c>
      <c r="U95" s="37" t="n">
        <v>0</v>
      </c>
      <c r="V95" s="36" t="n">
        <v>0</v>
      </c>
      <c r="W95" t="n">
        <v>8</v>
      </c>
    </row>
    <row r="96">
      <c r="A96" s="36" t="inlineStr">
        <is>
          <t>D. Aldegheri</t>
        </is>
      </c>
      <c r="B96" s="36">
        <f t="array" ref="B96:C96">_xlfn.XLOOKUP(A96,'Player List'!$A$2:$A$177,'Player List'!$B$2:$C$177)</f>
        <v/>
      </c>
      <c r="C96" s="36" t="inlineStr">
        <is>
          <t>Prop</t>
        </is>
      </c>
      <c r="D96" s="37" t="n">
        <v>50</v>
      </c>
      <c r="F96" s="37" t="n">
        <v>6</v>
      </c>
      <c r="G96" s="37" t="n">
        <v>0</v>
      </c>
      <c r="H96" s="37" t="n">
        <v>0</v>
      </c>
      <c r="I96" s="37" t="n">
        <v>0</v>
      </c>
      <c r="J96" s="37" t="n">
        <v>0</v>
      </c>
      <c r="K96" s="37" t="n">
        <v>0</v>
      </c>
      <c r="L96" s="37" t="n">
        <v>0</v>
      </c>
      <c r="M96" s="37" t="n">
        <v>0</v>
      </c>
      <c r="N96" s="37" t="n">
        <v>0</v>
      </c>
      <c r="O96" s="37" t="n">
        <v>0</v>
      </c>
      <c r="P96" s="37" t="n">
        <v>0</v>
      </c>
      <c r="Q96" s="37" t="n">
        <v>0</v>
      </c>
      <c r="R96" s="37" t="n">
        <v>0</v>
      </c>
      <c r="S96" s="37" t="n">
        <v>0</v>
      </c>
      <c r="T96" s="38" t="n">
        <v>6</v>
      </c>
      <c r="U96" s="37" t="n">
        <v>0</v>
      </c>
      <c r="V96" s="36" t="n">
        <v>0</v>
      </c>
      <c r="W96" t="n">
        <v>6</v>
      </c>
    </row>
    <row r="97">
      <c r="A97" s="36" t="inlineStr">
        <is>
          <t>C. Baille</t>
        </is>
      </c>
      <c r="B97" s="36">
        <f t="array" ref="B97:C97">_xlfn.XLOOKUP(A97,'Player List'!$A$2:$A$177,'Player List'!$B$2:$C$177)</f>
        <v/>
      </c>
      <c r="C97" s="36" t="inlineStr">
        <is>
          <t>Prop</t>
        </is>
      </c>
      <c r="D97" s="37" t="n">
        <v>61</v>
      </c>
      <c r="F97" s="37" t="n">
        <v>5</v>
      </c>
      <c r="G97" s="37" t="n">
        <v>0</v>
      </c>
      <c r="H97" s="37" t="n">
        <v>0</v>
      </c>
      <c r="I97" s="37" t="n">
        <v>7.6</v>
      </c>
      <c r="J97" s="37" t="n">
        <v>0</v>
      </c>
      <c r="K97" s="37" t="n">
        <v>0</v>
      </c>
      <c r="L97" s="37" t="n">
        <v>0</v>
      </c>
      <c r="M97" s="37" t="n">
        <v>0</v>
      </c>
      <c r="N97" s="37" t="n">
        <v>0</v>
      </c>
      <c r="O97" s="37" t="n">
        <v>0</v>
      </c>
      <c r="P97" s="37" t="n">
        <v>0</v>
      </c>
      <c r="Q97" s="37" t="n">
        <v>0</v>
      </c>
      <c r="R97" s="37" t="n">
        <v>0</v>
      </c>
      <c r="S97" s="37" t="n">
        <v>0</v>
      </c>
      <c r="T97" s="38" t="n">
        <v>12.6</v>
      </c>
      <c r="U97" s="37" t="n">
        <v>0</v>
      </c>
      <c r="V97" s="36" t="n">
        <v>0</v>
      </c>
      <c r="W97" t="n">
        <v>12.6</v>
      </c>
    </row>
    <row r="98">
      <c r="A98" s="36" t="inlineStr">
        <is>
          <t>S. Falatea</t>
        </is>
      </c>
      <c r="B98" s="36">
        <f t="array" ref="B98:C98">_xlfn.XLOOKUP(A98,'Player List'!$A$2:$A$177,'Player List'!$B$2:$C$177)</f>
        <v/>
      </c>
      <c r="C98" s="36" t="inlineStr">
        <is>
          <t>Prop</t>
        </is>
      </c>
      <c r="D98" s="37" t="n">
        <v>30</v>
      </c>
      <c r="F98" s="37" t="n">
        <v>2</v>
      </c>
      <c r="G98" s="37" t="n">
        <v>0</v>
      </c>
      <c r="H98" s="37" t="n">
        <v>0</v>
      </c>
      <c r="I98" s="37" t="n">
        <v>0</v>
      </c>
      <c r="J98" s="37" t="n">
        <v>0</v>
      </c>
      <c r="K98" s="37" t="n">
        <v>0</v>
      </c>
      <c r="L98" s="37" t="n">
        <v>0</v>
      </c>
      <c r="M98" s="37" t="n">
        <v>0</v>
      </c>
      <c r="N98" s="37" t="n">
        <v>0</v>
      </c>
      <c r="O98" s="37" t="n">
        <v>0</v>
      </c>
      <c r="P98" s="37" t="n">
        <v>0</v>
      </c>
      <c r="Q98" s="37" t="n">
        <v>0</v>
      </c>
      <c r="R98" s="37" t="n">
        <v>0</v>
      </c>
      <c r="S98" s="37" t="n">
        <v>0</v>
      </c>
      <c r="T98" s="38" t="n">
        <v>2</v>
      </c>
      <c r="U98" s="37" t="n">
        <v>0</v>
      </c>
      <c r="V98" s="36" t="n">
        <v>0</v>
      </c>
      <c r="W98" t="n">
        <v>2</v>
      </c>
    </row>
    <row r="99">
      <c r="A99" s="36" t="inlineStr">
        <is>
          <t>R. Wardi</t>
        </is>
      </c>
      <c r="B99" s="36">
        <f t="array" ref="B99:C99">_xlfn.XLOOKUP(A99,'Player List'!$A$2:$A$177,'Player List'!$B$2:$C$177)</f>
        <v/>
      </c>
      <c r="C99" s="36" t="inlineStr">
        <is>
          <t>Prop</t>
        </is>
      </c>
      <c r="D99" s="37" t="n">
        <v>19</v>
      </c>
      <c r="F99" s="37" t="n">
        <v>5</v>
      </c>
      <c r="G99" s="37" t="n">
        <v>0</v>
      </c>
      <c r="H99" s="37" t="n">
        <v>0</v>
      </c>
      <c r="I99" s="37" t="n">
        <v>0</v>
      </c>
      <c r="J99" s="37" t="n">
        <v>0</v>
      </c>
      <c r="K99" s="37" t="n">
        <v>0</v>
      </c>
      <c r="L99" s="37" t="n">
        <v>0</v>
      </c>
      <c r="M99" s="37" t="n">
        <v>0</v>
      </c>
      <c r="N99" s="37" t="n">
        <v>0</v>
      </c>
      <c r="O99" s="37" t="n">
        <v>0</v>
      </c>
      <c r="P99" s="37" t="n">
        <v>0</v>
      </c>
      <c r="Q99" s="37" t="n">
        <v>0</v>
      </c>
      <c r="R99" s="37" t="n">
        <v>0</v>
      </c>
      <c r="S99" s="37" t="n">
        <v>0</v>
      </c>
      <c r="T99" s="38" t="n">
        <v>5</v>
      </c>
      <c r="U99" s="37" t="n">
        <v>0</v>
      </c>
      <c r="V99" s="36" t="n">
        <v>0</v>
      </c>
      <c r="W99" t="n">
        <v>5</v>
      </c>
    </row>
    <row r="100">
      <c r="A100" s="36" t="inlineStr">
        <is>
          <t>J. Marchand</t>
        </is>
      </c>
      <c r="B100" s="36">
        <f t="array" ref="B100:C100">_xlfn.XLOOKUP(A100,'Player List'!$A$2:$A$177,'Player List'!$B$2:$C$177)</f>
        <v/>
      </c>
      <c r="C100" s="36" t="inlineStr">
        <is>
          <t>Hooker</t>
        </is>
      </c>
      <c r="D100" s="37" t="n">
        <v>61</v>
      </c>
      <c r="F100" s="37" t="n">
        <v>2</v>
      </c>
      <c r="G100" s="37" t="n">
        <v>0</v>
      </c>
      <c r="H100" s="37" t="n">
        <v>0</v>
      </c>
      <c r="I100" s="37" t="n">
        <v>3.2</v>
      </c>
      <c r="J100" s="37" t="n">
        <v>0</v>
      </c>
      <c r="K100" s="37" t="n">
        <v>0</v>
      </c>
      <c r="L100" s="37" t="n">
        <v>0</v>
      </c>
      <c r="M100" s="37" t="n">
        <v>0</v>
      </c>
      <c r="N100" s="37" t="n">
        <v>0</v>
      </c>
      <c r="O100" s="37" t="n">
        <v>0</v>
      </c>
      <c r="P100" s="37" t="n">
        <v>0</v>
      </c>
      <c r="Q100" s="37" t="n">
        <v>0</v>
      </c>
      <c r="R100" s="37" t="n">
        <v>0</v>
      </c>
      <c r="S100" s="37" t="n">
        <v>0</v>
      </c>
      <c r="T100" s="38" t="n">
        <v>5.2</v>
      </c>
      <c r="U100" s="37" t="n">
        <v>0</v>
      </c>
      <c r="V100" s="36" t="n">
        <v>0</v>
      </c>
      <c r="W100" t="n">
        <v>5.2</v>
      </c>
    </row>
    <row r="101">
      <c r="A101" s="36" t="inlineStr">
        <is>
          <t>P. Mauvaka</t>
        </is>
      </c>
      <c r="B101" s="36">
        <f t="array" ref="B101:C101">_xlfn.XLOOKUP(A101,'Player List'!$A$2:$A$177,'Player List'!$B$2:$C$177)</f>
        <v/>
      </c>
      <c r="C101" s="36" t="inlineStr">
        <is>
          <t>Hooker</t>
        </is>
      </c>
      <c r="D101" s="37" t="n">
        <v>19</v>
      </c>
      <c r="F101" s="37" t="n">
        <v>4</v>
      </c>
      <c r="G101" s="37" t="n">
        <v>0</v>
      </c>
      <c r="H101" s="37" t="n">
        <v>0</v>
      </c>
      <c r="I101" s="37" t="n">
        <v>0.2</v>
      </c>
      <c r="J101" s="37" t="n">
        <v>0</v>
      </c>
      <c r="K101" s="37" t="n">
        <v>0</v>
      </c>
      <c r="L101" s="37" t="n">
        <v>0</v>
      </c>
      <c r="M101" s="37" t="n">
        <v>0</v>
      </c>
      <c r="N101" s="37" t="n">
        <v>0</v>
      </c>
      <c r="O101" s="37" t="n">
        <v>0</v>
      </c>
      <c r="P101" s="37" t="n">
        <v>0</v>
      </c>
      <c r="Q101" s="37" t="n">
        <v>0</v>
      </c>
      <c r="R101" s="37" t="n">
        <v>0</v>
      </c>
      <c r="S101" s="37" t="n">
        <v>0</v>
      </c>
      <c r="T101" s="38" t="n">
        <v>4.2</v>
      </c>
      <c r="U101" s="37" t="n">
        <v>0</v>
      </c>
      <c r="V101" s="36" t="n">
        <v>0</v>
      </c>
      <c r="W101" t="n">
        <v>4.2</v>
      </c>
    </row>
    <row r="102">
      <c r="A102" s="36" t="inlineStr">
        <is>
          <t>S. Hogg</t>
        </is>
      </c>
      <c r="B102" s="36">
        <f t="array" ref="B102:C102">_xlfn.XLOOKUP(A102,'Player List'!$A$2:$A$177,'Player List'!$B$2:$C$177)</f>
        <v/>
      </c>
      <c r="C102" s="36" t="inlineStr">
        <is>
          <t>Back Three</t>
        </is>
      </c>
      <c r="D102" s="37" t="n">
        <v>65</v>
      </c>
      <c r="F102" s="37" t="n">
        <v>4</v>
      </c>
      <c r="G102" s="37" t="n">
        <v>0</v>
      </c>
      <c r="H102" s="37" t="n">
        <v>0</v>
      </c>
      <c r="I102" s="37" t="n">
        <v>13</v>
      </c>
      <c r="J102" s="37" t="n">
        <v>0</v>
      </c>
      <c r="K102" s="37" t="n">
        <v>0</v>
      </c>
      <c r="L102" s="37" t="n">
        <v>0</v>
      </c>
      <c r="M102" s="37" t="n">
        <v>0</v>
      </c>
      <c r="N102" s="37" t="n">
        <v>0</v>
      </c>
      <c r="O102" s="37" t="n">
        <v>0</v>
      </c>
      <c r="P102" s="37" t="n">
        <v>0</v>
      </c>
      <c r="Q102" s="37" t="n">
        <v>0</v>
      </c>
      <c r="R102" s="37" t="n">
        <v>0</v>
      </c>
      <c r="S102" s="37" t="n">
        <v>0</v>
      </c>
      <c r="T102" s="38" t="n">
        <v>17</v>
      </c>
      <c r="U102" s="37" t="n">
        <v>0</v>
      </c>
      <c r="V102" s="36" t="n">
        <v>0</v>
      </c>
      <c r="W102" t="n">
        <v>17</v>
      </c>
    </row>
    <row r="103">
      <c r="A103" s="36" t="inlineStr">
        <is>
          <t>B. Kinghorn</t>
        </is>
      </c>
      <c r="B103" s="36">
        <f t="array" ref="B103:C103">_xlfn.XLOOKUP(A103,'Player List'!$A$2:$A$177,'Player List'!$B$2:$C$177)</f>
        <v/>
      </c>
      <c r="C103" s="36" t="inlineStr">
        <is>
          <t>Back Three</t>
        </is>
      </c>
      <c r="D103" s="37" t="n">
        <v>15</v>
      </c>
      <c r="F103" s="37" t="n">
        <v>1</v>
      </c>
      <c r="G103" s="37" t="n">
        <v>0</v>
      </c>
      <c r="H103" s="37" t="n">
        <v>0</v>
      </c>
      <c r="I103" s="37" t="n">
        <v>11.8</v>
      </c>
      <c r="J103" s="37" t="n">
        <v>0</v>
      </c>
      <c r="K103" s="37" t="n">
        <v>0</v>
      </c>
      <c r="L103" s="37" t="n">
        <v>0</v>
      </c>
      <c r="M103" s="37" t="n">
        <v>0</v>
      </c>
      <c r="N103" s="37" t="n">
        <v>0</v>
      </c>
      <c r="O103" s="37" t="n">
        <v>0</v>
      </c>
      <c r="P103" s="37" t="n">
        <v>0</v>
      </c>
      <c r="Q103" s="37" t="n">
        <v>0</v>
      </c>
      <c r="R103" s="37" t="n">
        <v>0</v>
      </c>
      <c r="S103" s="37" t="n">
        <v>0</v>
      </c>
      <c r="T103" s="38" t="n">
        <v>12.8</v>
      </c>
      <c r="U103" s="37" t="n">
        <v>0</v>
      </c>
      <c r="V103" s="36" t="n">
        <v>0</v>
      </c>
      <c r="W103" t="n">
        <v>12.8</v>
      </c>
    </row>
    <row r="104">
      <c r="A104" s="36" t="inlineStr">
        <is>
          <t>K. Steyn</t>
        </is>
      </c>
      <c r="B104" s="36">
        <f t="array" ref="B104:C104">_xlfn.XLOOKUP(A104,'Player List'!$A$2:$A$177,'Player List'!$B$2:$C$177)</f>
        <v/>
      </c>
      <c r="C104" s="36" t="inlineStr">
        <is>
          <t>Back Three</t>
        </is>
      </c>
      <c r="D104" s="37" t="n">
        <v>80</v>
      </c>
      <c r="F104" s="37" t="n">
        <v>2</v>
      </c>
      <c r="G104" s="37" t="n">
        <v>0</v>
      </c>
      <c r="H104" s="37" t="n">
        <v>0</v>
      </c>
      <c r="I104" s="37" t="n">
        <v>6.4</v>
      </c>
      <c r="J104" s="37" t="n">
        <v>0</v>
      </c>
      <c r="K104" s="37" t="n">
        <v>0</v>
      </c>
      <c r="L104" s="37" t="n">
        <v>0</v>
      </c>
      <c r="M104" s="37" t="n">
        <v>0</v>
      </c>
      <c r="N104" s="37" t="n">
        <v>0</v>
      </c>
      <c r="O104" s="37" t="n">
        <v>0</v>
      </c>
      <c r="P104" s="37" t="n">
        <v>0</v>
      </c>
      <c r="Q104" s="37" t="n">
        <v>0</v>
      </c>
      <c r="R104" s="37" t="n">
        <v>0</v>
      </c>
      <c r="S104" s="37" t="n">
        <v>0</v>
      </c>
      <c r="T104" s="38" t="n">
        <v>8.4</v>
      </c>
      <c r="U104" s="37" t="n">
        <v>0</v>
      </c>
      <c r="V104" s="36" t="n">
        <v>0</v>
      </c>
      <c r="W104" t="n">
        <v>8.4</v>
      </c>
    </row>
    <row r="105">
      <c r="A105" s="36" t="inlineStr">
        <is>
          <t>D. van der Merwe</t>
        </is>
      </c>
      <c r="B105" s="36">
        <f t="array" ref="B105:C105">_xlfn.XLOOKUP(A105,'Player List'!$A$2:$A$177,'Player List'!$B$2:$C$177)</f>
        <v/>
      </c>
      <c r="C105" s="36" t="inlineStr">
        <is>
          <t>Back Three</t>
        </is>
      </c>
      <c r="D105" s="37" t="n">
        <v>80</v>
      </c>
      <c r="F105" s="37" t="n">
        <v>2</v>
      </c>
      <c r="G105" s="37" t="n">
        <v>0</v>
      </c>
      <c r="H105" s="37" t="n">
        <v>7</v>
      </c>
      <c r="I105" s="37" t="n">
        <v>19.6</v>
      </c>
      <c r="J105" s="37" t="n">
        <v>0</v>
      </c>
      <c r="K105" s="37" t="n">
        <v>0</v>
      </c>
      <c r="L105" s="37" t="n">
        <v>0</v>
      </c>
      <c r="M105" s="37" t="n">
        <v>0</v>
      </c>
      <c r="N105" s="37" t="n">
        <v>0</v>
      </c>
      <c r="O105" s="37" t="n">
        <v>0</v>
      </c>
      <c r="P105" s="37" t="n">
        <v>0</v>
      </c>
      <c r="Q105" s="37" t="n">
        <v>0</v>
      </c>
      <c r="R105" s="37" t="n">
        <v>0</v>
      </c>
      <c r="S105" s="37" t="n">
        <v>0</v>
      </c>
      <c r="T105" s="38" t="n">
        <v>28.6</v>
      </c>
      <c r="U105" s="37" t="n">
        <v>0</v>
      </c>
      <c r="V105" s="36" t="n">
        <v>0</v>
      </c>
      <c r="W105" t="n">
        <v>28.6</v>
      </c>
    </row>
    <row r="106">
      <c r="A106" s="36" t="inlineStr">
        <is>
          <t>C. Harris</t>
        </is>
      </c>
      <c r="B106" s="36">
        <f t="array" ref="B106:C106">_xlfn.XLOOKUP(A106,'Player List'!$A$2:$A$177,'Player List'!$B$2:$C$177)</f>
        <v/>
      </c>
      <c r="C106" s="36" t="inlineStr">
        <is>
          <t>Centre</t>
        </is>
      </c>
      <c r="D106" s="37" t="n">
        <v>1</v>
      </c>
      <c r="F106" s="37" t="n">
        <v>1</v>
      </c>
      <c r="G106" s="37" t="n">
        <v>0</v>
      </c>
      <c r="H106" s="37" t="n">
        <v>0</v>
      </c>
      <c r="I106" s="37" t="n">
        <v>0</v>
      </c>
      <c r="J106" s="37" t="n">
        <v>0</v>
      </c>
      <c r="K106" s="37" t="n">
        <v>0</v>
      </c>
      <c r="L106" s="37" t="n">
        <v>0</v>
      </c>
      <c r="M106" s="37" t="n">
        <v>0</v>
      </c>
      <c r="N106" s="37" t="n">
        <v>0</v>
      </c>
      <c r="O106" s="37" t="n">
        <v>0</v>
      </c>
      <c r="P106" s="37" t="n">
        <v>0</v>
      </c>
      <c r="Q106" s="37" t="n">
        <v>0</v>
      </c>
      <c r="R106" s="37" t="n">
        <v>0</v>
      </c>
      <c r="S106" s="37" t="n">
        <v>0</v>
      </c>
      <c r="T106" s="38" t="n">
        <v>1</v>
      </c>
      <c r="U106" s="37" t="n">
        <v>0</v>
      </c>
      <c r="V106" s="36" t="n">
        <v>0</v>
      </c>
      <c r="W106" t="n">
        <v>1</v>
      </c>
    </row>
    <row r="107">
      <c r="A107" s="36" t="inlineStr">
        <is>
          <t>H. Jones</t>
        </is>
      </c>
      <c r="B107" s="36">
        <f t="array" ref="B107:C107">_xlfn.XLOOKUP(A107,'Player List'!$A$2:$A$177,'Player List'!$B$2:$C$177)</f>
        <v/>
      </c>
      <c r="C107" s="36" t="inlineStr">
        <is>
          <t>Centre</t>
        </is>
      </c>
      <c r="D107" s="37" t="n">
        <v>80</v>
      </c>
      <c r="F107" s="37" t="n">
        <v>6</v>
      </c>
      <c r="G107" s="37" t="n">
        <v>0</v>
      </c>
      <c r="H107" s="37" t="n">
        <v>7</v>
      </c>
      <c r="I107" s="37" t="n">
        <v>23.4</v>
      </c>
      <c r="J107" s="37" t="n">
        <v>0</v>
      </c>
      <c r="K107" s="37" t="n">
        <v>0</v>
      </c>
      <c r="L107" s="37" t="n">
        <v>0</v>
      </c>
      <c r="M107" s="37" t="n">
        <v>15</v>
      </c>
      <c r="N107" s="37" t="n">
        <v>0</v>
      </c>
      <c r="O107" s="37" t="n">
        <v>0</v>
      </c>
      <c r="P107" s="37" t="n">
        <v>0</v>
      </c>
      <c r="Q107" s="37" t="n">
        <v>0</v>
      </c>
      <c r="R107" s="37" t="n">
        <v>0</v>
      </c>
      <c r="S107" s="37" t="n">
        <v>0</v>
      </c>
      <c r="T107" s="38" t="n">
        <v>51.4</v>
      </c>
      <c r="U107" s="37" t="n">
        <v>0</v>
      </c>
      <c r="V107" s="36" t="n">
        <v>0</v>
      </c>
      <c r="W107" t="n">
        <v>51.4</v>
      </c>
    </row>
    <row r="108">
      <c r="A108" s="36" t="inlineStr">
        <is>
          <t>S. Tuipulotu</t>
        </is>
      </c>
      <c r="B108" s="36">
        <f t="array" ref="B108:C108">_xlfn.XLOOKUP(A108,'Player List'!$A$2:$A$177,'Player List'!$B$2:$C$177)</f>
        <v/>
      </c>
      <c r="C108" s="36" t="inlineStr">
        <is>
          <t>Centre</t>
        </is>
      </c>
      <c r="D108" s="37" t="n">
        <v>80</v>
      </c>
      <c r="F108" s="37" t="n">
        <v>11</v>
      </c>
      <c r="G108" s="37" t="n">
        <v>0</v>
      </c>
      <c r="H108" s="37" t="n">
        <v>0</v>
      </c>
      <c r="I108" s="37" t="n">
        <v>18</v>
      </c>
      <c r="J108" s="37" t="n">
        <v>0</v>
      </c>
      <c r="K108" s="37" t="n">
        <v>0</v>
      </c>
      <c r="L108" s="37" t="n">
        <v>7</v>
      </c>
      <c r="M108" s="37" t="n">
        <v>0</v>
      </c>
      <c r="N108" s="37" t="n">
        <v>7</v>
      </c>
      <c r="O108" s="37" t="n">
        <v>0</v>
      </c>
      <c r="P108" s="37" t="n">
        <v>0</v>
      </c>
      <c r="Q108" s="37" t="n">
        <v>0</v>
      </c>
      <c r="R108" s="37" t="n">
        <v>0</v>
      </c>
      <c r="S108" s="37" t="n">
        <v>0</v>
      </c>
      <c r="T108" s="38" t="n">
        <v>43</v>
      </c>
      <c r="U108" s="37" t="n">
        <v>0</v>
      </c>
      <c r="V108" s="36" t="n">
        <v>0</v>
      </c>
      <c r="W108" t="n">
        <v>43</v>
      </c>
    </row>
    <row r="109">
      <c r="A109" s="36" t="inlineStr">
        <is>
          <t>F. Russell</t>
        </is>
      </c>
      <c r="B109" s="36">
        <f t="array" ref="B109:C109">_xlfn.XLOOKUP(A109,'Player List'!$A$2:$A$177,'Player List'!$B$2:$C$177)</f>
        <v/>
      </c>
      <c r="C109" s="36" t="inlineStr">
        <is>
          <t>Fly Half</t>
        </is>
      </c>
      <c r="D109" s="37" t="n">
        <v>80</v>
      </c>
      <c r="F109" s="37" t="n">
        <v>5</v>
      </c>
      <c r="G109" s="37" t="n">
        <v>0</v>
      </c>
      <c r="H109" s="37" t="n">
        <v>0</v>
      </c>
      <c r="I109" s="37" t="n">
        <v>12.6</v>
      </c>
      <c r="J109" s="37" t="n">
        <v>0</v>
      </c>
      <c r="K109" s="37" t="n">
        <v>0</v>
      </c>
      <c r="L109" s="37" t="n">
        <v>0</v>
      </c>
      <c r="M109" s="37" t="n">
        <v>0</v>
      </c>
      <c r="N109" s="37" t="n">
        <v>0</v>
      </c>
      <c r="O109" s="37" t="n">
        <v>2</v>
      </c>
      <c r="P109" s="37" t="n">
        <v>0</v>
      </c>
      <c r="Q109" s="37" t="n">
        <v>0</v>
      </c>
      <c r="R109" s="37" t="n">
        <v>0</v>
      </c>
      <c r="S109" s="37" t="n">
        <v>0</v>
      </c>
      <c r="T109" s="38" t="n">
        <v>19.6</v>
      </c>
      <c r="U109" s="37" t="n">
        <v>0</v>
      </c>
      <c r="V109" s="36" t="n">
        <v>0</v>
      </c>
      <c r="W109" t="n">
        <v>19.6</v>
      </c>
    </row>
    <row r="110">
      <c r="A110" s="36" t="inlineStr">
        <is>
          <t>A. Price</t>
        </is>
      </c>
      <c r="B110" s="36">
        <f t="array" ref="B110:C110">_xlfn.XLOOKUP(A110,'Player List'!$A$2:$A$177,'Player List'!$B$2:$C$177)</f>
        <v/>
      </c>
      <c r="C110" s="36" t="inlineStr">
        <is>
          <t>Scrum Half</t>
        </is>
      </c>
      <c r="D110" s="37" t="n">
        <v>22</v>
      </c>
      <c r="F110" s="37" t="n">
        <v>2</v>
      </c>
      <c r="G110" s="37" t="n">
        <v>0</v>
      </c>
      <c r="H110" s="37" t="n">
        <v>0</v>
      </c>
      <c r="I110" s="37" t="n">
        <v>0</v>
      </c>
      <c r="J110" s="37" t="n">
        <v>0</v>
      </c>
      <c r="K110" s="37" t="n">
        <v>0</v>
      </c>
      <c r="L110" s="37" t="n">
        <v>0</v>
      </c>
      <c r="M110" s="37" t="n">
        <v>0</v>
      </c>
      <c r="N110" s="37" t="n">
        <v>0</v>
      </c>
      <c r="O110" s="37" t="n">
        <v>0</v>
      </c>
      <c r="P110" s="37" t="n">
        <v>0</v>
      </c>
      <c r="Q110" s="37" t="n">
        <v>0</v>
      </c>
      <c r="R110" s="37" t="n">
        <v>0</v>
      </c>
      <c r="S110" s="37" t="n">
        <v>0</v>
      </c>
      <c r="T110" s="38" t="n">
        <v>2</v>
      </c>
      <c r="U110" s="37" t="n">
        <v>0</v>
      </c>
      <c r="V110" s="36" t="n">
        <v>0</v>
      </c>
      <c r="W110" t="n">
        <v>2</v>
      </c>
    </row>
    <row r="111">
      <c r="A111" s="36" t="inlineStr">
        <is>
          <t>B. White</t>
        </is>
      </c>
      <c r="B111" s="36">
        <f t="array" ref="B111:C111">_xlfn.XLOOKUP(A111,'Player List'!$A$2:$A$177,'Player List'!$B$2:$C$177)</f>
        <v/>
      </c>
      <c r="C111" s="36" t="inlineStr">
        <is>
          <t>Scrum Half</t>
        </is>
      </c>
      <c r="D111" s="37" t="n">
        <v>58</v>
      </c>
      <c r="F111" s="37" t="n">
        <v>5</v>
      </c>
      <c r="G111" s="37" t="n">
        <v>0</v>
      </c>
      <c r="H111" s="37" t="n">
        <v>0</v>
      </c>
      <c r="I111" s="37" t="n">
        <v>2</v>
      </c>
      <c r="J111" s="37" t="n">
        <v>0</v>
      </c>
      <c r="K111" s="37" t="n">
        <v>0</v>
      </c>
      <c r="L111" s="37" t="n">
        <v>0</v>
      </c>
      <c r="M111" s="37" t="n">
        <v>0</v>
      </c>
      <c r="N111" s="37" t="n">
        <v>0</v>
      </c>
      <c r="O111" s="37" t="n">
        <v>0</v>
      </c>
      <c r="P111" s="37" t="n">
        <v>0</v>
      </c>
      <c r="Q111" s="37" t="n">
        <v>0</v>
      </c>
      <c r="R111" s="37" t="n">
        <v>0</v>
      </c>
      <c r="S111" s="37" t="n">
        <v>0</v>
      </c>
      <c r="T111" s="38" t="n">
        <v>7</v>
      </c>
      <c r="U111" s="37" t="n">
        <v>0</v>
      </c>
      <c r="V111" s="36" t="n">
        <v>0</v>
      </c>
      <c r="W111" t="n">
        <v>7</v>
      </c>
    </row>
    <row r="112">
      <c r="A112" s="36" t="inlineStr">
        <is>
          <t>J. Dempsey</t>
        </is>
      </c>
      <c r="B112" s="36">
        <f t="array" ref="B112:C112">_xlfn.XLOOKUP(A112,'Player List'!$A$2:$A$177,'Player List'!$B$2:$C$177)</f>
        <v/>
      </c>
      <c r="C112" s="36" t="inlineStr">
        <is>
          <t>Back Row</t>
        </is>
      </c>
      <c r="D112" s="37" t="n">
        <v>80</v>
      </c>
      <c r="F112" s="37" t="n">
        <v>20</v>
      </c>
      <c r="G112" s="37" t="n">
        <v>7</v>
      </c>
      <c r="H112" s="37" t="n">
        <v>0</v>
      </c>
      <c r="I112" s="37" t="n">
        <v>14</v>
      </c>
      <c r="J112" s="37" t="n">
        <v>0</v>
      </c>
      <c r="K112" s="37" t="n">
        <v>0</v>
      </c>
      <c r="L112" s="37" t="n">
        <v>0</v>
      </c>
      <c r="M112" s="37" t="n">
        <v>0</v>
      </c>
      <c r="N112" s="37" t="n">
        <v>0</v>
      </c>
      <c r="O112" s="37" t="n">
        <v>0</v>
      </c>
      <c r="P112" s="37" t="n">
        <v>0</v>
      </c>
      <c r="Q112" s="37" t="n">
        <v>0</v>
      </c>
      <c r="R112" s="37" t="n">
        <v>0</v>
      </c>
      <c r="S112" s="37" t="n">
        <v>0</v>
      </c>
      <c r="T112" s="38" t="n">
        <v>41</v>
      </c>
      <c r="U112" s="37" t="n">
        <v>0</v>
      </c>
      <c r="V112" s="36" t="n">
        <v>0</v>
      </c>
      <c r="W112" t="n">
        <v>41</v>
      </c>
    </row>
    <row r="113">
      <c r="A113" s="36" t="inlineStr">
        <is>
          <t>M. Fagerson</t>
        </is>
      </c>
      <c r="B113" s="36">
        <f t="array" ref="B113:C113">_xlfn.XLOOKUP(A113,'Player List'!$A$2:$A$177,'Player List'!$B$2:$C$177)</f>
        <v/>
      </c>
      <c r="C113" s="36" t="inlineStr">
        <is>
          <t>Back Row</t>
        </is>
      </c>
      <c r="D113" s="37" t="n">
        <v>66</v>
      </c>
      <c r="F113" s="37" t="n">
        <v>14</v>
      </c>
      <c r="G113" s="37" t="n">
        <v>0</v>
      </c>
      <c r="H113" s="37" t="n">
        <v>0</v>
      </c>
      <c r="I113" s="37" t="n">
        <v>6.6</v>
      </c>
      <c r="J113" s="37" t="n">
        <v>0</v>
      </c>
      <c r="K113" s="37" t="n">
        <v>0</v>
      </c>
      <c r="L113" s="37" t="n">
        <v>0</v>
      </c>
      <c r="M113" s="37" t="n">
        <v>0</v>
      </c>
      <c r="N113" s="37" t="n">
        <v>0</v>
      </c>
      <c r="O113" s="37" t="n">
        <v>0</v>
      </c>
      <c r="P113" s="37" t="n">
        <v>0</v>
      </c>
      <c r="Q113" s="37" t="n">
        <v>0</v>
      </c>
      <c r="R113" s="37" t="n">
        <v>0</v>
      </c>
      <c r="S113" s="37" t="n">
        <v>0</v>
      </c>
      <c r="T113" s="38" t="n">
        <v>20.6</v>
      </c>
      <c r="U113" s="37" t="n">
        <v>0</v>
      </c>
      <c r="V113" s="36" t="n">
        <v>0</v>
      </c>
      <c r="W113" t="n">
        <v>20.6</v>
      </c>
    </row>
    <row r="114">
      <c r="A114" s="36" t="inlineStr">
        <is>
          <t>J. Ritchie</t>
        </is>
      </c>
      <c r="B114" s="36">
        <f t="array" ref="B114:C114">_xlfn.XLOOKUP(A114,'Player List'!$A$2:$A$177,'Player List'!$B$2:$C$177)</f>
        <v/>
      </c>
      <c r="C114" s="36" t="inlineStr">
        <is>
          <t>Back Row</t>
        </is>
      </c>
      <c r="D114" s="37" t="n">
        <v>80</v>
      </c>
      <c r="F114" s="37" t="n">
        <v>15</v>
      </c>
      <c r="G114" s="37" t="n">
        <v>14</v>
      </c>
      <c r="H114" s="37" t="n">
        <v>0</v>
      </c>
      <c r="I114" s="37" t="n">
        <v>5</v>
      </c>
      <c r="J114" s="37" t="n">
        <v>0</v>
      </c>
      <c r="K114" s="37" t="n">
        <v>0</v>
      </c>
      <c r="L114" s="37" t="n">
        <v>0</v>
      </c>
      <c r="M114" s="37" t="n">
        <v>0</v>
      </c>
      <c r="N114" s="37" t="n">
        <v>0</v>
      </c>
      <c r="O114" s="37" t="n">
        <v>0</v>
      </c>
      <c r="P114" s="37" t="n">
        <v>0</v>
      </c>
      <c r="Q114" s="37" t="n">
        <v>0</v>
      </c>
      <c r="R114" s="37" t="n">
        <v>0</v>
      </c>
      <c r="S114" s="37" t="n">
        <v>0</v>
      </c>
      <c r="T114" s="38" t="n">
        <v>34</v>
      </c>
      <c r="U114" s="37" t="n">
        <v>0</v>
      </c>
      <c r="V114" s="36" t="n">
        <v>0</v>
      </c>
      <c r="W114" t="n">
        <v>34</v>
      </c>
    </row>
    <row r="115">
      <c r="A115" s="36" t="inlineStr">
        <is>
          <t>H. Watson</t>
        </is>
      </c>
      <c r="B115" s="36">
        <f t="array" ref="B115:C115">_xlfn.XLOOKUP(A115,'Player List'!$A$2:$A$177,'Player List'!$B$2:$C$177)</f>
        <v/>
      </c>
      <c r="C115" s="36" t="inlineStr">
        <is>
          <t>Back Row</t>
        </is>
      </c>
      <c r="D115" s="37" t="n">
        <v>14</v>
      </c>
      <c r="F115" s="37" t="n">
        <v>1</v>
      </c>
      <c r="G115" s="37" t="n">
        <v>0</v>
      </c>
      <c r="H115" s="37" t="n">
        <v>0</v>
      </c>
      <c r="I115" s="37" t="n">
        <v>1.6</v>
      </c>
      <c r="J115" s="37" t="n">
        <v>0</v>
      </c>
      <c r="K115" s="37" t="n">
        <v>0</v>
      </c>
      <c r="L115" s="37" t="n">
        <v>0</v>
      </c>
      <c r="M115" s="37" t="n">
        <v>0</v>
      </c>
      <c r="N115" s="37" t="n">
        <v>0</v>
      </c>
      <c r="O115" s="37" t="n">
        <v>0</v>
      </c>
      <c r="P115" s="37" t="n">
        <v>0</v>
      </c>
      <c r="Q115" s="37" t="n">
        <v>0</v>
      </c>
      <c r="R115" s="37" t="n">
        <v>0</v>
      </c>
      <c r="S115" s="37" t="n">
        <v>0</v>
      </c>
      <c r="T115" s="38" t="n">
        <v>2.6</v>
      </c>
      <c r="U115" s="37" t="n">
        <v>0</v>
      </c>
      <c r="V115" s="36" t="n">
        <v>0</v>
      </c>
      <c r="W115" t="n">
        <v>2.6</v>
      </c>
    </row>
    <row r="116">
      <c r="A116" s="36" t="inlineStr">
        <is>
          <t>S. Cummings</t>
        </is>
      </c>
      <c r="B116" s="36">
        <f t="array" ref="B116:C116">_xlfn.XLOOKUP(A116,'Player List'!$A$2:$A$177,'Player List'!$B$2:$C$177)</f>
        <v/>
      </c>
      <c r="C116" s="36" t="inlineStr">
        <is>
          <t>Second Row</t>
        </is>
      </c>
      <c r="D116" s="37" t="n">
        <v>75</v>
      </c>
      <c r="F116" s="37" t="n">
        <v>9</v>
      </c>
      <c r="G116" s="37" t="n">
        <v>0</v>
      </c>
      <c r="H116" s="37" t="n">
        <v>0</v>
      </c>
      <c r="I116" s="37" t="n">
        <v>1.8</v>
      </c>
      <c r="J116" s="37" t="n">
        <v>0</v>
      </c>
      <c r="K116" s="37" t="n">
        <v>0</v>
      </c>
      <c r="L116" s="37" t="n">
        <v>0</v>
      </c>
      <c r="M116" s="37" t="n">
        <v>0</v>
      </c>
      <c r="N116" s="37" t="n">
        <v>0</v>
      </c>
      <c r="O116" s="37" t="n">
        <v>0</v>
      </c>
      <c r="P116" s="37" t="n">
        <v>0</v>
      </c>
      <c r="Q116" s="37" t="n">
        <v>0</v>
      </c>
      <c r="R116" s="37" t="n">
        <v>0</v>
      </c>
      <c r="S116" s="37" t="n">
        <v>0</v>
      </c>
      <c r="T116" s="38" t="n">
        <v>10.8</v>
      </c>
      <c r="U116" s="37" t="n">
        <v>0</v>
      </c>
      <c r="V116" s="36" t="n">
        <v>0</v>
      </c>
      <c r="W116" t="n">
        <v>10.8</v>
      </c>
    </row>
    <row r="117">
      <c r="A117" s="36" t="inlineStr">
        <is>
          <t>J. Gray</t>
        </is>
      </c>
      <c r="B117" s="36">
        <f t="array" ref="B117:C117">_xlfn.XLOOKUP(A117,'Player List'!$A$2:$A$177,'Player List'!$B$2:$C$177)</f>
        <v/>
      </c>
      <c r="C117" s="36" t="inlineStr">
        <is>
          <t>Second Row</t>
        </is>
      </c>
      <c r="D117" s="37" t="n">
        <v>80</v>
      </c>
      <c r="F117" s="37" t="n">
        <v>18</v>
      </c>
      <c r="G117" s="37" t="n">
        <v>14</v>
      </c>
      <c r="H117" s="37" t="n">
        <v>0</v>
      </c>
      <c r="I117" s="37" t="n">
        <v>3.8</v>
      </c>
      <c r="J117" s="37" t="n">
        <v>0</v>
      </c>
      <c r="K117" s="37" t="n">
        <v>0</v>
      </c>
      <c r="L117" s="37" t="n">
        <v>0</v>
      </c>
      <c r="M117" s="37" t="n">
        <v>0</v>
      </c>
      <c r="N117" s="37" t="n">
        <v>0</v>
      </c>
      <c r="O117" s="37" t="n">
        <v>0</v>
      </c>
      <c r="P117" s="37" t="n">
        <v>0</v>
      </c>
      <c r="Q117" s="37" t="n">
        <v>0</v>
      </c>
      <c r="R117" s="37" t="n">
        <v>0</v>
      </c>
      <c r="S117" s="37" t="n">
        <v>0</v>
      </c>
      <c r="T117" s="38" t="n">
        <v>35.8</v>
      </c>
      <c r="U117" s="37" t="n">
        <v>0</v>
      </c>
      <c r="V117" s="36" t="n">
        <v>0</v>
      </c>
      <c r="W117" t="n">
        <v>35.8</v>
      </c>
    </row>
    <row r="118">
      <c r="A118" s="36" t="inlineStr">
        <is>
          <t>R. Gray</t>
        </is>
      </c>
      <c r="B118" s="36">
        <f t="array" ref="B118:C118">_xlfn.XLOOKUP(A118,'Player List'!$A$2:$A$177,'Player List'!$B$2:$C$177)</f>
        <v/>
      </c>
      <c r="C118" s="36" t="inlineStr">
        <is>
          <t>Second Row</t>
        </is>
      </c>
      <c r="D118" s="37" t="n">
        <v>5</v>
      </c>
      <c r="F118" s="37" t="n">
        <v>2</v>
      </c>
      <c r="G118" s="37" t="n">
        <v>0</v>
      </c>
      <c r="H118" s="37" t="n">
        <v>0</v>
      </c>
      <c r="I118" s="37" t="n">
        <v>0.6</v>
      </c>
      <c r="J118" s="37" t="n">
        <v>0</v>
      </c>
      <c r="K118" s="37" t="n">
        <v>0</v>
      </c>
      <c r="L118" s="37" t="n">
        <v>0</v>
      </c>
      <c r="M118" s="37" t="n">
        <v>0</v>
      </c>
      <c r="N118" s="37" t="n">
        <v>0</v>
      </c>
      <c r="O118" s="37" t="n">
        <v>0</v>
      </c>
      <c r="P118" s="37" t="n">
        <v>0</v>
      </c>
      <c r="Q118" s="37" t="n">
        <v>0</v>
      </c>
      <c r="R118" s="37" t="n">
        <v>0</v>
      </c>
      <c r="S118" s="37" t="n">
        <v>0</v>
      </c>
      <c r="T118" s="38" t="n">
        <v>2.6</v>
      </c>
      <c r="U118" s="37" t="n">
        <v>0</v>
      </c>
      <c r="V118" s="36" t="n">
        <v>0</v>
      </c>
      <c r="W118" t="n">
        <v>2.6</v>
      </c>
    </row>
    <row r="119">
      <c r="A119" s="36" t="inlineStr">
        <is>
          <t>S. Berghan</t>
        </is>
      </c>
      <c r="B119" s="36">
        <f t="array" ref="B119:C119">_xlfn.XLOOKUP(A119,'Player List'!$A$2:$A$177,'Player List'!$B$2:$C$177)</f>
        <v/>
      </c>
      <c r="C119" s="36" t="inlineStr">
        <is>
          <t>Prop</t>
        </is>
      </c>
      <c r="D119" s="37" t="n">
        <v>27</v>
      </c>
      <c r="F119" s="37" t="n">
        <v>5</v>
      </c>
      <c r="G119" s="37" t="n">
        <v>0</v>
      </c>
      <c r="H119" s="37" t="n">
        <v>0</v>
      </c>
      <c r="I119" s="37" t="n">
        <v>2.8</v>
      </c>
      <c r="J119" s="37" t="n">
        <v>0</v>
      </c>
      <c r="K119" s="37" t="n">
        <v>0</v>
      </c>
      <c r="L119" s="37" t="n">
        <v>0</v>
      </c>
      <c r="M119" s="37" t="n">
        <v>0</v>
      </c>
      <c r="N119" s="37" t="n">
        <v>0</v>
      </c>
      <c r="O119" s="37" t="n">
        <v>0</v>
      </c>
      <c r="P119" s="37" t="n">
        <v>0</v>
      </c>
      <c r="Q119" s="37" t="n">
        <v>0</v>
      </c>
      <c r="R119" s="37" t="n">
        <v>0</v>
      </c>
      <c r="S119" s="37" t="n">
        <v>0</v>
      </c>
      <c r="T119" s="38" t="n">
        <v>7.8</v>
      </c>
      <c r="U119" s="37" t="n">
        <v>0</v>
      </c>
      <c r="V119" s="36" t="n">
        <v>0</v>
      </c>
      <c r="W119" t="n">
        <v>7.8</v>
      </c>
    </row>
    <row r="120">
      <c r="A120" s="36" t="inlineStr">
        <is>
          <t>J. Bhatti</t>
        </is>
      </c>
      <c r="B120" s="36">
        <f t="array" ref="B120:C120">_xlfn.XLOOKUP(A120,'Player List'!$A$2:$A$177,'Player List'!$B$2:$C$177)</f>
        <v/>
      </c>
      <c r="C120" s="36" t="inlineStr">
        <is>
          <t>Prop</t>
        </is>
      </c>
      <c r="D120" s="37" t="n">
        <v>27</v>
      </c>
      <c r="F120" s="37" t="n">
        <v>6</v>
      </c>
      <c r="G120" s="37" t="n">
        <v>0</v>
      </c>
      <c r="H120" s="37" t="n">
        <v>0</v>
      </c>
      <c r="I120" s="37" t="n">
        <v>1</v>
      </c>
      <c r="J120" s="37" t="n">
        <v>0</v>
      </c>
      <c r="K120" s="37" t="n">
        <v>0</v>
      </c>
      <c r="L120" s="37" t="n">
        <v>0</v>
      </c>
      <c r="M120" s="37" t="n">
        <v>0</v>
      </c>
      <c r="N120" s="37" t="n">
        <v>0</v>
      </c>
      <c r="O120" s="37" t="n">
        <v>0</v>
      </c>
      <c r="P120" s="37" t="n">
        <v>0</v>
      </c>
      <c r="Q120" s="37" t="n">
        <v>0</v>
      </c>
      <c r="R120" s="37" t="n">
        <v>0</v>
      </c>
      <c r="S120" s="37" t="n">
        <v>0</v>
      </c>
      <c r="T120" s="38" t="n">
        <v>7</v>
      </c>
      <c r="U120" s="37" t="n">
        <v>0</v>
      </c>
      <c r="V120" s="36" t="n">
        <v>0</v>
      </c>
      <c r="W120" t="n">
        <v>7</v>
      </c>
    </row>
    <row r="121">
      <c r="A121" s="36" t="inlineStr">
        <is>
          <t>Z. Fagerson</t>
        </is>
      </c>
      <c r="B121" s="36">
        <f t="array" ref="B121:C121">_xlfn.XLOOKUP(A121,'Player List'!$A$2:$A$177,'Player List'!$B$2:$C$177)</f>
        <v/>
      </c>
      <c r="C121" s="36" t="inlineStr">
        <is>
          <t>Prop</t>
        </is>
      </c>
      <c r="D121" s="37" t="n">
        <v>53</v>
      </c>
      <c r="F121" s="37" t="n">
        <v>7</v>
      </c>
      <c r="G121" s="37" t="n">
        <v>0</v>
      </c>
      <c r="H121" s="37" t="n">
        <v>0</v>
      </c>
      <c r="I121" s="37" t="n">
        <v>4.6</v>
      </c>
      <c r="J121" s="37" t="n">
        <v>0</v>
      </c>
      <c r="K121" s="37" t="n">
        <v>0</v>
      </c>
      <c r="L121" s="37" t="n">
        <v>7</v>
      </c>
      <c r="M121" s="37" t="n">
        <v>0</v>
      </c>
      <c r="N121" s="37" t="n">
        <v>0</v>
      </c>
      <c r="O121" s="37" t="n">
        <v>0</v>
      </c>
      <c r="P121" s="37" t="n">
        <v>0</v>
      </c>
      <c r="Q121" s="37" t="n">
        <v>0</v>
      </c>
      <c r="R121" s="37" t="n">
        <v>0</v>
      </c>
      <c r="S121" s="37" t="n">
        <v>0</v>
      </c>
      <c r="T121" s="38" t="n">
        <v>18.6</v>
      </c>
      <c r="U121" s="37" t="n">
        <v>0</v>
      </c>
      <c r="V121" s="36" t="n">
        <v>0</v>
      </c>
      <c r="W121" t="n">
        <v>18.6</v>
      </c>
    </row>
    <row r="122">
      <c r="A122" s="36" t="inlineStr">
        <is>
          <t>P. Schoeman</t>
        </is>
      </c>
      <c r="B122" s="36">
        <f t="array" ref="B122:C122">_xlfn.XLOOKUP(A122,'Player List'!$A$2:$A$177,'Player List'!$B$2:$C$177)</f>
        <v/>
      </c>
      <c r="C122" s="36" t="inlineStr">
        <is>
          <t>Prop</t>
        </is>
      </c>
      <c r="D122" s="37" t="n">
        <v>53</v>
      </c>
      <c r="F122" s="37" t="n">
        <v>5</v>
      </c>
      <c r="G122" s="37" t="n">
        <v>0</v>
      </c>
      <c r="H122" s="37" t="n">
        <v>0</v>
      </c>
      <c r="I122" s="37" t="n">
        <v>13</v>
      </c>
      <c r="J122" s="37" t="n">
        <v>0</v>
      </c>
      <c r="K122" s="37" t="n">
        <v>0</v>
      </c>
      <c r="L122" s="37" t="n">
        <v>0</v>
      </c>
      <c r="M122" s="37" t="n">
        <v>0</v>
      </c>
      <c r="N122" s="37" t="n">
        <v>0</v>
      </c>
      <c r="O122" s="37" t="n">
        <v>0</v>
      </c>
      <c r="P122" s="37" t="n">
        <v>0</v>
      </c>
      <c r="Q122" s="37" t="n">
        <v>0</v>
      </c>
      <c r="R122" s="37" t="n">
        <v>0</v>
      </c>
      <c r="S122" s="37" t="n">
        <v>0</v>
      </c>
      <c r="T122" s="38" t="n">
        <v>18</v>
      </c>
      <c r="U122" s="37" t="n">
        <v>0</v>
      </c>
      <c r="V122" s="36" t="n">
        <v>0</v>
      </c>
      <c r="W122" t="n">
        <v>18</v>
      </c>
    </row>
    <row r="123">
      <c r="A123" s="36" t="inlineStr">
        <is>
          <t>F. Brown</t>
        </is>
      </c>
      <c r="B123" s="36">
        <f t="array" ref="B123:C123">_xlfn.XLOOKUP(A123,'Player List'!$A$2:$A$177,'Player List'!$B$2:$C$177)</f>
        <v/>
      </c>
      <c r="C123" s="36" t="inlineStr">
        <is>
          <t>Hooker</t>
        </is>
      </c>
      <c r="D123" s="37" t="n">
        <v>22</v>
      </c>
      <c r="F123" s="37" t="n">
        <v>3</v>
      </c>
      <c r="G123" s="37" t="n">
        <v>0</v>
      </c>
      <c r="H123" s="37" t="n">
        <v>0</v>
      </c>
      <c r="I123" s="37" t="n">
        <v>0</v>
      </c>
      <c r="J123" s="37" t="n">
        <v>0</v>
      </c>
      <c r="K123" s="37" t="n">
        <v>7</v>
      </c>
      <c r="L123" s="37" t="n">
        <v>0</v>
      </c>
      <c r="M123" s="37" t="n">
        <v>0</v>
      </c>
      <c r="N123" s="37" t="n">
        <v>0</v>
      </c>
      <c r="O123" s="37" t="n">
        <v>0</v>
      </c>
      <c r="P123" s="37" t="n">
        <v>0</v>
      </c>
      <c r="Q123" s="37" t="n">
        <v>0</v>
      </c>
      <c r="R123" s="37" t="n">
        <v>0</v>
      </c>
      <c r="S123" s="37" t="n">
        <v>0</v>
      </c>
      <c r="T123" s="38" t="n">
        <v>10</v>
      </c>
      <c r="U123" s="37" t="n">
        <v>0</v>
      </c>
      <c r="V123" s="36" t="n">
        <v>0</v>
      </c>
      <c r="W123" t="n">
        <v>10</v>
      </c>
    </row>
    <row r="124">
      <c r="A124" s="36" t="inlineStr">
        <is>
          <t>G. Turner</t>
        </is>
      </c>
      <c r="B124" s="36">
        <f t="array" ref="B124:C124">_xlfn.XLOOKUP(A124,'Player List'!$A$2:$A$177,'Player List'!$B$2:$C$177)</f>
        <v/>
      </c>
      <c r="C124" s="36" t="inlineStr">
        <is>
          <t>Hooker</t>
        </is>
      </c>
      <c r="D124" s="37" t="n">
        <v>58</v>
      </c>
      <c r="F124" s="37" t="n">
        <v>10</v>
      </c>
      <c r="G124" s="37" t="n">
        <v>7</v>
      </c>
      <c r="H124" s="37" t="n">
        <v>0</v>
      </c>
      <c r="I124" s="37" t="n">
        <v>6.8</v>
      </c>
      <c r="J124" s="37" t="n">
        <v>0</v>
      </c>
      <c r="K124" s="37" t="n">
        <v>7</v>
      </c>
      <c r="L124" s="37" t="n">
        <v>0</v>
      </c>
      <c r="M124" s="37" t="n">
        <v>0</v>
      </c>
      <c r="N124" s="37" t="n">
        <v>0</v>
      </c>
      <c r="O124" s="37" t="n">
        <v>0</v>
      </c>
      <c r="P124" s="37" t="n">
        <v>0</v>
      </c>
      <c r="Q124" s="37" t="n">
        <v>0</v>
      </c>
      <c r="R124" s="37" t="n">
        <v>0</v>
      </c>
      <c r="S124" s="37" t="n">
        <v>0</v>
      </c>
      <c r="T124" s="38" t="n">
        <v>30.8</v>
      </c>
      <c r="U124" s="37" t="n">
        <v>0</v>
      </c>
      <c r="V124" s="36" t="n">
        <v>0</v>
      </c>
      <c r="W124" t="n">
        <v>30.8</v>
      </c>
    </row>
    <row r="125">
      <c r="A125" s="36" t="inlineStr">
        <is>
          <t>M. Hansen</t>
        </is>
      </c>
      <c r="B125" s="36">
        <f t="array" ref="B125:C125">_xlfn.XLOOKUP(A125,'Player List'!$A$2:$A$177,'Player List'!$B$2:$C$177)</f>
        <v/>
      </c>
      <c r="C125" s="36" t="inlineStr">
        <is>
          <t>Back Three</t>
        </is>
      </c>
      <c r="D125" s="37" t="n">
        <v>80</v>
      </c>
      <c r="F125" s="37" t="n">
        <v>4</v>
      </c>
      <c r="G125" s="37" t="n">
        <v>0</v>
      </c>
      <c r="H125" s="37" t="n">
        <v>14</v>
      </c>
      <c r="I125" s="37" t="n">
        <v>18.8</v>
      </c>
      <c r="J125" s="37" t="n">
        <v>0</v>
      </c>
      <c r="K125" s="37" t="n">
        <v>0</v>
      </c>
      <c r="L125" s="37" t="n">
        <v>14</v>
      </c>
      <c r="M125" s="37" t="n">
        <v>15</v>
      </c>
      <c r="N125" s="37" t="n">
        <v>7</v>
      </c>
      <c r="O125" s="37" t="n">
        <v>0</v>
      </c>
      <c r="P125" s="37" t="n">
        <v>0</v>
      </c>
      <c r="Q125" s="37" t="n">
        <v>0</v>
      </c>
      <c r="R125" s="37" t="n">
        <v>0</v>
      </c>
      <c r="S125" s="37" t="n">
        <v>0</v>
      </c>
      <c r="T125" s="38" t="n">
        <v>72.8</v>
      </c>
      <c r="U125" s="37" t="n">
        <v>15</v>
      </c>
      <c r="V125" s="36" t="n">
        <v>0</v>
      </c>
      <c r="W125" t="n">
        <v>87.8</v>
      </c>
    </row>
    <row r="126">
      <c r="A126" s="36" t="inlineStr">
        <is>
          <t>H. Keenan</t>
        </is>
      </c>
      <c r="B126" s="36">
        <f t="array" ref="B126:C126">_xlfn.XLOOKUP(A126,'Player List'!$A$2:$A$177,'Player List'!$B$2:$C$177)</f>
        <v/>
      </c>
      <c r="C126" s="36" t="inlineStr">
        <is>
          <t>Back Three</t>
        </is>
      </c>
      <c r="D126" s="37" t="n">
        <v>80</v>
      </c>
      <c r="F126" s="37" t="n">
        <v>6</v>
      </c>
      <c r="G126" s="37" t="n">
        <v>0</v>
      </c>
      <c r="H126" s="37" t="n">
        <v>7</v>
      </c>
      <c r="I126" s="37" t="n">
        <v>16.4</v>
      </c>
      <c r="J126" s="37" t="n">
        <v>0</v>
      </c>
      <c r="K126" s="37" t="n">
        <v>0</v>
      </c>
      <c r="L126" s="37" t="n">
        <v>0</v>
      </c>
      <c r="M126" s="37" t="n">
        <v>0</v>
      </c>
      <c r="N126" s="37" t="n">
        <v>7</v>
      </c>
      <c r="O126" s="37" t="n">
        <v>0</v>
      </c>
      <c r="P126" s="37" t="n">
        <v>0</v>
      </c>
      <c r="Q126" s="37" t="n">
        <v>0</v>
      </c>
      <c r="R126" s="37" t="n">
        <v>0</v>
      </c>
      <c r="S126" s="37" t="n">
        <v>0</v>
      </c>
      <c r="T126" s="38" t="n">
        <v>36.4</v>
      </c>
      <c r="U126" s="37" t="n">
        <v>0</v>
      </c>
      <c r="V126" s="36" t="n">
        <v>0</v>
      </c>
      <c r="W126" t="n">
        <v>36.4</v>
      </c>
    </row>
    <row r="127">
      <c r="A127" s="36" t="inlineStr">
        <is>
          <t>J. Lowe</t>
        </is>
      </c>
      <c r="B127" s="36">
        <f t="array" ref="B127:C127">_xlfn.XLOOKUP(A127,'Player List'!$A$2:$A$177,'Player List'!$B$2:$C$177)</f>
        <v/>
      </c>
      <c r="C127" s="36" t="inlineStr">
        <is>
          <t>Back Three</t>
        </is>
      </c>
      <c r="D127" s="37" t="n">
        <v>80</v>
      </c>
      <c r="F127" s="37" t="n">
        <v>4</v>
      </c>
      <c r="G127" s="37" t="n">
        <v>0</v>
      </c>
      <c r="H127" s="37" t="n">
        <v>14</v>
      </c>
      <c r="I127" s="37" t="n">
        <v>30</v>
      </c>
      <c r="J127" s="37" t="n">
        <v>0</v>
      </c>
      <c r="K127" s="37" t="n">
        <v>0</v>
      </c>
      <c r="L127" s="37" t="n">
        <v>0</v>
      </c>
      <c r="M127" s="37" t="n">
        <v>15</v>
      </c>
      <c r="N127" s="37" t="n">
        <v>0</v>
      </c>
      <c r="O127" s="37" t="n">
        <v>0</v>
      </c>
      <c r="P127" s="37" t="n">
        <v>0</v>
      </c>
      <c r="Q127" s="37" t="n">
        <v>0</v>
      </c>
      <c r="R127" s="37" t="n">
        <v>0</v>
      </c>
      <c r="S127" s="37" t="n">
        <v>0</v>
      </c>
      <c r="T127" s="38" t="n">
        <v>63</v>
      </c>
      <c r="U127" s="37" t="n">
        <v>0</v>
      </c>
      <c r="V127" s="36" t="n">
        <v>0</v>
      </c>
      <c r="W127" t="n">
        <v>63</v>
      </c>
    </row>
    <row r="128">
      <c r="A128" s="36" t="inlineStr">
        <is>
          <t>B. Aki</t>
        </is>
      </c>
      <c r="B128" s="36">
        <f t="array" ref="B128:C128">_xlfn.XLOOKUP(A128,'Player List'!$A$2:$A$177,'Player List'!$B$2:$C$177)</f>
        <v/>
      </c>
      <c r="C128" s="36" t="inlineStr">
        <is>
          <t>Centre</t>
        </is>
      </c>
      <c r="D128" s="37" t="n">
        <v>74</v>
      </c>
      <c r="F128" s="37" t="n">
        <v>9</v>
      </c>
      <c r="G128" s="37" t="n">
        <v>7</v>
      </c>
      <c r="H128" s="37" t="n">
        <v>0</v>
      </c>
      <c r="I128" s="37" t="n">
        <v>9.800000000000001</v>
      </c>
      <c r="J128" s="37" t="n">
        <v>0</v>
      </c>
      <c r="K128" s="37" t="n">
        <v>0</v>
      </c>
      <c r="L128" s="37" t="n">
        <v>0</v>
      </c>
      <c r="M128" s="37" t="n">
        <v>0</v>
      </c>
      <c r="N128" s="37" t="n">
        <v>0</v>
      </c>
      <c r="O128" s="37" t="n">
        <v>0</v>
      </c>
      <c r="P128" s="37" t="n">
        <v>0</v>
      </c>
      <c r="Q128" s="37" t="n">
        <v>0</v>
      </c>
      <c r="R128" s="37" t="n">
        <v>0</v>
      </c>
      <c r="S128" s="37" t="n">
        <v>0</v>
      </c>
      <c r="T128" s="38" t="n">
        <v>25.8</v>
      </c>
      <c r="U128" s="37" t="n">
        <v>0</v>
      </c>
      <c r="V128" s="36" t="n">
        <v>0</v>
      </c>
      <c r="W128" t="n">
        <v>25.8</v>
      </c>
    </row>
    <row r="129">
      <c r="A129" s="36" t="inlineStr">
        <is>
          <t>R. Henshaw</t>
        </is>
      </c>
      <c r="B129" s="36">
        <f t="array" ref="B129:C129">_xlfn.XLOOKUP(A129,'Player List'!$A$2:$A$177,'Player List'!$B$2:$C$177)</f>
        <v/>
      </c>
      <c r="C129" s="36" t="inlineStr">
        <is>
          <t>Centre</t>
        </is>
      </c>
      <c r="D129" s="37" t="n">
        <v>14</v>
      </c>
      <c r="F129" s="37" t="n">
        <v>6</v>
      </c>
      <c r="G129" s="37" t="n">
        <v>0</v>
      </c>
      <c r="H129" s="37" t="n">
        <v>0</v>
      </c>
      <c r="I129" s="37" t="n">
        <v>0.8</v>
      </c>
      <c r="J129" s="37" t="n">
        <v>0</v>
      </c>
      <c r="K129" s="37" t="n">
        <v>0</v>
      </c>
      <c r="L129" s="37" t="n">
        <v>0</v>
      </c>
      <c r="M129" s="37" t="n">
        <v>0</v>
      </c>
      <c r="N129" s="37" t="n">
        <v>0</v>
      </c>
      <c r="O129" s="37" t="n">
        <v>0</v>
      </c>
      <c r="P129" s="37" t="n">
        <v>0</v>
      </c>
      <c r="Q129" s="37" t="n">
        <v>0</v>
      </c>
      <c r="R129" s="37" t="n">
        <v>0</v>
      </c>
      <c r="S129" s="37" t="n">
        <v>0</v>
      </c>
      <c r="T129" s="38" t="n">
        <v>6.8</v>
      </c>
      <c r="U129" s="37" t="n">
        <v>0</v>
      </c>
      <c r="V129" s="36" t="n">
        <v>0</v>
      </c>
      <c r="W129" t="n">
        <v>6.8</v>
      </c>
    </row>
    <row r="130">
      <c r="A130" s="36" t="inlineStr">
        <is>
          <t>G. Ringrose</t>
        </is>
      </c>
      <c r="B130" s="36">
        <f t="array" ref="B130:C130">_xlfn.XLOOKUP(A130,'Player List'!$A$2:$A$177,'Player List'!$B$2:$C$177)</f>
        <v/>
      </c>
      <c r="C130" s="36" t="inlineStr">
        <is>
          <t>Centre</t>
        </is>
      </c>
      <c r="D130" s="37" t="n">
        <v>72</v>
      </c>
      <c r="F130" s="37" t="n">
        <v>2</v>
      </c>
      <c r="G130" s="37" t="n">
        <v>0</v>
      </c>
      <c r="H130" s="37" t="n">
        <v>7</v>
      </c>
      <c r="I130" s="37" t="n">
        <v>10.8</v>
      </c>
      <c r="J130" s="37" t="n">
        <v>0</v>
      </c>
      <c r="K130" s="37" t="n">
        <v>0</v>
      </c>
      <c r="L130" s="37" t="n">
        <v>0</v>
      </c>
      <c r="M130" s="37" t="n">
        <v>0</v>
      </c>
      <c r="N130" s="37" t="n">
        <v>0</v>
      </c>
      <c r="O130" s="37" t="n">
        <v>0</v>
      </c>
      <c r="P130" s="37" t="n">
        <v>0</v>
      </c>
      <c r="Q130" s="37" t="n">
        <v>0</v>
      </c>
      <c r="R130" s="37" t="n">
        <v>0</v>
      </c>
      <c r="S130" s="37" t="n">
        <v>0</v>
      </c>
      <c r="T130" s="38" t="n">
        <v>19.8</v>
      </c>
      <c r="U130" s="37" t="n">
        <v>0</v>
      </c>
      <c r="V130" s="36" t="n">
        <v>0</v>
      </c>
      <c r="W130" t="n">
        <v>19.8</v>
      </c>
    </row>
    <row r="131">
      <c r="A131" s="36" t="inlineStr">
        <is>
          <t>R. Byrne</t>
        </is>
      </c>
      <c r="B131" s="36">
        <f t="array" ref="B131:C131">_xlfn.XLOOKUP(A131,'Player List'!$A$2:$A$177,'Player List'!$B$2:$C$177)</f>
        <v/>
      </c>
      <c r="C131" s="36" t="inlineStr">
        <is>
          <t>Fly Half</t>
        </is>
      </c>
      <c r="D131" s="37" t="n">
        <v>10</v>
      </c>
      <c r="F131" s="37" t="n">
        <v>2</v>
      </c>
      <c r="G131" s="37" t="n">
        <v>0</v>
      </c>
      <c r="H131" s="37" t="n">
        <v>0</v>
      </c>
      <c r="I131" s="37" t="n">
        <v>0</v>
      </c>
      <c r="J131" s="37" t="n">
        <v>0</v>
      </c>
      <c r="K131" s="37" t="n">
        <v>0</v>
      </c>
      <c r="L131" s="37" t="n">
        <v>0</v>
      </c>
      <c r="M131" s="37" t="n">
        <v>0</v>
      </c>
      <c r="N131" s="37" t="n">
        <v>0</v>
      </c>
      <c r="O131" s="37" t="n">
        <v>0</v>
      </c>
      <c r="P131" s="37" t="n">
        <v>0</v>
      </c>
      <c r="Q131" s="37" t="n">
        <v>0</v>
      </c>
      <c r="R131" s="37" t="n">
        <v>0</v>
      </c>
      <c r="S131" s="37" t="n">
        <v>0</v>
      </c>
      <c r="T131" s="38" t="n">
        <v>2</v>
      </c>
      <c r="U131" s="37" t="n">
        <v>0</v>
      </c>
      <c r="V131" s="36" t="n">
        <v>0</v>
      </c>
      <c r="W131" t="n">
        <v>2</v>
      </c>
    </row>
    <row r="132">
      <c r="A132" s="36" t="inlineStr">
        <is>
          <t>J. Sexton</t>
        </is>
      </c>
      <c r="B132" s="36">
        <f t="array" ref="B132:C132">_xlfn.XLOOKUP(A132,'Player List'!$A$2:$A$177,'Player List'!$B$2:$C$177)</f>
        <v/>
      </c>
      <c r="C132" s="36" t="inlineStr">
        <is>
          <t>Fly Half</t>
        </is>
      </c>
      <c r="D132" s="37" t="n">
        <v>70</v>
      </c>
      <c r="F132" s="37" t="n">
        <v>9</v>
      </c>
      <c r="G132" s="37" t="n">
        <v>0</v>
      </c>
      <c r="H132" s="37" t="n">
        <v>0</v>
      </c>
      <c r="I132" s="37" t="n">
        <v>6.4</v>
      </c>
      <c r="J132" s="37" t="n">
        <v>0</v>
      </c>
      <c r="K132" s="37" t="n">
        <v>0</v>
      </c>
      <c r="L132" s="37" t="n">
        <v>0</v>
      </c>
      <c r="M132" s="37" t="n">
        <v>0</v>
      </c>
      <c r="N132" s="37" t="n">
        <v>0</v>
      </c>
      <c r="O132" s="37" t="n">
        <v>4</v>
      </c>
      <c r="P132" s="37" t="n">
        <v>5</v>
      </c>
      <c r="Q132" s="37" t="n">
        <v>0</v>
      </c>
      <c r="R132" s="37" t="n">
        <v>0</v>
      </c>
      <c r="S132" s="37" t="n">
        <v>0</v>
      </c>
      <c r="T132" s="38" t="n">
        <v>24.4</v>
      </c>
      <c r="U132" s="37" t="n">
        <v>0</v>
      </c>
      <c r="V132" s="36" t="n">
        <v>0</v>
      </c>
      <c r="W132" t="n">
        <v>24.4</v>
      </c>
    </row>
    <row r="133">
      <c r="A133" s="36" t="inlineStr">
        <is>
          <t>J. Gibson-Park</t>
        </is>
      </c>
      <c r="B133" s="36">
        <f t="array" ref="B133:C133">_xlfn.XLOOKUP(A133,'Player List'!$A$2:$A$177,'Player List'!$B$2:$C$177)</f>
        <v/>
      </c>
      <c r="C133" s="36" t="inlineStr">
        <is>
          <t>Scrum Half</t>
        </is>
      </c>
      <c r="D133" s="37" t="n">
        <v>27</v>
      </c>
      <c r="F133" s="37" t="n">
        <v>2</v>
      </c>
      <c r="G133" s="37" t="n">
        <v>0</v>
      </c>
      <c r="H133" s="37" t="n">
        <v>7</v>
      </c>
      <c r="I133" s="37" t="n">
        <v>6.8</v>
      </c>
      <c r="J133" s="37" t="n">
        <v>0</v>
      </c>
      <c r="K133" s="37" t="n">
        <v>0</v>
      </c>
      <c r="L133" s="37" t="n">
        <v>0</v>
      </c>
      <c r="M133" s="37" t="n">
        <v>0</v>
      </c>
      <c r="N133" s="37" t="n">
        <v>7</v>
      </c>
      <c r="O133" s="37" t="n">
        <v>0</v>
      </c>
      <c r="P133" s="37" t="n">
        <v>0</v>
      </c>
      <c r="Q133" s="37" t="n">
        <v>0</v>
      </c>
      <c r="R133" s="37" t="n">
        <v>0</v>
      </c>
      <c r="S133" s="37" t="n">
        <v>0</v>
      </c>
      <c r="T133" s="38" t="n">
        <v>22.8</v>
      </c>
      <c r="U133" s="37" t="n">
        <v>0</v>
      </c>
      <c r="V133" s="36" t="n">
        <v>0</v>
      </c>
      <c r="W133" t="n">
        <v>22.8</v>
      </c>
    </row>
    <row r="134">
      <c r="A134" s="36" t="inlineStr">
        <is>
          <t>C. Murray</t>
        </is>
      </c>
      <c r="B134" s="36">
        <f t="array" ref="B134:C134">_xlfn.XLOOKUP(A134,'Player List'!$A$2:$A$177,'Player List'!$B$2:$C$177)</f>
        <v/>
      </c>
      <c r="C134" s="36" t="inlineStr">
        <is>
          <t>Scrum Half</t>
        </is>
      </c>
      <c r="D134" s="37" t="n">
        <v>53</v>
      </c>
      <c r="F134" s="37" t="n">
        <v>9</v>
      </c>
      <c r="G134" s="37" t="n">
        <v>0</v>
      </c>
      <c r="H134" s="37" t="n">
        <v>0</v>
      </c>
      <c r="I134" s="37" t="n">
        <v>1</v>
      </c>
      <c r="J134" s="37" t="n">
        <v>0</v>
      </c>
      <c r="K134" s="37" t="n">
        <v>0</v>
      </c>
      <c r="L134" s="37" t="n">
        <v>0</v>
      </c>
      <c r="M134" s="37" t="n">
        <v>0</v>
      </c>
      <c r="N134" s="37" t="n">
        <v>0</v>
      </c>
      <c r="O134" s="37" t="n">
        <v>0</v>
      </c>
      <c r="P134" s="37" t="n">
        <v>0</v>
      </c>
      <c r="Q134" s="37" t="n">
        <v>0</v>
      </c>
      <c r="R134" s="37" t="n">
        <v>0</v>
      </c>
      <c r="S134" s="37" t="n">
        <v>0</v>
      </c>
      <c r="T134" s="38" t="n">
        <v>10</v>
      </c>
      <c r="U134" s="37" t="n">
        <v>0</v>
      </c>
      <c r="V134" s="36" t="n">
        <v>0</v>
      </c>
      <c r="W134" t="n">
        <v>10</v>
      </c>
    </row>
    <row r="135">
      <c r="A135" s="36" t="inlineStr">
        <is>
          <t>J. Conan</t>
        </is>
      </c>
      <c r="B135" s="36">
        <f t="array" ref="B135:C135">_xlfn.XLOOKUP(A135,'Player List'!$A$2:$A$177,'Player List'!$B$2:$C$177)</f>
        <v/>
      </c>
      <c r="C135" s="36" t="inlineStr">
        <is>
          <t>Back Row</t>
        </is>
      </c>
      <c r="D135" s="37" t="n">
        <v>68</v>
      </c>
      <c r="F135" s="37" t="n">
        <v>10</v>
      </c>
      <c r="G135" s="37" t="n">
        <v>0</v>
      </c>
      <c r="H135" s="37" t="n">
        <v>0</v>
      </c>
      <c r="I135" s="37" t="n">
        <v>21.2</v>
      </c>
      <c r="J135" s="37" t="n">
        <v>0</v>
      </c>
      <c r="K135" s="37" t="n">
        <v>0</v>
      </c>
      <c r="L135" s="37" t="n">
        <v>0</v>
      </c>
      <c r="M135" s="37" t="n">
        <v>15</v>
      </c>
      <c r="N135" s="37" t="n">
        <v>0</v>
      </c>
      <c r="O135" s="37" t="n">
        <v>0</v>
      </c>
      <c r="P135" s="37" t="n">
        <v>0</v>
      </c>
      <c r="Q135" s="37" t="n">
        <v>0</v>
      </c>
      <c r="R135" s="37" t="n">
        <v>0</v>
      </c>
      <c r="S135" s="37" t="n">
        <v>0</v>
      </c>
      <c r="T135" s="38" t="n">
        <v>46.2</v>
      </c>
      <c r="U135" s="37" t="n">
        <v>0</v>
      </c>
      <c r="V135" s="36" t="n">
        <v>0</v>
      </c>
      <c r="W135" t="n">
        <v>46.2</v>
      </c>
    </row>
    <row r="136">
      <c r="A136" s="36" t="inlineStr">
        <is>
          <t>C. Doris</t>
        </is>
      </c>
      <c r="B136" s="36">
        <f t="array" ref="B136:C136">_xlfn.XLOOKUP(A136,'Player List'!$A$2:$A$177,'Player List'!$B$2:$C$177)</f>
        <v/>
      </c>
      <c r="C136" s="36" t="inlineStr">
        <is>
          <t>Back Row</t>
        </is>
      </c>
      <c r="D136" s="37" t="n">
        <v>12</v>
      </c>
      <c r="F136" s="37" t="n">
        <v>4</v>
      </c>
      <c r="G136" s="37" t="n">
        <v>0</v>
      </c>
      <c r="H136" s="37" t="n">
        <v>0</v>
      </c>
      <c r="I136" s="37" t="n">
        <v>4.6</v>
      </c>
      <c r="J136" s="37" t="n">
        <v>0</v>
      </c>
      <c r="K136" s="37" t="n">
        <v>0</v>
      </c>
      <c r="L136" s="37" t="n">
        <v>0</v>
      </c>
      <c r="M136" s="37" t="n">
        <v>0</v>
      </c>
      <c r="N136" s="37" t="n">
        <v>0</v>
      </c>
      <c r="O136" s="37" t="n">
        <v>0</v>
      </c>
      <c r="P136" s="37" t="n">
        <v>0</v>
      </c>
      <c r="Q136" s="37" t="n">
        <v>0</v>
      </c>
      <c r="R136" s="37" t="n">
        <v>0</v>
      </c>
      <c r="S136" s="37" t="n">
        <v>0</v>
      </c>
      <c r="T136" s="38" t="n">
        <v>8.6</v>
      </c>
      <c r="U136" s="37" t="n">
        <v>0</v>
      </c>
      <c r="V136" s="36" t="n">
        <v>0</v>
      </c>
      <c r="W136" t="n">
        <v>8.6</v>
      </c>
    </row>
    <row r="137">
      <c r="A137" s="36" t="inlineStr">
        <is>
          <t>P. O'Mahony</t>
        </is>
      </c>
      <c r="B137" s="36">
        <f t="array" ref="B137:C137">_xlfn.XLOOKUP(A137,'Player List'!$A$2:$A$177,'Player List'!$B$2:$C$177)</f>
        <v/>
      </c>
      <c r="C137" s="36" t="inlineStr">
        <is>
          <t>Back Row</t>
        </is>
      </c>
      <c r="D137" s="37" t="n">
        <v>80</v>
      </c>
      <c r="F137" s="37" t="n">
        <v>12</v>
      </c>
      <c r="G137" s="37" t="n">
        <v>0</v>
      </c>
      <c r="H137" s="37" t="n">
        <v>0</v>
      </c>
      <c r="I137" s="37" t="n">
        <v>6.2</v>
      </c>
      <c r="J137" s="37" t="n">
        <v>0</v>
      </c>
      <c r="K137" s="37" t="n">
        <v>0</v>
      </c>
      <c r="L137" s="37" t="n">
        <v>0</v>
      </c>
      <c r="M137" s="37" t="n">
        <v>0</v>
      </c>
      <c r="N137" s="37" t="n">
        <v>0</v>
      </c>
      <c r="O137" s="37" t="n">
        <v>0</v>
      </c>
      <c r="P137" s="37" t="n">
        <v>0</v>
      </c>
      <c r="Q137" s="37" t="n">
        <v>0</v>
      </c>
      <c r="R137" s="37" t="n">
        <v>0</v>
      </c>
      <c r="S137" s="37" t="n">
        <v>0</v>
      </c>
      <c r="T137" s="38" t="n">
        <v>18.2</v>
      </c>
      <c r="U137" s="37" t="n">
        <v>0</v>
      </c>
      <c r="V137" s="36" t="n">
        <v>0</v>
      </c>
      <c r="W137" t="n">
        <v>18.2</v>
      </c>
    </row>
    <row r="138">
      <c r="A138" s="36" t="inlineStr">
        <is>
          <t>J. van der Flier</t>
        </is>
      </c>
      <c r="B138" s="36">
        <f t="array" ref="B138:C138">_xlfn.XLOOKUP(A138,'Player List'!$A$2:$A$177,'Player List'!$B$2:$C$177)</f>
        <v/>
      </c>
      <c r="C138" s="36" t="inlineStr">
        <is>
          <t>Back Row</t>
        </is>
      </c>
      <c r="D138" s="37" t="n">
        <v>80</v>
      </c>
      <c r="F138" s="37" t="n">
        <v>15</v>
      </c>
      <c r="G138" s="37" t="n">
        <v>14</v>
      </c>
      <c r="H138" s="37" t="n">
        <v>0</v>
      </c>
      <c r="I138" s="37" t="n">
        <v>5.2</v>
      </c>
      <c r="J138" s="37" t="n">
        <v>0</v>
      </c>
      <c r="K138" s="37" t="n">
        <v>0</v>
      </c>
      <c r="L138" s="37" t="n">
        <v>7</v>
      </c>
      <c r="M138" s="37" t="n">
        <v>0</v>
      </c>
      <c r="N138" s="37" t="n">
        <v>0</v>
      </c>
      <c r="O138" s="37" t="n">
        <v>0</v>
      </c>
      <c r="P138" s="37" t="n">
        <v>0</v>
      </c>
      <c r="Q138" s="37" t="n">
        <v>0</v>
      </c>
      <c r="R138" s="37" t="n">
        <v>0</v>
      </c>
      <c r="S138" s="37" t="n">
        <v>0</v>
      </c>
      <c r="T138" s="38" t="n">
        <v>41.2</v>
      </c>
      <c r="U138" s="37" t="n">
        <v>0</v>
      </c>
      <c r="V138" s="36" t="n">
        <v>0</v>
      </c>
      <c r="W138" t="n">
        <v>41.2</v>
      </c>
    </row>
    <row r="139">
      <c r="A139" s="36" t="inlineStr">
        <is>
          <t>R. Baird</t>
        </is>
      </c>
      <c r="B139" s="36">
        <f t="array" ref="B139:C139">_xlfn.XLOOKUP(A139,'Player List'!$A$2:$A$177,'Player List'!$B$2:$C$177)</f>
        <v/>
      </c>
      <c r="C139" s="36" t="inlineStr">
        <is>
          <t>Second Row</t>
        </is>
      </c>
      <c r="D139" s="37" t="n">
        <v>56</v>
      </c>
      <c r="F139" s="37" t="n">
        <v>4</v>
      </c>
      <c r="G139" s="37" t="n">
        <v>0</v>
      </c>
      <c r="H139" s="37" t="n">
        <v>0</v>
      </c>
      <c r="I139" s="37" t="n">
        <v>4.2</v>
      </c>
      <c r="J139" s="37" t="n">
        <v>0</v>
      </c>
      <c r="K139" s="37" t="n">
        <v>0</v>
      </c>
      <c r="L139" s="37" t="n">
        <v>0</v>
      </c>
      <c r="M139" s="37" t="n">
        <v>0</v>
      </c>
      <c r="N139" s="37" t="n">
        <v>0</v>
      </c>
      <c r="O139" s="37" t="n">
        <v>0</v>
      </c>
      <c r="P139" s="37" t="n">
        <v>0</v>
      </c>
      <c r="Q139" s="37" t="n">
        <v>0</v>
      </c>
      <c r="R139" s="37" t="n">
        <v>0</v>
      </c>
      <c r="S139" s="37" t="n">
        <v>0</v>
      </c>
      <c r="T139" s="38" t="n">
        <v>8.199999999999999</v>
      </c>
      <c r="U139" s="37" t="n">
        <v>0</v>
      </c>
      <c r="V139" s="36" t="n">
        <v>0</v>
      </c>
      <c r="W139" t="n">
        <v>8.199999999999999</v>
      </c>
    </row>
    <row r="140">
      <c r="A140" s="36" t="inlineStr">
        <is>
          <t>I. Henderson</t>
        </is>
      </c>
      <c r="B140" s="36">
        <f t="array" ref="B140:C140">_xlfn.XLOOKUP(A140,'Player List'!$A$2:$A$177,'Player List'!$B$2:$C$177)</f>
        <v/>
      </c>
      <c r="C140" s="36" t="inlineStr">
        <is>
          <t>Second Row</t>
        </is>
      </c>
      <c r="D140" s="37" t="n">
        <v>24</v>
      </c>
      <c r="F140" s="37" t="n">
        <v>7</v>
      </c>
      <c r="G140" s="37" t="n">
        <v>0</v>
      </c>
      <c r="H140" s="37" t="n">
        <v>0</v>
      </c>
      <c r="I140" s="37" t="n">
        <v>1.8</v>
      </c>
      <c r="J140" s="37" t="n">
        <v>0</v>
      </c>
      <c r="K140" s="37" t="n">
        <v>0</v>
      </c>
      <c r="L140" s="37" t="n">
        <v>0</v>
      </c>
      <c r="M140" s="37" t="n">
        <v>0</v>
      </c>
      <c r="N140" s="37" t="n">
        <v>0</v>
      </c>
      <c r="O140" s="37" t="n">
        <v>0</v>
      </c>
      <c r="P140" s="37" t="n">
        <v>0</v>
      </c>
      <c r="Q140" s="37" t="n">
        <v>0</v>
      </c>
      <c r="R140" s="37" t="n">
        <v>0</v>
      </c>
      <c r="S140" s="37" t="n">
        <v>0</v>
      </c>
      <c r="T140" s="38" t="n">
        <v>8.800000000000001</v>
      </c>
      <c r="U140" s="37" t="n">
        <v>0</v>
      </c>
      <c r="V140" s="36" t="n">
        <v>0</v>
      </c>
      <c r="W140" t="n">
        <v>8.800000000000001</v>
      </c>
    </row>
    <row r="141">
      <c r="A141" s="36" t="inlineStr">
        <is>
          <t>J. Ryan</t>
        </is>
      </c>
      <c r="B141" s="36">
        <f t="array" ref="B141:C141">_xlfn.XLOOKUP(A141,'Player List'!$A$2:$A$177,'Player List'!$B$2:$C$177)</f>
        <v/>
      </c>
      <c r="C141" s="36" t="inlineStr">
        <is>
          <t>Second Row</t>
        </is>
      </c>
      <c r="D141" s="37" t="n">
        <v>80</v>
      </c>
      <c r="F141" s="37" t="n">
        <v>9</v>
      </c>
      <c r="G141" s="37" t="n">
        <v>14</v>
      </c>
      <c r="H141" s="37" t="n">
        <v>0</v>
      </c>
      <c r="I141" s="37" t="n">
        <v>18</v>
      </c>
      <c r="J141" s="37" t="n">
        <v>0</v>
      </c>
      <c r="K141" s="37" t="n">
        <v>21</v>
      </c>
      <c r="L141" s="37" t="n">
        <v>0</v>
      </c>
      <c r="M141" s="37" t="n">
        <v>0</v>
      </c>
      <c r="N141" s="37" t="n">
        <v>0</v>
      </c>
      <c r="O141" s="37" t="n">
        <v>0</v>
      </c>
      <c r="P141" s="37" t="n">
        <v>0</v>
      </c>
      <c r="Q141" s="37" t="n">
        <v>0</v>
      </c>
      <c r="R141" s="37" t="n">
        <v>0</v>
      </c>
      <c r="S141" s="37" t="n">
        <v>0</v>
      </c>
      <c r="T141" s="38" t="n">
        <v>62</v>
      </c>
      <c r="U141" s="37" t="n">
        <v>0</v>
      </c>
      <c r="V141" s="36" t="n">
        <v>0</v>
      </c>
      <c r="W141" t="n">
        <v>62</v>
      </c>
    </row>
    <row r="142">
      <c r="A142" s="36" t="inlineStr">
        <is>
          <t>T. Furlong</t>
        </is>
      </c>
      <c r="B142" s="36">
        <f t="array" ref="B142:C142">_xlfn.XLOOKUP(A142,'Player List'!$A$2:$A$177,'Player List'!$B$2:$C$177)</f>
        <v/>
      </c>
      <c r="C142" s="36" t="inlineStr">
        <is>
          <t>Prop</t>
        </is>
      </c>
      <c r="D142" s="37" t="n">
        <v>65</v>
      </c>
      <c r="F142" s="37" t="n">
        <v>11</v>
      </c>
      <c r="G142" s="37" t="n">
        <v>0</v>
      </c>
      <c r="H142" s="37" t="n">
        <v>0</v>
      </c>
      <c r="I142" s="37" t="n">
        <v>8.199999999999999</v>
      </c>
      <c r="J142" s="37" t="n">
        <v>0</v>
      </c>
      <c r="K142" s="37" t="n">
        <v>0</v>
      </c>
      <c r="L142" s="37" t="n">
        <v>0</v>
      </c>
      <c r="M142" s="37" t="n">
        <v>0</v>
      </c>
      <c r="N142" s="37" t="n">
        <v>0</v>
      </c>
      <c r="O142" s="37" t="n">
        <v>0</v>
      </c>
      <c r="P142" s="37" t="n">
        <v>0</v>
      </c>
      <c r="Q142" s="37" t="n">
        <v>0</v>
      </c>
      <c r="R142" s="37" t="n">
        <v>0</v>
      </c>
      <c r="S142" s="37" t="n">
        <v>0</v>
      </c>
      <c r="T142" s="38" t="n">
        <v>19.2</v>
      </c>
      <c r="U142" s="37" t="n">
        <v>0</v>
      </c>
      <c r="V142" s="36" t="n">
        <v>0</v>
      </c>
      <c r="W142" t="n">
        <v>19.2</v>
      </c>
    </row>
    <row r="143">
      <c r="A143" s="36" t="inlineStr">
        <is>
          <t>C. Healy</t>
        </is>
      </c>
      <c r="B143" s="36">
        <f t="array" ref="B143:C143">_xlfn.XLOOKUP(A143,'Player List'!$A$2:$A$177,'Player List'!$B$2:$C$177)</f>
        <v/>
      </c>
      <c r="C143" s="36" t="inlineStr">
        <is>
          <t>Prop</t>
        </is>
      </c>
      <c r="D143" s="37" t="n">
        <v>32</v>
      </c>
      <c r="F143" s="37" t="n">
        <v>1</v>
      </c>
      <c r="G143" s="37" t="n">
        <v>0</v>
      </c>
      <c r="H143" s="37" t="n">
        <v>0</v>
      </c>
      <c r="I143" s="37" t="n">
        <v>3</v>
      </c>
      <c r="J143" s="37" t="n">
        <v>0</v>
      </c>
      <c r="K143" s="37" t="n">
        <v>0</v>
      </c>
      <c r="L143" s="37" t="n">
        <v>0</v>
      </c>
      <c r="M143" s="37" t="n">
        <v>0</v>
      </c>
      <c r="N143" s="37" t="n">
        <v>0</v>
      </c>
      <c r="O143" s="37" t="n">
        <v>0</v>
      </c>
      <c r="P143" s="37" t="n">
        <v>0</v>
      </c>
      <c r="Q143" s="37" t="n">
        <v>0</v>
      </c>
      <c r="R143" s="37" t="n">
        <v>0</v>
      </c>
      <c r="S143" s="37" t="n">
        <v>0</v>
      </c>
      <c r="T143" s="38" t="n">
        <v>4</v>
      </c>
      <c r="U143" s="37" t="n">
        <v>0</v>
      </c>
      <c r="V143" s="36" t="n">
        <v>0</v>
      </c>
      <c r="W143" t="n">
        <v>4</v>
      </c>
    </row>
    <row r="144">
      <c r="A144" s="36" t="inlineStr">
        <is>
          <t>T. O'Toole</t>
        </is>
      </c>
      <c r="B144" s="36">
        <f t="array" ref="B144:C144">_xlfn.XLOOKUP(A144,'Player List'!$A$2:$A$177,'Player List'!$B$2:$C$177)</f>
        <v/>
      </c>
      <c r="C144" s="36" t="inlineStr">
        <is>
          <t>Prop</t>
        </is>
      </c>
      <c r="D144" s="37" t="n">
        <v>15</v>
      </c>
      <c r="F144" s="37" t="n">
        <v>1</v>
      </c>
      <c r="G144" s="37" t="n">
        <v>0</v>
      </c>
      <c r="H144" s="37" t="n">
        <v>0</v>
      </c>
      <c r="I144" s="37" t="n">
        <v>0</v>
      </c>
      <c r="J144" s="37" t="n">
        <v>0</v>
      </c>
      <c r="K144" s="37" t="n">
        <v>0</v>
      </c>
      <c r="L144" s="37" t="n">
        <v>0</v>
      </c>
      <c r="M144" s="37" t="n">
        <v>0</v>
      </c>
      <c r="N144" s="37" t="n">
        <v>0</v>
      </c>
      <c r="O144" s="37" t="n">
        <v>0</v>
      </c>
      <c r="P144" s="37" t="n">
        <v>0</v>
      </c>
      <c r="Q144" s="37" t="n">
        <v>0</v>
      </c>
      <c r="R144" s="37" t="n">
        <v>0</v>
      </c>
      <c r="S144" s="37" t="n">
        <v>0</v>
      </c>
      <c r="T144" s="38" t="n">
        <v>1</v>
      </c>
      <c r="U144" s="37" t="n">
        <v>0</v>
      </c>
      <c r="V144" s="36" t="n">
        <v>0</v>
      </c>
      <c r="W144" t="n">
        <v>1</v>
      </c>
    </row>
    <row r="145">
      <c r="A145" s="36" t="inlineStr">
        <is>
          <t>A. Porter</t>
        </is>
      </c>
      <c r="B145" s="36">
        <f t="array" ref="B145:C145">_xlfn.XLOOKUP(A145,'Player List'!$A$2:$A$177,'Player List'!$B$2:$C$177)</f>
        <v/>
      </c>
      <c r="C145" s="36" t="inlineStr">
        <is>
          <t>Prop</t>
        </is>
      </c>
      <c r="D145" s="37" t="n">
        <v>80</v>
      </c>
      <c r="F145" s="37" t="n">
        <v>10</v>
      </c>
      <c r="G145" s="37" t="n">
        <v>0</v>
      </c>
      <c r="H145" s="37" t="n">
        <v>0</v>
      </c>
      <c r="I145" s="37" t="n">
        <v>4.8</v>
      </c>
      <c r="J145" s="37" t="n">
        <v>0</v>
      </c>
      <c r="K145" s="37" t="n">
        <v>0</v>
      </c>
      <c r="L145" s="37" t="n">
        <v>0</v>
      </c>
      <c r="M145" s="37" t="n">
        <v>0</v>
      </c>
      <c r="N145" s="37" t="n">
        <v>0</v>
      </c>
      <c r="O145" s="37" t="n">
        <v>0</v>
      </c>
      <c r="P145" s="37" t="n">
        <v>0</v>
      </c>
      <c r="Q145" s="37" t="n">
        <v>0</v>
      </c>
      <c r="R145" s="37" t="n">
        <v>0</v>
      </c>
      <c r="S145" s="37" t="n">
        <v>0</v>
      </c>
      <c r="T145" s="38" t="n">
        <v>14.8</v>
      </c>
      <c r="U145" s="37" t="n">
        <v>0</v>
      </c>
      <c r="V145" s="36" t="n">
        <v>0</v>
      </c>
      <c r="W145" t="n">
        <v>14.8</v>
      </c>
    </row>
    <row r="146">
      <c r="A146" s="36" t="inlineStr">
        <is>
          <t>R. Kelleher</t>
        </is>
      </c>
      <c r="B146" s="36">
        <f t="array" ref="B146:C146">_xlfn.XLOOKUP(A146,'Player List'!$A$2:$A$177,'Player List'!$B$2:$C$177)</f>
        <v/>
      </c>
      <c r="C146" s="36" t="inlineStr">
        <is>
          <t>Hooker</t>
        </is>
      </c>
      <c r="D146" s="37" t="n">
        <v>30</v>
      </c>
      <c r="F146" s="37" t="n">
        <v>2</v>
      </c>
      <c r="G146" s="37" t="n">
        <v>0</v>
      </c>
      <c r="H146" s="37" t="n">
        <v>0</v>
      </c>
      <c r="I146" s="37" t="n">
        <v>4.6</v>
      </c>
      <c r="J146" s="37" t="n">
        <v>0</v>
      </c>
      <c r="K146" s="37" t="n">
        <v>0</v>
      </c>
      <c r="L146" s="37" t="n">
        <v>0</v>
      </c>
      <c r="M146" s="37" t="n">
        <v>0</v>
      </c>
      <c r="N146" s="37" t="n">
        <v>0</v>
      </c>
      <c r="O146" s="37" t="n">
        <v>0</v>
      </c>
      <c r="P146" s="37" t="n">
        <v>0</v>
      </c>
      <c r="Q146" s="37" t="n">
        <v>0</v>
      </c>
      <c r="R146" s="37" t="n">
        <v>0</v>
      </c>
      <c r="S146" s="37" t="n">
        <v>0</v>
      </c>
      <c r="T146" s="38" t="n">
        <v>6.6</v>
      </c>
      <c r="U146" s="37" t="n">
        <v>0</v>
      </c>
      <c r="V146" s="36" t="n">
        <v>0</v>
      </c>
      <c r="W146" t="n">
        <v>6.6</v>
      </c>
    </row>
    <row r="147">
      <c r="A147" s="36" t="inlineStr">
        <is>
          <t>D. Sheehan</t>
        </is>
      </c>
      <c r="B147" s="36">
        <f t="array" ref="B147:C147">_xlfn.XLOOKUP(A147,'Player List'!$A$2:$A$177,'Player List'!$B$2:$C$177)</f>
        <v/>
      </c>
      <c r="C147" s="36" t="inlineStr">
        <is>
          <t>Hooker</t>
        </is>
      </c>
      <c r="D147" s="37" t="n">
        <v>18</v>
      </c>
      <c r="F147" s="37" t="n">
        <v>4</v>
      </c>
      <c r="G147" s="37" t="n">
        <v>0</v>
      </c>
      <c r="H147" s="37" t="n">
        <v>0</v>
      </c>
      <c r="I147" s="37" t="n">
        <v>0</v>
      </c>
      <c r="J147" s="37" t="n">
        <v>0</v>
      </c>
      <c r="K147" s="37" t="n">
        <v>0</v>
      </c>
      <c r="L147" s="37" t="n">
        <v>0</v>
      </c>
      <c r="M147" s="37" t="n">
        <v>0</v>
      </c>
      <c r="N147" s="37" t="n">
        <v>0</v>
      </c>
      <c r="O147" s="37" t="n">
        <v>0</v>
      </c>
      <c r="P147" s="37" t="n">
        <v>0</v>
      </c>
      <c r="Q147" s="37" t="n">
        <v>0</v>
      </c>
      <c r="R147" s="37" t="n">
        <v>0</v>
      </c>
      <c r="S147" s="37" t="n">
        <v>0</v>
      </c>
      <c r="T147" s="38" t="n">
        <v>4</v>
      </c>
      <c r="U147" s="37" t="n">
        <v>0</v>
      </c>
      <c r="V147" s="36" t="n">
        <v>0</v>
      </c>
      <c r="W147" t="n">
        <v>4</v>
      </c>
    </row>
  </sheetData>
  <autoFilter ref="A9:W147"/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2:X182"/>
  <sheetViews>
    <sheetView workbookViewId="0">
      <selection activeCell="U7" sqref="U7"/>
    </sheetView>
  </sheetViews>
  <sheetFormatPr baseColWidth="10" defaultColWidth="8.83203125" defaultRowHeight="15"/>
  <cols>
    <col width="12.83203125" customWidth="1" min="1" max="1"/>
    <col width="11.1640625" customWidth="1" min="3" max="3"/>
    <col width="13.5" customWidth="1" min="4" max="4"/>
    <col width="13.1640625" customWidth="1" min="23" max="23"/>
  </cols>
  <sheetData>
    <row r="1" ht="16" customHeight="1" thickBot="1"/>
    <row r="2" ht="30" customHeight="1">
      <c r="A2" s="43" t="n"/>
      <c r="B2" s="44" t="inlineStr">
        <is>
          <t>Win</t>
        </is>
      </c>
      <c r="C2" s="45" t="inlineStr">
        <is>
          <t>Tackles</t>
        </is>
      </c>
      <c r="D2" s="45" t="inlineStr">
        <is>
          <t>Dominant Tackles</t>
        </is>
      </c>
      <c r="E2" s="45" t="inlineStr">
        <is>
          <t>Line Breaks</t>
        </is>
      </c>
      <c r="F2" s="45" t="inlineStr">
        <is>
          <t>Metres Carried</t>
        </is>
      </c>
      <c r="G2" s="45" t="inlineStr">
        <is>
          <t>50-22</t>
        </is>
      </c>
      <c r="H2" s="45" t="inlineStr">
        <is>
          <t>Lineout Steal</t>
        </is>
      </c>
      <c r="I2" s="45" t="inlineStr">
        <is>
          <t>Breakdown Steal</t>
        </is>
      </c>
      <c r="J2" s="45" t="inlineStr">
        <is>
          <t>Try</t>
        </is>
      </c>
      <c r="K2" s="45" t="inlineStr">
        <is>
          <t>Assists</t>
        </is>
      </c>
      <c r="L2" s="45" t="inlineStr">
        <is>
          <t>Conversion</t>
        </is>
      </c>
      <c r="M2" s="45" t="inlineStr">
        <is>
          <t>Penalty</t>
        </is>
      </c>
      <c r="N2" s="45" t="inlineStr">
        <is>
          <t>Drop Goal</t>
        </is>
      </c>
      <c r="O2" s="45" t="inlineStr">
        <is>
          <t>Yellow Card</t>
        </is>
      </c>
      <c r="P2" s="45" t="inlineStr">
        <is>
          <t>Red Card</t>
        </is>
      </c>
      <c r="Q2" s="46" t="inlineStr">
        <is>
          <t>MOM</t>
        </is>
      </c>
    </row>
    <row r="3" ht="16" customHeight="1" thickBot="1">
      <c r="A3" s="47" t="inlineStr">
        <is>
          <t>Points</t>
        </is>
      </c>
      <c r="B3" s="48" t="n">
        <v>8</v>
      </c>
      <c r="C3" s="48" t="n">
        <v>1</v>
      </c>
      <c r="D3" s="48" t="n">
        <v>7</v>
      </c>
      <c r="E3" s="48" t="n">
        <v>7</v>
      </c>
      <c r="F3" s="48" t="n">
        <v>0.2</v>
      </c>
      <c r="G3" s="48" t="n">
        <v>10</v>
      </c>
      <c r="H3" s="48" t="n">
        <v>7</v>
      </c>
      <c r="I3" s="48" t="n">
        <v>7</v>
      </c>
      <c r="J3" s="48" t="n">
        <v>15</v>
      </c>
      <c r="K3" s="48" t="n">
        <v>7</v>
      </c>
      <c r="L3" s="48" t="n">
        <v>2</v>
      </c>
      <c r="M3" s="48" t="n">
        <v>5</v>
      </c>
      <c r="N3" s="48" t="n">
        <v>7</v>
      </c>
      <c r="O3" s="48" t="n">
        <v>-5</v>
      </c>
      <c r="P3" s="48" t="n">
        <v>-10</v>
      </c>
      <c r="Q3" s="49" t="n">
        <v>15</v>
      </c>
    </row>
    <row r="4" ht="16" customHeight="1" thickBot="1"/>
    <row r="5" ht="16" customHeight="1" thickBot="1">
      <c r="E5" s="105" t="inlineStr">
        <is>
          <t>Average</t>
        </is>
      </c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50" t="n"/>
    </row>
    <row r="6" ht="33" customHeight="1" thickBot="1">
      <c r="A6" s="39" t="inlineStr">
        <is>
          <t>Name</t>
        </is>
      </c>
      <c r="B6" s="40" t="inlineStr">
        <is>
          <t>Nation</t>
        </is>
      </c>
      <c r="C6" s="40" t="inlineStr">
        <is>
          <t>Position</t>
        </is>
      </c>
      <c r="D6" s="59" t="inlineStr">
        <is>
          <t>Games Played</t>
        </is>
      </c>
      <c r="E6" s="58" t="inlineStr">
        <is>
          <t>Time Played</t>
        </is>
      </c>
      <c r="F6" s="41" t="inlineStr">
        <is>
          <t>Tackles</t>
        </is>
      </c>
      <c r="G6" s="41" t="inlineStr">
        <is>
          <t>Dominant Tackles</t>
        </is>
      </c>
      <c r="H6" s="41" t="inlineStr">
        <is>
          <t>Line Breaks</t>
        </is>
      </c>
      <c r="I6" s="41" t="inlineStr">
        <is>
          <t>Metres Carried</t>
        </is>
      </c>
      <c r="J6" s="41" t="inlineStr">
        <is>
          <t>50-22</t>
        </is>
      </c>
      <c r="K6" s="41" t="inlineStr">
        <is>
          <t>Lineout Steal</t>
        </is>
      </c>
      <c r="L6" s="41" t="inlineStr">
        <is>
          <t>Breakdown Steal</t>
        </is>
      </c>
      <c r="M6" s="41" t="inlineStr">
        <is>
          <t>Try</t>
        </is>
      </c>
      <c r="N6" s="41" t="inlineStr">
        <is>
          <t>Assists</t>
        </is>
      </c>
      <c r="O6" s="41" t="inlineStr">
        <is>
          <t>Conversion</t>
        </is>
      </c>
      <c r="P6" s="41" t="inlineStr">
        <is>
          <t>Penalty</t>
        </is>
      </c>
      <c r="Q6" s="41" t="inlineStr">
        <is>
          <t>Drop Goal</t>
        </is>
      </c>
      <c r="R6" s="41" t="inlineStr">
        <is>
          <t>Yellow Card</t>
        </is>
      </c>
      <c r="S6" s="41" t="inlineStr">
        <is>
          <t>Red Card</t>
        </is>
      </c>
      <c r="T6" s="42" t="inlineStr">
        <is>
          <t>Game Total</t>
        </is>
      </c>
      <c r="U6" s="71" t="inlineStr">
        <is>
          <t>MOM</t>
        </is>
      </c>
      <c r="V6" s="41" t="inlineStr">
        <is>
          <t>Win Points</t>
        </is>
      </c>
      <c r="W6" s="42" t="inlineStr">
        <is>
          <t>Total Average Points</t>
        </is>
      </c>
      <c r="X6" s="35" t="n"/>
    </row>
    <row r="7" ht="16" customHeight="1" thickBot="1">
      <c r="A7" s="61" t="inlineStr">
        <is>
          <t>J. Adams</t>
        </is>
      </c>
      <c r="B7" t="inlineStr">
        <is>
          <t>Wales</t>
        </is>
      </c>
      <c r="C7" t="inlineStr">
        <is>
          <t>Back Three</t>
        </is>
      </c>
      <c r="D7" t="n">
        <v>4</v>
      </c>
      <c r="E7" s="57" t="n">
        <v>61</v>
      </c>
      <c r="F7" s="57" t="n">
        <v>3.75</v>
      </c>
      <c r="G7" s="57" t="n">
        <v>8.75</v>
      </c>
      <c r="H7" s="57" t="n">
        <v>1.75</v>
      </c>
      <c r="I7" s="57" t="n">
        <v>5.25</v>
      </c>
      <c r="J7" s="57" t="n">
        <v>0</v>
      </c>
      <c r="K7" s="57" t="n">
        <v>0</v>
      </c>
      <c r="L7" s="57" t="n">
        <v>1.75</v>
      </c>
      <c r="M7" s="57" t="n">
        <v>0</v>
      </c>
      <c r="N7" s="57" t="n">
        <v>0</v>
      </c>
      <c r="O7" s="57" t="n">
        <v>0</v>
      </c>
      <c r="P7" s="57" t="n">
        <v>0</v>
      </c>
      <c r="Q7" s="57" t="n">
        <v>0</v>
      </c>
      <c r="R7" s="57" t="n">
        <v>-0</v>
      </c>
      <c r="S7" s="57" t="n">
        <v>-0</v>
      </c>
      <c r="T7" s="57" t="n">
        <v>21.25</v>
      </c>
      <c r="U7" s="57" t="n">
        <v>0</v>
      </c>
      <c r="V7" s="57" t="n">
        <v>0</v>
      </c>
      <c r="W7" s="72" t="n">
        <v>21.25</v>
      </c>
      <c r="X7" s="57" t="n"/>
    </row>
    <row r="8" ht="16" customHeight="1" thickBot="1">
      <c r="A8" s="63" t="inlineStr">
        <is>
          <t>A. Cuthbert</t>
        </is>
      </c>
      <c r="B8" t="inlineStr">
        <is>
          <t>Wales</t>
        </is>
      </c>
      <c r="C8" t="inlineStr">
        <is>
          <t>Back Three</t>
        </is>
      </c>
      <c r="D8" t="n">
        <v>2</v>
      </c>
      <c r="E8" s="57" t="n">
        <v>20</v>
      </c>
      <c r="F8" s="57" t="n">
        <v>1</v>
      </c>
      <c r="G8" s="57" t="n">
        <v>0</v>
      </c>
      <c r="H8" s="57" t="n">
        <v>0</v>
      </c>
      <c r="I8" s="57" t="n">
        <v>7.5</v>
      </c>
      <c r="J8" s="57" t="n">
        <v>0</v>
      </c>
      <c r="K8" s="57" t="n">
        <v>0</v>
      </c>
      <c r="L8" s="57" t="n">
        <v>0</v>
      </c>
      <c r="M8" s="57" t="n">
        <v>0</v>
      </c>
      <c r="N8" s="57" t="n">
        <v>0</v>
      </c>
      <c r="O8" s="57" t="n">
        <v>0</v>
      </c>
      <c r="P8" s="57" t="n">
        <v>0</v>
      </c>
      <c r="Q8" s="57" t="n">
        <v>0</v>
      </c>
      <c r="R8" s="57" t="n">
        <v>-0</v>
      </c>
      <c r="S8" s="57" t="n">
        <v>-0</v>
      </c>
      <c r="T8" s="57" t="n">
        <v>8.5</v>
      </c>
      <c r="U8" s="57" t="n">
        <v>0</v>
      </c>
      <c r="V8" s="57" t="n">
        <v>0</v>
      </c>
      <c r="W8" s="72" t="n">
        <v>8.5</v>
      </c>
    </row>
    <row r="9" ht="16" customHeight="1" thickBot="1">
      <c r="A9" s="61" t="inlineStr">
        <is>
          <t>R. Dyer</t>
        </is>
      </c>
      <c r="B9" t="inlineStr">
        <is>
          <t>Wales</t>
        </is>
      </c>
      <c r="C9" t="inlineStr">
        <is>
          <t>Back Three</t>
        </is>
      </c>
      <c r="D9" t="n">
        <v>3</v>
      </c>
      <c r="E9" s="57" t="n">
        <v>76</v>
      </c>
      <c r="F9" s="57" t="n">
        <v>4.3333</v>
      </c>
      <c r="G9" s="57" t="n">
        <v>2.3331</v>
      </c>
      <c r="H9" s="57" t="n">
        <v>9.3331</v>
      </c>
      <c r="I9" s="57" t="n">
        <v>14.4</v>
      </c>
      <c r="J9" s="57" t="n">
        <v>0</v>
      </c>
      <c r="K9" s="57" t="n">
        <v>0</v>
      </c>
      <c r="L9" s="57" t="n">
        <v>0</v>
      </c>
      <c r="M9" s="57" t="n">
        <v>4.9995</v>
      </c>
      <c r="N9" s="57" t="n">
        <v>0</v>
      </c>
      <c r="O9" s="57" t="n">
        <v>0</v>
      </c>
      <c r="P9" s="57" t="n">
        <v>0</v>
      </c>
      <c r="Q9" s="57" t="n">
        <v>0</v>
      </c>
      <c r="R9" s="57" t="n">
        <v>-0</v>
      </c>
      <c r="S9" s="57" t="n">
        <v>-0</v>
      </c>
      <c r="T9" s="57" t="n">
        <v>35.4</v>
      </c>
      <c r="U9" s="57" t="n">
        <v>0</v>
      </c>
      <c r="V9" s="57" t="n">
        <v>0</v>
      </c>
      <c r="W9" s="72" t="n">
        <v>35.4</v>
      </c>
    </row>
    <row r="10" ht="16" customHeight="1" thickBot="1">
      <c r="A10" s="63" t="inlineStr">
        <is>
          <t>L. Williams</t>
        </is>
      </c>
      <c r="B10" t="inlineStr">
        <is>
          <t>Wales</t>
        </is>
      </c>
      <c r="C10" t="inlineStr">
        <is>
          <t>Back Three</t>
        </is>
      </c>
      <c r="D10" t="n">
        <v>3</v>
      </c>
      <c r="E10" s="57" t="n">
        <v>67</v>
      </c>
      <c r="F10" s="57" t="n">
        <v>4</v>
      </c>
      <c r="G10" s="57" t="n">
        <v>0</v>
      </c>
      <c r="H10" s="57" t="n">
        <v>7</v>
      </c>
      <c r="I10" s="57" t="n">
        <v>15.9333</v>
      </c>
      <c r="J10" s="57" t="n">
        <v>0</v>
      </c>
      <c r="K10" s="57" t="n">
        <v>0</v>
      </c>
      <c r="L10" s="57" t="n">
        <v>4.6669</v>
      </c>
      <c r="M10" s="57" t="n">
        <v>10.0005</v>
      </c>
      <c r="N10" s="57" t="n">
        <v>0</v>
      </c>
      <c r="O10" s="57" t="n">
        <v>0</v>
      </c>
      <c r="P10" s="57" t="n">
        <v>0</v>
      </c>
      <c r="Q10" s="57" t="n">
        <v>0</v>
      </c>
      <c r="R10" s="57" t="n">
        <v>-3.3335</v>
      </c>
      <c r="S10" s="57" t="n">
        <v>-0</v>
      </c>
      <c r="T10" s="57" t="n">
        <v>38.2667</v>
      </c>
      <c r="U10" s="57" t="n">
        <v>0</v>
      </c>
      <c r="V10" s="57" t="n">
        <v>0</v>
      </c>
      <c r="W10" s="72" t="n">
        <v>38.2667</v>
      </c>
    </row>
    <row r="11" ht="16" customHeight="1" thickBot="1">
      <c r="A11" s="61" t="inlineStr">
        <is>
          <t>J. Hawkins</t>
        </is>
      </c>
      <c r="B11" t="inlineStr">
        <is>
          <t>Wales</t>
        </is>
      </c>
      <c r="C11" t="inlineStr">
        <is>
          <t>Centre</t>
        </is>
      </c>
      <c r="D11" t="n">
        <v>4</v>
      </c>
      <c r="E11" s="57" t="n">
        <v>80</v>
      </c>
      <c r="F11" s="57" t="n">
        <v>5.5</v>
      </c>
      <c r="G11" s="57" t="n">
        <v>3.5</v>
      </c>
      <c r="H11" s="57" t="n">
        <v>1.75</v>
      </c>
      <c r="I11" s="57" t="n">
        <v>13.85</v>
      </c>
      <c r="J11" s="57" t="n">
        <v>0</v>
      </c>
      <c r="K11" s="57" t="n">
        <v>0</v>
      </c>
      <c r="L11" s="57" t="n">
        <v>0</v>
      </c>
      <c r="M11" s="57" t="n">
        <v>0</v>
      </c>
      <c r="N11" s="57" t="n">
        <v>0</v>
      </c>
      <c r="O11" s="57" t="n">
        <v>0</v>
      </c>
      <c r="P11" s="57" t="n">
        <v>0</v>
      </c>
      <c r="Q11" s="57" t="n">
        <v>0</v>
      </c>
      <c r="R11" s="57" t="n">
        <v>-0</v>
      </c>
      <c r="S11" s="57" t="n">
        <v>-0</v>
      </c>
      <c r="T11" s="57" t="n">
        <v>24.6</v>
      </c>
      <c r="U11" s="57" t="n">
        <v>0</v>
      </c>
      <c r="V11" s="57" t="n">
        <v>0</v>
      </c>
      <c r="W11" s="72" t="n">
        <v>24.6</v>
      </c>
    </row>
    <row r="12" ht="16" customHeight="1" thickBot="1">
      <c r="A12" s="63" t="inlineStr">
        <is>
          <t>G. North</t>
        </is>
      </c>
      <c r="B12" t="inlineStr">
        <is>
          <t>Wales</t>
        </is>
      </c>
      <c r="C12" t="inlineStr">
        <is>
          <t>Centre</t>
        </is>
      </c>
      <c r="D12" t="n">
        <v>3</v>
      </c>
      <c r="E12" s="57" t="n">
        <v>57</v>
      </c>
      <c r="F12" s="57" t="n">
        <v>2.3333</v>
      </c>
      <c r="G12" s="57" t="n">
        <v>2.3331</v>
      </c>
      <c r="H12" s="57" t="n">
        <v>0</v>
      </c>
      <c r="I12" s="57" t="n">
        <v>7.2667</v>
      </c>
      <c r="J12" s="57" t="n">
        <v>0</v>
      </c>
      <c r="K12" s="57" t="n">
        <v>0</v>
      </c>
      <c r="L12" s="57" t="n">
        <v>0</v>
      </c>
      <c r="M12" s="57" t="n">
        <v>0</v>
      </c>
      <c r="N12" s="57" t="n">
        <v>0</v>
      </c>
      <c r="O12" s="57" t="n">
        <v>0</v>
      </c>
      <c r="P12" s="57" t="n">
        <v>0</v>
      </c>
      <c r="Q12" s="57" t="n">
        <v>0</v>
      </c>
      <c r="R12" s="57" t="n">
        <v>-0</v>
      </c>
      <c r="S12" s="57" t="n">
        <v>-0</v>
      </c>
      <c r="T12" s="57" t="n">
        <v>11.9333</v>
      </c>
      <c r="U12" s="57" t="n">
        <v>0</v>
      </c>
      <c r="V12" s="57" t="n">
        <v>0</v>
      </c>
      <c r="W12" s="72" t="n">
        <v>11.9333</v>
      </c>
    </row>
    <row r="13" ht="16" customHeight="1" thickBot="1">
      <c r="A13" s="61" t="inlineStr">
        <is>
          <t>D. Biggar</t>
        </is>
      </c>
      <c r="B13" t="inlineStr">
        <is>
          <t>Wales</t>
        </is>
      </c>
      <c r="C13" t="inlineStr">
        <is>
          <t>Fly Half</t>
        </is>
      </c>
      <c r="D13" t="n">
        <v>3</v>
      </c>
      <c r="E13" s="57" t="n">
        <v>50</v>
      </c>
      <c r="F13" s="57" t="n">
        <v>6.3333</v>
      </c>
      <c r="G13" s="57" t="n">
        <v>0</v>
      </c>
      <c r="H13" s="57" t="n">
        <v>2.3331</v>
      </c>
      <c r="I13" s="57" t="n">
        <v>3.4</v>
      </c>
      <c r="J13" s="57" t="n">
        <v>0</v>
      </c>
      <c r="K13" s="57" t="n">
        <v>0</v>
      </c>
      <c r="L13" s="57" t="n">
        <v>2.3331</v>
      </c>
      <c r="M13" s="57" t="n">
        <v>0</v>
      </c>
      <c r="N13" s="57" t="n">
        <v>2.3331</v>
      </c>
      <c r="O13" s="57" t="n">
        <v>1.3334</v>
      </c>
      <c r="P13" s="57" t="n">
        <v>1.6665</v>
      </c>
      <c r="Q13" s="57" t="n">
        <v>0</v>
      </c>
      <c r="R13" s="57" t="n">
        <v>-0</v>
      </c>
      <c r="S13" s="57" t="n">
        <v>-0</v>
      </c>
      <c r="T13" s="57" t="n">
        <v>19.7333</v>
      </c>
      <c r="U13" s="57" t="n">
        <v>0</v>
      </c>
      <c r="V13" s="57" t="n">
        <v>0</v>
      </c>
      <c r="W13" s="72" t="n">
        <v>19.7333</v>
      </c>
    </row>
    <row r="14" ht="16" customHeight="1" thickBot="1">
      <c r="A14" s="63" t="inlineStr">
        <is>
          <t>O. Williams</t>
        </is>
      </c>
      <c r="B14" t="inlineStr">
        <is>
          <t>Wales</t>
        </is>
      </c>
      <c r="C14" t="inlineStr">
        <is>
          <t>Fly Half</t>
        </is>
      </c>
      <c r="D14" t="n">
        <v>3</v>
      </c>
      <c r="E14" s="57" t="n">
        <v>49</v>
      </c>
      <c r="F14" s="57" t="n">
        <v>5</v>
      </c>
      <c r="G14" s="57" t="n">
        <v>0</v>
      </c>
      <c r="H14" s="57" t="n">
        <v>0</v>
      </c>
      <c r="I14" s="57" t="n">
        <v>3.1333</v>
      </c>
      <c r="J14" s="57" t="n">
        <v>0</v>
      </c>
      <c r="K14" s="57" t="n">
        <v>0</v>
      </c>
      <c r="L14" s="57" t="n">
        <v>0</v>
      </c>
      <c r="M14" s="57" t="n">
        <v>0</v>
      </c>
      <c r="N14" s="57" t="n">
        <v>0</v>
      </c>
      <c r="O14" s="57" t="n">
        <v>1.3334</v>
      </c>
      <c r="P14" s="57" t="n">
        <v>1.6665</v>
      </c>
      <c r="Q14" s="57" t="n">
        <v>0</v>
      </c>
      <c r="R14" s="57" t="n">
        <v>-0</v>
      </c>
      <c r="S14" s="57" t="n">
        <v>-0</v>
      </c>
      <c r="T14" s="57" t="n">
        <v>11.1333</v>
      </c>
      <c r="U14" s="57" t="n">
        <v>0</v>
      </c>
      <c r="V14" s="57" t="n">
        <v>0</v>
      </c>
      <c r="W14" s="72" t="n">
        <v>11.1333</v>
      </c>
    </row>
    <row r="15" ht="16" customHeight="1" thickBot="1">
      <c r="A15" s="61" t="inlineStr">
        <is>
          <t>R. Webb</t>
        </is>
      </c>
      <c r="B15" t="inlineStr">
        <is>
          <t>Wales</t>
        </is>
      </c>
      <c r="C15" t="inlineStr">
        <is>
          <t>Scrum Half</t>
        </is>
      </c>
      <c r="D15" t="n">
        <v>3</v>
      </c>
      <c r="E15" s="57" t="n">
        <v>31.3333</v>
      </c>
      <c r="F15" s="57" t="n">
        <v>3</v>
      </c>
      <c r="G15" s="57" t="n">
        <v>4.6669</v>
      </c>
      <c r="H15" s="57" t="n">
        <v>2.3331</v>
      </c>
      <c r="I15" s="57" t="n">
        <v>1.9333</v>
      </c>
      <c r="J15" s="57" t="n">
        <v>3.333</v>
      </c>
      <c r="K15" s="57" t="n">
        <v>0</v>
      </c>
      <c r="L15" s="57" t="n">
        <v>0</v>
      </c>
      <c r="M15" s="57" t="n">
        <v>0</v>
      </c>
      <c r="N15" s="57" t="n">
        <v>4.6669</v>
      </c>
      <c r="O15" s="57" t="n">
        <v>0</v>
      </c>
      <c r="P15" s="57" t="n">
        <v>0</v>
      </c>
      <c r="Q15" s="57" t="n">
        <v>0</v>
      </c>
      <c r="R15" s="57" t="n">
        <v>-1.6665</v>
      </c>
      <c r="S15" s="57" t="n">
        <v>-0</v>
      </c>
      <c r="T15" s="57" t="n">
        <v>18.2667</v>
      </c>
      <c r="U15" s="57" t="n">
        <v>15</v>
      </c>
      <c r="V15" s="57" t="n">
        <v>0</v>
      </c>
      <c r="W15" s="72" t="n">
        <v>23.2667</v>
      </c>
    </row>
    <row r="16" ht="16" customHeight="1" thickBot="1">
      <c r="A16" s="63" t="inlineStr">
        <is>
          <t>T. Williams</t>
        </is>
      </c>
      <c r="B16" t="inlineStr">
        <is>
          <t>Wales</t>
        </is>
      </c>
      <c r="C16" t="inlineStr">
        <is>
          <t>Scrum Half</t>
        </is>
      </c>
      <c r="D16" t="n">
        <v>4</v>
      </c>
      <c r="E16" s="57" t="n">
        <v>53.75</v>
      </c>
      <c r="F16" s="57" t="n">
        <v>3.5</v>
      </c>
      <c r="G16" s="57" t="n">
        <v>1.75</v>
      </c>
      <c r="H16" s="57" t="n">
        <v>0</v>
      </c>
      <c r="I16" s="57" t="n">
        <v>2.9</v>
      </c>
      <c r="J16" s="57" t="n">
        <v>0</v>
      </c>
      <c r="K16" s="57" t="n">
        <v>0</v>
      </c>
      <c r="L16" s="57" t="n">
        <v>0</v>
      </c>
      <c r="M16" s="57" t="n">
        <v>0</v>
      </c>
      <c r="N16" s="57" t="n">
        <v>0</v>
      </c>
      <c r="O16" s="57" t="n">
        <v>0</v>
      </c>
      <c r="P16" s="57" t="n">
        <v>0</v>
      </c>
      <c r="Q16" s="57" t="n">
        <v>0</v>
      </c>
      <c r="R16" s="57" t="n">
        <v>-0</v>
      </c>
      <c r="S16" s="57" t="n">
        <v>-0</v>
      </c>
      <c r="T16" s="57" t="n">
        <v>8.15</v>
      </c>
      <c r="U16" s="57" t="n">
        <v>0</v>
      </c>
      <c r="V16" s="57" t="n">
        <v>0</v>
      </c>
      <c r="W16" s="72" t="n">
        <v>8.15</v>
      </c>
    </row>
    <row r="17" ht="16" customHeight="1" thickBot="1">
      <c r="A17" s="61" t="inlineStr">
        <is>
          <t>T. Faletau</t>
        </is>
      </c>
      <c r="B17" t="inlineStr">
        <is>
          <t>Wales</t>
        </is>
      </c>
      <c r="C17" t="inlineStr">
        <is>
          <t>Back Row</t>
        </is>
      </c>
      <c r="D17" t="n">
        <v>4</v>
      </c>
      <c r="E17" s="57" t="n">
        <v>67</v>
      </c>
      <c r="F17" s="57" t="n">
        <v>12.75</v>
      </c>
      <c r="G17" s="57" t="n">
        <v>1.75</v>
      </c>
      <c r="H17" s="57" t="n">
        <v>0</v>
      </c>
      <c r="I17" s="57" t="n">
        <v>9.15</v>
      </c>
      <c r="J17" s="57" t="n">
        <v>0</v>
      </c>
      <c r="K17" s="57" t="n">
        <v>0</v>
      </c>
      <c r="L17" s="57" t="n">
        <v>3.5</v>
      </c>
      <c r="M17" s="57" t="n">
        <v>3.75</v>
      </c>
      <c r="N17" s="57" t="n">
        <v>0</v>
      </c>
      <c r="O17" s="57" t="n">
        <v>0</v>
      </c>
      <c r="P17" s="57" t="n">
        <v>0</v>
      </c>
      <c r="Q17" s="57" t="n">
        <v>0</v>
      </c>
      <c r="R17" s="57" t="n">
        <v>-0</v>
      </c>
      <c r="S17" s="57" t="n">
        <v>-0</v>
      </c>
      <c r="T17" s="57" t="n">
        <v>30.9</v>
      </c>
      <c r="U17" s="57" t="n">
        <v>0</v>
      </c>
      <c r="V17" s="57" t="n">
        <v>0</v>
      </c>
      <c r="W17" s="72" t="n">
        <v>30.9</v>
      </c>
    </row>
    <row r="18" ht="16" customHeight="1" thickBot="1">
      <c r="A18" s="63" t="inlineStr">
        <is>
          <t>J. Morgan</t>
        </is>
      </c>
      <c r="B18" t="inlineStr">
        <is>
          <t>Wales</t>
        </is>
      </c>
      <c r="C18" t="inlineStr">
        <is>
          <t>Back Row</t>
        </is>
      </c>
      <c r="D18" t="n">
        <v>3</v>
      </c>
      <c r="E18" s="57" t="n">
        <v>64</v>
      </c>
      <c r="F18" s="57" t="n">
        <v>13</v>
      </c>
      <c r="G18" s="57" t="n">
        <v>7</v>
      </c>
      <c r="H18" s="57" t="n">
        <v>0</v>
      </c>
      <c r="I18" s="57" t="n">
        <v>6.2667</v>
      </c>
      <c r="J18" s="57" t="n">
        <v>0</v>
      </c>
      <c r="K18" s="57" t="n">
        <v>0</v>
      </c>
      <c r="L18" s="57" t="n">
        <v>7</v>
      </c>
      <c r="M18" s="57" t="n">
        <v>0</v>
      </c>
      <c r="N18" s="57" t="n">
        <v>0</v>
      </c>
      <c r="O18" s="57" t="n">
        <v>0</v>
      </c>
      <c r="P18" s="57" t="n">
        <v>0</v>
      </c>
      <c r="Q18" s="57" t="n">
        <v>0</v>
      </c>
      <c r="R18" s="57" t="n">
        <v>-0</v>
      </c>
      <c r="S18" s="57" t="n">
        <v>-0</v>
      </c>
      <c r="T18" s="57" t="n">
        <v>33.2667</v>
      </c>
      <c r="U18" s="57" t="n">
        <v>0</v>
      </c>
      <c r="V18" s="57" t="n">
        <v>0</v>
      </c>
      <c r="W18" s="72" t="n">
        <v>33.2667</v>
      </c>
    </row>
    <row r="19" ht="16" customHeight="1" thickBot="1">
      <c r="A19" s="61" t="inlineStr">
        <is>
          <t>T. Reffell</t>
        </is>
      </c>
      <c r="B19" t="inlineStr">
        <is>
          <t>Wales</t>
        </is>
      </c>
      <c r="C19" t="inlineStr">
        <is>
          <t>Back Row</t>
        </is>
      </c>
      <c r="D19" t="n">
        <v>4</v>
      </c>
      <c r="E19" s="57" t="n">
        <v>35.75</v>
      </c>
      <c r="F19" s="57" t="n">
        <v>6.25</v>
      </c>
      <c r="G19" s="57" t="n">
        <v>1.75</v>
      </c>
      <c r="H19" s="57" t="n">
        <v>0</v>
      </c>
      <c r="I19" s="57" t="n">
        <v>2.25</v>
      </c>
      <c r="J19" s="57" t="n">
        <v>0</v>
      </c>
      <c r="K19" s="57" t="n">
        <v>0</v>
      </c>
      <c r="L19" s="57" t="n">
        <v>0</v>
      </c>
      <c r="M19" s="57" t="n">
        <v>0</v>
      </c>
      <c r="N19" s="57" t="n">
        <v>0</v>
      </c>
      <c r="O19" s="57" t="n">
        <v>0</v>
      </c>
      <c r="P19" s="57" t="n">
        <v>0</v>
      </c>
      <c r="Q19" s="57" t="n">
        <v>0</v>
      </c>
      <c r="R19" s="57" t="n">
        <v>-0</v>
      </c>
      <c r="S19" s="57" t="n">
        <v>-0</v>
      </c>
      <c r="T19" s="57" t="n">
        <v>10.25</v>
      </c>
      <c r="U19" s="57" t="n">
        <v>0</v>
      </c>
      <c r="V19" s="57" t="n">
        <v>0</v>
      </c>
      <c r="W19" s="72" t="n">
        <v>10.25</v>
      </c>
    </row>
    <row r="20" ht="16" customHeight="1" thickBot="1">
      <c r="A20" s="63" t="inlineStr">
        <is>
          <t>J. Tipuric</t>
        </is>
      </c>
      <c r="B20" t="inlineStr">
        <is>
          <t>Wales</t>
        </is>
      </c>
      <c r="C20" t="inlineStr">
        <is>
          <t>Back Row</t>
        </is>
      </c>
      <c r="D20" t="n">
        <v>3</v>
      </c>
      <c r="E20" s="57" t="n">
        <v>71.33329999999999</v>
      </c>
      <c r="F20" s="57" t="n">
        <v>11.3333</v>
      </c>
      <c r="G20" s="57" t="n">
        <v>14</v>
      </c>
      <c r="H20" s="57" t="n">
        <v>0</v>
      </c>
      <c r="I20" s="57" t="n">
        <v>3.4</v>
      </c>
      <c r="J20" s="57" t="n">
        <v>0</v>
      </c>
      <c r="K20" s="57" t="n">
        <v>4.6669</v>
      </c>
      <c r="L20" s="57" t="n">
        <v>2.3331</v>
      </c>
      <c r="M20" s="57" t="n">
        <v>0</v>
      </c>
      <c r="N20" s="57" t="n">
        <v>0</v>
      </c>
      <c r="O20" s="57" t="n">
        <v>0</v>
      </c>
      <c r="P20" s="57" t="n">
        <v>0</v>
      </c>
      <c r="Q20" s="57" t="n">
        <v>0</v>
      </c>
      <c r="R20" s="57" t="n">
        <v>-0</v>
      </c>
      <c r="S20" s="57" t="n">
        <v>-0</v>
      </c>
      <c r="T20" s="57" t="n">
        <v>35.7333</v>
      </c>
      <c r="U20" s="57" t="n">
        <v>0</v>
      </c>
      <c r="V20" s="57" t="n">
        <v>0</v>
      </c>
      <c r="W20" s="72" t="n">
        <v>35.7333</v>
      </c>
    </row>
    <row r="21" ht="16" customHeight="1" thickBot="1">
      <c r="A21" s="61" t="inlineStr">
        <is>
          <t>A. Beard</t>
        </is>
      </c>
      <c r="B21" t="inlineStr">
        <is>
          <t>Wales</t>
        </is>
      </c>
      <c r="C21" t="inlineStr">
        <is>
          <t>Second Row</t>
        </is>
      </c>
      <c r="D21" t="n">
        <v>4</v>
      </c>
      <c r="E21" s="57" t="n">
        <v>80</v>
      </c>
      <c r="F21" s="57" t="n">
        <v>9.5</v>
      </c>
      <c r="G21" s="57" t="n">
        <v>5.25</v>
      </c>
      <c r="H21" s="57" t="n">
        <v>0</v>
      </c>
      <c r="I21" s="57" t="n">
        <v>2.75</v>
      </c>
      <c r="J21" s="57" t="n">
        <v>0</v>
      </c>
      <c r="K21" s="57" t="n">
        <v>1.75</v>
      </c>
      <c r="L21" s="57" t="n">
        <v>3.5</v>
      </c>
      <c r="M21" s="57" t="n">
        <v>0</v>
      </c>
      <c r="N21" s="57" t="n">
        <v>0</v>
      </c>
      <c r="O21" s="57" t="n">
        <v>0</v>
      </c>
      <c r="P21" s="57" t="n">
        <v>0</v>
      </c>
      <c r="Q21" s="57" t="n">
        <v>0</v>
      </c>
      <c r="R21" s="57" t="n">
        <v>-0</v>
      </c>
      <c r="S21" s="57" t="n">
        <v>-0</v>
      </c>
      <c r="T21" s="57" t="n">
        <v>22.75</v>
      </c>
      <c r="U21" s="57" t="n">
        <v>0</v>
      </c>
      <c r="V21" s="57" t="n">
        <v>0</v>
      </c>
      <c r="W21" s="72" t="n">
        <v>22.75</v>
      </c>
    </row>
    <row r="22" ht="16" customHeight="1" thickBot="1">
      <c r="A22" s="63" t="inlineStr">
        <is>
          <t>D. Jenkins</t>
        </is>
      </c>
      <c r="B22" t="inlineStr">
        <is>
          <t>Wales</t>
        </is>
      </c>
      <c r="C22" t="inlineStr">
        <is>
          <t>Second Row</t>
        </is>
      </c>
      <c r="D22" t="n">
        <v>4</v>
      </c>
      <c r="E22" s="57" t="n">
        <v>42.75</v>
      </c>
      <c r="F22" s="57" t="n">
        <v>7</v>
      </c>
      <c r="G22" s="57" t="n">
        <v>1.75</v>
      </c>
      <c r="H22" s="57" t="n">
        <v>0</v>
      </c>
      <c r="I22" s="57" t="n">
        <v>3.7</v>
      </c>
      <c r="J22" s="57" t="n">
        <v>0</v>
      </c>
      <c r="K22" s="57" t="n">
        <v>0</v>
      </c>
      <c r="L22" s="57" t="n">
        <v>0</v>
      </c>
      <c r="M22" s="57" t="n">
        <v>0</v>
      </c>
      <c r="N22" s="57" t="n">
        <v>0</v>
      </c>
      <c r="O22" s="57" t="n">
        <v>0</v>
      </c>
      <c r="P22" s="57" t="n">
        <v>0</v>
      </c>
      <c r="Q22" s="57" t="n">
        <v>0</v>
      </c>
      <c r="R22" s="57" t="n">
        <v>-0</v>
      </c>
      <c r="S22" s="57" t="n">
        <v>-0</v>
      </c>
      <c r="T22" s="57" t="n">
        <v>12.45</v>
      </c>
      <c r="U22" s="57" t="n">
        <v>0</v>
      </c>
      <c r="V22" s="57" t="n">
        <v>0</v>
      </c>
      <c r="W22" s="72" t="n">
        <v>12.45</v>
      </c>
    </row>
    <row r="23" ht="16" customHeight="1" thickBot="1">
      <c r="A23" s="61" t="inlineStr">
        <is>
          <t>A. Jones</t>
        </is>
      </c>
      <c r="B23" t="inlineStr">
        <is>
          <t>Wales</t>
        </is>
      </c>
      <c r="C23" t="inlineStr">
        <is>
          <t>Second Row</t>
        </is>
      </c>
      <c r="D23" t="n">
        <v>2</v>
      </c>
      <c r="E23" s="57" t="n">
        <v>62</v>
      </c>
      <c r="F23" s="57" t="n">
        <v>9.5</v>
      </c>
      <c r="G23" s="57" t="n">
        <v>7</v>
      </c>
      <c r="H23" s="57" t="n">
        <v>0</v>
      </c>
      <c r="I23" s="57" t="n">
        <v>4.1</v>
      </c>
      <c r="J23" s="57" t="n">
        <v>0</v>
      </c>
      <c r="K23" s="57" t="n">
        <v>3.5</v>
      </c>
      <c r="L23" s="57" t="n">
        <v>3.5</v>
      </c>
      <c r="M23" s="57" t="n">
        <v>0</v>
      </c>
      <c r="N23" s="57" t="n">
        <v>0</v>
      </c>
      <c r="O23" s="57" t="n">
        <v>0</v>
      </c>
      <c r="P23" s="57" t="n">
        <v>0</v>
      </c>
      <c r="Q23" s="57" t="n">
        <v>0</v>
      </c>
      <c r="R23" s="57" t="n">
        <v>-0</v>
      </c>
      <c r="S23" s="57" t="n">
        <v>-0</v>
      </c>
      <c r="T23" s="57" t="n">
        <v>27.6</v>
      </c>
      <c r="U23" s="57" t="n">
        <v>0</v>
      </c>
      <c r="V23" s="57" t="n">
        <v>0</v>
      </c>
      <c r="W23" s="72" t="n">
        <v>27.6</v>
      </c>
    </row>
    <row r="24" ht="16" customHeight="1" thickBot="1">
      <c r="A24" s="63" t="inlineStr">
        <is>
          <t>R. Carre</t>
        </is>
      </c>
      <c r="B24" t="inlineStr">
        <is>
          <t>Wales</t>
        </is>
      </c>
      <c r="C24" t="inlineStr">
        <is>
          <t>Prop</t>
        </is>
      </c>
      <c r="D24" t="n">
        <v>3</v>
      </c>
      <c r="E24" s="57" t="n">
        <v>26</v>
      </c>
      <c r="F24" s="57" t="n">
        <v>2.6667</v>
      </c>
      <c r="G24" s="57" t="n">
        <v>0</v>
      </c>
      <c r="H24" s="57" t="n">
        <v>0</v>
      </c>
      <c r="I24" s="57" t="n">
        <v>3.1333</v>
      </c>
      <c r="J24" s="57" t="n">
        <v>0</v>
      </c>
      <c r="K24" s="57" t="n">
        <v>0</v>
      </c>
      <c r="L24" s="57" t="n">
        <v>2.3331</v>
      </c>
      <c r="M24" s="57" t="n">
        <v>0</v>
      </c>
      <c r="N24" s="57" t="n">
        <v>0</v>
      </c>
      <c r="O24" s="57" t="n">
        <v>0</v>
      </c>
      <c r="P24" s="57" t="n">
        <v>0</v>
      </c>
      <c r="Q24" s="57" t="n">
        <v>0</v>
      </c>
      <c r="R24" s="57" t="n">
        <v>-0</v>
      </c>
      <c r="S24" s="57" t="n">
        <v>-0</v>
      </c>
      <c r="T24" s="57" t="n">
        <v>8.1333</v>
      </c>
      <c r="U24" s="57" t="n">
        <v>0</v>
      </c>
      <c r="V24" s="57" t="n">
        <v>0</v>
      </c>
      <c r="W24" s="72" t="n">
        <v>8.1333</v>
      </c>
    </row>
    <row r="25" ht="16" customHeight="1" thickBot="1">
      <c r="A25" s="61" t="inlineStr">
        <is>
          <t>T. Francis</t>
        </is>
      </c>
      <c r="B25" t="inlineStr">
        <is>
          <t>Wales</t>
        </is>
      </c>
      <c r="C25" t="inlineStr">
        <is>
          <t>Prop</t>
        </is>
      </c>
      <c r="D25" t="n">
        <v>3</v>
      </c>
      <c r="E25" s="57" t="n">
        <v>49.6667</v>
      </c>
      <c r="F25" s="57" t="n">
        <v>9</v>
      </c>
      <c r="G25" s="57" t="n">
        <v>7</v>
      </c>
      <c r="H25" s="57" t="n">
        <v>0</v>
      </c>
      <c r="I25" s="57" t="n">
        <v>0.8</v>
      </c>
      <c r="J25" s="57" t="n">
        <v>0</v>
      </c>
      <c r="K25" s="57" t="n">
        <v>0</v>
      </c>
      <c r="L25" s="57" t="n">
        <v>0</v>
      </c>
      <c r="M25" s="57" t="n">
        <v>0</v>
      </c>
      <c r="N25" s="57" t="n">
        <v>0</v>
      </c>
      <c r="O25" s="57" t="n">
        <v>0</v>
      </c>
      <c r="P25" s="57" t="n">
        <v>0</v>
      </c>
      <c r="Q25" s="57" t="n">
        <v>0</v>
      </c>
      <c r="R25" s="57" t="n">
        <v>-0</v>
      </c>
      <c r="S25" s="57" t="n">
        <v>-0</v>
      </c>
      <c r="T25" s="57" t="n">
        <v>16.8</v>
      </c>
      <c r="U25" s="57" t="n">
        <v>0</v>
      </c>
      <c r="V25" s="57" t="n">
        <v>0</v>
      </c>
      <c r="W25" s="72" t="n">
        <v>16.8</v>
      </c>
    </row>
    <row r="26" ht="16" customHeight="1" thickBot="1">
      <c r="A26" s="63" t="inlineStr">
        <is>
          <t>D. Lewis</t>
        </is>
      </c>
      <c r="B26" t="inlineStr">
        <is>
          <t>Wales</t>
        </is>
      </c>
      <c r="C26" t="inlineStr">
        <is>
          <t>Prop</t>
        </is>
      </c>
      <c r="D26" t="n">
        <v>4</v>
      </c>
      <c r="E26" s="57" t="n">
        <v>38.75</v>
      </c>
      <c r="F26" s="57" t="n">
        <v>4.75</v>
      </c>
      <c r="G26" s="57" t="n">
        <v>0</v>
      </c>
      <c r="H26" s="57" t="n">
        <v>0</v>
      </c>
      <c r="I26" s="57" t="n">
        <v>1.6</v>
      </c>
      <c r="J26" s="57" t="n">
        <v>0</v>
      </c>
      <c r="K26" s="57" t="n">
        <v>0</v>
      </c>
      <c r="L26" s="57" t="n">
        <v>0</v>
      </c>
      <c r="M26" s="57" t="n">
        <v>0</v>
      </c>
      <c r="N26" s="57" t="n">
        <v>0</v>
      </c>
      <c r="O26" s="57" t="n">
        <v>0</v>
      </c>
      <c r="P26" s="57" t="n">
        <v>0</v>
      </c>
      <c r="Q26" s="57" t="n">
        <v>0</v>
      </c>
      <c r="R26" s="57" t="n">
        <v>-0</v>
      </c>
      <c r="S26" s="57" t="n">
        <v>-0</v>
      </c>
      <c r="T26" s="57" t="n">
        <v>6.35</v>
      </c>
      <c r="U26" s="57" t="n">
        <v>0</v>
      </c>
      <c r="V26" s="57" t="n">
        <v>0</v>
      </c>
      <c r="W26" s="72" t="n">
        <v>6.35</v>
      </c>
    </row>
    <row r="27" ht="16" customHeight="1" thickBot="1">
      <c r="A27" s="61" t="inlineStr">
        <is>
          <t>G. Thomas</t>
        </is>
      </c>
      <c r="B27" t="inlineStr">
        <is>
          <t>Wales</t>
        </is>
      </c>
      <c r="C27" t="inlineStr">
        <is>
          <t>Prop</t>
        </is>
      </c>
      <c r="D27" t="n">
        <v>3</v>
      </c>
      <c r="E27" s="57" t="n">
        <v>48.3333</v>
      </c>
      <c r="F27" s="57" t="n">
        <v>8.333299999999999</v>
      </c>
      <c r="G27" s="57" t="n">
        <v>4.6669</v>
      </c>
      <c r="H27" s="57" t="n">
        <v>2.3331</v>
      </c>
      <c r="I27" s="57" t="n">
        <v>3.6667</v>
      </c>
      <c r="J27" s="57" t="n">
        <v>0</v>
      </c>
      <c r="K27" s="57" t="n">
        <v>0</v>
      </c>
      <c r="L27" s="57" t="n">
        <v>0</v>
      </c>
      <c r="M27" s="57" t="n">
        <v>0</v>
      </c>
      <c r="N27" s="57" t="n">
        <v>0</v>
      </c>
      <c r="O27" s="57" t="n">
        <v>0</v>
      </c>
      <c r="P27" s="57" t="n">
        <v>0</v>
      </c>
      <c r="Q27" s="57" t="n">
        <v>0</v>
      </c>
      <c r="R27" s="57" t="n">
        <v>-0</v>
      </c>
      <c r="S27" s="57" t="n">
        <v>-0</v>
      </c>
      <c r="T27" s="57" t="n">
        <v>19</v>
      </c>
      <c r="U27" s="57" t="n">
        <v>0</v>
      </c>
      <c r="V27" s="57" t="n">
        <v>0</v>
      </c>
      <c r="W27" s="72" t="n">
        <v>19</v>
      </c>
    </row>
    <row r="28" ht="16" customHeight="1" thickBot="1">
      <c r="A28" s="63" t="inlineStr">
        <is>
          <t>S. Baldwin</t>
        </is>
      </c>
      <c r="B28" t="inlineStr">
        <is>
          <t>Wales</t>
        </is>
      </c>
      <c r="C28" t="inlineStr">
        <is>
          <t>Hooker</t>
        </is>
      </c>
      <c r="D28" t="n">
        <v>3</v>
      </c>
      <c r="E28" s="57" t="n">
        <v>13.6667</v>
      </c>
      <c r="F28" s="57" t="n">
        <v>2.6667</v>
      </c>
      <c r="G28" s="57" t="n">
        <v>0</v>
      </c>
      <c r="H28" s="57" t="n">
        <v>0</v>
      </c>
      <c r="I28" s="57" t="n">
        <v>1.8</v>
      </c>
      <c r="J28" s="57" t="n">
        <v>0</v>
      </c>
      <c r="K28" s="57" t="n">
        <v>0</v>
      </c>
      <c r="L28" s="57" t="n">
        <v>0</v>
      </c>
      <c r="M28" s="57" t="n">
        <v>0</v>
      </c>
      <c r="N28" s="57" t="n">
        <v>0</v>
      </c>
      <c r="O28" s="57" t="n">
        <v>0</v>
      </c>
      <c r="P28" s="57" t="n">
        <v>0</v>
      </c>
      <c r="Q28" s="57" t="n">
        <v>0</v>
      </c>
      <c r="R28" s="57" t="n">
        <v>-0</v>
      </c>
      <c r="S28" s="57" t="n">
        <v>-0</v>
      </c>
      <c r="T28" s="57" t="n">
        <v>4.4667</v>
      </c>
      <c r="U28" s="57" t="n">
        <v>0</v>
      </c>
      <c r="V28" s="57" t="n">
        <v>0</v>
      </c>
      <c r="W28" s="72" t="n">
        <v>4.4667</v>
      </c>
    </row>
    <row r="29" ht="16" customHeight="1" thickBot="1">
      <c r="A29" s="61" t="inlineStr">
        <is>
          <t>K. Owens</t>
        </is>
      </c>
      <c r="B29" t="inlineStr">
        <is>
          <t>Wales</t>
        </is>
      </c>
      <c r="C29" t="inlineStr">
        <is>
          <t>Hooker</t>
        </is>
      </c>
      <c r="D29" t="n">
        <v>4</v>
      </c>
      <c r="E29" s="57" t="n">
        <v>67</v>
      </c>
      <c r="F29" s="57" t="n">
        <v>10.25</v>
      </c>
      <c r="G29" s="57" t="n">
        <v>8.75</v>
      </c>
      <c r="H29" s="57" t="n">
        <v>0</v>
      </c>
      <c r="I29" s="57" t="n">
        <v>5.7</v>
      </c>
      <c r="J29" s="57" t="n">
        <v>0</v>
      </c>
      <c r="K29" s="57" t="n">
        <v>0</v>
      </c>
      <c r="L29" s="57" t="n">
        <v>0</v>
      </c>
      <c r="M29" s="57" t="n">
        <v>3.75</v>
      </c>
      <c r="N29" s="57" t="n">
        <v>0</v>
      </c>
      <c r="O29" s="57" t="n">
        <v>0</v>
      </c>
      <c r="P29" s="57" t="n">
        <v>0</v>
      </c>
      <c r="Q29" s="57" t="n">
        <v>0</v>
      </c>
      <c r="R29" s="57" t="n">
        <v>-0</v>
      </c>
      <c r="S29" s="57" t="n">
        <v>-0</v>
      </c>
      <c r="T29" s="57" t="n">
        <v>28.45</v>
      </c>
      <c r="U29" s="57" t="n">
        <v>0</v>
      </c>
      <c r="V29" s="57" t="n">
        <v>0</v>
      </c>
      <c r="W29" s="72" t="n">
        <v>28.45</v>
      </c>
    </row>
    <row r="30" ht="16" customHeight="1" thickBot="1">
      <c r="A30" s="61" t="inlineStr">
        <is>
          <t>M. Hansen</t>
        </is>
      </c>
      <c r="B30" t="inlineStr">
        <is>
          <t>Ireland</t>
        </is>
      </c>
      <c r="C30" t="inlineStr">
        <is>
          <t>Back Three</t>
        </is>
      </c>
      <c r="D30" t="n">
        <v>4</v>
      </c>
      <c r="E30" s="57" t="n">
        <v>80</v>
      </c>
      <c r="F30" s="57" t="n">
        <v>4</v>
      </c>
      <c r="G30" s="57" t="n">
        <v>3.5</v>
      </c>
      <c r="H30" s="57" t="n">
        <v>10.5</v>
      </c>
      <c r="I30" s="57" t="n">
        <v>13.3</v>
      </c>
      <c r="J30" s="57" t="n">
        <v>0</v>
      </c>
      <c r="K30" s="57" t="n">
        <v>0</v>
      </c>
      <c r="L30" s="57" t="n">
        <v>5.25</v>
      </c>
      <c r="M30" s="57" t="n">
        <v>11.25</v>
      </c>
      <c r="N30" s="57" t="n">
        <v>1.75</v>
      </c>
      <c r="O30" s="57" t="n">
        <v>0</v>
      </c>
      <c r="P30" s="57" t="n">
        <v>0</v>
      </c>
      <c r="Q30" s="57" t="n">
        <v>0</v>
      </c>
      <c r="R30" s="57" t="n">
        <v>-0</v>
      </c>
      <c r="S30" s="57" t="n">
        <v>-0</v>
      </c>
      <c r="T30" s="57" t="n">
        <v>49.55</v>
      </c>
      <c r="U30" s="57" t="n">
        <v>30</v>
      </c>
      <c r="V30" s="57" t="n">
        <v>0</v>
      </c>
      <c r="W30" s="72" t="n">
        <v>57.05</v>
      </c>
    </row>
    <row r="31" ht="16" customHeight="1" thickBot="1">
      <c r="A31" s="63" t="inlineStr">
        <is>
          <t>H. Keenan</t>
        </is>
      </c>
      <c r="B31" t="inlineStr">
        <is>
          <t>Ireland</t>
        </is>
      </c>
      <c r="C31" t="inlineStr">
        <is>
          <t>Back Three</t>
        </is>
      </c>
      <c r="D31" t="n">
        <v>4</v>
      </c>
      <c r="E31" s="57" t="n">
        <v>80</v>
      </c>
      <c r="F31" s="57" t="n">
        <v>3</v>
      </c>
      <c r="G31" s="57" t="n">
        <v>3.5</v>
      </c>
      <c r="H31" s="57" t="n">
        <v>5.25</v>
      </c>
      <c r="I31" s="57" t="n">
        <v>24.85</v>
      </c>
      <c r="J31" s="57" t="n">
        <v>2.5</v>
      </c>
      <c r="K31" s="57" t="n">
        <v>0</v>
      </c>
      <c r="L31" s="57" t="n">
        <v>0</v>
      </c>
      <c r="M31" s="57" t="n">
        <v>7.5</v>
      </c>
      <c r="N31" s="57" t="n">
        <v>1.75</v>
      </c>
      <c r="O31" s="57" t="n">
        <v>0</v>
      </c>
      <c r="P31" s="57" t="n">
        <v>0</v>
      </c>
      <c r="Q31" s="57" t="n">
        <v>0</v>
      </c>
      <c r="R31" s="57" t="n">
        <v>-0</v>
      </c>
      <c r="S31" s="57" t="n">
        <v>-0</v>
      </c>
      <c r="T31" s="57" t="n">
        <v>48.35</v>
      </c>
      <c r="U31" s="57" t="n">
        <v>15</v>
      </c>
      <c r="V31" s="57" t="n">
        <v>0</v>
      </c>
      <c r="W31" s="72" t="n">
        <v>52.1</v>
      </c>
    </row>
    <row r="32" ht="16" customHeight="1" thickBot="1">
      <c r="A32" s="61" t="inlineStr">
        <is>
          <t>J. Lowe</t>
        </is>
      </c>
      <c r="B32" t="inlineStr">
        <is>
          <t>Ireland</t>
        </is>
      </c>
      <c r="C32" t="inlineStr">
        <is>
          <t>Back Three</t>
        </is>
      </c>
      <c r="D32" t="n">
        <v>3</v>
      </c>
      <c r="E32" s="57" t="n">
        <v>80</v>
      </c>
      <c r="F32" s="57" t="n">
        <v>3</v>
      </c>
      <c r="G32" s="57" t="n">
        <v>4.6669</v>
      </c>
      <c r="H32" s="57" t="n">
        <v>16.3331</v>
      </c>
      <c r="I32" s="57" t="n">
        <v>25</v>
      </c>
      <c r="J32" s="57" t="n">
        <v>0</v>
      </c>
      <c r="K32" s="57" t="n">
        <v>0</v>
      </c>
      <c r="L32" s="57" t="n">
        <v>0</v>
      </c>
      <c r="M32" s="57" t="n">
        <v>10.0005</v>
      </c>
      <c r="N32" s="57" t="n">
        <v>4.6669</v>
      </c>
      <c r="O32" s="57" t="n">
        <v>0</v>
      </c>
      <c r="P32" s="57" t="n">
        <v>0</v>
      </c>
      <c r="Q32" s="57" t="n">
        <v>0</v>
      </c>
      <c r="R32" s="57" t="n">
        <v>-0</v>
      </c>
      <c r="S32" s="57" t="n">
        <v>-0</v>
      </c>
      <c r="T32" s="57" t="n">
        <v>63.6667</v>
      </c>
      <c r="U32" s="57" t="n">
        <v>0</v>
      </c>
      <c r="V32" s="57" t="n">
        <v>0</v>
      </c>
      <c r="W32" s="72" t="n">
        <v>63.6667</v>
      </c>
    </row>
    <row r="33" ht="16" customHeight="1" thickBot="1">
      <c r="A33" s="63" t="inlineStr">
        <is>
          <t>B. Aki</t>
        </is>
      </c>
      <c r="B33" t="inlineStr">
        <is>
          <t>Ireland</t>
        </is>
      </c>
      <c r="C33" t="inlineStr">
        <is>
          <t>Centre</t>
        </is>
      </c>
      <c r="D33" t="n">
        <v>4</v>
      </c>
      <c r="E33" s="57" t="n">
        <v>62</v>
      </c>
      <c r="F33" s="57" t="n">
        <v>5.75</v>
      </c>
      <c r="G33" s="57" t="n">
        <v>1.75</v>
      </c>
      <c r="H33" s="57" t="n">
        <v>3.5</v>
      </c>
      <c r="I33" s="57" t="n">
        <v>14.65</v>
      </c>
      <c r="J33" s="57" t="n">
        <v>0</v>
      </c>
      <c r="K33" s="57" t="n">
        <v>0</v>
      </c>
      <c r="L33" s="57" t="n">
        <v>3.5</v>
      </c>
      <c r="M33" s="57" t="n">
        <v>7.5</v>
      </c>
      <c r="N33" s="57" t="n">
        <v>1.75</v>
      </c>
      <c r="O33" s="57" t="n">
        <v>0</v>
      </c>
      <c r="P33" s="57" t="n">
        <v>0</v>
      </c>
      <c r="Q33" s="57" t="n">
        <v>0</v>
      </c>
      <c r="R33" s="57" t="n">
        <v>-0</v>
      </c>
      <c r="S33" s="57" t="n">
        <v>-0</v>
      </c>
      <c r="T33" s="57" t="n">
        <v>38.4</v>
      </c>
      <c r="U33" s="57" t="n">
        <v>0</v>
      </c>
      <c r="V33" s="57" t="n">
        <v>0</v>
      </c>
      <c r="W33" s="72" t="n">
        <v>38.4</v>
      </c>
    </row>
    <row r="34" ht="16" customHeight="1" thickBot="1">
      <c r="A34" s="61" t="inlineStr">
        <is>
          <t>S. McCloskey</t>
        </is>
      </c>
      <c r="B34" t="inlineStr">
        <is>
          <t>Ireland</t>
        </is>
      </c>
      <c r="C34" t="inlineStr">
        <is>
          <t>Centre</t>
        </is>
      </c>
      <c r="D34" t="n">
        <v>3</v>
      </c>
      <c r="E34" s="57" t="n">
        <v>52.6667</v>
      </c>
      <c r="F34" s="57" t="n">
        <v>6.3333</v>
      </c>
      <c r="G34" s="57" t="n">
        <v>0</v>
      </c>
      <c r="H34" s="57" t="n">
        <v>0</v>
      </c>
      <c r="I34" s="57" t="n">
        <v>10.0667</v>
      </c>
      <c r="J34" s="57" t="n">
        <v>0</v>
      </c>
      <c r="K34" s="57" t="n">
        <v>0</v>
      </c>
      <c r="L34" s="57" t="n">
        <v>4.6669</v>
      </c>
      <c r="M34" s="57" t="n">
        <v>0</v>
      </c>
      <c r="N34" s="57" t="n">
        <v>2.3331</v>
      </c>
      <c r="O34" s="57" t="n">
        <v>0</v>
      </c>
      <c r="P34" s="57" t="n">
        <v>0</v>
      </c>
      <c r="Q34" s="57" t="n">
        <v>0</v>
      </c>
      <c r="R34" s="57" t="n">
        <v>-0</v>
      </c>
      <c r="S34" s="57" t="n">
        <v>-0</v>
      </c>
      <c r="T34" s="57" t="n">
        <v>23.4</v>
      </c>
      <c r="U34" s="57" t="n">
        <v>0</v>
      </c>
      <c r="V34" s="57" t="n">
        <v>0</v>
      </c>
      <c r="W34" s="72" t="n">
        <v>23.4</v>
      </c>
    </row>
    <row r="35" ht="16" customHeight="1" thickBot="1">
      <c r="A35" s="63" t="inlineStr">
        <is>
          <t>G. Ringrose</t>
        </is>
      </c>
      <c r="B35" t="inlineStr">
        <is>
          <t>Ireland</t>
        </is>
      </c>
      <c r="C35" t="inlineStr">
        <is>
          <t>Centre</t>
        </is>
      </c>
      <c r="D35" t="n">
        <v>3</v>
      </c>
      <c r="E35" s="57" t="n">
        <v>70.66670000000001</v>
      </c>
      <c r="F35" s="57" t="n">
        <v>6</v>
      </c>
      <c r="G35" s="57" t="n">
        <v>2.3331</v>
      </c>
      <c r="H35" s="57" t="n">
        <v>4.6669</v>
      </c>
      <c r="I35" s="57" t="n">
        <v>12.2667</v>
      </c>
      <c r="J35" s="57" t="n">
        <v>0</v>
      </c>
      <c r="K35" s="57" t="n">
        <v>0</v>
      </c>
      <c r="L35" s="57" t="n">
        <v>0</v>
      </c>
      <c r="M35" s="57" t="n">
        <v>4.9995</v>
      </c>
      <c r="N35" s="57" t="n">
        <v>2.3331</v>
      </c>
      <c r="O35" s="57" t="n">
        <v>0</v>
      </c>
      <c r="P35" s="57" t="n">
        <v>0</v>
      </c>
      <c r="Q35" s="57" t="n">
        <v>0</v>
      </c>
      <c r="R35" s="57" t="n">
        <v>-0</v>
      </c>
      <c r="S35" s="57" t="n">
        <v>-0</v>
      </c>
      <c r="T35" s="57" t="n">
        <v>32.6</v>
      </c>
      <c r="U35" s="57" t="n">
        <v>0</v>
      </c>
      <c r="V35" s="57" t="n">
        <v>0</v>
      </c>
      <c r="W35" s="72" t="n">
        <v>32.6</v>
      </c>
    </row>
    <row r="36" ht="16" customHeight="1" thickBot="1">
      <c r="A36" s="61" t="inlineStr">
        <is>
          <t>R. Byrne</t>
        </is>
      </c>
      <c r="B36" t="inlineStr">
        <is>
          <t>Ireland</t>
        </is>
      </c>
      <c r="C36" t="inlineStr">
        <is>
          <t>Fly Half</t>
        </is>
      </c>
      <c r="D36" t="n">
        <v>4</v>
      </c>
      <c r="E36" s="57" t="n">
        <v>50</v>
      </c>
      <c r="F36" s="57" t="n">
        <v>4.75</v>
      </c>
      <c r="G36" s="57" t="n">
        <v>0</v>
      </c>
      <c r="H36" s="57" t="n">
        <v>0</v>
      </c>
      <c r="I36" s="57" t="n">
        <v>3.55</v>
      </c>
      <c r="J36" s="57" t="n">
        <v>0</v>
      </c>
      <c r="K36" s="57" t="n">
        <v>0</v>
      </c>
      <c r="L36" s="57" t="n">
        <v>0</v>
      </c>
      <c r="M36" s="57" t="n">
        <v>0</v>
      </c>
      <c r="N36" s="57" t="n">
        <v>0</v>
      </c>
      <c r="O36" s="57" t="n">
        <v>2</v>
      </c>
      <c r="P36" s="57" t="n">
        <v>2.5</v>
      </c>
      <c r="Q36" s="57" t="n">
        <v>0</v>
      </c>
      <c r="R36" s="57" t="n">
        <v>-0</v>
      </c>
      <c r="S36" s="57" t="n">
        <v>-0</v>
      </c>
      <c r="T36" s="57" t="n">
        <v>12.8</v>
      </c>
      <c r="U36" s="57" t="n">
        <v>0</v>
      </c>
      <c r="V36" s="57" t="n">
        <v>0</v>
      </c>
      <c r="W36" s="72" t="n">
        <v>12.8</v>
      </c>
    </row>
    <row r="37" ht="16" customHeight="1" thickBot="1">
      <c r="A37" s="63" t="inlineStr">
        <is>
          <t>J. Sexton</t>
        </is>
      </c>
      <c r="B37" t="inlineStr">
        <is>
          <t>Ireland</t>
        </is>
      </c>
      <c r="C37" t="inlineStr">
        <is>
          <t>Fly Half</t>
        </is>
      </c>
      <c r="D37" t="n">
        <v>3</v>
      </c>
      <c r="E37" s="57" t="n">
        <v>43.3333</v>
      </c>
      <c r="F37" s="57" t="n">
        <v>4</v>
      </c>
      <c r="G37" s="57" t="n">
        <v>0</v>
      </c>
      <c r="H37" s="57" t="n">
        <v>4.6669</v>
      </c>
      <c r="I37" s="57" t="n">
        <v>8.199999999999999</v>
      </c>
      <c r="J37" s="57" t="n">
        <v>0</v>
      </c>
      <c r="K37" s="57" t="n">
        <v>0</v>
      </c>
      <c r="L37" s="57" t="n">
        <v>0</v>
      </c>
      <c r="M37" s="57" t="n">
        <v>0</v>
      </c>
      <c r="N37" s="57" t="n">
        <v>0</v>
      </c>
      <c r="O37" s="57" t="n">
        <v>3.3334</v>
      </c>
      <c r="P37" s="57" t="n">
        <v>3.3335</v>
      </c>
      <c r="Q37" s="57" t="n">
        <v>0</v>
      </c>
      <c r="R37" s="57" t="n">
        <v>-0</v>
      </c>
      <c r="S37" s="57" t="n">
        <v>-0</v>
      </c>
      <c r="T37" s="57" t="n">
        <v>23.5333</v>
      </c>
      <c r="U37" s="57" t="n">
        <v>0</v>
      </c>
      <c r="V37" s="57" t="n">
        <v>0</v>
      </c>
      <c r="W37" s="72" t="n">
        <v>23.5333</v>
      </c>
    </row>
    <row r="38" ht="16" customHeight="1" thickBot="1">
      <c r="A38" s="61" t="inlineStr">
        <is>
          <t>C. Casey</t>
        </is>
      </c>
      <c r="B38" t="inlineStr">
        <is>
          <t>Ireland</t>
        </is>
      </c>
      <c r="C38" t="inlineStr">
        <is>
          <t>Scrum Half</t>
        </is>
      </c>
      <c r="D38" t="n">
        <v>3</v>
      </c>
      <c r="E38" s="57" t="n">
        <v>52.3333</v>
      </c>
      <c r="F38" s="57" t="n">
        <v>3.3333</v>
      </c>
      <c r="G38" s="57" t="n">
        <v>0</v>
      </c>
      <c r="H38" s="57" t="n">
        <v>0</v>
      </c>
      <c r="I38" s="57" t="n">
        <v>3.2</v>
      </c>
      <c r="J38" s="57" t="n">
        <v>0</v>
      </c>
      <c r="K38" s="57" t="n">
        <v>0</v>
      </c>
      <c r="L38" s="57" t="n">
        <v>2.3331</v>
      </c>
      <c r="M38" s="57" t="n">
        <v>0</v>
      </c>
      <c r="N38" s="57" t="n">
        <v>0</v>
      </c>
      <c r="O38" s="57" t="n">
        <v>2</v>
      </c>
      <c r="P38" s="57" t="n">
        <v>3.3335</v>
      </c>
      <c r="Q38" s="57" t="n">
        <v>0</v>
      </c>
      <c r="R38" s="57" t="n">
        <v>-0</v>
      </c>
      <c r="S38" s="57" t="n">
        <v>-0</v>
      </c>
      <c r="T38" s="57" t="n">
        <v>14.2</v>
      </c>
      <c r="U38" s="57" t="n">
        <v>0</v>
      </c>
      <c r="V38" s="57" t="n">
        <v>0</v>
      </c>
      <c r="W38" s="72" t="n">
        <v>14.2</v>
      </c>
    </row>
    <row r="39" ht="16" customHeight="1" thickBot="1">
      <c r="A39" s="63" t="inlineStr">
        <is>
          <t>C. Murray</t>
        </is>
      </c>
      <c r="B39" t="inlineStr">
        <is>
          <t>Ireland</t>
        </is>
      </c>
      <c r="C39" t="inlineStr">
        <is>
          <t>Scrum Half</t>
        </is>
      </c>
      <c r="D39" t="n">
        <v>4</v>
      </c>
      <c r="E39" s="57" t="n">
        <v>35</v>
      </c>
      <c r="F39" s="57" t="n">
        <v>3.5</v>
      </c>
      <c r="G39" s="57" t="n">
        <v>0</v>
      </c>
      <c r="H39" s="57" t="n">
        <v>0</v>
      </c>
      <c r="I39" s="57" t="n">
        <v>1.15</v>
      </c>
      <c r="J39" s="57" t="n">
        <v>0</v>
      </c>
      <c r="K39" s="57" t="n">
        <v>0</v>
      </c>
      <c r="L39" s="57" t="n">
        <v>0</v>
      </c>
      <c r="M39" s="57" t="n">
        <v>0</v>
      </c>
      <c r="N39" s="57" t="n">
        <v>3.5</v>
      </c>
      <c r="O39" s="57" t="n">
        <v>0</v>
      </c>
      <c r="P39" s="57" t="n">
        <v>0</v>
      </c>
      <c r="Q39" s="57" t="n">
        <v>0</v>
      </c>
      <c r="R39" s="57" t="n">
        <v>-0</v>
      </c>
      <c r="S39" s="57" t="n">
        <v>-0</v>
      </c>
      <c r="T39" s="57" t="n">
        <v>8.15</v>
      </c>
      <c r="U39" s="57" t="n">
        <v>0</v>
      </c>
      <c r="V39" s="57" t="n">
        <v>0</v>
      </c>
      <c r="W39" s="72" t="n">
        <v>8.15</v>
      </c>
    </row>
    <row r="40" ht="16" customHeight="1" thickBot="1">
      <c r="A40" s="61" t="inlineStr">
        <is>
          <t>J. Conan</t>
        </is>
      </c>
      <c r="B40" t="inlineStr">
        <is>
          <t>Ireland</t>
        </is>
      </c>
      <c r="C40" t="inlineStr">
        <is>
          <t>Back Row</t>
        </is>
      </c>
      <c r="D40" t="n">
        <v>4</v>
      </c>
      <c r="E40" s="57" t="n">
        <v>53</v>
      </c>
      <c r="F40" s="57" t="n">
        <v>4.25</v>
      </c>
      <c r="G40" s="57" t="n">
        <v>1.75</v>
      </c>
      <c r="H40" s="57" t="n">
        <v>1.75</v>
      </c>
      <c r="I40" s="57" t="n">
        <v>9.1</v>
      </c>
      <c r="J40" s="57" t="n">
        <v>0</v>
      </c>
      <c r="K40" s="57" t="n">
        <v>0</v>
      </c>
      <c r="L40" s="57" t="n">
        <v>0</v>
      </c>
      <c r="M40" s="57" t="n">
        <v>3.75</v>
      </c>
      <c r="N40" s="57" t="n">
        <v>1.75</v>
      </c>
      <c r="O40" s="57" t="n">
        <v>0</v>
      </c>
      <c r="P40" s="57" t="n">
        <v>0</v>
      </c>
      <c r="Q40" s="57" t="n">
        <v>0</v>
      </c>
      <c r="R40" s="57" t="n">
        <v>-0</v>
      </c>
      <c r="S40" s="57" t="n">
        <v>-0</v>
      </c>
      <c r="T40" s="57" t="n">
        <v>22.35</v>
      </c>
      <c r="U40" s="57" t="n">
        <v>0</v>
      </c>
      <c r="V40" s="57" t="n">
        <v>0</v>
      </c>
      <c r="W40" s="72" t="n">
        <v>22.35</v>
      </c>
    </row>
    <row r="41" ht="16" customHeight="1" thickBot="1">
      <c r="A41" s="63" t="inlineStr">
        <is>
          <t>C. Doris</t>
        </is>
      </c>
      <c r="B41" t="inlineStr">
        <is>
          <t>Ireland</t>
        </is>
      </c>
      <c r="C41" t="inlineStr">
        <is>
          <t>Back Row</t>
        </is>
      </c>
      <c r="D41" t="n">
        <v>4</v>
      </c>
      <c r="E41" s="57" t="n">
        <v>48</v>
      </c>
      <c r="F41" s="57" t="n">
        <v>6</v>
      </c>
      <c r="G41" s="57" t="n">
        <v>1.75</v>
      </c>
      <c r="H41" s="57" t="n">
        <v>0</v>
      </c>
      <c r="I41" s="57" t="n">
        <v>9.5</v>
      </c>
      <c r="J41" s="57" t="n">
        <v>0</v>
      </c>
      <c r="K41" s="57" t="n">
        <v>0</v>
      </c>
      <c r="L41" s="57" t="n">
        <v>5.25</v>
      </c>
      <c r="M41" s="57" t="n">
        <v>0</v>
      </c>
      <c r="N41" s="57" t="n">
        <v>1.75</v>
      </c>
      <c r="O41" s="57" t="n">
        <v>0</v>
      </c>
      <c r="P41" s="57" t="n">
        <v>0</v>
      </c>
      <c r="Q41" s="57" t="n">
        <v>0</v>
      </c>
      <c r="R41" s="57" t="n">
        <v>-0</v>
      </c>
      <c r="S41" s="57" t="n">
        <v>-0</v>
      </c>
      <c r="T41" s="57" t="n">
        <v>24.25</v>
      </c>
      <c r="U41" s="57" t="n">
        <v>15</v>
      </c>
      <c r="V41" s="57" t="n">
        <v>0</v>
      </c>
      <c r="W41" s="72" t="n">
        <v>28</v>
      </c>
    </row>
    <row r="42" ht="16" customHeight="1" thickBot="1">
      <c r="A42" s="61" t="inlineStr">
        <is>
          <t>P. O'Mahony</t>
        </is>
      </c>
      <c r="B42" t="inlineStr">
        <is>
          <t>Ireland</t>
        </is>
      </c>
      <c r="C42" t="inlineStr">
        <is>
          <t>Back Row</t>
        </is>
      </c>
      <c r="D42" t="n">
        <v>4</v>
      </c>
      <c r="E42" s="57" t="n">
        <v>60</v>
      </c>
      <c r="F42" s="57" t="n">
        <v>10</v>
      </c>
      <c r="G42" s="57" t="n">
        <v>3.5</v>
      </c>
      <c r="H42" s="57" t="n">
        <v>0</v>
      </c>
      <c r="I42" s="57" t="n">
        <v>4.75</v>
      </c>
      <c r="J42" s="57" t="n">
        <v>0</v>
      </c>
      <c r="K42" s="57" t="n">
        <v>0</v>
      </c>
      <c r="L42" s="57" t="n">
        <v>1.75</v>
      </c>
      <c r="M42" s="57" t="n">
        <v>3.75</v>
      </c>
      <c r="N42" s="57" t="n">
        <v>0</v>
      </c>
      <c r="O42" s="57" t="n">
        <v>0</v>
      </c>
      <c r="P42" s="57" t="n">
        <v>0</v>
      </c>
      <c r="Q42" s="57" t="n">
        <v>0</v>
      </c>
      <c r="R42" s="57" t="n">
        <v>-0</v>
      </c>
      <c r="S42" s="57" t="n">
        <v>-0</v>
      </c>
      <c r="T42" s="57" t="n">
        <v>23.75</v>
      </c>
      <c r="U42" s="57" t="n">
        <v>0</v>
      </c>
      <c r="V42" s="57" t="n">
        <v>0</v>
      </c>
      <c r="W42" s="72" t="n">
        <v>23.75</v>
      </c>
    </row>
    <row r="43" ht="16" customHeight="1" thickBot="1">
      <c r="A43" s="63" t="inlineStr">
        <is>
          <t>J. van der Flier</t>
        </is>
      </c>
      <c r="B43" t="inlineStr">
        <is>
          <t>Ireland</t>
        </is>
      </c>
      <c r="C43" t="inlineStr">
        <is>
          <t>Back Row</t>
        </is>
      </c>
      <c r="D43" t="n">
        <v>4</v>
      </c>
      <c r="E43" s="57" t="n">
        <v>75</v>
      </c>
      <c r="F43" s="57" t="n">
        <v>10.75</v>
      </c>
      <c r="G43" s="57" t="n">
        <v>7</v>
      </c>
      <c r="H43" s="57" t="n">
        <v>1.75</v>
      </c>
      <c r="I43" s="57" t="n">
        <v>7.7</v>
      </c>
      <c r="J43" s="57" t="n">
        <v>0</v>
      </c>
      <c r="K43" s="57" t="n">
        <v>0</v>
      </c>
      <c r="L43" s="57" t="n">
        <v>1.75</v>
      </c>
      <c r="M43" s="57" t="n">
        <v>0</v>
      </c>
      <c r="N43" s="57" t="n">
        <v>0</v>
      </c>
      <c r="O43" s="57" t="n">
        <v>0</v>
      </c>
      <c r="P43" s="57" t="n">
        <v>0</v>
      </c>
      <c r="Q43" s="57" t="n">
        <v>0</v>
      </c>
      <c r="R43" s="57" t="n">
        <v>-0</v>
      </c>
      <c r="S43" s="57" t="n">
        <v>-0</v>
      </c>
      <c r="T43" s="57" t="n">
        <v>28.95</v>
      </c>
      <c r="U43" s="57" t="n">
        <v>0</v>
      </c>
      <c r="V43" s="57" t="n">
        <v>0</v>
      </c>
      <c r="W43" s="72" t="n">
        <v>28.95</v>
      </c>
    </row>
    <row r="44" ht="16" customHeight="1" thickBot="1">
      <c r="A44" s="61" t="inlineStr">
        <is>
          <t>T. Beirne</t>
        </is>
      </c>
      <c r="B44" t="inlineStr">
        <is>
          <t>Ireland</t>
        </is>
      </c>
      <c r="C44" t="inlineStr">
        <is>
          <t>Second Row</t>
        </is>
      </c>
      <c r="D44" t="n">
        <v>2</v>
      </c>
      <c r="E44" s="57" t="n">
        <v>62.5</v>
      </c>
      <c r="F44" s="57" t="n">
        <v>11</v>
      </c>
      <c r="G44" s="57" t="n">
        <v>10.5</v>
      </c>
      <c r="H44" s="57" t="n">
        <v>7</v>
      </c>
      <c r="I44" s="57" t="n">
        <v>6.4</v>
      </c>
      <c r="J44" s="57" t="n">
        <v>0</v>
      </c>
      <c r="K44" s="57" t="n">
        <v>0</v>
      </c>
      <c r="L44" s="57" t="n">
        <v>3.5</v>
      </c>
      <c r="M44" s="57" t="n">
        <v>7.5</v>
      </c>
      <c r="N44" s="57" t="n">
        <v>0</v>
      </c>
      <c r="O44" s="57" t="n">
        <v>0</v>
      </c>
      <c r="P44" s="57" t="n">
        <v>0</v>
      </c>
      <c r="Q44" s="57" t="n">
        <v>0</v>
      </c>
      <c r="R44" s="57" t="n">
        <v>-0</v>
      </c>
      <c r="S44" s="57" t="n">
        <v>-0</v>
      </c>
      <c r="T44" s="57" t="n">
        <v>45.9</v>
      </c>
      <c r="U44" s="57" t="n">
        <v>0</v>
      </c>
      <c r="V44" s="57" t="n">
        <v>0</v>
      </c>
      <c r="W44" s="72" t="n">
        <v>45.9</v>
      </c>
    </row>
    <row r="45" ht="16" customHeight="1" thickBot="1">
      <c r="A45" s="63" t="inlineStr">
        <is>
          <t>I. Henderson</t>
        </is>
      </c>
      <c r="B45" t="inlineStr">
        <is>
          <t>Ireland</t>
        </is>
      </c>
      <c r="C45" t="inlineStr">
        <is>
          <t>Second Row</t>
        </is>
      </c>
      <c r="D45" t="n">
        <v>4</v>
      </c>
      <c r="E45" s="57" t="n">
        <v>41.25</v>
      </c>
      <c r="F45" s="57" t="n">
        <v>6.5</v>
      </c>
      <c r="G45" s="57" t="n">
        <v>1.75</v>
      </c>
      <c r="H45" s="57" t="n">
        <v>0</v>
      </c>
      <c r="I45" s="57" t="n">
        <v>3.45</v>
      </c>
      <c r="J45" s="57" t="n">
        <v>0</v>
      </c>
      <c r="K45" s="57" t="n">
        <v>0</v>
      </c>
      <c r="L45" s="57" t="n">
        <v>0</v>
      </c>
      <c r="M45" s="57" t="n">
        <v>0</v>
      </c>
      <c r="N45" s="57" t="n">
        <v>0</v>
      </c>
      <c r="O45" s="57" t="n">
        <v>0</v>
      </c>
      <c r="P45" s="57" t="n">
        <v>0</v>
      </c>
      <c r="Q45" s="57" t="n">
        <v>0</v>
      </c>
      <c r="R45" s="57" t="n">
        <v>-0</v>
      </c>
      <c r="S45" s="57" t="n">
        <v>-0</v>
      </c>
      <c r="T45" s="57" t="n">
        <v>11.7</v>
      </c>
      <c r="U45" s="57" t="n">
        <v>0</v>
      </c>
      <c r="V45" s="57" t="n">
        <v>0</v>
      </c>
      <c r="W45" s="72" t="n">
        <v>11.7</v>
      </c>
    </row>
    <row r="46" ht="16" customHeight="1" thickBot="1">
      <c r="A46" s="61" t="inlineStr">
        <is>
          <t>J. Ryan</t>
        </is>
      </c>
      <c r="B46" t="inlineStr">
        <is>
          <t>Ireland</t>
        </is>
      </c>
      <c r="C46" t="inlineStr">
        <is>
          <t>Second Row</t>
        </is>
      </c>
      <c r="D46" t="n">
        <v>4</v>
      </c>
      <c r="E46" s="57" t="n">
        <v>66.5</v>
      </c>
      <c r="F46" s="57" t="n">
        <v>9</v>
      </c>
      <c r="G46" s="57" t="n">
        <v>7</v>
      </c>
      <c r="H46" s="57" t="n">
        <v>0</v>
      </c>
      <c r="I46" s="57" t="n">
        <v>10.25</v>
      </c>
      <c r="J46" s="57" t="n">
        <v>0</v>
      </c>
      <c r="K46" s="57" t="n">
        <v>5.25</v>
      </c>
      <c r="L46" s="57" t="n">
        <v>0</v>
      </c>
      <c r="M46" s="57" t="n">
        <v>3.75</v>
      </c>
      <c r="N46" s="57" t="n">
        <v>0</v>
      </c>
      <c r="O46" s="57" t="n">
        <v>0</v>
      </c>
      <c r="P46" s="57" t="n">
        <v>0</v>
      </c>
      <c r="Q46" s="57" t="n">
        <v>0</v>
      </c>
      <c r="R46" s="57" t="n">
        <v>-0</v>
      </c>
      <c r="S46" s="57" t="n">
        <v>-0</v>
      </c>
      <c r="T46" s="57" t="n">
        <v>35.25</v>
      </c>
      <c r="U46" s="57" t="n">
        <v>0</v>
      </c>
      <c r="V46" s="57" t="n">
        <v>0</v>
      </c>
      <c r="W46" s="72" t="n">
        <v>35.25</v>
      </c>
    </row>
    <row r="47" ht="16" customHeight="1" thickBot="1">
      <c r="A47" s="63" t="inlineStr">
        <is>
          <t>F. Bealham</t>
        </is>
      </c>
      <c r="B47" t="inlineStr">
        <is>
          <t>Ireland</t>
        </is>
      </c>
      <c r="C47" t="inlineStr">
        <is>
          <t>Prop</t>
        </is>
      </c>
      <c r="D47" t="n">
        <v>3</v>
      </c>
      <c r="E47" s="57" t="n">
        <v>59.3333</v>
      </c>
      <c r="F47" s="57" t="n">
        <v>9.333299999999999</v>
      </c>
      <c r="G47" s="57" t="n">
        <v>4.6669</v>
      </c>
      <c r="H47" s="57" t="n">
        <v>0</v>
      </c>
      <c r="I47" s="57" t="n">
        <v>2.0667</v>
      </c>
      <c r="J47" s="57" t="n">
        <v>0</v>
      </c>
      <c r="K47" s="57" t="n">
        <v>2.3331</v>
      </c>
      <c r="L47" s="57" t="n">
        <v>0</v>
      </c>
      <c r="M47" s="57" t="n">
        <v>4.9995</v>
      </c>
      <c r="N47" s="57" t="n">
        <v>2.3331</v>
      </c>
      <c r="O47" s="57" t="n">
        <v>0</v>
      </c>
      <c r="P47" s="57" t="n">
        <v>0</v>
      </c>
      <c r="Q47" s="57" t="n">
        <v>0</v>
      </c>
      <c r="R47" s="57" t="n">
        <v>-0</v>
      </c>
      <c r="S47" s="57" t="n">
        <v>-0</v>
      </c>
      <c r="T47" s="57" t="n">
        <v>25.7333</v>
      </c>
      <c r="U47" s="57" t="n">
        <v>0</v>
      </c>
      <c r="V47" s="57" t="n">
        <v>0</v>
      </c>
      <c r="W47" s="72" t="n">
        <v>25.7333</v>
      </c>
    </row>
    <row r="48" ht="16" customHeight="1" thickBot="1">
      <c r="A48" s="61" t="inlineStr">
        <is>
          <t>D. Kilcoyne</t>
        </is>
      </c>
      <c r="B48" t="inlineStr">
        <is>
          <t>Ireland</t>
        </is>
      </c>
      <c r="C48" t="inlineStr">
        <is>
          <t>Prop</t>
        </is>
      </c>
      <c r="D48" t="n">
        <v>3</v>
      </c>
      <c r="E48" s="57" t="n">
        <v>28.6667</v>
      </c>
      <c r="F48" s="57" t="n">
        <v>5</v>
      </c>
      <c r="G48" s="57" t="n">
        <v>4.6669</v>
      </c>
      <c r="H48" s="57" t="n">
        <v>0</v>
      </c>
      <c r="I48" s="57" t="n">
        <v>2.0667</v>
      </c>
      <c r="J48" s="57" t="n">
        <v>0</v>
      </c>
      <c r="K48" s="57" t="n">
        <v>0</v>
      </c>
      <c r="L48" s="57" t="n">
        <v>0</v>
      </c>
      <c r="M48" s="57" t="n">
        <v>0</v>
      </c>
      <c r="N48" s="57" t="n">
        <v>2.3331</v>
      </c>
      <c r="O48" s="57" t="n">
        <v>0</v>
      </c>
      <c r="P48" s="57" t="n">
        <v>0</v>
      </c>
      <c r="Q48" s="57" t="n">
        <v>0</v>
      </c>
      <c r="R48" s="57" t="n">
        <v>-0</v>
      </c>
      <c r="S48" s="57" t="n">
        <v>-0</v>
      </c>
      <c r="T48" s="57" t="n">
        <v>14.0667</v>
      </c>
      <c r="U48" s="57" t="n">
        <v>0</v>
      </c>
      <c r="V48" s="57" t="n">
        <v>0</v>
      </c>
      <c r="W48" s="72" t="n">
        <v>14.0667</v>
      </c>
    </row>
    <row r="49" ht="16" customHeight="1" thickBot="1">
      <c r="A49" s="63" t="inlineStr">
        <is>
          <t>T. O'Toole</t>
        </is>
      </c>
      <c r="B49" t="inlineStr">
        <is>
          <t>Ireland</t>
        </is>
      </c>
      <c r="C49" t="inlineStr">
        <is>
          <t>Prop</t>
        </is>
      </c>
      <c r="D49" t="n">
        <v>4</v>
      </c>
      <c r="E49" s="57" t="n">
        <v>21</v>
      </c>
      <c r="F49" s="57" t="n">
        <v>3</v>
      </c>
      <c r="G49" s="57" t="n">
        <v>0</v>
      </c>
      <c r="H49" s="57" t="n">
        <v>0</v>
      </c>
      <c r="I49" s="57" t="n">
        <v>3.9</v>
      </c>
      <c r="J49" s="57" t="n">
        <v>0</v>
      </c>
      <c r="K49" s="57" t="n">
        <v>0</v>
      </c>
      <c r="L49" s="57" t="n">
        <v>1.75</v>
      </c>
      <c r="M49" s="57" t="n">
        <v>0</v>
      </c>
      <c r="N49" s="57" t="n">
        <v>0</v>
      </c>
      <c r="O49" s="57" t="n">
        <v>0</v>
      </c>
      <c r="P49" s="57" t="n">
        <v>0</v>
      </c>
      <c r="Q49" s="57" t="n">
        <v>0</v>
      </c>
      <c r="R49" s="57" t="n">
        <v>-0</v>
      </c>
      <c r="S49" s="57" t="n">
        <v>-0</v>
      </c>
      <c r="T49" s="57" t="n">
        <v>8.65</v>
      </c>
      <c r="U49" s="57" t="n">
        <v>0</v>
      </c>
      <c r="V49" s="57" t="n">
        <v>0</v>
      </c>
      <c r="W49" s="72" t="n">
        <v>8.65</v>
      </c>
    </row>
    <row r="50" ht="16" customHeight="1" thickBot="1">
      <c r="A50" s="61" t="inlineStr">
        <is>
          <t>A. Porter</t>
        </is>
      </c>
      <c r="B50" t="inlineStr">
        <is>
          <t>Ireland</t>
        </is>
      </c>
      <c r="C50" t="inlineStr">
        <is>
          <t>Prop</t>
        </is>
      </c>
      <c r="D50" t="n">
        <v>4</v>
      </c>
      <c r="E50" s="57" t="n">
        <v>58.5</v>
      </c>
      <c r="F50" s="57" t="n">
        <v>6</v>
      </c>
      <c r="G50" s="57" t="n">
        <v>0</v>
      </c>
      <c r="H50" s="57" t="n">
        <v>0</v>
      </c>
      <c r="I50" s="57" t="n">
        <v>2.55</v>
      </c>
      <c r="J50" s="57" t="n">
        <v>0</v>
      </c>
      <c r="K50" s="57" t="n">
        <v>0</v>
      </c>
      <c r="L50" s="57" t="n">
        <v>1.75</v>
      </c>
      <c r="M50" s="57" t="n">
        <v>3.75</v>
      </c>
      <c r="N50" s="57" t="n">
        <v>0</v>
      </c>
      <c r="O50" s="57" t="n">
        <v>0</v>
      </c>
      <c r="P50" s="57" t="n">
        <v>0</v>
      </c>
      <c r="Q50" s="57" t="n">
        <v>0</v>
      </c>
      <c r="R50" s="57" t="n">
        <v>-0</v>
      </c>
      <c r="S50" s="57" t="n">
        <v>-0</v>
      </c>
      <c r="T50" s="57" t="n">
        <v>14.05</v>
      </c>
      <c r="U50" s="57" t="n">
        <v>0</v>
      </c>
      <c r="V50" s="57" t="n">
        <v>0</v>
      </c>
      <c r="W50" s="72" t="n">
        <v>14.05</v>
      </c>
    </row>
    <row r="51" ht="16" customHeight="1" thickBot="1">
      <c r="A51" s="63" t="inlineStr">
        <is>
          <t>R. Herring</t>
        </is>
      </c>
      <c r="B51" t="inlineStr">
        <is>
          <t>Ireland</t>
        </is>
      </c>
      <c r="C51" t="inlineStr">
        <is>
          <t>Hooker</t>
        </is>
      </c>
      <c r="D51" t="n">
        <v>2</v>
      </c>
      <c r="E51" s="57" t="n">
        <v>49</v>
      </c>
      <c r="F51" s="57" t="n">
        <v>8.5</v>
      </c>
      <c r="G51" s="57" t="n">
        <v>0</v>
      </c>
      <c r="H51" s="57" t="n">
        <v>0</v>
      </c>
      <c r="I51" s="57" t="n">
        <v>3.2</v>
      </c>
      <c r="J51" s="57" t="n">
        <v>0</v>
      </c>
      <c r="K51" s="57" t="n">
        <v>0</v>
      </c>
      <c r="L51" s="57" t="n">
        <v>0</v>
      </c>
      <c r="M51" s="57" t="n">
        <v>0</v>
      </c>
      <c r="N51" s="57" t="n">
        <v>0</v>
      </c>
      <c r="O51" s="57" t="n">
        <v>0</v>
      </c>
      <c r="P51" s="57" t="n">
        <v>0</v>
      </c>
      <c r="Q51" s="57" t="n">
        <v>0</v>
      </c>
      <c r="R51" s="57" t="n">
        <v>-0</v>
      </c>
      <c r="S51" s="57" t="n">
        <v>-0</v>
      </c>
      <c r="T51" s="57" t="n">
        <v>11.7</v>
      </c>
      <c r="U51" s="57" t="n">
        <v>0</v>
      </c>
      <c r="V51" s="57" t="n">
        <v>0</v>
      </c>
      <c r="W51" s="72" t="n">
        <v>11.7</v>
      </c>
    </row>
    <row r="52" ht="16" customHeight="1" thickBot="1">
      <c r="A52" s="61" t="inlineStr">
        <is>
          <t>D. Sheehan</t>
        </is>
      </c>
      <c r="B52" t="inlineStr">
        <is>
          <t>Ireland</t>
        </is>
      </c>
      <c r="C52" t="inlineStr">
        <is>
          <t>Hooker</t>
        </is>
      </c>
      <c r="D52" t="n">
        <v>3</v>
      </c>
      <c r="E52" s="57" t="n">
        <v>16.3333</v>
      </c>
      <c r="F52" s="57" t="n">
        <v>3.3333</v>
      </c>
      <c r="G52" s="57" t="n">
        <v>4.6669</v>
      </c>
      <c r="H52" s="57" t="n">
        <v>0</v>
      </c>
      <c r="I52" s="57" t="n">
        <v>0.6</v>
      </c>
      <c r="J52" s="57" t="n">
        <v>0</v>
      </c>
      <c r="K52" s="57" t="n">
        <v>0</v>
      </c>
      <c r="L52" s="57" t="n">
        <v>0</v>
      </c>
      <c r="M52" s="57" t="n">
        <v>0</v>
      </c>
      <c r="N52" s="57" t="n">
        <v>0</v>
      </c>
      <c r="O52" s="57" t="n">
        <v>0</v>
      </c>
      <c r="P52" s="57" t="n">
        <v>0</v>
      </c>
      <c r="Q52" s="57" t="n">
        <v>0</v>
      </c>
      <c r="R52" s="57" t="n">
        <v>-0</v>
      </c>
      <c r="S52" s="57" t="n">
        <v>-0</v>
      </c>
      <c r="T52" s="57" t="n">
        <v>8.6</v>
      </c>
      <c r="U52" s="57" t="n">
        <v>0</v>
      </c>
      <c r="V52" s="57" t="n">
        <v>0</v>
      </c>
      <c r="W52" s="72" t="n">
        <v>8.6</v>
      </c>
    </row>
    <row r="53" ht="16" customHeight="1" thickBot="1">
      <c r="A53" s="61" t="inlineStr">
        <is>
          <t>O. Hassell-Collins</t>
        </is>
      </c>
      <c r="B53" t="inlineStr">
        <is>
          <t>England</t>
        </is>
      </c>
      <c r="C53" t="inlineStr">
        <is>
          <t>Back Three</t>
        </is>
      </c>
      <c r="D53" t="n">
        <v>2</v>
      </c>
      <c r="E53" s="57" t="n">
        <v>63.5</v>
      </c>
      <c r="F53" s="57" t="n">
        <v>4.5</v>
      </c>
      <c r="G53" s="57" t="n">
        <v>7</v>
      </c>
      <c r="H53" s="57" t="n">
        <v>7</v>
      </c>
      <c r="I53" s="57" t="n">
        <v>7.1</v>
      </c>
      <c r="J53" s="57" t="n">
        <v>0</v>
      </c>
      <c r="K53" s="57" t="n">
        <v>3.5</v>
      </c>
      <c r="L53" s="57" t="n">
        <v>0</v>
      </c>
      <c r="M53" s="57" t="n">
        <v>0</v>
      </c>
      <c r="N53" s="57" t="n">
        <v>0</v>
      </c>
      <c r="O53" s="57" t="n">
        <v>0</v>
      </c>
      <c r="P53" s="57" t="n">
        <v>0</v>
      </c>
      <c r="Q53" s="57" t="n">
        <v>0</v>
      </c>
      <c r="R53" s="57" t="n">
        <v>-0</v>
      </c>
      <c r="S53" s="57" t="n">
        <v>-0</v>
      </c>
      <c r="T53" s="57" t="n">
        <v>29.1</v>
      </c>
      <c r="U53" s="57" t="n">
        <v>0</v>
      </c>
      <c r="V53" s="57" t="n">
        <v>0</v>
      </c>
      <c r="W53" s="72" t="n">
        <v>29.1</v>
      </c>
    </row>
    <row r="54" ht="16" customHeight="1" thickBot="1">
      <c r="A54" s="63" t="inlineStr">
        <is>
          <t>M. Malins</t>
        </is>
      </c>
      <c r="B54" t="inlineStr">
        <is>
          <t>England</t>
        </is>
      </c>
      <c r="C54" t="inlineStr">
        <is>
          <t>Back Three</t>
        </is>
      </c>
      <c r="D54" t="n">
        <v>4</v>
      </c>
      <c r="E54" s="57" t="n">
        <v>70.5</v>
      </c>
      <c r="F54" s="57" t="n">
        <v>7</v>
      </c>
      <c r="G54" s="57" t="n">
        <v>1.75</v>
      </c>
      <c r="H54" s="57" t="n">
        <v>3.5</v>
      </c>
      <c r="I54" s="57" t="n">
        <v>12.75</v>
      </c>
      <c r="J54" s="57" t="n">
        <v>0</v>
      </c>
      <c r="K54" s="57" t="n">
        <v>0</v>
      </c>
      <c r="L54" s="57" t="n">
        <v>0</v>
      </c>
      <c r="M54" s="57" t="n">
        <v>0</v>
      </c>
      <c r="N54" s="57" t="n">
        <v>0</v>
      </c>
      <c r="O54" s="57" t="n">
        <v>0</v>
      </c>
      <c r="P54" s="57" t="n">
        <v>0</v>
      </c>
      <c r="Q54" s="57" t="n">
        <v>0</v>
      </c>
      <c r="R54" s="57" t="n">
        <v>-0</v>
      </c>
      <c r="S54" s="57" t="n">
        <v>-0</v>
      </c>
      <c r="T54" s="57" t="n">
        <v>25</v>
      </c>
      <c r="U54" s="57" t="n">
        <v>0</v>
      </c>
      <c r="V54" s="57" t="n">
        <v>0</v>
      </c>
      <c r="W54" s="72" t="n">
        <v>25</v>
      </c>
    </row>
    <row r="55" ht="16" customHeight="1" thickBot="1">
      <c r="A55" s="61" t="inlineStr">
        <is>
          <t>F. Steward</t>
        </is>
      </c>
      <c r="B55" t="inlineStr">
        <is>
          <t>England</t>
        </is>
      </c>
      <c r="C55" t="inlineStr">
        <is>
          <t>Back Three</t>
        </is>
      </c>
      <c r="D55" t="n">
        <v>4</v>
      </c>
      <c r="E55" s="57" t="n">
        <v>80</v>
      </c>
      <c r="F55" s="57" t="n">
        <v>3.25</v>
      </c>
      <c r="G55" s="57" t="n">
        <v>5.25</v>
      </c>
      <c r="H55" s="57" t="n">
        <v>0</v>
      </c>
      <c r="I55" s="57" t="n">
        <v>18.2</v>
      </c>
      <c r="J55" s="57" t="n">
        <v>0</v>
      </c>
      <c r="K55" s="57" t="n">
        <v>0</v>
      </c>
      <c r="L55" s="57" t="n">
        <v>0</v>
      </c>
      <c r="M55" s="57" t="n">
        <v>11.25</v>
      </c>
      <c r="N55" s="57" t="n">
        <v>1.75</v>
      </c>
      <c r="O55" s="57" t="n">
        <v>0</v>
      </c>
      <c r="P55" s="57" t="n">
        <v>0</v>
      </c>
      <c r="Q55" s="57" t="n">
        <v>0</v>
      </c>
      <c r="R55" s="57" t="n">
        <v>-0</v>
      </c>
      <c r="S55" s="57" t="n">
        <v>-0</v>
      </c>
      <c r="T55" s="57" t="n">
        <v>39.7</v>
      </c>
      <c r="U55" s="57" t="n">
        <v>15</v>
      </c>
      <c r="V55" s="57" t="n">
        <v>0</v>
      </c>
      <c r="W55" s="72" t="n">
        <v>43.45</v>
      </c>
    </row>
    <row r="56" ht="16" customHeight="1" thickBot="1">
      <c r="A56" s="63" t="inlineStr">
        <is>
          <t>A. Watson</t>
        </is>
      </c>
      <c r="B56" t="inlineStr">
        <is>
          <t>England</t>
        </is>
      </c>
      <c r="C56" t="inlineStr">
        <is>
          <t>Back Three</t>
        </is>
      </c>
      <c r="D56" t="n">
        <v>3</v>
      </c>
      <c r="E56" s="57" t="n">
        <v>80</v>
      </c>
      <c r="F56" s="57" t="n">
        <v>2.6667</v>
      </c>
      <c r="G56" s="57" t="n">
        <v>7</v>
      </c>
      <c r="H56" s="57" t="n">
        <v>4.6669</v>
      </c>
      <c r="I56" s="57" t="n">
        <v>13.8</v>
      </c>
      <c r="J56" s="57" t="n">
        <v>0</v>
      </c>
      <c r="K56" s="57" t="n">
        <v>0</v>
      </c>
      <c r="L56" s="57" t="n">
        <v>0</v>
      </c>
      <c r="M56" s="57" t="n">
        <v>4.9995</v>
      </c>
      <c r="N56" s="57" t="n">
        <v>0</v>
      </c>
      <c r="O56" s="57" t="n">
        <v>0</v>
      </c>
      <c r="P56" s="57" t="n">
        <v>0</v>
      </c>
      <c r="Q56" s="57" t="n">
        <v>0</v>
      </c>
      <c r="R56" s="57" t="n">
        <v>-0</v>
      </c>
      <c r="S56" s="57" t="n">
        <v>-0</v>
      </c>
      <c r="T56" s="57" t="n">
        <v>33.1333</v>
      </c>
      <c r="U56" s="57" t="n">
        <v>0</v>
      </c>
      <c r="V56" s="57" t="n">
        <v>0</v>
      </c>
      <c r="W56" s="72" t="n">
        <v>33.1333</v>
      </c>
    </row>
    <row r="57" ht="16" customHeight="1" thickBot="1">
      <c r="A57" s="61" t="inlineStr">
        <is>
          <t>O. Farrell</t>
        </is>
      </c>
      <c r="B57" t="inlineStr">
        <is>
          <t>England</t>
        </is>
      </c>
      <c r="C57" t="inlineStr">
        <is>
          <t>Centre</t>
        </is>
      </c>
      <c r="D57" t="n">
        <v>4</v>
      </c>
      <c r="E57" s="57" t="n">
        <v>52.5</v>
      </c>
      <c r="F57" s="57" t="n">
        <v>8.75</v>
      </c>
      <c r="G57" s="57" t="n">
        <v>0</v>
      </c>
      <c r="H57" s="57" t="n">
        <v>0</v>
      </c>
      <c r="I57" s="57" t="n">
        <v>5.2</v>
      </c>
      <c r="J57" s="57" t="n">
        <v>0</v>
      </c>
      <c r="K57" s="57" t="n">
        <v>0</v>
      </c>
      <c r="L57" s="57" t="n">
        <v>3.5</v>
      </c>
      <c r="M57" s="57" t="n">
        <v>0</v>
      </c>
      <c r="N57" s="57" t="n">
        <v>0</v>
      </c>
      <c r="O57" s="57" t="n">
        <v>1.5</v>
      </c>
      <c r="P57" s="57" t="n">
        <v>1.25</v>
      </c>
      <c r="Q57" s="57" t="n">
        <v>0</v>
      </c>
      <c r="R57" s="57" t="n">
        <v>-0</v>
      </c>
      <c r="S57" s="57" t="n">
        <v>-0</v>
      </c>
      <c r="T57" s="57" t="n">
        <v>20.2</v>
      </c>
      <c r="U57" s="57" t="n">
        <v>0</v>
      </c>
      <c r="V57" s="57" t="n">
        <v>0</v>
      </c>
      <c r="W57" s="72" t="n">
        <v>20.2</v>
      </c>
    </row>
    <row r="58" ht="16" customHeight="1" thickBot="1">
      <c r="A58" s="63" t="inlineStr">
        <is>
          <t>O. Lawrence</t>
        </is>
      </c>
      <c r="B58" t="inlineStr">
        <is>
          <t>England</t>
        </is>
      </c>
      <c r="C58" t="inlineStr">
        <is>
          <t>Centre</t>
        </is>
      </c>
      <c r="D58" t="n">
        <v>4</v>
      </c>
      <c r="E58" s="57" t="n">
        <v>75.25</v>
      </c>
      <c r="F58" s="57" t="n">
        <v>5.25</v>
      </c>
      <c r="G58" s="57" t="n">
        <v>3.5</v>
      </c>
      <c r="H58" s="57" t="n">
        <v>3.5</v>
      </c>
      <c r="I58" s="57" t="n">
        <v>12.45</v>
      </c>
      <c r="J58" s="57" t="n">
        <v>0</v>
      </c>
      <c r="K58" s="57" t="n">
        <v>0</v>
      </c>
      <c r="L58" s="57" t="n">
        <v>3.5</v>
      </c>
      <c r="M58" s="57" t="n">
        <v>3.75</v>
      </c>
      <c r="N58" s="57" t="n">
        <v>0</v>
      </c>
      <c r="O58" s="57" t="n">
        <v>0.5</v>
      </c>
      <c r="P58" s="57" t="n">
        <v>2.5</v>
      </c>
      <c r="Q58" s="57" t="n">
        <v>0</v>
      </c>
      <c r="R58" s="57" t="n">
        <v>-0</v>
      </c>
      <c r="S58" s="57" t="n">
        <v>-0</v>
      </c>
      <c r="T58" s="57" t="n">
        <v>34.95</v>
      </c>
      <c r="U58" s="57" t="n">
        <v>15</v>
      </c>
      <c r="V58" s="57" t="n">
        <v>0</v>
      </c>
      <c r="W58" s="72" t="n">
        <v>38.7</v>
      </c>
    </row>
    <row r="59" ht="16" customHeight="1" thickBot="1">
      <c r="A59" s="61" t="inlineStr">
        <is>
          <t>J. Marchant</t>
        </is>
      </c>
      <c r="B59" t="inlineStr">
        <is>
          <t>England</t>
        </is>
      </c>
      <c r="C59" t="inlineStr">
        <is>
          <t>Centre</t>
        </is>
      </c>
      <c r="D59" t="n">
        <v>1</v>
      </c>
      <c r="E59" s="57" t="n">
        <v>4</v>
      </c>
      <c r="F59" s="57" t="n">
        <v>0</v>
      </c>
      <c r="G59" s="57" t="n">
        <v>0</v>
      </c>
      <c r="H59" s="57" t="n">
        <v>0</v>
      </c>
      <c r="I59" s="57" t="n">
        <v>2</v>
      </c>
      <c r="J59" s="57" t="n">
        <v>0</v>
      </c>
      <c r="K59" s="57" t="n">
        <v>0</v>
      </c>
      <c r="L59" s="57" t="n">
        <v>0</v>
      </c>
      <c r="M59" s="57" t="n">
        <v>0</v>
      </c>
      <c r="N59" s="57" t="n">
        <v>0</v>
      </c>
      <c r="O59" s="57" t="n">
        <v>0</v>
      </c>
      <c r="P59" s="57" t="n">
        <v>0</v>
      </c>
      <c r="Q59" s="57" t="n">
        <v>0</v>
      </c>
      <c r="R59" s="57" t="n">
        <v>-0</v>
      </c>
      <c r="S59" s="57" t="n">
        <v>-0</v>
      </c>
      <c r="T59" s="57" t="n">
        <v>2</v>
      </c>
      <c r="U59" s="57" t="n">
        <v>0</v>
      </c>
      <c r="V59" s="57" t="n">
        <v>0</v>
      </c>
      <c r="W59" s="72" t="n">
        <v>2</v>
      </c>
    </row>
    <row r="60" ht="16" customHeight="1" thickBot="1">
      <c r="A60" s="63" t="inlineStr">
        <is>
          <t>M. Smith</t>
        </is>
      </c>
      <c r="B60" t="inlineStr">
        <is>
          <t>England</t>
        </is>
      </c>
      <c r="C60" t="inlineStr">
        <is>
          <t>Fly Half</t>
        </is>
      </c>
      <c r="D60" t="n">
        <v>4</v>
      </c>
      <c r="E60" s="57" t="n">
        <v>41.25</v>
      </c>
      <c r="F60" s="57" t="n">
        <v>5</v>
      </c>
      <c r="G60" s="57" t="n">
        <v>0</v>
      </c>
      <c r="H60" s="57" t="n">
        <v>1.75</v>
      </c>
      <c r="I60" s="57" t="n">
        <v>9</v>
      </c>
      <c r="J60" s="57" t="n">
        <v>0</v>
      </c>
      <c r="K60" s="57" t="n">
        <v>0</v>
      </c>
      <c r="L60" s="57" t="n">
        <v>0</v>
      </c>
      <c r="M60" s="57" t="n">
        <v>0</v>
      </c>
      <c r="N60" s="57" t="n">
        <v>0</v>
      </c>
      <c r="O60" s="57" t="n">
        <v>0.5</v>
      </c>
      <c r="P60" s="57" t="n">
        <v>1.25</v>
      </c>
      <c r="Q60" s="57" t="n">
        <v>0</v>
      </c>
      <c r="R60" s="57" t="n">
        <v>-0</v>
      </c>
      <c r="S60" s="57" t="n">
        <v>-0</v>
      </c>
      <c r="T60" s="57" t="n">
        <v>17.5</v>
      </c>
      <c r="U60" s="57" t="n">
        <v>0</v>
      </c>
      <c r="V60" s="57" t="n">
        <v>0</v>
      </c>
      <c r="W60" s="72" t="n">
        <v>17.5</v>
      </c>
    </row>
    <row r="61" ht="16" customHeight="1" thickBot="1">
      <c r="A61" s="61" t="inlineStr">
        <is>
          <t>J. van Poortvliet</t>
        </is>
      </c>
      <c r="B61" t="inlineStr">
        <is>
          <t>England</t>
        </is>
      </c>
      <c r="C61" t="inlineStr">
        <is>
          <t>Scrum Half</t>
        </is>
      </c>
      <c r="D61" t="n">
        <v>4</v>
      </c>
      <c r="E61" s="57" t="n">
        <v>64.5</v>
      </c>
      <c r="F61" s="57" t="n">
        <v>4.25</v>
      </c>
      <c r="G61" s="57" t="n">
        <v>0</v>
      </c>
      <c r="H61" s="57" t="n">
        <v>1.75</v>
      </c>
      <c r="I61" s="57" t="n">
        <v>8.050000000000001</v>
      </c>
      <c r="J61" s="57" t="n">
        <v>0</v>
      </c>
      <c r="K61" s="57" t="n">
        <v>0</v>
      </c>
      <c r="L61" s="57" t="n">
        <v>0</v>
      </c>
      <c r="M61" s="57" t="n">
        <v>0</v>
      </c>
      <c r="N61" s="57" t="n">
        <v>1.75</v>
      </c>
      <c r="O61" s="57" t="n">
        <v>0</v>
      </c>
      <c r="P61" s="57" t="n">
        <v>0</v>
      </c>
      <c r="Q61" s="57" t="n">
        <v>0</v>
      </c>
      <c r="R61" s="57" t="n">
        <v>-0</v>
      </c>
      <c r="S61" s="57" t="n">
        <v>-0</v>
      </c>
      <c r="T61" s="57" t="n">
        <v>15.8</v>
      </c>
      <c r="U61" s="57" t="n">
        <v>0</v>
      </c>
      <c r="V61" s="57" t="n">
        <v>0</v>
      </c>
      <c r="W61" s="72" t="n">
        <v>15.8</v>
      </c>
    </row>
    <row r="62" ht="16" customHeight="1" thickBot="1">
      <c r="A62" s="63" t="inlineStr">
        <is>
          <t>B. Youngs</t>
        </is>
      </c>
      <c r="B62" t="inlineStr">
        <is>
          <t>England</t>
        </is>
      </c>
      <c r="C62" t="inlineStr">
        <is>
          <t>Scrum Half</t>
        </is>
      </c>
      <c r="D62" t="n">
        <v>1</v>
      </c>
      <c r="E62" s="57" t="n">
        <v>58</v>
      </c>
      <c r="F62" s="57" t="n">
        <v>3</v>
      </c>
      <c r="G62" s="57" t="n">
        <v>0</v>
      </c>
      <c r="H62" s="57" t="n">
        <v>7</v>
      </c>
      <c r="I62" s="57" t="n">
        <v>4</v>
      </c>
      <c r="J62" s="57" t="n">
        <v>0</v>
      </c>
      <c r="K62" s="57" t="n">
        <v>0</v>
      </c>
      <c r="L62" s="57" t="n">
        <v>0</v>
      </c>
      <c r="M62" s="57" t="n">
        <v>0</v>
      </c>
      <c r="N62" s="57" t="n">
        <v>7</v>
      </c>
      <c r="O62" s="57" t="n">
        <v>0</v>
      </c>
      <c r="P62" s="57" t="n">
        <v>0</v>
      </c>
      <c r="Q62" s="57" t="n">
        <v>0</v>
      </c>
      <c r="R62" s="57" t="n">
        <v>-0</v>
      </c>
      <c r="S62" s="57" t="n">
        <v>-0</v>
      </c>
      <c r="T62" s="57" t="n">
        <v>21</v>
      </c>
      <c r="U62" s="57" t="n">
        <v>0</v>
      </c>
      <c r="V62" s="57" t="n">
        <v>0</v>
      </c>
      <c r="W62" s="72" t="n">
        <v>21</v>
      </c>
    </row>
    <row r="63" ht="16" customHeight="1" thickBot="1">
      <c r="A63" s="61" t="inlineStr">
        <is>
          <t>B. Curry</t>
        </is>
      </c>
      <c r="B63" t="inlineStr">
        <is>
          <t>England</t>
        </is>
      </c>
      <c r="C63" t="inlineStr">
        <is>
          <t>Back Row</t>
        </is>
      </c>
      <c r="D63" t="n">
        <v>3</v>
      </c>
      <c r="E63" s="57" t="n">
        <v>23.3333</v>
      </c>
      <c r="F63" s="57" t="n">
        <v>3.3333</v>
      </c>
      <c r="G63" s="57" t="n">
        <v>2.3331</v>
      </c>
      <c r="H63" s="57" t="n">
        <v>0</v>
      </c>
      <c r="I63" s="57" t="n">
        <v>3.4667</v>
      </c>
      <c r="J63" s="57" t="n">
        <v>0</v>
      </c>
      <c r="K63" s="57" t="n">
        <v>0</v>
      </c>
      <c r="L63" s="57" t="n">
        <v>4.6669</v>
      </c>
      <c r="M63" s="57" t="n">
        <v>0</v>
      </c>
      <c r="N63" s="57" t="n">
        <v>0</v>
      </c>
      <c r="O63" s="57" t="n">
        <v>0</v>
      </c>
      <c r="P63" s="57" t="n">
        <v>0</v>
      </c>
      <c r="Q63" s="57" t="n">
        <v>0</v>
      </c>
      <c r="R63" s="57" t="n">
        <v>-0</v>
      </c>
      <c r="S63" s="57" t="n">
        <v>-0</v>
      </c>
      <c r="T63" s="57" t="n">
        <v>13.8</v>
      </c>
      <c r="U63" s="57" t="n">
        <v>0</v>
      </c>
      <c r="V63" s="57" t="n">
        <v>0</v>
      </c>
      <c r="W63" s="72" t="n">
        <v>13.8</v>
      </c>
    </row>
    <row r="64" ht="16" customHeight="1" thickBot="1">
      <c r="A64" s="63" t="inlineStr">
        <is>
          <t>A. Dombrandt</t>
        </is>
      </c>
      <c r="B64" t="inlineStr">
        <is>
          <t>England</t>
        </is>
      </c>
      <c r="C64" t="inlineStr">
        <is>
          <t>Back Row</t>
        </is>
      </c>
      <c r="D64" t="n">
        <v>4</v>
      </c>
      <c r="E64" s="57" t="n">
        <v>67.5</v>
      </c>
      <c r="F64" s="57" t="n">
        <v>9</v>
      </c>
      <c r="G64" s="57" t="n">
        <v>8.75</v>
      </c>
      <c r="H64" s="57" t="n">
        <v>1.75</v>
      </c>
      <c r="I64" s="57" t="n">
        <v>10.35</v>
      </c>
      <c r="J64" s="57" t="n">
        <v>0</v>
      </c>
      <c r="K64" s="57" t="n">
        <v>0</v>
      </c>
      <c r="L64" s="57" t="n">
        <v>3.5</v>
      </c>
      <c r="M64" s="57" t="n">
        <v>0</v>
      </c>
      <c r="N64" s="57" t="n">
        <v>1.75</v>
      </c>
      <c r="O64" s="57" t="n">
        <v>0</v>
      </c>
      <c r="P64" s="57" t="n">
        <v>0</v>
      </c>
      <c r="Q64" s="57" t="n">
        <v>0</v>
      </c>
      <c r="R64" s="57" t="n">
        <v>-0</v>
      </c>
      <c r="S64" s="57" t="n">
        <v>-0</v>
      </c>
      <c r="T64" s="57" t="n">
        <v>35.1</v>
      </c>
      <c r="U64" s="57" t="n">
        <v>0</v>
      </c>
      <c r="V64" s="57" t="n">
        <v>0</v>
      </c>
      <c r="W64" s="72" t="n">
        <v>35.1</v>
      </c>
    </row>
    <row r="65" ht="16" customHeight="1" thickBot="1">
      <c r="A65" s="61" t="inlineStr">
        <is>
          <t>B. Earl</t>
        </is>
      </c>
      <c r="B65" t="inlineStr">
        <is>
          <t>England</t>
        </is>
      </c>
      <c r="C65" t="inlineStr">
        <is>
          <t>Back Row</t>
        </is>
      </c>
      <c r="D65" t="n">
        <v>2</v>
      </c>
      <c r="E65" s="57" t="n">
        <v>41.5</v>
      </c>
      <c r="F65" s="57" t="n">
        <v>5</v>
      </c>
      <c r="G65" s="57" t="n">
        <v>0</v>
      </c>
      <c r="H65" s="57" t="n">
        <v>0</v>
      </c>
      <c r="I65" s="57" t="n">
        <v>7.4</v>
      </c>
      <c r="J65" s="57" t="n">
        <v>0</v>
      </c>
      <c r="K65" s="57" t="n">
        <v>0</v>
      </c>
      <c r="L65" s="57" t="n">
        <v>3.5</v>
      </c>
      <c r="M65" s="57" t="n">
        <v>0</v>
      </c>
      <c r="N65" s="57" t="n">
        <v>0</v>
      </c>
      <c r="O65" s="57" t="n">
        <v>0</v>
      </c>
      <c r="P65" s="57" t="n">
        <v>0</v>
      </c>
      <c r="Q65" s="57" t="n">
        <v>0</v>
      </c>
      <c r="R65" s="57" t="n">
        <v>-0</v>
      </c>
      <c r="S65" s="57" t="n">
        <v>-0</v>
      </c>
      <c r="T65" s="57" t="n">
        <v>15.9</v>
      </c>
      <c r="U65" s="57" t="n">
        <v>0</v>
      </c>
      <c r="V65" s="57" t="n">
        <v>0</v>
      </c>
      <c r="W65" s="72" t="n">
        <v>15.9</v>
      </c>
    </row>
    <row r="66" ht="16" customHeight="1" thickBot="1">
      <c r="A66" s="63" t="inlineStr">
        <is>
          <t>L. Ludlam</t>
        </is>
      </c>
      <c r="B66" t="inlineStr">
        <is>
          <t>England</t>
        </is>
      </c>
      <c r="C66" t="inlineStr">
        <is>
          <t>Back Row</t>
        </is>
      </c>
      <c r="D66" t="n">
        <v>4</v>
      </c>
      <c r="E66" s="57" t="n">
        <v>66</v>
      </c>
      <c r="F66" s="57" t="n">
        <v>11.25</v>
      </c>
      <c r="G66" s="57" t="n">
        <v>12.25</v>
      </c>
      <c r="H66" s="57" t="n">
        <v>0</v>
      </c>
      <c r="I66" s="57" t="n">
        <v>5.95</v>
      </c>
      <c r="J66" s="57" t="n">
        <v>0</v>
      </c>
      <c r="K66" s="57" t="n">
        <v>0</v>
      </c>
      <c r="L66" s="57" t="n">
        <v>3.5</v>
      </c>
      <c r="M66" s="57" t="n">
        <v>0</v>
      </c>
      <c r="N66" s="57" t="n">
        <v>0</v>
      </c>
      <c r="O66" s="57" t="n">
        <v>0</v>
      </c>
      <c r="P66" s="57" t="n">
        <v>0</v>
      </c>
      <c r="Q66" s="57" t="n">
        <v>0</v>
      </c>
      <c r="R66" s="57" t="n">
        <v>-0</v>
      </c>
      <c r="S66" s="57" t="n">
        <v>-0</v>
      </c>
      <c r="T66" s="57" t="n">
        <v>32.95</v>
      </c>
      <c r="U66" s="57" t="n">
        <v>0</v>
      </c>
      <c r="V66" s="57" t="n">
        <v>0</v>
      </c>
      <c r="W66" s="72" t="n">
        <v>32.95</v>
      </c>
    </row>
    <row r="67" ht="16" customHeight="1" thickBot="1">
      <c r="A67" s="61" t="inlineStr">
        <is>
          <t>O. Chessum</t>
        </is>
      </c>
      <c r="B67" t="inlineStr">
        <is>
          <t>England</t>
        </is>
      </c>
      <c r="C67" t="inlineStr">
        <is>
          <t>Second Row</t>
        </is>
      </c>
      <c r="D67" t="n">
        <v>4</v>
      </c>
      <c r="E67" s="57" t="n">
        <v>80</v>
      </c>
      <c r="F67" s="57" t="n">
        <v>6.75</v>
      </c>
      <c r="G67" s="57" t="n">
        <v>8.75</v>
      </c>
      <c r="H67" s="57" t="n">
        <v>1.75</v>
      </c>
      <c r="I67" s="57" t="n">
        <v>7.2</v>
      </c>
      <c r="J67" s="57" t="n">
        <v>0</v>
      </c>
      <c r="K67" s="57" t="n">
        <v>0</v>
      </c>
      <c r="L67" s="57" t="n">
        <v>0</v>
      </c>
      <c r="M67" s="57" t="n">
        <v>3.75</v>
      </c>
      <c r="N67" s="57" t="n">
        <v>1.75</v>
      </c>
      <c r="O67" s="57" t="n">
        <v>0</v>
      </c>
      <c r="P67" s="57" t="n">
        <v>0</v>
      </c>
      <c r="Q67" s="57" t="n">
        <v>0</v>
      </c>
      <c r="R67" s="57" t="n">
        <v>-0</v>
      </c>
      <c r="S67" s="57" t="n">
        <v>-0</v>
      </c>
      <c r="T67" s="57" t="n">
        <v>29.95</v>
      </c>
      <c r="U67" s="57" t="n">
        <v>0</v>
      </c>
      <c r="V67" s="57" t="n">
        <v>0</v>
      </c>
      <c r="W67" s="72" t="n">
        <v>29.95</v>
      </c>
    </row>
    <row r="68" ht="16" customHeight="1" thickBot="1">
      <c r="A68" s="63" t="inlineStr">
        <is>
          <t>N. Isiekwe</t>
        </is>
      </c>
      <c r="B68" t="inlineStr">
        <is>
          <t>England</t>
        </is>
      </c>
      <c r="C68" t="inlineStr">
        <is>
          <t>Second Row</t>
        </is>
      </c>
      <c r="D68" t="n">
        <v>2</v>
      </c>
      <c r="E68" s="57" t="n">
        <v>47.5</v>
      </c>
      <c r="F68" s="57" t="n">
        <v>4.5</v>
      </c>
      <c r="G68" s="57" t="n">
        <v>0</v>
      </c>
      <c r="H68" s="57" t="n">
        <v>0</v>
      </c>
      <c r="I68" s="57" t="n">
        <v>7.2</v>
      </c>
      <c r="J68" s="57" t="n">
        <v>0</v>
      </c>
      <c r="K68" s="57" t="n">
        <v>0</v>
      </c>
      <c r="L68" s="57" t="n">
        <v>0</v>
      </c>
      <c r="M68" s="57" t="n">
        <v>0</v>
      </c>
      <c r="N68" s="57" t="n">
        <v>0</v>
      </c>
      <c r="O68" s="57" t="n">
        <v>0</v>
      </c>
      <c r="P68" s="57" t="n">
        <v>0</v>
      </c>
      <c r="Q68" s="57" t="n">
        <v>0</v>
      </c>
      <c r="R68" s="57" t="n">
        <v>-0</v>
      </c>
      <c r="S68" s="57" t="n">
        <v>-0</v>
      </c>
      <c r="T68" s="57" t="n">
        <v>11.7</v>
      </c>
      <c r="U68" s="57" t="n">
        <v>0</v>
      </c>
      <c r="V68" s="57" t="n">
        <v>0</v>
      </c>
      <c r="W68" s="72" t="n">
        <v>11.7</v>
      </c>
    </row>
    <row r="69" ht="16" customHeight="1" thickBot="1">
      <c r="A69" s="61" t="inlineStr">
        <is>
          <t>M. Itoje</t>
        </is>
      </c>
      <c r="B69" t="inlineStr">
        <is>
          <t>England</t>
        </is>
      </c>
      <c r="C69" t="inlineStr">
        <is>
          <t>Second Row</t>
        </is>
      </c>
      <c r="D69" t="n">
        <v>4</v>
      </c>
      <c r="E69" s="57" t="n">
        <v>64.75</v>
      </c>
      <c r="F69" s="57" t="n">
        <v>10.25</v>
      </c>
      <c r="G69" s="57" t="n">
        <v>8.75</v>
      </c>
      <c r="H69" s="57" t="n">
        <v>0</v>
      </c>
      <c r="I69" s="57" t="n">
        <v>3.1</v>
      </c>
      <c r="J69" s="57" t="n">
        <v>0</v>
      </c>
      <c r="K69" s="57" t="n">
        <v>0</v>
      </c>
      <c r="L69" s="57" t="n">
        <v>5.25</v>
      </c>
      <c r="M69" s="57" t="n">
        <v>0</v>
      </c>
      <c r="N69" s="57" t="n">
        <v>1.75</v>
      </c>
      <c r="O69" s="57" t="n">
        <v>0</v>
      </c>
      <c r="P69" s="57" t="n">
        <v>0</v>
      </c>
      <c r="Q69" s="57" t="n">
        <v>0</v>
      </c>
      <c r="R69" s="57" t="n">
        <v>-0</v>
      </c>
      <c r="S69" s="57" t="n">
        <v>-0</v>
      </c>
      <c r="T69" s="57" t="n">
        <v>29.1</v>
      </c>
      <c r="U69" s="57" t="n">
        <v>0</v>
      </c>
      <c r="V69" s="57" t="n">
        <v>0</v>
      </c>
      <c r="W69" s="72" t="n">
        <v>29.1</v>
      </c>
    </row>
    <row r="70" ht="16" customHeight="1" thickBot="1">
      <c r="A70" s="63" t="inlineStr">
        <is>
          <t>D. Cole</t>
        </is>
      </c>
      <c r="B70" t="inlineStr">
        <is>
          <t>England</t>
        </is>
      </c>
      <c r="C70" t="inlineStr">
        <is>
          <t>Prop</t>
        </is>
      </c>
      <c r="D70" t="n">
        <v>4</v>
      </c>
      <c r="E70" s="57" t="n">
        <v>35.5</v>
      </c>
      <c r="F70" s="57" t="n">
        <v>4</v>
      </c>
      <c r="G70" s="57" t="n">
        <v>3.5</v>
      </c>
      <c r="H70" s="57" t="n">
        <v>0</v>
      </c>
      <c r="I70" s="57" t="n">
        <v>1.25</v>
      </c>
      <c r="J70" s="57" t="n">
        <v>0</v>
      </c>
      <c r="K70" s="57" t="n">
        <v>0</v>
      </c>
      <c r="L70" s="57" t="n">
        <v>0</v>
      </c>
      <c r="M70" s="57" t="n">
        <v>0</v>
      </c>
      <c r="N70" s="57" t="n">
        <v>0</v>
      </c>
      <c r="O70" s="57" t="n">
        <v>0</v>
      </c>
      <c r="P70" s="57" t="n">
        <v>0</v>
      </c>
      <c r="Q70" s="57" t="n">
        <v>0</v>
      </c>
      <c r="R70" s="57" t="n">
        <v>-0</v>
      </c>
      <c r="S70" s="57" t="n">
        <v>-0</v>
      </c>
      <c r="T70" s="57" t="n">
        <v>8.75</v>
      </c>
      <c r="U70" s="57" t="n">
        <v>0</v>
      </c>
      <c r="V70" s="57" t="n">
        <v>0</v>
      </c>
      <c r="W70" s="72" t="n">
        <v>8.75</v>
      </c>
    </row>
    <row r="71" ht="16" customHeight="1" thickBot="1">
      <c r="A71" s="61" t="inlineStr">
        <is>
          <t>E. Genge</t>
        </is>
      </c>
      <c r="B71" t="inlineStr">
        <is>
          <t>England</t>
        </is>
      </c>
      <c r="C71" t="inlineStr">
        <is>
          <t>Prop</t>
        </is>
      </c>
      <c r="D71" t="n">
        <v>4</v>
      </c>
      <c r="E71" s="57" t="n">
        <v>48</v>
      </c>
      <c r="F71" s="57" t="n">
        <v>4.75</v>
      </c>
      <c r="G71" s="57" t="n">
        <v>3.5</v>
      </c>
      <c r="H71" s="57" t="n">
        <v>0</v>
      </c>
      <c r="I71" s="57" t="n">
        <v>4.95</v>
      </c>
      <c r="J71" s="57" t="n">
        <v>0</v>
      </c>
      <c r="K71" s="57" t="n">
        <v>0</v>
      </c>
      <c r="L71" s="57" t="n">
        <v>0</v>
      </c>
      <c r="M71" s="57" t="n">
        <v>0</v>
      </c>
      <c r="N71" s="57" t="n">
        <v>1.75</v>
      </c>
      <c r="O71" s="57" t="n">
        <v>0</v>
      </c>
      <c r="P71" s="57" t="n">
        <v>0</v>
      </c>
      <c r="Q71" s="57" t="n">
        <v>0</v>
      </c>
      <c r="R71" s="57" t="n">
        <v>-0</v>
      </c>
      <c r="S71" s="57" t="n">
        <v>-0</v>
      </c>
      <c r="T71" s="57" t="n">
        <v>14.95</v>
      </c>
      <c r="U71" s="57" t="n">
        <v>0</v>
      </c>
      <c r="V71" s="57" t="n">
        <v>0</v>
      </c>
      <c r="W71" s="72" t="n">
        <v>14.95</v>
      </c>
    </row>
    <row r="72" ht="16" customHeight="1" thickBot="1">
      <c r="A72" s="63" t="inlineStr">
        <is>
          <t>K. Sinckler</t>
        </is>
      </c>
      <c r="B72" t="inlineStr">
        <is>
          <t>England</t>
        </is>
      </c>
      <c r="C72" t="inlineStr">
        <is>
          <t>Prop</t>
        </is>
      </c>
      <c r="D72" t="n">
        <v>4</v>
      </c>
      <c r="E72" s="57" t="n">
        <v>59.75</v>
      </c>
      <c r="F72" s="57" t="n">
        <v>8.25</v>
      </c>
      <c r="G72" s="57" t="n">
        <v>5.25</v>
      </c>
      <c r="H72" s="57" t="n">
        <v>0</v>
      </c>
      <c r="I72" s="57" t="n">
        <v>7.15</v>
      </c>
      <c r="J72" s="57" t="n">
        <v>0</v>
      </c>
      <c r="K72" s="57" t="n">
        <v>0</v>
      </c>
      <c r="L72" s="57" t="n">
        <v>0</v>
      </c>
      <c r="M72" s="57" t="n">
        <v>7.5</v>
      </c>
      <c r="N72" s="57" t="n">
        <v>0</v>
      </c>
      <c r="O72" s="57" t="n">
        <v>0</v>
      </c>
      <c r="P72" s="57" t="n">
        <v>0</v>
      </c>
      <c r="Q72" s="57" t="n">
        <v>0</v>
      </c>
      <c r="R72" s="57" t="n">
        <v>-0</v>
      </c>
      <c r="S72" s="57" t="n">
        <v>-0</v>
      </c>
      <c r="T72" s="57" t="n">
        <v>28.15</v>
      </c>
      <c r="U72" s="57" t="n">
        <v>0</v>
      </c>
      <c r="V72" s="57" t="n">
        <v>0</v>
      </c>
      <c r="W72" s="72" t="n">
        <v>28.15</v>
      </c>
    </row>
    <row r="73" ht="16" customHeight="1" thickBot="1">
      <c r="A73" s="61" t="inlineStr">
        <is>
          <t>M. Vunipola</t>
        </is>
      </c>
      <c r="B73" t="inlineStr">
        <is>
          <t>England</t>
        </is>
      </c>
      <c r="C73" t="inlineStr">
        <is>
          <t>Prop</t>
        </is>
      </c>
      <c r="D73" t="n">
        <v>4</v>
      </c>
      <c r="E73" s="57" t="n">
        <v>32</v>
      </c>
      <c r="F73" s="57" t="n">
        <v>3.25</v>
      </c>
      <c r="G73" s="57" t="n">
        <v>1.75</v>
      </c>
      <c r="H73" s="57" t="n">
        <v>0</v>
      </c>
      <c r="I73" s="57" t="n">
        <v>3.35</v>
      </c>
      <c r="J73" s="57" t="n">
        <v>0</v>
      </c>
      <c r="K73" s="57" t="n">
        <v>0</v>
      </c>
      <c r="L73" s="57" t="n">
        <v>0</v>
      </c>
      <c r="M73" s="57" t="n">
        <v>0</v>
      </c>
      <c r="N73" s="57" t="n">
        <v>0</v>
      </c>
      <c r="O73" s="57" t="n">
        <v>0</v>
      </c>
      <c r="P73" s="57" t="n">
        <v>0</v>
      </c>
      <c r="Q73" s="57" t="n">
        <v>0</v>
      </c>
      <c r="R73" s="57" t="n">
        <v>-0</v>
      </c>
      <c r="S73" s="57" t="n">
        <v>-0</v>
      </c>
      <c r="T73" s="57" t="n">
        <v>8.35</v>
      </c>
      <c r="U73" s="57" t="n">
        <v>0</v>
      </c>
      <c r="V73" s="57" t="n">
        <v>0</v>
      </c>
      <c r="W73" s="72" t="n">
        <v>8.35</v>
      </c>
    </row>
    <row r="74" ht="16" customHeight="1" thickBot="1">
      <c r="A74" s="63" t="inlineStr">
        <is>
          <t>J. George</t>
        </is>
      </c>
      <c r="B74" t="inlineStr">
        <is>
          <t>England</t>
        </is>
      </c>
      <c r="C74" t="inlineStr">
        <is>
          <t>Hooker</t>
        </is>
      </c>
      <c r="D74" t="n">
        <v>4</v>
      </c>
      <c r="E74" s="57" t="n">
        <v>63</v>
      </c>
      <c r="F74" s="57" t="n">
        <v>7.5</v>
      </c>
      <c r="G74" s="57" t="n">
        <v>3.5</v>
      </c>
      <c r="H74" s="57" t="n">
        <v>0</v>
      </c>
      <c r="I74" s="57" t="n">
        <v>3.25</v>
      </c>
      <c r="J74" s="57" t="n">
        <v>0</v>
      </c>
      <c r="K74" s="57" t="n">
        <v>0</v>
      </c>
      <c r="L74" s="57" t="n">
        <v>0</v>
      </c>
      <c r="M74" s="57" t="n">
        <v>3.75</v>
      </c>
      <c r="N74" s="57" t="n">
        <v>0</v>
      </c>
      <c r="O74" s="57" t="n">
        <v>0</v>
      </c>
      <c r="P74" s="57" t="n">
        <v>0</v>
      </c>
      <c r="Q74" s="57" t="n">
        <v>0</v>
      </c>
      <c r="R74" s="57" t="n">
        <v>-0</v>
      </c>
      <c r="S74" s="57" t="n">
        <v>-0</v>
      </c>
      <c r="T74" s="57" t="n">
        <v>18</v>
      </c>
      <c r="U74" s="57" t="n">
        <v>0</v>
      </c>
      <c r="V74" s="57" t="n">
        <v>0</v>
      </c>
      <c r="W74" s="72" t="n">
        <v>18</v>
      </c>
    </row>
    <row r="75" ht="16" customHeight="1" thickBot="1">
      <c r="A75" s="61" t="inlineStr">
        <is>
          <t>S. Hogg</t>
        </is>
      </c>
      <c r="B75" t="inlineStr">
        <is>
          <t>Scotland</t>
        </is>
      </c>
      <c r="C75" t="inlineStr">
        <is>
          <t>Back Three</t>
        </is>
      </c>
      <c r="D75" t="n">
        <v>4</v>
      </c>
      <c r="E75" s="57" t="n">
        <v>59.5</v>
      </c>
      <c r="F75" s="57" t="n">
        <v>5.25</v>
      </c>
      <c r="G75" s="57" t="n">
        <v>0</v>
      </c>
      <c r="H75" s="57" t="n">
        <v>1.75</v>
      </c>
      <c r="I75" s="57" t="n">
        <v>9.550000000000001</v>
      </c>
      <c r="J75" s="57" t="n">
        <v>0</v>
      </c>
      <c r="K75" s="57" t="n">
        <v>0</v>
      </c>
      <c r="L75" s="57" t="n">
        <v>0</v>
      </c>
      <c r="M75" s="57" t="n">
        <v>0</v>
      </c>
      <c r="N75" s="57" t="n">
        <v>0</v>
      </c>
      <c r="O75" s="57" t="n">
        <v>0</v>
      </c>
      <c r="P75" s="57" t="n">
        <v>0</v>
      </c>
      <c r="Q75" s="57" t="n">
        <v>0</v>
      </c>
      <c r="R75" s="57" t="n">
        <v>-0</v>
      </c>
      <c r="S75" s="57" t="n">
        <v>-0</v>
      </c>
      <c r="T75" s="57" t="n">
        <v>16.55</v>
      </c>
      <c r="U75" s="57" t="n">
        <v>0</v>
      </c>
      <c r="V75" s="57" t="n">
        <v>0</v>
      </c>
      <c r="W75" s="72" t="n">
        <v>16.55</v>
      </c>
    </row>
    <row r="76" ht="16" customHeight="1" thickBot="1">
      <c r="A76" s="63" t="inlineStr">
        <is>
          <t>B. Kinghorn</t>
        </is>
      </c>
      <c r="B76" t="inlineStr">
        <is>
          <t>Scotland</t>
        </is>
      </c>
      <c r="C76" t="inlineStr">
        <is>
          <t>Back Three</t>
        </is>
      </c>
      <c r="D76" t="n">
        <v>4</v>
      </c>
      <c r="E76" s="57" t="n">
        <v>39.75</v>
      </c>
      <c r="F76" s="57" t="n">
        <v>2.5</v>
      </c>
      <c r="G76" s="57" t="n">
        <v>1.75</v>
      </c>
      <c r="H76" s="57" t="n">
        <v>3.5</v>
      </c>
      <c r="I76" s="57" t="n">
        <v>11.15</v>
      </c>
      <c r="J76" s="57" t="n">
        <v>0</v>
      </c>
      <c r="K76" s="57" t="n">
        <v>0</v>
      </c>
      <c r="L76" s="57" t="n">
        <v>1.75</v>
      </c>
      <c r="M76" s="57" t="n">
        <v>3.75</v>
      </c>
      <c r="N76" s="57" t="n">
        <v>0</v>
      </c>
      <c r="O76" s="57" t="n">
        <v>0</v>
      </c>
      <c r="P76" s="57" t="n">
        <v>0</v>
      </c>
      <c r="Q76" s="57" t="n">
        <v>0</v>
      </c>
      <c r="R76" s="57" t="n">
        <v>-0</v>
      </c>
      <c r="S76" s="57" t="n">
        <v>-0</v>
      </c>
      <c r="T76" s="57" t="n">
        <v>24.4</v>
      </c>
      <c r="U76" s="57" t="n">
        <v>0</v>
      </c>
      <c r="V76" s="57" t="n">
        <v>0</v>
      </c>
      <c r="W76" s="72" t="n">
        <v>24.4</v>
      </c>
    </row>
    <row r="77" ht="16" customHeight="1" thickBot="1">
      <c r="A77" s="61" t="inlineStr">
        <is>
          <t>K. Steyn</t>
        </is>
      </c>
      <c r="B77" t="inlineStr">
        <is>
          <t>Scotland</t>
        </is>
      </c>
      <c r="C77" t="inlineStr">
        <is>
          <t>Back Three</t>
        </is>
      </c>
      <c r="D77" t="n">
        <v>4</v>
      </c>
      <c r="E77" s="57" t="n">
        <v>60.75</v>
      </c>
      <c r="F77" s="57" t="n">
        <v>1.75</v>
      </c>
      <c r="G77" s="57" t="n">
        <v>0</v>
      </c>
      <c r="H77" s="57" t="n">
        <v>5.25</v>
      </c>
      <c r="I77" s="57" t="n">
        <v>8.800000000000001</v>
      </c>
      <c r="J77" s="57" t="n">
        <v>0</v>
      </c>
      <c r="K77" s="57" t="n">
        <v>0</v>
      </c>
      <c r="L77" s="57" t="n">
        <v>0</v>
      </c>
      <c r="M77" s="57" t="n">
        <v>7.5</v>
      </c>
      <c r="N77" s="57" t="n">
        <v>0</v>
      </c>
      <c r="O77" s="57" t="n">
        <v>0</v>
      </c>
      <c r="P77" s="57" t="n">
        <v>0</v>
      </c>
      <c r="Q77" s="57" t="n">
        <v>0</v>
      </c>
      <c r="R77" s="57" t="n">
        <v>-0</v>
      </c>
      <c r="S77" s="57" t="n">
        <v>-0</v>
      </c>
      <c r="T77" s="57" t="n">
        <v>23.3</v>
      </c>
      <c r="U77" s="57" t="n">
        <v>0</v>
      </c>
      <c r="V77" s="57" t="n">
        <v>0</v>
      </c>
      <c r="W77" s="72" t="n">
        <v>23.3</v>
      </c>
    </row>
    <row r="78" ht="16" customHeight="1" thickBot="1">
      <c r="A78" s="63" t="inlineStr">
        <is>
          <t>D. van der Merwe</t>
        </is>
      </c>
      <c r="B78" t="inlineStr">
        <is>
          <t>Scotland</t>
        </is>
      </c>
      <c r="C78" t="inlineStr">
        <is>
          <t>Back Three</t>
        </is>
      </c>
      <c r="D78" t="n">
        <v>4</v>
      </c>
      <c r="E78" s="57" t="n">
        <v>80</v>
      </c>
      <c r="F78" s="57" t="n">
        <v>3.5</v>
      </c>
      <c r="G78" s="57" t="n">
        <v>1.75</v>
      </c>
      <c r="H78" s="57" t="n">
        <v>10.5</v>
      </c>
      <c r="I78" s="57" t="n">
        <v>16.6</v>
      </c>
      <c r="J78" s="57" t="n">
        <v>0</v>
      </c>
      <c r="K78" s="57" t="n">
        <v>0</v>
      </c>
      <c r="L78" s="57" t="n">
        <v>0</v>
      </c>
      <c r="M78" s="57" t="n">
        <v>0</v>
      </c>
      <c r="N78" s="57" t="n">
        <v>3.5</v>
      </c>
      <c r="O78" s="57" t="n">
        <v>0</v>
      </c>
      <c r="P78" s="57" t="n">
        <v>0</v>
      </c>
      <c r="Q78" s="57" t="n">
        <v>0</v>
      </c>
      <c r="R78" s="57" t="n">
        <v>-0</v>
      </c>
      <c r="S78" s="57" t="n">
        <v>-0</v>
      </c>
      <c r="T78" s="57" t="n">
        <v>35.85</v>
      </c>
      <c r="U78" s="57" t="n">
        <v>0</v>
      </c>
      <c r="V78" s="57" t="n">
        <v>0</v>
      </c>
      <c r="W78" s="72" t="n">
        <v>35.85</v>
      </c>
    </row>
    <row r="79" ht="16" customHeight="1" thickBot="1">
      <c r="A79" s="61" t="inlineStr">
        <is>
          <t>C. Harris</t>
        </is>
      </c>
      <c r="B79" t="inlineStr">
        <is>
          <t>Scotland</t>
        </is>
      </c>
      <c r="C79" t="inlineStr">
        <is>
          <t>Centre</t>
        </is>
      </c>
      <c r="D79" t="n">
        <v>3</v>
      </c>
      <c r="E79" s="57" t="n">
        <v>29.6667</v>
      </c>
      <c r="F79" s="57" t="n">
        <v>2</v>
      </c>
      <c r="G79" s="57" t="n">
        <v>0</v>
      </c>
      <c r="H79" s="57" t="n">
        <v>4.6669</v>
      </c>
      <c r="I79" s="57" t="n">
        <v>7.7333</v>
      </c>
      <c r="J79" s="57" t="n">
        <v>0</v>
      </c>
      <c r="K79" s="57" t="n">
        <v>0</v>
      </c>
      <c r="L79" s="57" t="n">
        <v>0</v>
      </c>
      <c r="M79" s="57" t="n">
        <v>10.0005</v>
      </c>
      <c r="N79" s="57" t="n">
        <v>0</v>
      </c>
      <c r="O79" s="57" t="n">
        <v>0</v>
      </c>
      <c r="P79" s="57" t="n">
        <v>0</v>
      </c>
      <c r="Q79" s="57" t="n">
        <v>0</v>
      </c>
      <c r="R79" s="57" t="n">
        <v>-0</v>
      </c>
      <c r="S79" s="57" t="n">
        <v>-0</v>
      </c>
      <c r="T79" s="57" t="n">
        <v>24.4</v>
      </c>
      <c r="U79" s="57" t="n">
        <v>15</v>
      </c>
      <c r="V79" s="57" t="n">
        <v>0</v>
      </c>
      <c r="W79" s="72" t="n">
        <v>29.4</v>
      </c>
    </row>
    <row r="80" ht="16" customHeight="1" thickBot="1">
      <c r="A80" s="63" t="inlineStr">
        <is>
          <t>H. Jones</t>
        </is>
      </c>
      <c r="B80" t="inlineStr">
        <is>
          <t>Scotland</t>
        </is>
      </c>
      <c r="C80" t="inlineStr">
        <is>
          <t>Centre</t>
        </is>
      </c>
      <c r="D80" t="n">
        <v>4</v>
      </c>
      <c r="E80" s="57" t="n">
        <v>61</v>
      </c>
      <c r="F80" s="57" t="n">
        <v>5.25</v>
      </c>
      <c r="G80" s="57" t="n">
        <v>1.75</v>
      </c>
      <c r="H80" s="57" t="n">
        <v>5.25</v>
      </c>
      <c r="I80" s="57" t="n">
        <v>16.5</v>
      </c>
      <c r="J80" s="57" t="n">
        <v>0</v>
      </c>
      <c r="K80" s="57" t="n">
        <v>0</v>
      </c>
      <c r="L80" s="57" t="n">
        <v>0</v>
      </c>
      <c r="M80" s="57" t="n">
        <v>11.25</v>
      </c>
      <c r="N80" s="57" t="n">
        <v>0</v>
      </c>
      <c r="O80" s="57" t="n">
        <v>0</v>
      </c>
      <c r="P80" s="57" t="n">
        <v>0</v>
      </c>
      <c r="Q80" s="57" t="n">
        <v>0</v>
      </c>
      <c r="R80" s="57" t="n">
        <v>-0</v>
      </c>
      <c r="S80" s="57" t="n">
        <v>-0</v>
      </c>
      <c r="T80" s="57" t="n">
        <v>40</v>
      </c>
      <c r="U80" s="57" t="n">
        <v>0</v>
      </c>
      <c r="V80" s="57" t="n">
        <v>0</v>
      </c>
      <c r="W80" s="72" t="n">
        <v>40</v>
      </c>
    </row>
    <row r="81" ht="16" customHeight="1" thickBot="1">
      <c r="A81" s="61" t="inlineStr">
        <is>
          <t>S. Tuipulotu</t>
        </is>
      </c>
      <c r="B81" t="inlineStr">
        <is>
          <t>Scotland</t>
        </is>
      </c>
      <c r="C81" t="inlineStr">
        <is>
          <t>Centre</t>
        </is>
      </c>
      <c r="D81" t="n">
        <v>4</v>
      </c>
      <c r="E81" s="57" t="n">
        <v>77</v>
      </c>
      <c r="F81" s="57" t="n">
        <v>11</v>
      </c>
      <c r="G81" s="57" t="n">
        <v>0</v>
      </c>
      <c r="H81" s="57" t="n">
        <v>1.75</v>
      </c>
      <c r="I81" s="57" t="n">
        <v>10.25</v>
      </c>
      <c r="J81" s="57" t="n">
        <v>0</v>
      </c>
      <c r="K81" s="57" t="n">
        <v>0</v>
      </c>
      <c r="L81" s="57" t="n">
        <v>1.75</v>
      </c>
      <c r="M81" s="57" t="n">
        <v>3.75</v>
      </c>
      <c r="N81" s="57" t="n">
        <v>3.5</v>
      </c>
      <c r="O81" s="57" t="n">
        <v>0</v>
      </c>
      <c r="P81" s="57" t="n">
        <v>0</v>
      </c>
      <c r="Q81" s="57" t="n">
        <v>0</v>
      </c>
      <c r="R81" s="57" t="n">
        <v>-0</v>
      </c>
      <c r="S81" s="57" t="n">
        <v>-0</v>
      </c>
      <c r="T81" s="57" t="n">
        <v>32</v>
      </c>
      <c r="U81" s="57" t="n">
        <v>0</v>
      </c>
      <c r="V81" s="57" t="n">
        <v>0</v>
      </c>
      <c r="W81" s="72" t="n">
        <v>32</v>
      </c>
    </row>
    <row r="82" ht="16" customHeight="1" thickBot="1">
      <c r="A82" s="63" t="inlineStr">
        <is>
          <t>F. Russell</t>
        </is>
      </c>
      <c r="B82" t="inlineStr">
        <is>
          <t>Scotland</t>
        </is>
      </c>
      <c r="C82" t="inlineStr">
        <is>
          <t>Fly Half</t>
        </is>
      </c>
      <c r="D82" t="n">
        <v>4</v>
      </c>
      <c r="E82" s="57" t="n">
        <v>80</v>
      </c>
      <c r="F82" s="57" t="n">
        <v>7.5</v>
      </c>
      <c r="G82" s="57" t="n">
        <v>1.75</v>
      </c>
      <c r="H82" s="57" t="n">
        <v>1.75</v>
      </c>
      <c r="I82" s="57" t="n">
        <v>15.8</v>
      </c>
      <c r="J82" s="57" t="n">
        <v>5</v>
      </c>
      <c r="K82" s="57" t="n">
        <v>0</v>
      </c>
      <c r="L82" s="57" t="n">
        <v>0</v>
      </c>
      <c r="M82" s="57" t="n">
        <v>3.75</v>
      </c>
      <c r="N82" s="57" t="n">
        <v>8.75</v>
      </c>
      <c r="O82" s="57" t="n">
        <v>3</v>
      </c>
      <c r="P82" s="57" t="n">
        <v>2.5</v>
      </c>
      <c r="Q82" s="57" t="n">
        <v>0</v>
      </c>
      <c r="R82" s="57" t="n">
        <v>-0</v>
      </c>
      <c r="S82" s="57" t="n">
        <v>-0</v>
      </c>
      <c r="T82" s="57" t="n">
        <v>49.8</v>
      </c>
      <c r="U82" s="57" t="n">
        <v>15</v>
      </c>
      <c r="V82" s="57" t="n">
        <v>0</v>
      </c>
      <c r="W82" s="72" t="n">
        <v>53.55</v>
      </c>
    </row>
    <row r="83" ht="16" customHeight="1" thickBot="1">
      <c r="A83" s="61" t="inlineStr">
        <is>
          <t>G. Horne</t>
        </is>
      </c>
      <c r="B83" t="inlineStr">
        <is>
          <t>Scotland</t>
        </is>
      </c>
      <c r="C83" t="inlineStr">
        <is>
          <t>Scrum Half</t>
        </is>
      </c>
      <c r="D83" t="n">
        <v>2</v>
      </c>
      <c r="E83" s="57" t="n">
        <v>50.5</v>
      </c>
      <c r="F83" s="57" t="n">
        <v>6.5</v>
      </c>
      <c r="G83" s="57" t="n">
        <v>3.5</v>
      </c>
      <c r="H83" s="57" t="n">
        <v>0</v>
      </c>
      <c r="I83" s="57" t="n">
        <v>9.300000000000001</v>
      </c>
      <c r="J83" s="57" t="n">
        <v>0</v>
      </c>
      <c r="K83" s="57" t="n">
        <v>0</v>
      </c>
      <c r="L83" s="57" t="n">
        <v>0</v>
      </c>
      <c r="M83" s="57" t="n">
        <v>0</v>
      </c>
      <c r="N83" s="57" t="n">
        <v>0</v>
      </c>
      <c r="O83" s="57" t="n">
        <v>3</v>
      </c>
      <c r="P83" s="57" t="n">
        <v>2.5</v>
      </c>
      <c r="Q83" s="57" t="n">
        <v>0</v>
      </c>
      <c r="R83" s="57" t="n">
        <v>-0</v>
      </c>
      <c r="S83" s="57" t="n">
        <v>-0</v>
      </c>
      <c r="T83" s="57" t="n">
        <v>24.8</v>
      </c>
      <c r="U83" s="57" t="n">
        <v>0</v>
      </c>
      <c r="V83" s="57" t="n">
        <v>0</v>
      </c>
      <c r="W83" s="72" t="n">
        <v>24.8</v>
      </c>
    </row>
    <row r="84" ht="16" customHeight="1" thickBot="1">
      <c r="A84" s="63" t="inlineStr">
        <is>
          <t>B. White</t>
        </is>
      </c>
      <c r="B84" t="inlineStr">
        <is>
          <t>Scotland</t>
        </is>
      </c>
      <c r="C84" t="inlineStr">
        <is>
          <t>Scrum Half</t>
        </is>
      </c>
      <c r="D84" t="n">
        <v>4</v>
      </c>
      <c r="E84" s="57" t="n">
        <v>46.25</v>
      </c>
      <c r="F84" s="57" t="n">
        <v>3.75</v>
      </c>
      <c r="G84" s="57" t="n">
        <v>0</v>
      </c>
      <c r="H84" s="57" t="n">
        <v>0</v>
      </c>
      <c r="I84" s="57" t="n">
        <v>2.65</v>
      </c>
      <c r="J84" s="57" t="n">
        <v>0</v>
      </c>
      <c r="K84" s="57" t="n">
        <v>0</v>
      </c>
      <c r="L84" s="57" t="n">
        <v>0</v>
      </c>
      <c r="M84" s="57" t="n">
        <v>0</v>
      </c>
      <c r="N84" s="57" t="n">
        <v>0</v>
      </c>
      <c r="O84" s="57" t="n">
        <v>0</v>
      </c>
      <c r="P84" s="57" t="n">
        <v>0</v>
      </c>
      <c r="Q84" s="57" t="n">
        <v>0</v>
      </c>
      <c r="R84" s="57" t="n">
        <v>-0</v>
      </c>
      <c r="S84" s="57" t="n">
        <v>-0</v>
      </c>
      <c r="T84" s="57" t="n">
        <v>6.4</v>
      </c>
      <c r="U84" s="57" t="n">
        <v>0</v>
      </c>
      <c r="V84" s="57" t="n">
        <v>0</v>
      </c>
      <c r="W84" s="72" t="n">
        <v>6.4</v>
      </c>
    </row>
    <row r="85" ht="16" customHeight="1" thickBot="1">
      <c r="A85" s="61" t="inlineStr">
        <is>
          <t>L. Crosbie</t>
        </is>
      </c>
      <c r="B85" t="inlineStr">
        <is>
          <t>Scotland</t>
        </is>
      </c>
      <c r="C85" t="inlineStr">
        <is>
          <t>Back Row</t>
        </is>
      </c>
      <c r="D85" t="n">
        <v>2</v>
      </c>
      <c r="E85" s="57" t="n">
        <v>54</v>
      </c>
      <c r="F85" s="57" t="n">
        <v>10</v>
      </c>
      <c r="G85" s="57" t="n">
        <v>7</v>
      </c>
      <c r="H85" s="57" t="n">
        <v>3.5</v>
      </c>
      <c r="I85" s="57" t="n">
        <v>3.1</v>
      </c>
      <c r="J85" s="57" t="n">
        <v>0</v>
      </c>
      <c r="K85" s="57" t="n">
        <v>0</v>
      </c>
      <c r="L85" s="57" t="n">
        <v>0</v>
      </c>
      <c r="M85" s="57" t="n">
        <v>7.5</v>
      </c>
      <c r="N85" s="57" t="n">
        <v>0</v>
      </c>
      <c r="O85" s="57" t="n">
        <v>0</v>
      </c>
      <c r="P85" s="57" t="n">
        <v>0</v>
      </c>
      <c r="Q85" s="57" t="n">
        <v>0</v>
      </c>
      <c r="R85" s="57" t="n">
        <v>-0</v>
      </c>
      <c r="S85" s="57" t="n">
        <v>-0</v>
      </c>
      <c r="T85" s="57" t="n">
        <v>31.1</v>
      </c>
      <c r="U85" s="57" t="n">
        <v>0</v>
      </c>
      <c r="V85" s="57" t="n">
        <v>0</v>
      </c>
      <c r="W85" s="72" t="n">
        <v>31.1</v>
      </c>
    </row>
    <row r="86" ht="16" customHeight="1" thickBot="1">
      <c r="A86" s="63" t="inlineStr">
        <is>
          <t>J. Dempsey</t>
        </is>
      </c>
      <c r="B86" t="inlineStr">
        <is>
          <t>Scotland</t>
        </is>
      </c>
      <c r="C86" t="inlineStr">
        <is>
          <t>Back Row</t>
        </is>
      </c>
      <c r="D86" t="n">
        <v>4</v>
      </c>
      <c r="E86" s="57" t="n">
        <v>49.25</v>
      </c>
      <c r="F86" s="57" t="n">
        <v>10.25</v>
      </c>
      <c r="G86" s="57" t="n">
        <v>7</v>
      </c>
      <c r="H86" s="57" t="n">
        <v>0</v>
      </c>
      <c r="I86" s="57" t="n">
        <v>5.65</v>
      </c>
      <c r="J86" s="57" t="n">
        <v>0</v>
      </c>
      <c r="K86" s="57" t="n">
        <v>0</v>
      </c>
      <c r="L86" s="57" t="n">
        <v>0</v>
      </c>
      <c r="M86" s="57" t="n">
        <v>0</v>
      </c>
      <c r="N86" s="57" t="n">
        <v>0</v>
      </c>
      <c r="O86" s="57" t="n">
        <v>0</v>
      </c>
      <c r="P86" s="57" t="n">
        <v>0</v>
      </c>
      <c r="Q86" s="57" t="n">
        <v>0</v>
      </c>
      <c r="R86" s="57" t="n">
        <v>-0</v>
      </c>
      <c r="S86" s="57" t="n">
        <v>-0</v>
      </c>
      <c r="T86" s="57" t="n">
        <v>22.9</v>
      </c>
      <c r="U86" s="57" t="n">
        <v>0</v>
      </c>
      <c r="V86" s="57" t="n">
        <v>0</v>
      </c>
      <c r="W86" s="72" t="n">
        <v>22.9</v>
      </c>
    </row>
    <row r="87" ht="16" customHeight="1" thickBot="1">
      <c r="A87" s="61" t="inlineStr">
        <is>
          <t>M. Fagerson</t>
        </is>
      </c>
      <c r="B87" t="inlineStr">
        <is>
          <t>Scotland</t>
        </is>
      </c>
      <c r="C87" t="inlineStr">
        <is>
          <t>Back Row</t>
        </is>
      </c>
      <c r="D87" t="n">
        <v>4</v>
      </c>
      <c r="E87" s="57" t="n">
        <v>56.25</v>
      </c>
      <c r="F87" s="57" t="n">
        <v>11.75</v>
      </c>
      <c r="G87" s="57" t="n">
        <v>3.5</v>
      </c>
      <c r="H87" s="57" t="n">
        <v>1.75</v>
      </c>
      <c r="I87" s="57" t="n">
        <v>5.6</v>
      </c>
      <c r="J87" s="57" t="n">
        <v>0</v>
      </c>
      <c r="K87" s="57" t="n">
        <v>0</v>
      </c>
      <c r="L87" s="57" t="n">
        <v>0</v>
      </c>
      <c r="M87" s="57" t="n">
        <v>3.75</v>
      </c>
      <c r="N87" s="57" t="n">
        <v>0</v>
      </c>
      <c r="O87" s="57" t="n">
        <v>0</v>
      </c>
      <c r="P87" s="57" t="n">
        <v>0</v>
      </c>
      <c r="Q87" s="57" t="n">
        <v>0</v>
      </c>
      <c r="R87" s="57" t="n">
        <v>-0</v>
      </c>
      <c r="S87" s="57" t="n">
        <v>-0</v>
      </c>
      <c r="T87" s="57" t="n">
        <v>26.35</v>
      </c>
      <c r="U87" s="57" t="n">
        <v>0</v>
      </c>
      <c r="V87" s="57" t="n">
        <v>0</v>
      </c>
      <c r="W87" s="72" t="n">
        <v>26.35</v>
      </c>
    </row>
    <row r="88" ht="16" customHeight="1" thickBot="1">
      <c r="A88" s="63" t="inlineStr">
        <is>
          <t>J. Ritchie</t>
        </is>
      </c>
      <c r="B88" t="inlineStr">
        <is>
          <t>Scotland</t>
        </is>
      </c>
      <c r="C88" t="inlineStr">
        <is>
          <t>Back Row</t>
        </is>
      </c>
      <c r="D88" t="n">
        <v>4</v>
      </c>
      <c r="E88" s="57" t="n">
        <v>80</v>
      </c>
      <c r="F88" s="57" t="n">
        <v>15</v>
      </c>
      <c r="G88" s="57" t="n">
        <v>7</v>
      </c>
      <c r="H88" s="57" t="n">
        <v>0</v>
      </c>
      <c r="I88" s="57" t="n">
        <v>5.6</v>
      </c>
      <c r="J88" s="57" t="n">
        <v>0</v>
      </c>
      <c r="K88" s="57" t="n">
        <v>0</v>
      </c>
      <c r="L88" s="57" t="n">
        <v>3.5</v>
      </c>
      <c r="M88" s="57" t="n">
        <v>0</v>
      </c>
      <c r="N88" s="57" t="n">
        <v>1.75</v>
      </c>
      <c r="O88" s="57" t="n">
        <v>0</v>
      </c>
      <c r="P88" s="57" t="n">
        <v>0</v>
      </c>
      <c r="Q88" s="57" t="n">
        <v>0</v>
      </c>
      <c r="R88" s="57" t="n">
        <v>-0</v>
      </c>
      <c r="S88" s="57" t="n">
        <v>-0</v>
      </c>
      <c r="T88" s="57" t="n">
        <v>32.85</v>
      </c>
      <c r="U88" s="57" t="n">
        <v>0</v>
      </c>
      <c r="V88" s="57" t="n">
        <v>0</v>
      </c>
      <c r="W88" s="72" t="n">
        <v>32.85</v>
      </c>
    </row>
    <row r="89" ht="16" customHeight="1" thickBot="1">
      <c r="A89" s="61" t="inlineStr">
        <is>
          <t>G. Gilchrist</t>
        </is>
      </c>
      <c r="B89" t="inlineStr">
        <is>
          <t>Scotland</t>
        </is>
      </c>
      <c r="C89" t="inlineStr">
        <is>
          <t>Second Row</t>
        </is>
      </c>
      <c r="D89" t="n">
        <v>3</v>
      </c>
      <c r="E89" s="57" t="n">
        <v>50.3333</v>
      </c>
      <c r="F89" s="57" t="n">
        <v>8</v>
      </c>
      <c r="G89" s="57" t="n">
        <v>9.3331</v>
      </c>
      <c r="H89" s="57" t="n">
        <v>0</v>
      </c>
      <c r="I89" s="57" t="n">
        <v>2.0667</v>
      </c>
      <c r="J89" s="57" t="n">
        <v>0</v>
      </c>
      <c r="K89" s="57" t="n">
        <v>2.3331</v>
      </c>
      <c r="L89" s="57" t="n">
        <v>2.3331</v>
      </c>
      <c r="M89" s="57" t="n">
        <v>0</v>
      </c>
      <c r="N89" s="57" t="n">
        <v>0</v>
      </c>
      <c r="O89" s="57" t="n">
        <v>0</v>
      </c>
      <c r="P89" s="57" t="n">
        <v>0</v>
      </c>
      <c r="Q89" s="57" t="n">
        <v>0</v>
      </c>
      <c r="R89" s="57" t="n">
        <v>-0</v>
      </c>
      <c r="S89" s="57" t="n">
        <v>-3.333</v>
      </c>
      <c r="T89" s="57" t="n">
        <v>20.7333</v>
      </c>
      <c r="U89" s="57" t="n">
        <v>0</v>
      </c>
      <c r="V89" s="57" t="n">
        <v>0</v>
      </c>
      <c r="W89" s="72" t="n">
        <v>20.7333</v>
      </c>
    </row>
    <row r="90" ht="16" customHeight="1" thickBot="1">
      <c r="A90" s="63" t="inlineStr">
        <is>
          <t>J. Gray</t>
        </is>
      </c>
      <c r="B90" t="inlineStr">
        <is>
          <t>Scotland</t>
        </is>
      </c>
      <c r="C90" t="inlineStr">
        <is>
          <t>Second Row</t>
        </is>
      </c>
      <c r="D90" t="n">
        <v>4</v>
      </c>
      <c r="E90" s="57" t="n">
        <v>58</v>
      </c>
      <c r="F90" s="57" t="n">
        <v>10.5</v>
      </c>
      <c r="G90" s="57" t="n">
        <v>8.75</v>
      </c>
      <c r="H90" s="57" t="n">
        <v>0</v>
      </c>
      <c r="I90" s="57" t="n">
        <v>2.65</v>
      </c>
      <c r="J90" s="57" t="n">
        <v>0</v>
      </c>
      <c r="K90" s="57" t="n">
        <v>1.75</v>
      </c>
      <c r="L90" s="57" t="n">
        <v>0</v>
      </c>
      <c r="M90" s="57" t="n">
        <v>0</v>
      </c>
      <c r="N90" s="57" t="n">
        <v>0</v>
      </c>
      <c r="O90" s="57" t="n">
        <v>0</v>
      </c>
      <c r="P90" s="57" t="n">
        <v>0</v>
      </c>
      <c r="Q90" s="57" t="n">
        <v>0</v>
      </c>
      <c r="R90" s="57" t="n">
        <v>-0</v>
      </c>
      <c r="S90" s="57" t="n">
        <v>-0</v>
      </c>
      <c r="T90" s="57" t="n">
        <v>23.65</v>
      </c>
      <c r="U90" s="57" t="n">
        <v>0</v>
      </c>
      <c r="V90" s="57" t="n">
        <v>0</v>
      </c>
      <c r="W90" s="72" t="n">
        <v>23.65</v>
      </c>
    </row>
    <row r="91" ht="16" customHeight="1" thickBot="1">
      <c r="A91" s="61" t="inlineStr">
        <is>
          <t>R. Gray</t>
        </is>
      </c>
      <c r="B91" t="inlineStr">
        <is>
          <t>Scotland</t>
        </is>
      </c>
      <c r="C91" t="inlineStr">
        <is>
          <t>Second Row</t>
        </is>
      </c>
      <c r="D91" t="n">
        <v>4</v>
      </c>
      <c r="E91" s="57" t="n">
        <v>42.5</v>
      </c>
      <c r="F91" s="57" t="n">
        <v>6</v>
      </c>
      <c r="G91" s="57" t="n">
        <v>3.5</v>
      </c>
      <c r="H91" s="57" t="n">
        <v>0</v>
      </c>
      <c r="I91" s="57" t="n">
        <v>1.45</v>
      </c>
      <c r="J91" s="57" t="n">
        <v>0</v>
      </c>
      <c r="K91" s="57" t="n">
        <v>1.75</v>
      </c>
      <c r="L91" s="57" t="n">
        <v>0</v>
      </c>
      <c r="M91" s="57" t="n">
        <v>0</v>
      </c>
      <c r="N91" s="57" t="n">
        <v>0</v>
      </c>
      <c r="O91" s="57" t="n">
        <v>0</v>
      </c>
      <c r="P91" s="57" t="n">
        <v>0</v>
      </c>
      <c r="Q91" s="57" t="n">
        <v>0</v>
      </c>
      <c r="R91" s="57" t="n">
        <v>-0</v>
      </c>
      <c r="S91" s="57" t="n">
        <v>-0</v>
      </c>
      <c r="T91" s="57" t="n">
        <v>12.7</v>
      </c>
      <c r="U91" s="57" t="n">
        <v>0</v>
      </c>
      <c r="V91" s="57" t="n">
        <v>0</v>
      </c>
      <c r="W91" s="72" t="n">
        <v>12.7</v>
      </c>
    </row>
    <row r="92" ht="16" customHeight="1" thickBot="1">
      <c r="A92" s="63" t="inlineStr">
        <is>
          <t>S. Berghan</t>
        </is>
      </c>
      <c r="B92" t="inlineStr">
        <is>
          <t>Scotland</t>
        </is>
      </c>
      <c r="C92" t="inlineStr">
        <is>
          <t>Prop</t>
        </is>
      </c>
      <c r="D92" t="n">
        <v>2</v>
      </c>
      <c r="E92" s="57" t="n">
        <v>53.5</v>
      </c>
      <c r="F92" s="57" t="n">
        <v>10</v>
      </c>
      <c r="G92" s="57" t="n">
        <v>7</v>
      </c>
      <c r="H92" s="57" t="n">
        <v>0</v>
      </c>
      <c r="I92" s="57" t="n">
        <v>2</v>
      </c>
      <c r="J92" s="57" t="n">
        <v>0</v>
      </c>
      <c r="K92" s="57" t="n">
        <v>0</v>
      </c>
      <c r="L92" s="57" t="n">
        <v>0</v>
      </c>
      <c r="M92" s="57" t="n">
        <v>0</v>
      </c>
      <c r="N92" s="57" t="n">
        <v>0</v>
      </c>
      <c r="O92" s="57" t="n">
        <v>0</v>
      </c>
      <c r="P92" s="57" t="n">
        <v>0</v>
      </c>
      <c r="Q92" s="57" t="n">
        <v>0</v>
      </c>
      <c r="R92" s="57" t="n">
        <v>-0</v>
      </c>
      <c r="S92" s="57" t="n">
        <v>-0</v>
      </c>
      <c r="T92" s="57" t="n">
        <v>19</v>
      </c>
      <c r="U92" s="57" t="n">
        <v>0</v>
      </c>
      <c r="V92" s="57" t="n">
        <v>0</v>
      </c>
      <c r="W92" s="72" t="n">
        <v>19</v>
      </c>
    </row>
    <row r="93" ht="16" customHeight="1" thickBot="1">
      <c r="A93" s="61" t="inlineStr">
        <is>
          <t>J. Bhatti</t>
        </is>
      </c>
      <c r="B93" t="inlineStr">
        <is>
          <t>Scotland</t>
        </is>
      </c>
      <c r="C93" t="inlineStr">
        <is>
          <t>Prop</t>
        </is>
      </c>
      <c r="D93" t="n">
        <v>4</v>
      </c>
      <c r="E93" s="57" t="n">
        <v>20.5</v>
      </c>
      <c r="F93" s="57" t="n">
        <v>4.75</v>
      </c>
      <c r="G93" s="57" t="n">
        <v>1.75</v>
      </c>
      <c r="H93" s="57" t="n">
        <v>0</v>
      </c>
      <c r="I93" s="57" t="n">
        <v>0.25</v>
      </c>
      <c r="J93" s="57" t="n">
        <v>0</v>
      </c>
      <c r="K93" s="57" t="n">
        <v>0</v>
      </c>
      <c r="L93" s="57" t="n">
        <v>0</v>
      </c>
      <c r="M93" s="57" t="n">
        <v>0</v>
      </c>
      <c r="N93" s="57" t="n">
        <v>0</v>
      </c>
      <c r="O93" s="57" t="n">
        <v>0</v>
      </c>
      <c r="P93" s="57" t="n">
        <v>0</v>
      </c>
      <c r="Q93" s="57" t="n">
        <v>0</v>
      </c>
      <c r="R93" s="57" t="n">
        <v>-0</v>
      </c>
      <c r="S93" s="57" t="n">
        <v>-0</v>
      </c>
      <c r="T93" s="57" t="n">
        <v>6.75</v>
      </c>
      <c r="U93" s="57" t="n">
        <v>0</v>
      </c>
      <c r="V93" s="57" t="n">
        <v>0</v>
      </c>
      <c r="W93" s="72" t="n">
        <v>6.75</v>
      </c>
    </row>
    <row r="94" ht="16" customHeight="1" thickBot="1">
      <c r="A94" s="63" t="inlineStr">
        <is>
          <t>W. Nel</t>
        </is>
      </c>
      <c r="B94" t="inlineStr">
        <is>
          <t>Scotland</t>
        </is>
      </c>
      <c r="C94" t="inlineStr">
        <is>
          <t>Prop</t>
        </is>
      </c>
      <c r="D94" t="n">
        <v>3</v>
      </c>
      <c r="E94" s="57" t="n">
        <v>15.6667</v>
      </c>
      <c r="F94" s="57" t="n">
        <v>2.3333</v>
      </c>
      <c r="G94" s="57" t="n">
        <v>0</v>
      </c>
      <c r="H94" s="57" t="n">
        <v>0</v>
      </c>
      <c r="I94" s="57" t="n">
        <v>0.4667</v>
      </c>
      <c r="J94" s="57" t="n">
        <v>0</v>
      </c>
      <c r="K94" s="57" t="n">
        <v>0</v>
      </c>
      <c r="L94" s="57" t="n">
        <v>0</v>
      </c>
      <c r="M94" s="57" t="n">
        <v>0</v>
      </c>
      <c r="N94" s="57" t="n">
        <v>0</v>
      </c>
      <c r="O94" s="57" t="n">
        <v>0</v>
      </c>
      <c r="P94" s="57" t="n">
        <v>0</v>
      </c>
      <c r="Q94" s="57" t="n">
        <v>0</v>
      </c>
      <c r="R94" s="57" t="n">
        <v>-0</v>
      </c>
      <c r="S94" s="57" t="n">
        <v>-0</v>
      </c>
      <c r="T94" s="57" t="n">
        <v>2.8</v>
      </c>
      <c r="U94" s="57" t="n">
        <v>0</v>
      </c>
      <c r="V94" s="57" t="n">
        <v>0</v>
      </c>
      <c r="W94" s="72" t="n">
        <v>2.8</v>
      </c>
    </row>
    <row r="95" ht="16" customHeight="1" thickBot="1">
      <c r="A95" s="61" t="inlineStr">
        <is>
          <t>P. Schoeman</t>
        </is>
      </c>
      <c r="B95" t="inlineStr">
        <is>
          <t>Scotland</t>
        </is>
      </c>
      <c r="C95" t="inlineStr">
        <is>
          <t>Prop</t>
        </is>
      </c>
      <c r="D95" t="n">
        <v>4</v>
      </c>
      <c r="E95" s="57" t="n">
        <v>59.5</v>
      </c>
      <c r="F95" s="57" t="n">
        <v>8.75</v>
      </c>
      <c r="G95" s="57" t="n">
        <v>0</v>
      </c>
      <c r="H95" s="57" t="n">
        <v>0</v>
      </c>
      <c r="I95" s="57" t="n">
        <v>8.4</v>
      </c>
      <c r="J95" s="57" t="n">
        <v>0</v>
      </c>
      <c r="K95" s="57" t="n">
        <v>0</v>
      </c>
      <c r="L95" s="57" t="n">
        <v>1.75</v>
      </c>
      <c r="M95" s="57" t="n">
        <v>0</v>
      </c>
      <c r="N95" s="57" t="n">
        <v>0</v>
      </c>
      <c r="O95" s="57" t="n">
        <v>0</v>
      </c>
      <c r="P95" s="57" t="n">
        <v>0</v>
      </c>
      <c r="Q95" s="57" t="n">
        <v>0</v>
      </c>
      <c r="R95" s="57" t="n">
        <v>-0</v>
      </c>
      <c r="S95" s="57" t="n">
        <v>-0</v>
      </c>
      <c r="T95" s="57" t="n">
        <v>18.9</v>
      </c>
      <c r="U95" s="57" t="n">
        <v>0</v>
      </c>
      <c r="V95" s="57" t="n">
        <v>0</v>
      </c>
      <c r="W95" s="72" t="n">
        <v>18.9</v>
      </c>
    </row>
    <row r="96" ht="16" customHeight="1" thickBot="1">
      <c r="A96" s="63" t="inlineStr">
        <is>
          <t>F. Brown</t>
        </is>
      </c>
      <c r="B96" t="inlineStr">
        <is>
          <t>Scotland</t>
        </is>
      </c>
      <c r="C96" t="inlineStr">
        <is>
          <t>Hooker</t>
        </is>
      </c>
      <c r="D96" t="n">
        <v>4</v>
      </c>
      <c r="E96" s="57" t="n">
        <v>33</v>
      </c>
      <c r="F96" s="57" t="n">
        <v>6.25</v>
      </c>
      <c r="G96" s="57" t="n">
        <v>0</v>
      </c>
      <c r="H96" s="57" t="n">
        <v>0</v>
      </c>
      <c r="I96" s="57" t="n">
        <v>2.3</v>
      </c>
      <c r="J96" s="57" t="n">
        <v>0</v>
      </c>
      <c r="K96" s="57" t="n">
        <v>1.75</v>
      </c>
      <c r="L96" s="57" t="n">
        <v>1.75</v>
      </c>
      <c r="M96" s="57" t="n">
        <v>0</v>
      </c>
      <c r="N96" s="57" t="n">
        <v>0</v>
      </c>
      <c r="O96" s="57" t="n">
        <v>0</v>
      </c>
      <c r="P96" s="57" t="n">
        <v>0</v>
      </c>
      <c r="Q96" s="57" t="n">
        <v>0</v>
      </c>
      <c r="R96" s="57" t="n">
        <v>-0</v>
      </c>
      <c r="S96" s="57" t="n">
        <v>-0</v>
      </c>
      <c r="T96" s="57" t="n">
        <v>12.05</v>
      </c>
      <c r="U96" s="57" t="n">
        <v>0</v>
      </c>
      <c r="V96" s="57" t="n">
        <v>0</v>
      </c>
      <c r="W96" s="72" t="n">
        <v>12.05</v>
      </c>
    </row>
    <row r="97" ht="16" customHeight="1" thickBot="1">
      <c r="A97" s="61" t="inlineStr">
        <is>
          <t>G. Turner</t>
        </is>
      </c>
      <c r="B97" t="inlineStr">
        <is>
          <t>Scotland</t>
        </is>
      </c>
      <c r="C97" t="inlineStr">
        <is>
          <t>Hooker</t>
        </is>
      </c>
      <c r="D97" t="n">
        <v>4</v>
      </c>
      <c r="E97" s="57" t="n">
        <v>47.75</v>
      </c>
      <c r="F97" s="57" t="n">
        <v>5.75</v>
      </c>
      <c r="G97" s="57" t="n">
        <v>1.75</v>
      </c>
      <c r="H97" s="57" t="n">
        <v>0</v>
      </c>
      <c r="I97" s="57" t="n">
        <v>6</v>
      </c>
      <c r="J97" s="57" t="n">
        <v>0</v>
      </c>
      <c r="K97" s="57" t="n">
        <v>1.75</v>
      </c>
      <c r="L97" s="57" t="n">
        <v>0</v>
      </c>
      <c r="M97" s="57" t="n">
        <v>3.75</v>
      </c>
      <c r="N97" s="57" t="n">
        <v>0</v>
      </c>
      <c r="O97" s="57" t="n">
        <v>0</v>
      </c>
      <c r="P97" s="57" t="n">
        <v>0</v>
      </c>
      <c r="Q97" s="57" t="n">
        <v>0</v>
      </c>
      <c r="R97" s="57" t="n">
        <v>-1.25</v>
      </c>
      <c r="S97" s="57" t="n">
        <v>-0</v>
      </c>
      <c r="T97" s="57" t="n">
        <v>17.75</v>
      </c>
      <c r="U97" s="57" t="n">
        <v>0</v>
      </c>
      <c r="V97" s="57" t="n">
        <v>0</v>
      </c>
      <c r="W97" s="72" t="n">
        <v>17.75</v>
      </c>
    </row>
    <row r="98" ht="16" customHeight="1" thickBot="1">
      <c r="A98" s="61" t="inlineStr">
        <is>
          <t>P. Bruno</t>
        </is>
      </c>
      <c r="B98" t="inlineStr">
        <is>
          <t>Italy</t>
        </is>
      </c>
      <c r="C98" t="inlineStr">
        <is>
          <t>Back Three</t>
        </is>
      </c>
      <c r="D98" t="n">
        <v>4</v>
      </c>
      <c r="E98" s="57" t="n">
        <v>60</v>
      </c>
      <c r="F98" s="57" t="n">
        <v>4</v>
      </c>
      <c r="G98" s="57" t="n">
        <v>3.5</v>
      </c>
      <c r="H98" s="57" t="n">
        <v>1.75</v>
      </c>
      <c r="I98" s="57" t="n">
        <v>12.65</v>
      </c>
      <c r="J98" s="57" t="n">
        <v>0</v>
      </c>
      <c r="K98" s="57" t="n">
        <v>1.75</v>
      </c>
      <c r="L98" s="57" t="n">
        <v>0</v>
      </c>
      <c r="M98" s="57" t="n">
        <v>3.75</v>
      </c>
      <c r="N98" s="57" t="n">
        <v>1.75</v>
      </c>
      <c r="O98" s="57" t="n">
        <v>0</v>
      </c>
      <c r="P98" s="57" t="n">
        <v>0</v>
      </c>
      <c r="Q98" s="57" t="n">
        <v>0</v>
      </c>
      <c r="R98" s="57" t="n">
        <v>-1.25</v>
      </c>
      <c r="S98" s="57" t="n">
        <v>-0</v>
      </c>
      <c r="T98" s="57" t="n">
        <v>27.9</v>
      </c>
      <c r="U98" s="57" t="n">
        <v>0</v>
      </c>
      <c r="V98" s="57" t="n">
        <v>0</v>
      </c>
      <c r="W98" s="72" t="n">
        <v>27.9</v>
      </c>
    </row>
    <row r="99" ht="16" customHeight="1" thickBot="1">
      <c r="A99" s="63" t="inlineStr">
        <is>
          <t>A. Capuozzo</t>
        </is>
      </c>
      <c r="B99" t="inlineStr">
        <is>
          <t>Italy</t>
        </is>
      </c>
      <c r="C99" t="inlineStr">
        <is>
          <t>Back Three</t>
        </is>
      </c>
      <c r="D99" t="n">
        <v>3</v>
      </c>
      <c r="E99" s="57" t="n">
        <v>75.33329999999999</v>
      </c>
      <c r="F99" s="57" t="n">
        <v>3.6667</v>
      </c>
      <c r="G99" s="57" t="n">
        <v>2.3331</v>
      </c>
      <c r="H99" s="57" t="n">
        <v>9.3331</v>
      </c>
      <c r="I99" s="57" t="n">
        <v>15.5333</v>
      </c>
      <c r="J99" s="57" t="n">
        <v>0</v>
      </c>
      <c r="K99" s="57" t="n">
        <v>0</v>
      </c>
      <c r="L99" s="57" t="n">
        <v>2.3331</v>
      </c>
      <c r="M99" s="57" t="n">
        <v>0</v>
      </c>
      <c r="N99" s="57" t="n">
        <v>0</v>
      </c>
      <c r="O99" s="57" t="n">
        <v>0</v>
      </c>
      <c r="P99" s="57" t="n">
        <v>0</v>
      </c>
      <c r="Q99" s="57" t="n">
        <v>0</v>
      </c>
      <c r="R99" s="57" t="n">
        <v>-0</v>
      </c>
      <c r="S99" s="57" t="n">
        <v>-0</v>
      </c>
      <c r="T99" s="57" t="n">
        <v>33.2</v>
      </c>
      <c r="U99" s="57" t="n">
        <v>0</v>
      </c>
      <c r="V99" s="57" t="n">
        <v>0</v>
      </c>
      <c r="W99" s="72" t="n">
        <v>33.2</v>
      </c>
    </row>
    <row r="100" ht="16" customHeight="1" thickBot="1">
      <c r="A100" s="61" t="inlineStr">
        <is>
          <t>A. Fusco</t>
        </is>
      </c>
      <c r="B100" t="inlineStr">
        <is>
          <t>Italy</t>
        </is>
      </c>
      <c r="C100" t="inlineStr">
        <is>
          <t>Back Three</t>
        </is>
      </c>
      <c r="D100" t="n">
        <v>4</v>
      </c>
      <c r="E100" s="57" t="n">
        <v>33.75</v>
      </c>
      <c r="F100" s="57" t="n">
        <v>0.25</v>
      </c>
      <c r="G100" s="57" t="n">
        <v>1.75</v>
      </c>
      <c r="H100" s="57" t="n">
        <v>1.75</v>
      </c>
      <c r="I100" s="57" t="n">
        <v>8.6</v>
      </c>
      <c r="J100" s="57" t="n">
        <v>0</v>
      </c>
      <c r="K100" s="57" t="n">
        <v>0</v>
      </c>
      <c r="L100" s="57" t="n">
        <v>0</v>
      </c>
      <c r="M100" s="57" t="n">
        <v>7.5</v>
      </c>
      <c r="N100" s="57" t="n">
        <v>0</v>
      </c>
      <c r="O100" s="57" t="n">
        <v>0</v>
      </c>
      <c r="P100" s="57" t="n">
        <v>0</v>
      </c>
      <c r="Q100" s="57" t="n">
        <v>0</v>
      </c>
      <c r="R100" s="57" t="n">
        <v>-0</v>
      </c>
      <c r="S100" s="57" t="n">
        <v>-0</v>
      </c>
      <c r="T100" s="57" t="n">
        <v>19.85</v>
      </c>
      <c r="U100" s="57" t="n">
        <v>0</v>
      </c>
      <c r="V100" s="57" t="n">
        <v>0</v>
      </c>
      <c r="W100" s="72" t="n">
        <v>19.85</v>
      </c>
    </row>
    <row r="101" ht="16" customHeight="1" thickBot="1">
      <c r="A101" s="63" t="inlineStr">
        <is>
          <t>T. Menoncello</t>
        </is>
      </c>
      <c r="B101" t="inlineStr">
        <is>
          <t>Italy</t>
        </is>
      </c>
      <c r="C101" t="inlineStr">
        <is>
          <t>Back Three</t>
        </is>
      </c>
      <c r="D101" t="n">
        <v>4</v>
      </c>
      <c r="E101" s="57" t="n">
        <v>55.75</v>
      </c>
      <c r="F101" s="57" t="n">
        <v>6.5</v>
      </c>
      <c r="G101" s="57" t="n">
        <v>1.75</v>
      </c>
      <c r="H101" s="57" t="n">
        <v>5.25</v>
      </c>
      <c r="I101" s="57" t="n">
        <v>9.199999999999999</v>
      </c>
      <c r="J101" s="57" t="n">
        <v>0</v>
      </c>
      <c r="K101" s="57" t="n">
        <v>0</v>
      </c>
      <c r="L101" s="57" t="n">
        <v>0</v>
      </c>
      <c r="M101" s="57" t="n">
        <v>0</v>
      </c>
      <c r="N101" s="57" t="n">
        <v>0</v>
      </c>
      <c r="O101" s="57" t="n">
        <v>0</v>
      </c>
      <c r="P101" s="57" t="n">
        <v>0</v>
      </c>
      <c r="Q101" s="57" t="n">
        <v>0</v>
      </c>
      <c r="R101" s="57" t="n">
        <v>-0</v>
      </c>
      <c r="S101" s="57" t="n">
        <v>-0</v>
      </c>
      <c r="T101" s="57" t="n">
        <v>22.7</v>
      </c>
      <c r="U101" s="57" t="n">
        <v>0</v>
      </c>
      <c r="V101" s="57" t="n">
        <v>0</v>
      </c>
      <c r="W101" s="72" t="n">
        <v>22.7</v>
      </c>
    </row>
    <row r="102" ht="16" customHeight="1" thickBot="1">
      <c r="A102" s="61" t="inlineStr">
        <is>
          <t>E. Padovani</t>
        </is>
      </c>
      <c r="B102" t="inlineStr">
        <is>
          <t>Italy</t>
        </is>
      </c>
      <c r="C102" t="inlineStr">
        <is>
          <t>Back Three</t>
        </is>
      </c>
      <c r="D102" t="n">
        <v>4</v>
      </c>
      <c r="E102" s="57" t="n">
        <v>80</v>
      </c>
      <c r="F102" s="57" t="n">
        <v>1</v>
      </c>
      <c r="G102" s="57" t="n">
        <v>1.75</v>
      </c>
      <c r="H102" s="57" t="n">
        <v>3.5</v>
      </c>
      <c r="I102" s="57" t="n">
        <v>8.800000000000001</v>
      </c>
      <c r="J102" s="57" t="n">
        <v>0</v>
      </c>
      <c r="K102" s="57" t="n">
        <v>0</v>
      </c>
      <c r="L102" s="57" t="n">
        <v>0</v>
      </c>
      <c r="M102" s="57" t="n">
        <v>0</v>
      </c>
      <c r="N102" s="57" t="n">
        <v>0</v>
      </c>
      <c r="O102" s="57" t="n">
        <v>0</v>
      </c>
      <c r="P102" s="57" t="n">
        <v>0</v>
      </c>
      <c r="Q102" s="57" t="n">
        <v>0</v>
      </c>
      <c r="R102" s="57" t="n">
        <v>-0</v>
      </c>
      <c r="S102" s="57" t="n">
        <v>-0</v>
      </c>
      <c r="T102" s="57" t="n">
        <v>15.05</v>
      </c>
      <c r="U102" s="57" t="n">
        <v>0</v>
      </c>
      <c r="V102" s="57" t="n">
        <v>0</v>
      </c>
      <c r="W102" s="72" t="n">
        <v>15.05</v>
      </c>
    </row>
    <row r="103" ht="16" customHeight="1" thickBot="1">
      <c r="A103" s="63" t="inlineStr">
        <is>
          <t>J. Brex</t>
        </is>
      </c>
      <c r="B103" t="inlineStr">
        <is>
          <t>Italy</t>
        </is>
      </c>
      <c r="C103" t="inlineStr">
        <is>
          <t>Centre</t>
        </is>
      </c>
      <c r="D103" t="n">
        <v>4</v>
      </c>
      <c r="E103" s="57" t="n">
        <v>63.5</v>
      </c>
      <c r="F103" s="57" t="n">
        <v>3.75</v>
      </c>
      <c r="G103" s="57" t="n">
        <v>1.75</v>
      </c>
      <c r="H103" s="57" t="n">
        <v>1.75</v>
      </c>
      <c r="I103" s="57" t="n">
        <v>11.1</v>
      </c>
      <c r="J103" s="57" t="n">
        <v>0</v>
      </c>
      <c r="K103" s="57" t="n">
        <v>0</v>
      </c>
      <c r="L103" s="57" t="n">
        <v>0</v>
      </c>
      <c r="M103" s="57" t="n">
        <v>3.75</v>
      </c>
      <c r="N103" s="57" t="n">
        <v>0</v>
      </c>
      <c r="O103" s="57" t="n">
        <v>0</v>
      </c>
      <c r="P103" s="57" t="n">
        <v>0</v>
      </c>
      <c r="Q103" s="57" t="n">
        <v>0</v>
      </c>
      <c r="R103" s="57" t="n">
        <v>-0</v>
      </c>
      <c r="S103" s="57" t="n">
        <v>-0</v>
      </c>
      <c r="T103" s="57" t="n">
        <v>22.1</v>
      </c>
      <c r="U103" s="57" t="n">
        <v>0</v>
      </c>
      <c r="V103" s="57" t="n">
        <v>0</v>
      </c>
      <c r="W103" s="72" t="n">
        <v>22.1</v>
      </c>
    </row>
    <row r="104" ht="16" customHeight="1" thickBot="1">
      <c r="A104" s="61" t="inlineStr">
        <is>
          <t>L. Morisi</t>
        </is>
      </c>
      <c r="B104" t="inlineStr">
        <is>
          <t>Italy</t>
        </is>
      </c>
      <c r="C104" t="inlineStr">
        <is>
          <t>Centre</t>
        </is>
      </c>
      <c r="D104" t="n">
        <v>4</v>
      </c>
      <c r="E104" s="57" t="n">
        <v>37.5</v>
      </c>
      <c r="F104" s="57" t="n">
        <v>3.75</v>
      </c>
      <c r="G104" s="57" t="n">
        <v>0</v>
      </c>
      <c r="H104" s="57" t="n">
        <v>0</v>
      </c>
      <c r="I104" s="57" t="n">
        <v>7.05</v>
      </c>
      <c r="J104" s="57" t="n">
        <v>0</v>
      </c>
      <c r="K104" s="57" t="n">
        <v>0</v>
      </c>
      <c r="L104" s="57" t="n">
        <v>0</v>
      </c>
      <c r="M104" s="57" t="n">
        <v>0</v>
      </c>
      <c r="N104" s="57" t="n">
        <v>0</v>
      </c>
      <c r="O104" s="57" t="n">
        <v>0</v>
      </c>
      <c r="P104" s="57" t="n">
        <v>0</v>
      </c>
      <c r="Q104" s="57" t="n">
        <v>0</v>
      </c>
      <c r="R104" s="57" t="n">
        <v>-0</v>
      </c>
      <c r="S104" s="57" t="n">
        <v>-0</v>
      </c>
      <c r="T104" s="57" t="n">
        <v>10.8</v>
      </c>
      <c r="U104" s="57" t="n">
        <v>0</v>
      </c>
      <c r="V104" s="57" t="n">
        <v>0</v>
      </c>
      <c r="W104" s="72" t="n">
        <v>10.8</v>
      </c>
    </row>
    <row r="105" ht="16" customHeight="1" thickBot="1">
      <c r="A105" s="63" t="inlineStr">
        <is>
          <t>T. Allan</t>
        </is>
      </c>
      <c r="B105" t="inlineStr">
        <is>
          <t>Italy</t>
        </is>
      </c>
      <c r="C105" t="inlineStr">
        <is>
          <t>Fly Half</t>
        </is>
      </c>
      <c r="D105" t="n">
        <v>4</v>
      </c>
      <c r="E105" s="57" t="n">
        <v>62</v>
      </c>
      <c r="F105" s="57" t="n">
        <v>6.25</v>
      </c>
      <c r="G105" s="57" t="n">
        <v>1.75</v>
      </c>
      <c r="H105" s="57" t="n">
        <v>5.25</v>
      </c>
      <c r="I105" s="57" t="n">
        <v>10.8</v>
      </c>
      <c r="J105" s="57" t="n">
        <v>0</v>
      </c>
      <c r="K105" s="57" t="n">
        <v>0</v>
      </c>
      <c r="L105" s="57" t="n">
        <v>0</v>
      </c>
      <c r="M105" s="57" t="n">
        <v>0</v>
      </c>
      <c r="N105" s="57" t="n">
        <v>1.75</v>
      </c>
      <c r="O105" s="57" t="n">
        <v>2</v>
      </c>
      <c r="P105" s="57" t="n">
        <v>1.25</v>
      </c>
      <c r="Q105" s="57" t="n">
        <v>0</v>
      </c>
      <c r="R105" s="57" t="n">
        <v>-0</v>
      </c>
      <c r="S105" s="57" t="n">
        <v>-0</v>
      </c>
      <c r="T105" s="57" t="n">
        <v>29.05</v>
      </c>
      <c r="U105" s="57" t="n">
        <v>0</v>
      </c>
      <c r="V105" s="57" t="n">
        <v>0</v>
      </c>
      <c r="W105" s="72" t="n">
        <v>29.05</v>
      </c>
    </row>
    <row r="106" ht="16" customHeight="1" thickBot="1">
      <c r="A106" s="61" t="inlineStr">
        <is>
          <t>S. Varney</t>
        </is>
      </c>
      <c r="B106" t="inlineStr">
        <is>
          <t>Italy</t>
        </is>
      </c>
      <c r="C106" t="inlineStr">
        <is>
          <t>Scrum Half</t>
        </is>
      </c>
      <c r="D106" t="n">
        <v>4</v>
      </c>
      <c r="E106" s="57" t="n">
        <v>66.25</v>
      </c>
      <c r="F106" s="57" t="n">
        <v>2.5</v>
      </c>
      <c r="G106" s="57" t="n">
        <v>3.5</v>
      </c>
      <c r="H106" s="57" t="n">
        <v>0</v>
      </c>
      <c r="I106" s="57" t="n">
        <v>8.15</v>
      </c>
      <c r="J106" s="57" t="n">
        <v>0</v>
      </c>
      <c r="K106" s="57" t="n">
        <v>0</v>
      </c>
      <c r="L106" s="57" t="n">
        <v>0</v>
      </c>
      <c r="M106" s="57" t="n">
        <v>3.75</v>
      </c>
      <c r="N106" s="57" t="n">
        <v>0</v>
      </c>
      <c r="O106" s="57" t="n">
        <v>0</v>
      </c>
      <c r="P106" s="57" t="n">
        <v>5</v>
      </c>
      <c r="Q106" s="57" t="n">
        <v>0</v>
      </c>
      <c r="R106" s="57" t="n">
        <v>-0</v>
      </c>
      <c r="S106" s="57" t="n">
        <v>-0</v>
      </c>
      <c r="T106" s="57" t="n">
        <v>22.9</v>
      </c>
      <c r="U106" s="57" t="n">
        <v>0</v>
      </c>
      <c r="V106" s="57" t="n">
        <v>0</v>
      </c>
      <c r="W106" s="72" t="n">
        <v>22.9</v>
      </c>
    </row>
    <row r="107" ht="16" customHeight="1" thickBot="1">
      <c r="A107" s="63" t="inlineStr">
        <is>
          <t>E. Iachizzi</t>
        </is>
      </c>
      <c r="B107" t="inlineStr">
        <is>
          <t>Italy</t>
        </is>
      </c>
      <c r="C107" t="inlineStr">
        <is>
          <t>Back Row</t>
        </is>
      </c>
      <c r="D107" t="n">
        <v>4</v>
      </c>
      <c r="E107" s="57" t="n">
        <v>29.25</v>
      </c>
      <c r="F107" s="57" t="n">
        <v>1.75</v>
      </c>
      <c r="G107" s="57" t="n">
        <v>1.75</v>
      </c>
      <c r="H107" s="57" t="n">
        <v>1.75</v>
      </c>
      <c r="I107" s="57" t="n">
        <v>2.8</v>
      </c>
      <c r="J107" s="57" t="n">
        <v>0</v>
      </c>
      <c r="K107" s="57" t="n">
        <v>0</v>
      </c>
      <c r="L107" s="57" t="n">
        <v>1.75</v>
      </c>
      <c r="M107" s="57" t="n">
        <v>0</v>
      </c>
      <c r="N107" s="57" t="n">
        <v>1.75</v>
      </c>
      <c r="O107" s="57" t="n">
        <v>0</v>
      </c>
      <c r="P107" s="57" t="n">
        <v>0</v>
      </c>
      <c r="Q107" s="57" t="n">
        <v>0</v>
      </c>
      <c r="R107" s="57" t="n">
        <v>-0</v>
      </c>
      <c r="S107" s="57" t="n">
        <v>-0</v>
      </c>
      <c r="T107" s="57" t="n">
        <v>11.55</v>
      </c>
      <c r="U107" s="57" t="n">
        <v>0</v>
      </c>
      <c r="V107" s="57" t="n">
        <v>0</v>
      </c>
      <c r="W107" s="72" t="n">
        <v>11.55</v>
      </c>
    </row>
    <row r="108" ht="16" customHeight="1" thickBot="1">
      <c r="A108" s="61" t="inlineStr">
        <is>
          <t>M. Lamaro</t>
        </is>
      </c>
      <c r="B108" t="inlineStr">
        <is>
          <t>Italy</t>
        </is>
      </c>
      <c r="C108" t="inlineStr">
        <is>
          <t>Back Row</t>
        </is>
      </c>
      <c r="D108" t="n">
        <v>4</v>
      </c>
      <c r="E108" s="57" t="n">
        <v>47.75</v>
      </c>
      <c r="F108" s="57" t="n">
        <v>4.75</v>
      </c>
      <c r="G108" s="57" t="n">
        <v>3.5</v>
      </c>
      <c r="H108" s="57" t="n">
        <v>0</v>
      </c>
      <c r="I108" s="57" t="n">
        <v>2.85</v>
      </c>
      <c r="J108" s="57" t="n">
        <v>0</v>
      </c>
      <c r="K108" s="57" t="n">
        <v>0</v>
      </c>
      <c r="L108" s="57" t="n">
        <v>0</v>
      </c>
      <c r="M108" s="57" t="n">
        <v>0</v>
      </c>
      <c r="N108" s="57" t="n">
        <v>0</v>
      </c>
      <c r="O108" s="57" t="n">
        <v>0</v>
      </c>
      <c r="P108" s="57" t="n">
        <v>0</v>
      </c>
      <c r="Q108" s="57" t="n">
        <v>0</v>
      </c>
      <c r="R108" s="57" t="n">
        <v>-0</v>
      </c>
      <c r="S108" s="57" t="n">
        <v>-0</v>
      </c>
      <c r="T108" s="57" t="n">
        <v>11.1</v>
      </c>
      <c r="U108" s="57" t="n">
        <v>0</v>
      </c>
      <c r="V108" s="57" t="n">
        <v>0</v>
      </c>
      <c r="W108" s="72" t="n">
        <v>11.1</v>
      </c>
    </row>
    <row r="109" ht="16" customHeight="1" thickBot="1">
      <c r="A109" s="63" t="inlineStr">
        <is>
          <t>S. Negri</t>
        </is>
      </c>
      <c r="B109" t="inlineStr">
        <is>
          <t>Italy</t>
        </is>
      </c>
      <c r="C109" t="inlineStr">
        <is>
          <t>Back Row</t>
        </is>
      </c>
      <c r="D109" t="n">
        <v>4</v>
      </c>
      <c r="E109" s="57" t="n">
        <v>71.5</v>
      </c>
      <c r="F109" s="57" t="n">
        <v>8</v>
      </c>
      <c r="G109" s="57" t="n">
        <v>3.5</v>
      </c>
      <c r="H109" s="57" t="n">
        <v>3.5</v>
      </c>
      <c r="I109" s="57" t="n">
        <v>11.6</v>
      </c>
      <c r="J109" s="57" t="n">
        <v>0</v>
      </c>
      <c r="K109" s="57" t="n">
        <v>0</v>
      </c>
      <c r="L109" s="57" t="n">
        <v>0</v>
      </c>
      <c r="M109" s="57" t="n">
        <v>3.75</v>
      </c>
      <c r="N109" s="57" t="n">
        <v>0</v>
      </c>
      <c r="O109" s="57" t="n">
        <v>0</v>
      </c>
      <c r="P109" s="57" t="n">
        <v>0</v>
      </c>
      <c r="Q109" s="57" t="n">
        <v>0</v>
      </c>
      <c r="R109" s="57" t="n">
        <v>-0</v>
      </c>
      <c r="S109" s="57" t="n">
        <v>-0</v>
      </c>
      <c r="T109" s="57" t="n">
        <v>30.35</v>
      </c>
      <c r="U109" s="57" t="n">
        <v>0</v>
      </c>
      <c r="V109" s="57" t="n">
        <v>0</v>
      </c>
      <c r="W109" s="72" t="n">
        <v>30.35</v>
      </c>
    </row>
    <row r="110" ht="16" customHeight="1" thickBot="1">
      <c r="A110" s="61" t="inlineStr">
        <is>
          <t>G. Pettinelli</t>
        </is>
      </c>
      <c r="B110" t="inlineStr">
        <is>
          <t>Italy</t>
        </is>
      </c>
      <c r="C110" t="inlineStr">
        <is>
          <t>Back Row</t>
        </is>
      </c>
      <c r="D110" t="n">
        <v>3</v>
      </c>
      <c r="E110" s="57" t="n">
        <v>27.6667</v>
      </c>
      <c r="F110" s="57" t="n">
        <v>3.6667</v>
      </c>
      <c r="G110" s="57" t="n">
        <v>2.3331</v>
      </c>
      <c r="H110" s="57" t="n">
        <v>2.3331</v>
      </c>
      <c r="I110" s="57" t="n">
        <v>6.5333</v>
      </c>
      <c r="J110" s="57" t="n">
        <v>0</v>
      </c>
      <c r="K110" s="57" t="n">
        <v>0</v>
      </c>
      <c r="L110" s="57" t="n">
        <v>0</v>
      </c>
      <c r="M110" s="57" t="n">
        <v>0</v>
      </c>
      <c r="N110" s="57" t="n">
        <v>0</v>
      </c>
      <c r="O110" s="57" t="n">
        <v>0</v>
      </c>
      <c r="P110" s="57" t="n">
        <v>0</v>
      </c>
      <c r="Q110" s="57" t="n">
        <v>0</v>
      </c>
      <c r="R110" s="57" t="n">
        <v>-0</v>
      </c>
      <c r="S110" s="57" t="n">
        <v>-0</v>
      </c>
      <c r="T110" s="57" t="n">
        <v>14.8667</v>
      </c>
      <c r="U110" s="57" t="n">
        <v>0</v>
      </c>
      <c r="V110" s="57" t="n">
        <v>0</v>
      </c>
      <c r="W110" s="72" t="n">
        <v>14.8667</v>
      </c>
    </row>
    <row r="111" ht="16" customHeight="1" thickBot="1">
      <c r="A111" s="63" t="inlineStr">
        <is>
          <t>N. Cannone</t>
        </is>
      </c>
      <c r="B111" t="inlineStr">
        <is>
          <t>Italy</t>
        </is>
      </c>
      <c r="C111" t="inlineStr">
        <is>
          <t>Second Row</t>
        </is>
      </c>
      <c r="D111" t="n">
        <v>4</v>
      </c>
      <c r="E111" s="57" t="n">
        <v>52</v>
      </c>
      <c r="F111" s="57" t="n">
        <v>5.25</v>
      </c>
      <c r="G111" s="57" t="n">
        <v>1.75</v>
      </c>
      <c r="H111" s="57" t="n">
        <v>0</v>
      </c>
      <c r="I111" s="57" t="n">
        <v>3.15</v>
      </c>
      <c r="J111" s="57" t="n">
        <v>0</v>
      </c>
      <c r="K111" s="57" t="n">
        <v>0</v>
      </c>
      <c r="L111" s="57" t="n">
        <v>0</v>
      </c>
      <c r="M111" s="57" t="n">
        <v>0</v>
      </c>
      <c r="N111" s="57" t="n">
        <v>0</v>
      </c>
      <c r="O111" s="57" t="n">
        <v>0</v>
      </c>
      <c r="P111" s="57" t="n">
        <v>0</v>
      </c>
      <c r="Q111" s="57" t="n">
        <v>0</v>
      </c>
      <c r="R111" s="57" t="n">
        <v>-0</v>
      </c>
      <c r="S111" s="57" t="n">
        <v>-0</v>
      </c>
      <c r="T111" s="57" t="n">
        <v>10.15</v>
      </c>
      <c r="U111" s="57" t="n">
        <v>0</v>
      </c>
      <c r="V111" s="57" t="n">
        <v>0</v>
      </c>
      <c r="W111" s="72" t="n">
        <v>10.15</v>
      </c>
    </row>
    <row r="112" ht="16" customHeight="1" thickBot="1">
      <c r="A112" s="61" t="inlineStr">
        <is>
          <t>L. Cannone</t>
        </is>
      </c>
      <c r="B112" t="inlineStr">
        <is>
          <t>Italy</t>
        </is>
      </c>
      <c r="C112" t="inlineStr">
        <is>
          <t>Second Row</t>
        </is>
      </c>
      <c r="D112" t="n">
        <v>4</v>
      </c>
      <c r="E112" s="57" t="n">
        <v>63.25</v>
      </c>
      <c r="F112" s="57" t="n">
        <v>9.75</v>
      </c>
      <c r="G112" s="57" t="n">
        <v>10.5</v>
      </c>
      <c r="H112" s="57" t="n">
        <v>3.5</v>
      </c>
      <c r="I112" s="57" t="n">
        <v>10.9</v>
      </c>
      <c r="J112" s="57" t="n">
        <v>0</v>
      </c>
      <c r="K112" s="57" t="n">
        <v>0</v>
      </c>
      <c r="L112" s="57" t="n">
        <v>0</v>
      </c>
      <c r="M112" s="57" t="n">
        <v>0</v>
      </c>
      <c r="N112" s="57" t="n">
        <v>0</v>
      </c>
      <c r="O112" s="57" t="n">
        <v>0</v>
      </c>
      <c r="P112" s="57" t="n">
        <v>0</v>
      </c>
      <c r="Q112" s="57" t="n">
        <v>0</v>
      </c>
      <c r="R112" s="57" t="n">
        <v>-2.5</v>
      </c>
      <c r="S112" s="57" t="n">
        <v>-0</v>
      </c>
      <c r="T112" s="57" t="n">
        <v>32.15</v>
      </c>
      <c r="U112" s="57" t="n">
        <v>0</v>
      </c>
      <c r="V112" s="57" t="n">
        <v>0</v>
      </c>
      <c r="W112" s="72" t="n">
        <v>32.15</v>
      </c>
    </row>
    <row r="113" ht="16" customHeight="1" thickBot="1">
      <c r="A113" s="63" t="inlineStr">
        <is>
          <t>F. Ruzza</t>
        </is>
      </c>
      <c r="B113" t="inlineStr">
        <is>
          <t>Italy</t>
        </is>
      </c>
      <c r="C113" t="inlineStr">
        <is>
          <t>Second Row</t>
        </is>
      </c>
      <c r="D113" t="n">
        <v>4</v>
      </c>
      <c r="E113" s="57" t="n">
        <v>77.25</v>
      </c>
      <c r="F113" s="57" t="n">
        <v>7.75</v>
      </c>
      <c r="G113" s="57" t="n">
        <v>3.5</v>
      </c>
      <c r="H113" s="57" t="n">
        <v>1.75</v>
      </c>
      <c r="I113" s="57" t="n">
        <v>6.9</v>
      </c>
      <c r="J113" s="57" t="n">
        <v>0</v>
      </c>
      <c r="K113" s="57" t="n">
        <v>1.75</v>
      </c>
      <c r="L113" s="57" t="n">
        <v>1.75</v>
      </c>
      <c r="M113" s="57" t="n">
        <v>0</v>
      </c>
      <c r="N113" s="57" t="n">
        <v>0</v>
      </c>
      <c r="O113" s="57" t="n">
        <v>0</v>
      </c>
      <c r="P113" s="57" t="n">
        <v>0</v>
      </c>
      <c r="Q113" s="57" t="n">
        <v>0</v>
      </c>
      <c r="R113" s="57" t="n">
        <v>-0</v>
      </c>
      <c r="S113" s="57" t="n">
        <v>-0</v>
      </c>
      <c r="T113" s="57" t="n">
        <v>23.4</v>
      </c>
      <c r="U113" s="57" t="n">
        <v>0</v>
      </c>
      <c r="V113" s="57" t="n">
        <v>0</v>
      </c>
      <c r="W113" s="72" t="n">
        <v>23.4</v>
      </c>
    </row>
    <row r="114" ht="16" customHeight="1" thickBot="1">
      <c r="A114" s="61" t="inlineStr">
        <is>
          <t>M. Zuliani</t>
        </is>
      </c>
      <c r="B114" t="inlineStr">
        <is>
          <t>Italy</t>
        </is>
      </c>
      <c r="C114" t="inlineStr">
        <is>
          <t>Second Row</t>
        </is>
      </c>
      <c r="D114" t="n">
        <v>3</v>
      </c>
      <c r="E114" s="57" t="n">
        <v>54.6667</v>
      </c>
      <c r="F114" s="57" t="n">
        <v>6.6667</v>
      </c>
      <c r="G114" s="57" t="n">
        <v>9.3331</v>
      </c>
      <c r="H114" s="57" t="n">
        <v>4.6669</v>
      </c>
      <c r="I114" s="57" t="n">
        <v>8.800000000000001</v>
      </c>
      <c r="J114" s="57" t="n">
        <v>0</v>
      </c>
      <c r="K114" s="57" t="n">
        <v>2.3331</v>
      </c>
      <c r="L114" s="57" t="n">
        <v>4.6669</v>
      </c>
      <c r="M114" s="57" t="n">
        <v>0</v>
      </c>
      <c r="N114" s="57" t="n">
        <v>0</v>
      </c>
      <c r="O114" s="57" t="n">
        <v>0</v>
      </c>
      <c r="P114" s="57" t="n">
        <v>0</v>
      </c>
      <c r="Q114" s="57" t="n">
        <v>0</v>
      </c>
      <c r="R114" s="57" t="n">
        <v>-0</v>
      </c>
      <c r="S114" s="57" t="n">
        <v>-0</v>
      </c>
      <c r="T114" s="57" t="n">
        <v>36.4667</v>
      </c>
      <c r="U114" s="57" t="n">
        <v>0</v>
      </c>
      <c r="V114" s="57" t="n">
        <v>0</v>
      </c>
      <c r="W114" s="72" t="n">
        <v>36.4667</v>
      </c>
    </row>
    <row r="115" ht="16" customHeight="1" thickBot="1">
      <c r="A115" s="63" t="inlineStr">
        <is>
          <t>P. Ceccarelli</t>
        </is>
      </c>
      <c r="B115" t="inlineStr">
        <is>
          <t>Italy</t>
        </is>
      </c>
      <c r="C115" t="inlineStr">
        <is>
          <t>Prop</t>
        </is>
      </c>
      <c r="D115" t="n">
        <v>1</v>
      </c>
      <c r="E115" s="57" t="n">
        <v>15</v>
      </c>
      <c r="F115" s="57" t="n">
        <v>0</v>
      </c>
      <c r="G115" s="57" t="n">
        <v>0</v>
      </c>
      <c r="H115" s="57" t="n">
        <v>0</v>
      </c>
      <c r="I115" s="57" t="n">
        <v>3.2</v>
      </c>
      <c r="J115" s="57" t="n">
        <v>0</v>
      </c>
      <c r="K115" s="57" t="n">
        <v>0</v>
      </c>
      <c r="L115" s="57" t="n">
        <v>0</v>
      </c>
      <c r="M115" s="57" t="n">
        <v>0</v>
      </c>
      <c r="N115" s="57" t="n">
        <v>0</v>
      </c>
      <c r="O115" s="57" t="n">
        <v>0</v>
      </c>
      <c r="P115" s="57" t="n">
        <v>0</v>
      </c>
      <c r="Q115" s="57" t="n">
        <v>0</v>
      </c>
      <c r="R115" s="57" t="n">
        <v>-0</v>
      </c>
      <c r="S115" s="57" t="n">
        <v>-0</v>
      </c>
      <c r="T115" s="57" t="n">
        <v>3.2</v>
      </c>
      <c r="U115" s="57" t="n">
        <v>0</v>
      </c>
      <c r="V115" s="57" t="n">
        <v>0</v>
      </c>
      <c r="W115" s="72" t="n">
        <v>3.2</v>
      </c>
    </row>
    <row r="116" ht="16" customHeight="1" thickBot="1">
      <c r="A116" s="61" t="inlineStr">
        <is>
          <t>S. Ferrari</t>
        </is>
      </c>
      <c r="B116" t="inlineStr">
        <is>
          <t>Italy</t>
        </is>
      </c>
      <c r="C116" t="inlineStr">
        <is>
          <t>Prop</t>
        </is>
      </c>
      <c r="D116" t="n">
        <v>4</v>
      </c>
      <c r="E116" s="57" t="n">
        <v>33.5</v>
      </c>
      <c r="F116" s="57" t="n">
        <v>3.75</v>
      </c>
      <c r="G116" s="57" t="n">
        <v>1.75</v>
      </c>
      <c r="H116" s="57" t="n">
        <v>0</v>
      </c>
      <c r="I116" s="57" t="n">
        <v>1.1</v>
      </c>
      <c r="J116" s="57" t="n">
        <v>0</v>
      </c>
      <c r="K116" s="57" t="n">
        <v>0</v>
      </c>
      <c r="L116" s="57" t="n">
        <v>0</v>
      </c>
      <c r="M116" s="57" t="n">
        <v>0</v>
      </c>
      <c r="N116" s="57" t="n">
        <v>0</v>
      </c>
      <c r="O116" s="57" t="n">
        <v>0</v>
      </c>
      <c r="P116" s="57" t="n">
        <v>0</v>
      </c>
      <c r="Q116" s="57" t="n">
        <v>0</v>
      </c>
      <c r="R116" s="57" t="n">
        <v>-1.25</v>
      </c>
      <c r="S116" s="57" t="n">
        <v>-0</v>
      </c>
      <c r="T116" s="57" t="n">
        <v>5.35</v>
      </c>
      <c r="U116" s="57" t="n">
        <v>0</v>
      </c>
      <c r="V116" s="57" t="n">
        <v>0</v>
      </c>
      <c r="W116" s="72" t="n">
        <v>5.35</v>
      </c>
    </row>
    <row r="117" ht="16" customHeight="1" thickBot="1">
      <c r="A117" s="63" t="inlineStr">
        <is>
          <t>D. Fischetti</t>
        </is>
      </c>
      <c r="B117" t="inlineStr">
        <is>
          <t>Italy</t>
        </is>
      </c>
      <c r="C117" t="inlineStr">
        <is>
          <t>Prop</t>
        </is>
      </c>
      <c r="D117" t="n">
        <v>4</v>
      </c>
      <c r="E117" s="57" t="n">
        <v>58.25</v>
      </c>
      <c r="F117" s="57" t="n">
        <v>8</v>
      </c>
      <c r="G117" s="57" t="n">
        <v>10.5</v>
      </c>
      <c r="H117" s="57" t="n">
        <v>0</v>
      </c>
      <c r="I117" s="57" t="n">
        <v>4.35</v>
      </c>
      <c r="J117" s="57" t="n">
        <v>0</v>
      </c>
      <c r="K117" s="57" t="n">
        <v>0</v>
      </c>
      <c r="L117" s="57" t="n">
        <v>0</v>
      </c>
      <c r="M117" s="57" t="n">
        <v>0</v>
      </c>
      <c r="N117" s="57" t="n">
        <v>0</v>
      </c>
      <c r="O117" s="57" t="n">
        <v>0</v>
      </c>
      <c r="P117" s="57" t="n">
        <v>0</v>
      </c>
      <c r="Q117" s="57" t="n">
        <v>0</v>
      </c>
      <c r="R117" s="57" t="n">
        <v>-0</v>
      </c>
      <c r="S117" s="57" t="n">
        <v>-0</v>
      </c>
      <c r="T117" s="57" t="n">
        <v>22.85</v>
      </c>
      <c r="U117" s="57" t="n">
        <v>0</v>
      </c>
      <c r="V117" s="57" t="n">
        <v>0</v>
      </c>
      <c r="W117" s="72" t="n">
        <v>22.85</v>
      </c>
    </row>
    <row r="118" ht="16" customHeight="1" thickBot="1">
      <c r="A118" s="61" t="inlineStr">
        <is>
          <t>F. Zani</t>
        </is>
      </c>
      <c r="B118" t="inlineStr">
        <is>
          <t>Italy</t>
        </is>
      </c>
      <c r="C118" t="inlineStr">
        <is>
          <t>Prop</t>
        </is>
      </c>
      <c r="D118" t="n">
        <v>4</v>
      </c>
      <c r="E118" s="57" t="n">
        <v>33</v>
      </c>
      <c r="F118" s="57" t="n">
        <v>3.25</v>
      </c>
      <c r="G118" s="57" t="n">
        <v>5.25</v>
      </c>
      <c r="H118" s="57" t="n">
        <v>1.75</v>
      </c>
      <c r="I118" s="57" t="n">
        <v>2.95</v>
      </c>
      <c r="J118" s="57" t="n">
        <v>0</v>
      </c>
      <c r="K118" s="57" t="n">
        <v>0</v>
      </c>
      <c r="L118" s="57" t="n">
        <v>0</v>
      </c>
      <c r="M118" s="57" t="n">
        <v>0</v>
      </c>
      <c r="N118" s="57" t="n">
        <v>0</v>
      </c>
      <c r="O118" s="57" t="n">
        <v>0</v>
      </c>
      <c r="P118" s="57" t="n">
        <v>0</v>
      </c>
      <c r="Q118" s="57" t="n">
        <v>0</v>
      </c>
      <c r="R118" s="57" t="n">
        <v>-0</v>
      </c>
      <c r="S118" s="57" t="n">
        <v>-0</v>
      </c>
      <c r="T118" s="57" t="n">
        <v>13.2</v>
      </c>
      <c r="U118" s="57" t="n">
        <v>0</v>
      </c>
      <c r="V118" s="57" t="n">
        <v>0</v>
      </c>
      <c r="W118" s="72" t="n">
        <v>13.2</v>
      </c>
    </row>
    <row r="119" ht="16" customHeight="1" thickBot="1">
      <c r="A119" s="63" t="inlineStr">
        <is>
          <t>L. Bigi</t>
        </is>
      </c>
      <c r="B119" t="inlineStr">
        <is>
          <t>Italy</t>
        </is>
      </c>
      <c r="C119" t="inlineStr">
        <is>
          <t>Hooker</t>
        </is>
      </c>
      <c r="D119" t="n">
        <v>4</v>
      </c>
      <c r="E119" s="57" t="n">
        <v>21.75</v>
      </c>
      <c r="F119" s="57" t="n">
        <v>4</v>
      </c>
      <c r="G119" s="57" t="n">
        <v>3.5</v>
      </c>
      <c r="H119" s="57" t="n">
        <v>0</v>
      </c>
      <c r="I119" s="57" t="n">
        <v>0.75</v>
      </c>
      <c r="J119" s="57" t="n">
        <v>0</v>
      </c>
      <c r="K119" s="57" t="n">
        <v>0</v>
      </c>
      <c r="L119" s="57" t="n">
        <v>0</v>
      </c>
      <c r="M119" s="57" t="n">
        <v>0</v>
      </c>
      <c r="N119" s="57" t="n">
        <v>0</v>
      </c>
      <c r="O119" s="57" t="n">
        <v>0</v>
      </c>
      <c r="P119" s="57" t="n">
        <v>0</v>
      </c>
      <c r="Q119" s="57" t="n">
        <v>0</v>
      </c>
      <c r="R119" s="57" t="n">
        <v>-0</v>
      </c>
      <c r="S119" s="57" t="n">
        <v>-0</v>
      </c>
      <c r="T119" s="57" t="n">
        <v>8.25</v>
      </c>
      <c r="U119" s="57" t="n">
        <v>0</v>
      </c>
      <c r="V119" s="57" t="n">
        <v>0</v>
      </c>
      <c r="W119" s="72" t="n">
        <v>8.25</v>
      </c>
    </row>
    <row r="120" ht="16" customHeight="1" thickBot="1">
      <c r="A120" s="61" t="inlineStr">
        <is>
          <t>G. Nicotera</t>
        </is>
      </c>
      <c r="B120" t="inlineStr">
        <is>
          <t>Italy</t>
        </is>
      </c>
      <c r="C120" t="inlineStr">
        <is>
          <t>Hooker</t>
        </is>
      </c>
      <c r="D120" t="n">
        <v>4</v>
      </c>
      <c r="E120" s="57" t="n">
        <v>43.75</v>
      </c>
      <c r="F120" s="57" t="n">
        <v>7.75</v>
      </c>
      <c r="G120" s="57" t="n">
        <v>1.75</v>
      </c>
      <c r="H120" s="57" t="n">
        <v>0</v>
      </c>
      <c r="I120" s="57" t="n">
        <v>4.1</v>
      </c>
      <c r="J120" s="57" t="n">
        <v>0</v>
      </c>
      <c r="K120" s="57" t="n">
        <v>0</v>
      </c>
      <c r="L120" s="57" t="n">
        <v>1.75</v>
      </c>
      <c r="M120" s="57" t="n">
        <v>0</v>
      </c>
      <c r="N120" s="57" t="n">
        <v>0</v>
      </c>
      <c r="O120" s="57" t="n">
        <v>0</v>
      </c>
      <c r="P120" s="57" t="n">
        <v>0</v>
      </c>
      <c r="Q120" s="57" t="n">
        <v>0</v>
      </c>
      <c r="R120" s="57" t="n">
        <v>-0</v>
      </c>
      <c r="S120" s="57" t="n">
        <v>-0</v>
      </c>
      <c r="T120" s="57" t="n">
        <v>15.35</v>
      </c>
      <c r="U120" s="57" t="n">
        <v>0</v>
      </c>
      <c r="V120" s="57" t="n">
        <v>0</v>
      </c>
      <c r="W120" s="72" t="n">
        <v>15.35</v>
      </c>
    </row>
    <row r="121" ht="16" customHeight="1" thickBot="1">
      <c r="A121" s="61" t="inlineStr">
        <is>
          <t>D. Penaud</t>
        </is>
      </c>
      <c r="B121" t="inlineStr">
        <is>
          <t>France</t>
        </is>
      </c>
      <c r="C121" t="inlineStr">
        <is>
          <t>Back Three</t>
        </is>
      </c>
      <c r="D121" t="n">
        <v>4</v>
      </c>
      <c r="E121" s="57" t="n">
        <v>77.25</v>
      </c>
      <c r="F121" s="57" t="n">
        <v>5.75</v>
      </c>
      <c r="G121" s="57" t="n">
        <v>1.75</v>
      </c>
      <c r="H121" s="57" t="n">
        <v>5.25</v>
      </c>
      <c r="I121" s="57" t="n">
        <v>13.3</v>
      </c>
      <c r="J121" s="57" t="n">
        <v>0</v>
      </c>
      <c r="K121" s="57" t="n">
        <v>0</v>
      </c>
      <c r="L121" s="57" t="n">
        <v>1.75</v>
      </c>
      <c r="M121" s="57" t="n">
        <v>11.25</v>
      </c>
      <c r="N121" s="57" t="n">
        <v>0</v>
      </c>
      <c r="O121" s="57" t="n">
        <v>0</v>
      </c>
      <c r="P121" s="57" t="n">
        <v>0</v>
      </c>
      <c r="Q121" s="57" t="n">
        <v>0</v>
      </c>
      <c r="R121" s="57" t="n">
        <v>-0</v>
      </c>
      <c r="S121" s="57" t="n">
        <v>-0</v>
      </c>
      <c r="T121" s="57" t="n">
        <v>39.05</v>
      </c>
      <c r="U121" s="57" t="n">
        <v>0</v>
      </c>
      <c r="V121" s="57" t="n">
        <v>0</v>
      </c>
      <c r="W121" s="72" t="n">
        <v>39.05</v>
      </c>
    </row>
    <row r="122" ht="16" customHeight="1" thickBot="1">
      <c r="A122" s="63" t="inlineStr">
        <is>
          <t>T. Ramos</t>
        </is>
      </c>
      <c r="B122" t="inlineStr">
        <is>
          <t>France</t>
        </is>
      </c>
      <c r="C122" t="inlineStr">
        <is>
          <t>Back Three</t>
        </is>
      </c>
      <c r="D122" t="n">
        <v>4</v>
      </c>
      <c r="E122" s="57" t="n">
        <v>75.25</v>
      </c>
      <c r="F122" s="57" t="n">
        <v>1.25</v>
      </c>
      <c r="G122" s="57" t="n">
        <v>5.25</v>
      </c>
      <c r="H122" s="57" t="n">
        <v>8.75</v>
      </c>
      <c r="I122" s="57" t="n">
        <v>20.75</v>
      </c>
      <c r="J122" s="57" t="n">
        <v>0</v>
      </c>
      <c r="K122" s="57" t="n">
        <v>0</v>
      </c>
      <c r="L122" s="57" t="n">
        <v>0</v>
      </c>
      <c r="M122" s="57" t="n">
        <v>7.5</v>
      </c>
      <c r="N122" s="57" t="n">
        <v>0</v>
      </c>
      <c r="O122" s="57" t="n">
        <v>5</v>
      </c>
      <c r="P122" s="57" t="n">
        <v>8.75</v>
      </c>
      <c r="Q122" s="57" t="n">
        <v>1.75</v>
      </c>
      <c r="R122" s="57" t="n">
        <v>-0</v>
      </c>
      <c r="S122" s="57" t="n">
        <v>-0</v>
      </c>
      <c r="T122" s="57" t="n">
        <v>59</v>
      </c>
      <c r="U122" s="57" t="n">
        <v>15</v>
      </c>
      <c r="V122" s="57" t="n">
        <v>0</v>
      </c>
      <c r="W122" s="72" t="n">
        <v>62.75</v>
      </c>
    </row>
    <row r="123" ht="16" customHeight="1" thickBot="1">
      <c r="A123" s="61" t="inlineStr">
        <is>
          <t>E. Dumortier</t>
        </is>
      </c>
      <c r="B123" t="inlineStr">
        <is>
          <t>France</t>
        </is>
      </c>
      <c r="C123" t="inlineStr">
        <is>
          <t>Centre</t>
        </is>
      </c>
      <c r="D123" t="n">
        <v>4</v>
      </c>
      <c r="E123" s="57" t="n">
        <v>77</v>
      </c>
      <c r="F123" s="57" t="n">
        <v>1.75</v>
      </c>
      <c r="G123" s="57" t="n">
        <v>0</v>
      </c>
      <c r="H123" s="57" t="n">
        <v>10.5</v>
      </c>
      <c r="I123" s="57" t="n">
        <v>11.8</v>
      </c>
      <c r="J123" s="57" t="n">
        <v>0</v>
      </c>
      <c r="K123" s="57" t="n">
        <v>0</v>
      </c>
      <c r="L123" s="57" t="n">
        <v>0</v>
      </c>
      <c r="M123" s="57" t="n">
        <v>7.5</v>
      </c>
      <c r="N123" s="57" t="n">
        <v>1.75</v>
      </c>
      <c r="O123" s="57" t="n">
        <v>1.5</v>
      </c>
      <c r="P123" s="57" t="n">
        <v>1.25</v>
      </c>
      <c r="Q123" s="57" t="n">
        <v>0</v>
      </c>
      <c r="R123" s="57" t="n">
        <v>-0</v>
      </c>
      <c r="S123" s="57" t="n">
        <v>-0</v>
      </c>
      <c r="T123" s="57" t="n">
        <v>36.05</v>
      </c>
      <c r="U123" s="57" t="n">
        <v>0</v>
      </c>
      <c r="V123" s="57" t="n">
        <v>0</v>
      </c>
      <c r="W123" s="72" t="n">
        <v>36.05</v>
      </c>
    </row>
    <row r="124" ht="16" customHeight="1" thickBot="1">
      <c r="A124" s="63" t="inlineStr">
        <is>
          <t>G. Fickou</t>
        </is>
      </c>
      <c r="B124" t="inlineStr">
        <is>
          <t>France</t>
        </is>
      </c>
      <c r="C124" t="inlineStr">
        <is>
          <t>Centre</t>
        </is>
      </c>
      <c r="D124" t="n">
        <v>4</v>
      </c>
      <c r="E124" s="57" t="n">
        <v>80</v>
      </c>
      <c r="F124" s="57" t="n">
        <v>10.5</v>
      </c>
      <c r="G124" s="57" t="n">
        <v>1.75</v>
      </c>
      <c r="H124" s="57" t="n">
        <v>3.5</v>
      </c>
      <c r="I124" s="57" t="n">
        <v>10.65</v>
      </c>
      <c r="J124" s="57" t="n">
        <v>0</v>
      </c>
      <c r="K124" s="57" t="n">
        <v>0</v>
      </c>
      <c r="L124" s="57" t="n">
        <v>0</v>
      </c>
      <c r="M124" s="57" t="n">
        <v>7.5</v>
      </c>
      <c r="N124" s="57" t="n">
        <v>1.75</v>
      </c>
      <c r="O124" s="57" t="n">
        <v>0</v>
      </c>
      <c r="P124" s="57" t="n">
        <v>0</v>
      </c>
      <c r="Q124" s="57" t="n">
        <v>0</v>
      </c>
      <c r="R124" s="57" t="n">
        <v>-0</v>
      </c>
      <c r="S124" s="57" t="n">
        <v>-0</v>
      </c>
      <c r="T124" s="57" t="n">
        <v>35.65</v>
      </c>
      <c r="U124" s="57" t="n">
        <v>15</v>
      </c>
      <c r="V124" s="57" t="n">
        <v>0</v>
      </c>
      <c r="W124" s="72" t="n">
        <v>39.4</v>
      </c>
    </row>
    <row r="125" ht="16" customHeight="1" thickBot="1">
      <c r="A125" s="61" t="inlineStr">
        <is>
          <t>Y. Moefana</t>
        </is>
      </c>
      <c r="B125" t="inlineStr">
        <is>
          <t>France</t>
        </is>
      </c>
      <c r="C125" t="inlineStr">
        <is>
          <t>Centre</t>
        </is>
      </c>
      <c r="D125" t="n">
        <v>4</v>
      </c>
      <c r="E125" s="57" t="n">
        <v>63.75</v>
      </c>
      <c r="F125" s="57" t="n">
        <v>9.25</v>
      </c>
      <c r="G125" s="57" t="n">
        <v>0</v>
      </c>
      <c r="H125" s="57" t="n">
        <v>1.75</v>
      </c>
      <c r="I125" s="57" t="n">
        <v>8.65</v>
      </c>
      <c r="J125" s="57" t="n">
        <v>0</v>
      </c>
      <c r="K125" s="57" t="n">
        <v>0</v>
      </c>
      <c r="L125" s="57" t="n">
        <v>0</v>
      </c>
      <c r="M125" s="57" t="n">
        <v>0</v>
      </c>
      <c r="N125" s="57" t="n">
        <v>0</v>
      </c>
      <c r="O125" s="57" t="n">
        <v>0</v>
      </c>
      <c r="P125" s="57" t="n">
        <v>0</v>
      </c>
      <c r="Q125" s="57" t="n">
        <v>0</v>
      </c>
      <c r="R125" s="57" t="n">
        <v>-0</v>
      </c>
      <c r="S125" s="57" t="n">
        <v>-0</v>
      </c>
      <c r="T125" s="57" t="n">
        <v>19.65</v>
      </c>
      <c r="U125" s="57" t="n">
        <v>0</v>
      </c>
      <c r="V125" s="57" t="n">
        <v>0</v>
      </c>
      <c r="W125" s="72" t="n">
        <v>19.65</v>
      </c>
    </row>
    <row r="126" ht="16" customHeight="1" thickBot="1">
      <c r="A126" s="63" t="inlineStr">
        <is>
          <t>M. Jalibert</t>
        </is>
      </c>
      <c r="B126" t="inlineStr">
        <is>
          <t>France</t>
        </is>
      </c>
      <c r="C126" t="inlineStr">
        <is>
          <t>Fly Half</t>
        </is>
      </c>
      <c r="D126" t="n">
        <v>3</v>
      </c>
      <c r="E126" s="57" t="n">
        <v>36.6667</v>
      </c>
      <c r="F126" s="57" t="n">
        <v>2</v>
      </c>
      <c r="G126" s="57" t="n">
        <v>0</v>
      </c>
      <c r="H126" s="57" t="n">
        <v>0</v>
      </c>
      <c r="I126" s="57" t="n">
        <v>5</v>
      </c>
      <c r="J126" s="57" t="n">
        <v>0</v>
      </c>
      <c r="K126" s="57" t="n">
        <v>0</v>
      </c>
      <c r="L126" s="57" t="n">
        <v>0</v>
      </c>
      <c r="M126" s="57" t="n">
        <v>0</v>
      </c>
      <c r="N126" s="57" t="n">
        <v>0</v>
      </c>
      <c r="O126" s="57" t="n">
        <v>0</v>
      </c>
      <c r="P126" s="57" t="n">
        <v>0</v>
      </c>
      <c r="Q126" s="57" t="n">
        <v>0</v>
      </c>
      <c r="R126" s="57" t="n">
        <v>-0</v>
      </c>
      <c r="S126" s="57" t="n">
        <v>-0</v>
      </c>
      <c r="T126" s="57" t="n">
        <v>7</v>
      </c>
      <c r="U126" s="57" t="n">
        <v>0</v>
      </c>
      <c r="V126" s="57" t="n">
        <v>0</v>
      </c>
      <c r="W126" s="72" t="n">
        <v>7</v>
      </c>
    </row>
    <row r="127" ht="16" customHeight="1" thickBot="1">
      <c r="A127" s="61" t="inlineStr">
        <is>
          <t>R. Ntamack</t>
        </is>
      </c>
      <c r="B127" t="inlineStr">
        <is>
          <t>France</t>
        </is>
      </c>
      <c r="C127" t="inlineStr">
        <is>
          <t>Fly Half</t>
        </is>
      </c>
      <c r="D127" t="n">
        <v>4</v>
      </c>
      <c r="E127" s="57" t="n">
        <v>59.25</v>
      </c>
      <c r="F127" s="57" t="n">
        <v>7.5</v>
      </c>
      <c r="G127" s="57" t="n">
        <v>0</v>
      </c>
      <c r="H127" s="57" t="n">
        <v>1.75</v>
      </c>
      <c r="I127" s="57" t="n">
        <v>4.75</v>
      </c>
      <c r="J127" s="57" t="n">
        <v>0</v>
      </c>
      <c r="K127" s="57" t="n">
        <v>0</v>
      </c>
      <c r="L127" s="57" t="n">
        <v>0</v>
      </c>
      <c r="M127" s="57" t="n">
        <v>7.5</v>
      </c>
      <c r="N127" s="57" t="n">
        <v>3.5</v>
      </c>
      <c r="O127" s="57" t="n">
        <v>0</v>
      </c>
      <c r="P127" s="57" t="n">
        <v>0</v>
      </c>
      <c r="Q127" s="57" t="n">
        <v>0</v>
      </c>
      <c r="R127" s="57" t="n">
        <v>-0</v>
      </c>
      <c r="S127" s="57" t="n">
        <v>-0</v>
      </c>
      <c r="T127" s="57" t="n">
        <v>25</v>
      </c>
      <c r="U127" s="57" t="n">
        <v>0</v>
      </c>
      <c r="V127" s="57" t="n">
        <v>0</v>
      </c>
      <c r="W127" s="72" t="n">
        <v>25</v>
      </c>
    </row>
    <row r="128" ht="16" customHeight="1" thickBot="1">
      <c r="A128" s="63" t="inlineStr">
        <is>
          <t>A. Dupont</t>
        </is>
      </c>
      <c r="B128" t="inlineStr">
        <is>
          <t>France</t>
        </is>
      </c>
      <c r="C128" t="inlineStr">
        <is>
          <t>Scrum Half</t>
        </is>
      </c>
      <c r="D128" t="n">
        <v>4</v>
      </c>
      <c r="E128" s="57" t="n">
        <v>73.5</v>
      </c>
      <c r="F128" s="57" t="n">
        <v>9.5</v>
      </c>
      <c r="G128" s="57" t="n">
        <v>3.5</v>
      </c>
      <c r="H128" s="57" t="n">
        <v>5.25</v>
      </c>
      <c r="I128" s="57" t="n">
        <v>9.35</v>
      </c>
      <c r="J128" s="57" t="n">
        <v>2.5</v>
      </c>
      <c r="K128" s="57" t="n">
        <v>0</v>
      </c>
      <c r="L128" s="57" t="n">
        <v>1.75</v>
      </c>
      <c r="M128" s="57" t="n">
        <v>0</v>
      </c>
      <c r="N128" s="57" t="n">
        <v>7</v>
      </c>
      <c r="O128" s="57" t="n">
        <v>0</v>
      </c>
      <c r="P128" s="57" t="n">
        <v>0</v>
      </c>
      <c r="Q128" s="57" t="n">
        <v>0</v>
      </c>
      <c r="R128" s="57" t="n">
        <v>-0</v>
      </c>
      <c r="S128" s="57" t="n">
        <v>-0</v>
      </c>
      <c r="T128" s="57" t="n">
        <v>38.85</v>
      </c>
      <c r="U128" s="57" t="n">
        <v>0</v>
      </c>
      <c r="V128" s="57" t="n">
        <v>0</v>
      </c>
      <c r="W128" s="72" t="n">
        <v>38.85</v>
      </c>
    </row>
    <row r="129" ht="16" customHeight="1" thickBot="1">
      <c r="A129" s="61" t="inlineStr">
        <is>
          <t>G. Alldritt</t>
        </is>
      </c>
      <c r="B129" t="inlineStr">
        <is>
          <t>France</t>
        </is>
      </c>
      <c r="C129" t="inlineStr">
        <is>
          <t>Back Row</t>
        </is>
      </c>
      <c r="D129" t="n">
        <v>4</v>
      </c>
      <c r="E129" s="57" t="n">
        <v>56</v>
      </c>
      <c r="F129" s="57" t="n">
        <v>7.75</v>
      </c>
      <c r="G129" s="57" t="n">
        <v>1.75</v>
      </c>
      <c r="H129" s="57" t="n">
        <v>1.75</v>
      </c>
      <c r="I129" s="57" t="n">
        <v>8.4</v>
      </c>
      <c r="J129" s="57" t="n">
        <v>0</v>
      </c>
      <c r="K129" s="57" t="n">
        <v>0</v>
      </c>
      <c r="L129" s="57" t="n">
        <v>3.5</v>
      </c>
      <c r="M129" s="57" t="n">
        <v>0</v>
      </c>
      <c r="N129" s="57" t="n">
        <v>1.75</v>
      </c>
      <c r="O129" s="57" t="n">
        <v>0</v>
      </c>
      <c r="P129" s="57" t="n">
        <v>0</v>
      </c>
      <c r="Q129" s="57" t="n">
        <v>0</v>
      </c>
      <c r="R129" s="57" t="n">
        <v>-0</v>
      </c>
      <c r="S129" s="57" t="n">
        <v>-0</v>
      </c>
      <c r="T129" s="57" t="n">
        <v>24.9</v>
      </c>
      <c r="U129" s="57" t="n">
        <v>15</v>
      </c>
      <c r="V129" s="57" t="n">
        <v>0</v>
      </c>
      <c r="W129" s="72" t="n">
        <v>28.65</v>
      </c>
    </row>
    <row r="130" ht="16" customHeight="1" thickBot="1">
      <c r="A130" s="63" t="inlineStr">
        <is>
          <t>A. Jelonch</t>
        </is>
      </c>
      <c r="B130" t="inlineStr">
        <is>
          <t>France</t>
        </is>
      </c>
      <c r="C130" t="inlineStr">
        <is>
          <t>Back Row</t>
        </is>
      </c>
      <c r="D130" t="n">
        <v>3</v>
      </c>
      <c r="E130" s="57" t="n">
        <v>52.6667</v>
      </c>
      <c r="F130" s="57" t="n">
        <v>13</v>
      </c>
      <c r="G130" s="57" t="n">
        <v>7</v>
      </c>
      <c r="H130" s="57" t="n">
        <v>2.3331</v>
      </c>
      <c r="I130" s="57" t="n">
        <v>9.933299999999999</v>
      </c>
      <c r="J130" s="57" t="n">
        <v>0</v>
      </c>
      <c r="K130" s="57" t="n">
        <v>0</v>
      </c>
      <c r="L130" s="57" t="n">
        <v>0</v>
      </c>
      <c r="M130" s="57" t="n">
        <v>0</v>
      </c>
      <c r="N130" s="57" t="n">
        <v>2.3331</v>
      </c>
      <c r="O130" s="57" t="n">
        <v>0</v>
      </c>
      <c r="P130" s="57" t="n">
        <v>0</v>
      </c>
      <c r="Q130" s="57" t="n">
        <v>0</v>
      </c>
      <c r="R130" s="57" t="n">
        <v>-0</v>
      </c>
      <c r="S130" s="57" t="n">
        <v>-0</v>
      </c>
      <c r="T130" s="57" t="n">
        <v>34.6</v>
      </c>
      <c r="U130" s="57" t="n">
        <v>0</v>
      </c>
      <c r="V130" s="57" t="n">
        <v>0</v>
      </c>
      <c r="W130" s="72" t="n">
        <v>34.6</v>
      </c>
    </row>
    <row r="131" ht="16" customHeight="1" thickBot="1">
      <c r="A131" s="61" t="inlineStr">
        <is>
          <t>S. Macalou</t>
        </is>
      </c>
      <c r="B131" t="inlineStr">
        <is>
          <t>France</t>
        </is>
      </c>
      <c r="C131" t="inlineStr">
        <is>
          <t>Back Row</t>
        </is>
      </c>
      <c r="D131" t="n">
        <v>3</v>
      </c>
      <c r="E131" s="57" t="n">
        <v>42</v>
      </c>
      <c r="F131" s="57" t="n">
        <v>9.333299999999999</v>
      </c>
      <c r="G131" s="57" t="n">
        <v>2.3331</v>
      </c>
      <c r="H131" s="57" t="n">
        <v>0</v>
      </c>
      <c r="I131" s="57" t="n">
        <v>2.3333</v>
      </c>
      <c r="J131" s="57" t="n">
        <v>0</v>
      </c>
      <c r="K131" s="57" t="n">
        <v>0</v>
      </c>
      <c r="L131" s="57" t="n">
        <v>2.3331</v>
      </c>
      <c r="M131" s="57" t="n">
        <v>0</v>
      </c>
      <c r="N131" s="57" t="n">
        <v>0</v>
      </c>
      <c r="O131" s="57" t="n">
        <v>0</v>
      </c>
      <c r="P131" s="57" t="n">
        <v>0</v>
      </c>
      <c r="Q131" s="57" t="n">
        <v>0</v>
      </c>
      <c r="R131" s="57" t="n">
        <v>-0</v>
      </c>
      <c r="S131" s="57" t="n">
        <v>-0</v>
      </c>
      <c r="T131" s="57" t="n">
        <v>16.3333</v>
      </c>
      <c r="U131" s="57" t="n">
        <v>0</v>
      </c>
      <c r="V131" s="57" t="n">
        <v>0</v>
      </c>
      <c r="W131" s="72" t="n">
        <v>16.3333</v>
      </c>
    </row>
    <row r="132" ht="16" customHeight="1" thickBot="1">
      <c r="A132" s="63" t="inlineStr">
        <is>
          <t>C. Ollivon</t>
        </is>
      </c>
      <c r="B132" t="inlineStr">
        <is>
          <t>France</t>
        </is>
      </c>
      <c r="C132" t="inlineStr">
        <is>
          <t>Back Row</t>
        </is>
      </c>
      <c r="D132" t="n">
        <v>4</v>
      </c>
      <c r="E132" s="57" t="n">
        <v>57.5</v>
      </c>
      <c r="F132" s="57" t="n">
        <v>11.25</v>
      </c>
      <c r="G132" s="57" t="n">
        <v>3.5</v>
      </c>
      <c r="H132" s="57" t="n">
        <v>1.75</v>
      </c>
      <c r="I132" s="57" t="n">
        <v>5.95</v>
      </c>
      <c r="J132" s="57" t="n">
        <v>0</v>
      </c>
      <c r="K132" s="57" t="n">
        <v>0</v>
      </c>
      <c r="L132" s="57" t="n">
        <v>3.5</v>
      </c>
      <c r="M132" s="57" t="n">
        <v>7.5</v>
      </c>
      <c r="N132" s="57" t="n">
        <v>0</v>
      </c>
      <c r="O132" s="57" t="n">
        <v>0</v>
      </c>
      <c r="P132" s="57" t="n">
        <v>0</v>
      </c>
      <c r="Q132" s="57" t="n">
        <v>0</v>
      </c>
      <c r="R132" s="57" t="n">
        <v>-0</v>
      </c>
      <c r="S132" s="57" t="n">
        <v>-0</v>
      </c>
      <c r="T132" s="57" t="n">
        <v>33.45</v>
      </c>
      <c r="U132" s="57" t="n">
        <v>0</v>
      </c>
      <c r="V132" s="57" t="n">
        <v>0</v>
      </c>
      <c r="W132" s="72" t="n">
        <v>33.45</v>
      </c>
    </row>
    <row r="133" ht="16" customHeight="1" thickBot="1">
      <c r="A133" s="61" t="inlineStr">
        <is>
          <t>T. Flament</t>
        </is>
      </c>
      <c r="B133" t="inlineStr">
        <is>
          <t>France</t>
        </is>
      </c>
      <c r="C133" t="inlineStr">
        <is>
          <t>Second Row</t>
        </is>
      </c>
      <c r="D133" t="n">
        <v>4</v>
      </c>
      <c r="E133" s="57" t="n">
        <v>77.5</v>
      </c>
      <c r="F133" s="57" t="n">
        <v>13.75</v>
      </c>
      <c r="G133" s="57" t="n">
        <v>5.25</v>
      </c>
      <c r="H133" s="57" t="n">
        <v>3.5</v>
      </c>
      <c r="I133" s="57" t="n">
        <v>8.85</v>
      </c>
      <c r="J133" s="57" t="n">
        <v>0</v>
      </c>
      <c r="K133" s="57" t="n">
        <v>1.75</v>
      </c>
      <c r="L133" s="57" t="n">
        <v>0</v>
      </c>
      <c r="M133" s="57" t="n">
        <v>7.5</v>
      </c>
      <c r="N133" s="57" t="n">
        <v>0</v>
      </c>
      <c r="O133" s="57" t="n">
        <v>0</v>
      </c>
      <c r="P133" s="57" t="n">
        <v>0</v>
      </c>
      <c r="Q133" s="57" t="n">
        <v>0</v>
      </c>
      <c r="R133" s="57" t="n">
        <v>-1.25</v>
      </c>
      <c r="S133" s="57" t="n">
        <v>-0</v>
      </c>
      <c r="T133" s="57" t="n">
        <v>39.35</v>
      </c>
      <c r="U133" s="57" t="n">
        <v>0</v>
      </c>
      <c r="V133" s="57" t="n">
        <v>0</v>
      </c>
      <c r="W133" s="72" t="n">
        <v>39.35</v>
      </c>
    </row>
    <row r="134" ht="16" customHeight="1" thickBot="1">
      <c r="A134" s="63" t="inlineStr">
        <is>
          <t>R. Taofifenua</t>
        </is>
      </c>
      <c r="B134" t="inlineStr">
        <is>
          <t>France</t>
        </is>
      </c>
      <c r="C134" t="inlineStr">
        <is>
          <t>Second Row</t>
        </is>
      </c>
      <c r="D134" t="n">
        <v>4</v>
      </c>
      <c r="E134" s="57" t="n">
        <v>43</v>
      </c>
      <c r="F134" s="57" t="n">
        <v>9.75</v>
      </c>
      <c r="G134" s="57" t="n">
        <v>1.75</v>
      </c>
      <c r="H134" s="57" t="n">
        <v>1.75</v>
      </c>
      <c r="I134" s="57" t="n">
        <v>2.95</v>
      </c>
      <c r="J134" s="57" t="n">
        <v>0</v>
      </c>
      <c r="K134" s="57" t="n">
        <v>1.75</v>
      </c>
      <c r="L134" s="57" t="n">
        <v>3.5</v>
      </c>
      <c r="M134" s="57" t="n">
        <v>3.75</v>
      </c>
      <c r="N134" s="57" t="n">
        <v>0</v>
      </c>
      <c r="O134" s="57" t="n">
        <v>0</v>
      </c>
      <c r="P134" s="57" t="n">
        <v>0</v>
      </c>
      <c r="Q134" s="57" t="n">
        <v>0</v>
      </c>
      <c r="R134" s="57" t="n">
        <v>-0</v>
      </c>
      <c r="S134" s="57" t="n">
        <v>-0</v>
      </c>
      <c r="T134" s="57" t="n">
        <v>25.2</v>
      </c>
      <c r="U134" s="57" t="n">
        <v>0</v>
      </c>
      <c r="V134" s="57" t="n">
        <v>0</v>
      </c>
      <c r="W134" s="72" t="n">
        <v>25.2</v>
      </c>
    </row>
    <row r="135" ht="16" customHeight="1" thickBot="1">
      <c r="A135" s="61" t="inlineStr">
        <is>
          <t>P. Willemse</t>
        </is>
      </c>
      <c r="B135" t="inlineStr">
        <is>
          <t>France</t>
        </is>
      </c>
      <c r="C135" t="inlineStr">
        <is>
          <t>Second Row</t>
        </is>
      </c>
      <c r="D135" t="n">
        <v>4</v>
      </c>
      <c r="E135" s="57" t="n">
        <v>43.5</v>
      </c>
      <c r="F135" s="57" t="n">
        <v>7.5</v>
      </c>
      <c r="G135" s="57" t="n">
        <v>7</v>
      </c>
      <c r="H135" s="57" t="n">
        <v>0</v>
      </c>
      <c r="I135" s="57" t="n">
        <v>1.95</v>
      </c>
      <c r="J135" s="57" t="n">
        <v>0</v>
      </c>
      <c r="K135" s="57" t="n">
        <v>0</v>
      </c>
      <c r="L135" s="57" t="n">
        <v>1.75</v>
      </c>
      <c r="M135" s="57" t="n">
        <v>0</v>
      </c>
      <c r="N135" s="57" t="n">
        <v>1.75</v>
      </c>
      <c r="O135" s="57" t="n">
        <v>0</v>
      </c>
      <c r="P135" s="57" t="n">
        <v>0</v>
      </c>
      <c r="Q135" s="57" t="n">
        <v>0</v>
      </c>
      <c r="R135" s="57" t="n">
        <v>-0</v>
      </c>
      <c r="S135" s="57" t="n">
        <v>-0</v>
      </c>
      <c r="T135" s="57" t="n">
        <v>19.95</v>
      </c>
      <c r="U135" s="57" t="n">
        <v>0</v>
      </c>
      <c r="V135" s="57" t="n">
        <v>0</v>
      </c>
      <c r="W135" s="72" t="n">
        <v>19.95</v>
      </c>
    </row>
    <row r="136" ht="16" customHeight="1" thickBot="1">
      <c r="A136" s="63" t="inlineStr">
        <is>
          <t>U. Atonio</t>
        </is>
      </c>
      <c r="B136" t="inlineStr">
        <is>
          <t>France</t>
        </is>
      </c>
      <c r="C136" t="inlineStr">
        <is>
          <t>Prop</t>
        </is>
      </c>
      <c r="D136" t="n">
        <v>2</v>
      </c>
      <c r="E136" s="57" t="n">
        <v>49</v>
      </c>
      <c r="F136" s="57" t="n">
        <v>9.5</v>
      </c>
      <c r="G136" s="57" t="n">
        <v>10.5</v>
      </c>
      <c r="H136" s="57" t="n">
        <v>0</v>
      </c>
      <c r="I136" s="57" t="n">
        <v>1.8</v>
      </c>
      <c r="J136" s="57" t="n">
        <v>0</v>
      </c>
      <c r="K136" s="57" t="n">
        <v>0</v>
      </c>
      <c r="L136" s="57" t="n">
        <v>0</v>
      </c>
      <c r="M136" s="57" t="n">
        <v>0</v>
      </c>
      <c r="N136" s="57" t="n">
        <v>0</v>
      </c>
      <c r="O136" s="57" t="n">
        <v>0</v>
      </c>
      <c r="P136" s="57" t="n">
        <v>0</v>
      </c>
      <c r="Q136" s="57" t="n">
        <v>0</v>
      </c>
      <c r="R136" s="57" t="n">
        <v>-2.5</v>
      </c>
      <c r="S136" s="57" t="n">
        <v>-0</v>
      </c>
      <c r="T136" s="57" t="n">
        <v>19.3</v>
      </c>
      <c r="U136" s="57" t="n">
        <v>0</v>
      </c>
      <c r="V136" s="57" t="n">
        <v>0</v>
      </c>
      <c r="W136" s="72" t="n">
        <v>19.3</v>
      </c>
    </row>
    <row r="137" ht="16" customHeight="1" thickBot="1">
      <c r="A137" s="61" t="inlineStr">
        <is>
          <t>C. Baille</t>
        </is>
      </c>
      <c r="B137" t="inlineStr">
        <is>
          <t>France</t>
        </is>
      </c>
      <c r="C137" t="inlineStr">
        <is>
          <t>Prop</t>
        </is>
      </c>
      <c r="D137" t="n">
        <v>4</v>
      </c>
      <c r="E137" s="57" t="n">
        <v>57.75</v>
      </c>
      <c r="F137" s="57" t="n">
        <v>7.75</v>
      </c>
      <c r="G137" s="57" t="n">
        <v>1.75</v>
      </c>
      <c r="H137" s="57" t="n">
        <v>0</v>
      </c>
      <c r="I137" s="57" t="n">
        <v>5.95</v>
      </c>
      <c r="J137" s="57" t="n">
        <v>0</v>
      </c>
      <c r="K137" s="57" t="n">
        <v>0</v>
      </c>
      <c r="L137" s="57" t="n">
        <v>0</v>
      </c>
      <c r="M137" s="57" t="n">
        <v>0</v>
      </c>
      <c r="N137" s="57" t="n">
        <v>0</v>
      </c>
      <c r="O137" s="57" t="n">
        <v>0</v>
      </c>
      <c r="P137" s="57" t="n">
        <v>0</v>
      </c>
      <c r="Q137" s="57" t="n">
        <v>0</v>
      </c>
      <c r="R137" s="57" t="n">
        <v>-0</v>
      </c>
      <c r="S137" s="57" t="n">
        <v>-0</v>
      </c>
      <c r="T137" s="57" t="n">
        <v>15.45</v>
      </c>
      <c r="U137" s="57" t="n">
        <v>0</v>
      </c>
      <c r="V137" s="57" t="n">
        <v>0</v>
      </c>
      <c r="W137" s="72" t="n">
        <v>15.45</v>
      </c>
    </row>
    <row r="138" ht="16" customHeight="1" thickBot="1">
      <c r="A138" s="63" t="inlineStr">
        <is>
          <t>S. Falatea</t>
        </is>
      </c>
      <c r="B138" t="inlineStr">
        <is>
          <t>France</t>
        </is>
      </c>
      <c r="C138" t="inlineStr">
        <is>
          <t>Prop</t>
        </is>
      </c>
      <c r="D138" t="n">
        <v>4</v>
      </c>
      <c r="E138" s="57" t="n">
        <v>46.25</v>
      </c>
      <c r="F138" s="57" t="n">
        <v>5.75</v>
      </c>
      <c r="G138" s="57" t="n">
        <v>5.25</v>
      </c>
      <c r="H138" s="57" t="n">
        <v>0</v>
      </c>
      <c r="I138" s="57" t="n">
        <v>3.95</v>
      </c>
      <c r="J138" s="57" t="n">
        <v>0</v>
      </c>
      <c r="K138" s="57" t="n">
        <v>0</v>
      </c>
      <c r="L138" s="57" t="n">
        <v>0</v>
      </c>
      <c r="M138" s="57" t="n">
        <v>0</v>
      </c>
      <c r="N138" s="57" t="n">
        <v>0</v>
      </c>
      <c r="O138" s="57" t="n">
        <v>0</v>
      </c>
      <c r="P138" s="57" t="n">
        <v>0</v>
      </c>
      <c r="Q138" s="57" t="n">
        <v>0</v>
      </c>
      <c r="R138" s="57" t="n">
        <v>-0</v>
      </c>
      <c r="S138" s="57" t="n">
        <v>-0</v>
      </c>
      <c r="T138" s="57" t="n">
        <v>14.95</v>
      </c>
      <c r="U138" s="57" t="n">
        <v>0</v>
      </c>
      <c r="V138" s="57" t="n">
        <v>0</v>
      </c>
      <c r="W138" s="72" t="n">
        <v>14.95</v>
      </c>
    </row>
    <row r="139" ht="16" customHeight="1" thickBot="1">
      <c r="A139" s="61" t="inlineStr">
        <is>
          <t>R. Wardi</t>
        </is>
      </c>
      <c r="B139" t="inlineStr">
        <is>
          <t>France</t>
        </is>
      </c>
      <c r="C139" t="inlineStr">
        <is>
          <t>Prop</t>
        </is>
      </c>
      <c r="D139" t="n">
        <v>4</v>
      </c>
      <c r="E139" s="57" t="n">
        <v>22.25</v>
      </c>
      <c r="F139" s="57" t="n">
        <v>3.5</v>
      </c>
      <c r="G139" s="57" t="n">
        <v>1.75</v>
      </c>
      <c r="H139" s="57" t="n">
        <v>0</v>
      </c>
      <c r="I139" s="57" t="n">
        <v>0.95</v>
      </c>
      <c r="J139" s="57" t="n">
        <v>0</v>
      </c>
      <c r="K139" s="57" t="n">
        <v>0</v>
      </c>
      <c r="L139" s="57" t="n">
        <v>0</v>
      </c>
      <c r="M139" s="57" t="n">
        <v>0</v>
      </c>
      <c r="N139" s="57" t="n">
        <v>0</v>
      </c>
      <c r="O139" s="57" t="n">
        <v>0</v>
      </c>
      <c r="P139" s="57" t="n">
        <v>0</v>
      </c>
      <c r="Q139" s="57" t="n">
        <v>0</v>
      </c>
      <c r="R139" s="57" t="n">
        <v>-0</v>
      </c>
      <c r="S139" s="57" t="n">
        <v>-0</v>
      </c>
      <c r="T139" s="57" t="n">
        <v>6.2</v>
      </c>
      <c r="U139" s="57" t="n">
        <v>0</v>
      </c>
      <c r="V139" s="57" t="n">
        <v>0</v>
      </c>
      <c r="W139" s="72" t="n">
        <v>6.2</v>
      </c>
    </row>
    <row r="140" ht="16" customHeight="1" thickBot="1">
      <c r="A140" s="63" t="inlineStr">
        <is>
          <t>G. Barlot</t>
        </is>
      </c>
      <c r="B140" t="inlineStr">
        <is>
          <t>France</t>
        </is>
      </c>
      <c r="C140" t="inlineStr">
        <is>
          <t>Hooker</t>
        </is>
      </c>
      <c r="D140" t="n">
        <v>3</v>
      </c>
      <c r="E140" s="57" t="n">
        <v>15.3333</v>
      </c>
      <c r="F140" s="57" t="n">
        <v>3</v>
      </c>
      <c r="G140" s="57" t="n">
        <v>0</v>
      </c>
      <c r="H140" s="57" t="n">
        <v>0</v>
      </c>
      <c r="I140" s="57" t="n">
        <v>1.8</v>
      </c>
      <c r="J140" s="57" t="n">
        <v>0</v>
      </c>
      <c r="K140" s="57" t="n">
        <v>2.3331</v>
      </c>
      <c r="L140" s="57" t="n">
        <v>0</v>
      </c>
      <c r="M140" s="57" t="n">
        <v>0</v>
      </c>
      <c r="N140" s="57" t="n">
        <v>0</v>
      </c>
      <c r="O140" s="57" t="n">
        <v>0</v>
      </c>
      <c r="P140" s="57" t="n">
        <v>0</v>
      </c>
      <c r="Q140" s="57" t="n">
        <v>0</v>
      </c>
      <c r="R140" s="57" t="n">
        <v>-0</v>
      </c>
      <c r="S140" s="57" t="n">
        <v>-0</v>
      </c>
      <c r="T140" s="57" t="n">
        <v>7.1333</v>
      </c>
      <c r="U140" s="57" t="n">
        <v>0</v>
      </c>
      <c r="V140" s="57" t="n">
        <v>0</v>
      </c>
      <c r="W140" s="72" t="n">
        <v>7.1333</v>
      </c>
    </row>
    <row r="141" ht="16" customHeight="1" thickBot="1">
      <c r="A141" s="61" t="inlineStr">
        <is>
          <t>J. Marchand</t>
        </is>
      </c>
      <c r="B141" t="inlineStr">
        <is>
          <t>France</t>
        </is>
      </c>
      <c r="C141" t="inlineStr">
        <is>
          <t>Hooker</t>
        </is>
      </c>
      <c r="D141" t="n">
        <v>4</v>
      </c>
      <c r="E141" s="57" t="n">
        <v>55.75</v>
      </c>
      <c r="F141" s="57" t="n">
        <v>10.25</v>
      </c>
      <c r="G141" s="57" t="n">
        <v>1.75</v>
      </c>
      <c r="H141" s="57" t="n">
        <v>0</v>
      </c>
      <c r="I141" s="57" t="n">
        <v>2.85</v>
      </c>
      <c r="J141" s="57" t="n">
        <v>0</v>
      </c>
      <c r="K141" s="57" t="n">
        <v>0</v>
      </c>
      <c r="L141" s="57" t="n">
        <v>3.5</v>
      </c>
      <c r="M141" s="57" t="n">
        <v>0</v>
      </c>
      <c r="N141" s="57" t="n">
        <v>0</v>
      </c>
      <c r="O141" s="57" t="n">
        <v>0</v>
      </c>
      <c r="P141" s="57" t="n">
        <v>0</v>
      </c>
      <c r="Q141" s="57" t="n">
        <v>0</v>
      </c>
      <c r="R141" s="57" t="n">
        <v>-0</v>
      </c>
      <c r="S141" s="57" t="n">
        <v>-0</v>
      </c>
      <c r="T141" s="57" t="n">
        <v>18.35</v>
      </c>
      <c r="U141" s="57" t="n">
        <v>0</v>
      </c>
      <c r="V141" s="57" t="n">
        <v>0</v>
      </c>
      <c r="W141" s="72" t="n">
        <v>18.35</v>
      </c>
    </row>
    <row r="142" ht="16" customHeight="1" thickBot="1">
      <c r="A142" s="61" t="inlineStr">
        <is>
          <t>R. Kelleher</t>
        </is>
      </c>
      <c r="B142" t="inlineStr">
        <is>
          <t>Ireland</t>
        </is>
      </c>
      <c r="C142" t="inlineStr">
        <is>
          <t>Hooker</t>
        </is>
      </c>
      <c r="D142" t="n">
        <v>3</v>
      </c>
      <c r="E142" s="57" t="n">
        <v>47</v>
      </c>
      <c r="F142" s="57" t="n">
        <v>6.6667</v>
      </c>
      <c r="G142" s="57" t="n">
        <v>4.6669</v>
      </c>
      <c r="H142" s="57" t="n">
        <v>0</v>
      </c>
      <c r="I142" s="57" t="n">
        <v>5.6</v>
      </c>
      <c r="J142" s="57" t="n">
        <v>0</v>
      </c>
      <c r="K142" s="57" t="n">
        <v>0</v>
      </c>
      <c r="L142" s="57" t="n">
        <v>2.3331</v>
      </c>
      <c r="M142" s="57" t="n">
        <v>0</v>
      </c>
      <c r="N142" s="57" t="n">
        <v>0</v>
      </c>
      <c r="O142" s="57" t="n">
        <v>0</v>
      </c>
      <c r="P142" s="57" t="n">
        <v>0</v>
      </c>
      <c r="Q142" s="57" t="n">
        <v>0</v>
      </c>
      <c r="R142" s="57" t="n">
        <v>-0</v>
      </c>
      <c r="S142" s="57" t="n">
        <v>-0</v>
      </c>
      <c r="T142" s="57" t="n">
        <v>19.2667</v>
      </c>
      <c r="U142" s="57" t="n">
        <v>0</v>
      </c>
      <c r="V142" s="57" t="n">
        <v>0</v>
      </c>
      <c r="W142" s="72" t="n">
        <v>19.2667</v>
      </c>
    </row>
    <row r="143" ht="16" customHeight="1" thickBot="1">
      <c r="A143" s="63" t="inlineStr">
        <is>
          <t>F. Cros</t>
        </is>
      </c>
      <c r="B143" t="inlineStr">
        <is>
          <t>France</t>
        </is>
      </c>
      <c r="C143" t="inlineStr">
        <is>
          <t>Back Row</t>
        </is>
      </c>
      <c r="D143" t="n">
        <v>3</v>
      </c>
      <c r="E143" s="57" t="n">
        <v>51.3333</v>
      </c>
      <c r="F143" s="57" t="n">
        <v>9.333299999999999</v>
      </c>
      <c r="G143" s="57" t="n">
        <v>7</v>
      </c>
      <c r="H143" s="57" t="n">
        <v>0</v>
      </c>
      <c r="I143" s="57" t="n">
        <v>3.9333</v>
      </c>
      <c r="J143" s="57" t="n">
        <v>0</v>
      </c>
      <c r="K143" s="57" t="n">
        <v>0</v>
      </c>
      <c r="L143" s="57" t="n">
        <v>0</v>
      </c>
      <c r="M143" s="57" t="n">
        <v>0</v>
      </c>
      <c r="N143" s="57" t="n">
        <v>0</v>
      </c>
      <c r="O143" s="57" t="n">
        <v>0</v>
      </c>
      <c r="P143" s="57" t="n">
        <v>0</v>
      </c>
      <c r="Q143" s="57" t="n">
        <v>0</v>
      </c>
      <c r="R143" s="57" t="n">
        <v>-0</v>
      </c>
      <c r="S143" s="57" t="n">
        <v>-0</v>
      </c>
      <c r="T143" s="57" t="n">
        <v>20.2667</v>
      </c>
      <c r="U143" s="57" t="n">
        <v>0</v>
      </c>
      <c r="V143" s="57" t="n">
        <v>0</v>
      </c>
      <c r="W143" s="72" t="n">
        <v>20.2667</v>
      </c>
    </row>
    <row r="144" ht="16" customHeight="1" thickBot="1">
      <c r="A144" s="61" t="inlineStr">
        <is>
          <t>Z. Fagerson</t>
        </is>
      </c>
      <c r="B144" t="inlineStr">
        <is>
          <t>Scotland</t>
        </is>
      </c>
      <c r="C144" t="inlineStr">
        <is>
          <t>Prop</t>
        </is>
      </c>
      <c r="D144" t="n">
        <v>3</v>
      </c>
      <c r="E144" s="57" t="n">
        <v>60</v>
      </c>
      <c r="F144" s="57" t="n">
        <v>9.333299999999999</v>
      </c>
      <c r="G144" s="57" t="n">
        <v>4.6669</v>
      </c>
      <c r="H144" s="57" t="n">
        <v>0</v>
      </c>
      <c r="I144" s="57" t="n">
        <v>4.4</v>
      </c>
      <c r="J144" s="57" t="n">
        <v>0</v>
      </c>
      <c r="K144" s="57" t="n">
        <v>0</v>
      </c>
      <c r="L144" s="57" t="n">
        <v>2.3331</v>
      </c>
      <c r="M144" s="57" t="n">
        <v>0</v>
      </c>
      <c r="N144" s="57" t="n">
        <v>0</v>
      </c>
      <c r="O144" s="57" t="n">
        <v>0</v>
      </c>
      <c r="P144" s="57" t="n">
        <v>0</v>
      </c>
      <c r="Q144" s="57" t="n">
        <v>0</v>
      </c>
      <c r="R144" s="57" t="n">
        <v>-0</v>
      </c>
      <c r="S144" s="57" t="n">
        <v>-0</v>
      </c>
      <c r="T144" s="57" t="n">
        <v>20.7333</v>
      </c>
      <c r="U144" s="57" t="n">
        <v>0</v>
      </c>
      <c r="V144" s="57" t="n">
        <v>0</v>
      </c>
      <c r="W144" s="72" t="n">
        <v>20.7333</v>
      </c>
    </row>
    <row r="145" ht="16" customHeight="1" thickBot="1">
      <c r="A145" s="63" t="inlineStr">
        <is>
          <t>R. Patchell</t>
        </is>
      </c>
      <c r="B145" t="inlineStr">
        <is>
          <t>Wales</t>
        </is>
      </c>
      <c r="C145" t="inlineStr">
        <is>
          <t>Fly Half</t>
        </is>
      </c>
      <c r="D145" t="n">
        <v>1</v>
      </c>
      <c r="E145" s="57" t="n">
        <v>23</v>
      </c>
      <c r="F145" s="57" t="n">
        <v>1</v>
      </c>
      <c r="G145" s="57" t="n">
        <v>0</v>
      </c>
      <c r="H145" s="57" t="n">
        <v>0</v>
      </c>
      <c r="I145" s="57" t="n">
        <v>3.6</v>
      </c>
      <c r="J145" s="57" t="n">
        <v>0</v>
      </c>
      <c r="K145" s="57" t="n">
        <v>0</v>
      </c>
      <c r="L145" s="57" t="n">
        <v>0</v>
      </c>
      <c r="M145" s="57" t="n">
        <v>0</v>
      </c>
      <c r="N145" s="57" t="n">
        <v>0</v>
      </c>
      <c r="O145" s="57" t="n">
        <v>0</v>
      </c>
      <c r="P145" s="57" t="n">
        <v>0</v>
      </c>
      <c r="Q145" s="57" t="n">
        <v>0</v>
      </c>
      <c r="R145" s="57" t="n">
        <v>-0</v>
      </c>
      <c r="S145" s="57" t="n">
        <v>-0</v>
      </c>
      <c r="T145" s="57" t="n">
        <v>4.6</v>
      </c>
      <c r="U145" s="57" t="n">
        <v>0</v>
      </c>
      <c r="V145" s="57" t="n">
        <v>0</v>
      </c>
      <c r="W145" s="72" t="n">
        <v>4.6</v>
      </c>
    </row>
    <row r="146" ht="16" customHeight="1" thickBot="1">
      <c r="A146" s="61" t="inlineStr">
        <is>
          <t>R. Davies</t>
        </is>
      </c>
      <c r="B146" t="inlineStr">
        <is>
          <t>Wales</t>
        </is>
      </c>
      <c r="C146" t="inlineStr">
        <is>
          <t>Second Row</t>
        </is>
      </c>
      <c r="D146" t="n">
        <v>2</v>
      </c>
      <c r="E146" s="57" t="n">
        <v>12.5</v>
      </c>
      <c r="F146" s="57" t="n">
        <v>1.5</v>
      </c>
      <c r="G146" s="57" t="n">
        <v>0</v>
      </c>
      <c r="H146" s="57" t="n">
        <v>0</v>
      </c>
      <c r="I146" s="57" t="n">
        <v>0.3</v>
      </c>
      <c r="J146" s="57" t="n">
        <v>0</v>
      </c>
      <c r="K146" s="57" t="n">
        <v>0</v>
      </c>
      <c r="L146" s="57" t="n">
        <v>0</v>
      </c>
      <c r="M146" s="57" t="n">
        <v>0</v>
      </c>
      <c r="N146" s="57" t="n">
        <v>0</v>
      </c>
      <c r="O146" s="57" t="n">
        <v>0</v>
      </c>
      <c r="P146" s="57" t="n">
        <v>0</v>
      </c>
      <c r="Q146" s="57" t="n">
        <v>0</v>
      </c>
      <c r="R146" s="57" t="n">
        <v>-0</v>
      </c>
      <c r="S146" s="57" t="n">
        <v>-0</v>
      </c>
      <c r="T146" s="57" t="n">
        <v>1.8</v>
      </c>
      <c r="U146" s="57" t="n">
        <v>0</v>
      </c>
      <c r="V146" s="57" t="n">
        <v>0</v>
      </c>
      <c r="W146" s="72" t="n">
        <v>1.8</v>
      </c>
    </row>
    <row r="147" ht="16" customHeight="1" thickBot="1">
      <c r="A147" s="64" t="inlineStr">
        <is>
          <t>C. Tshiunza</t>
        </is>
      </c>
      <c r="B147" t="inlineStr">
        <is>
          <t>Wales</t>
        </is>
      </c>
      <c r="C147" t="inlineStr">
        <is>
          <t>Second Row</t>
        </is>
      </c>
      <c r="D147" t="n">
        <v>2</v>
      </c>
      <c r="E147" s="57" t="n">
        <v>71.5</v>
      </c>
      <c r="F147" s="57" t="n">
        <v>10</v>
      </c>
      <c r="G147" s="57" t="n">
        <v>3.5</v>
      </c>
      <c r="H147" s="57" t="n">
        <v>0</v>
      </c>
      <c r="I147" s="57" t="n">
        <v>7.8</v>
      </c>
      <c r="J147" s="57" t="n">
        <v>0</v>
      </c>
      <c r="K147" s="57" t="n">
        <v>3.5</v>
      </c>
      <c r="L147" s="57" t="n">
        <v>0</v>
      </c>
      <c r="M147" s="57" t="n">
        <v>0</v>
      </c>
      <c r="N147" s="57" t="n">
        <v>0</v>
      </c>
      <c r="O147" s="57" t="n">
        <v>0</v>
      </c>
      <c r="P147" s="57" t="n">
        <v>0</v>
      </c>
      <c r="Q147" s="57" t="n">
        <v>0</v>
      </c>
      <c r="R147" s="57" t="n">
        <v>-0</v>
      </c>
      <c r="S147" s="57" t="n">
        <v>-0</v>
      </c>
      <c r="T147" s="57" t="n">
        <v>24.8</v>
      </c>
      <c r="U147" s="57" t="n">
        <v>0</v>
      </c>
      <c r="V147" s="57" t="n">
        <v>0</v>
      </c>
      <c r="W147" s="72" t="n">
        <v>24.8</v>
      </c>
    </row>
    <row r="148" ht="16" customHeight="1" thickBot="1">
      <c r="A148" s="65" t="inlineStr">
        <is>
          <t>L. Brown</t>
        </is>
      </c>
      <c r="B148" t="inlineStr">
        <is>
          <t>Wales</t>
        </is>
      </c>
      <c r="C148" t="inlineStr">
        <is>
          <t>Prop</t>
        </is>
      </c>
      <c r="D148" t="n">
        <v>1</v>
      </c>
      <c r="E148" s="57" t="n">
        <v>16</v>
      </c>
      <c r="F148" s="57" t="n">
        <v>1</v>
      </c>
      <c r="G148" s="57" t="n">
        <v>7</v>
      </c>
      <c r="H148" s="57" t="n">
        <v>0</v>
      </c>
      <c r="I148" s="57" t="n">
        <v>1.6</v>
      </c>
      <c r="J148" s="57" t="n">
        <v>0</v>
      </c>
      <c r="K148" s="57" t="n">
        <v>0</v>
      </c>
      <c r="L148" s="57" t="n">
        <v>0</v>
      </c>
      <c r="M148" s="57" t="n">
        <v>0</v>
      </c>
      <c r="N148" s="57" t="n">
        <v>0</v>
      </c>
      <c r="O148" s="57" t="n">
        <v>0</v>
      </c>
      <c r="P148" s="57" t="n">
        <v>0</v>
      </c>
      <c r="Q148" s="57" t="n">
        <v>0</v>
      </c>
      <c r="R148" s="57" t="n">
        <v>-0</v>
      </c>
      <c r="S148" s="57" t="n">
        <v>-0</v>
      </c>
      <c r="T148" s="57" t="n">
        <v>9.6</v>
      </c>
      <c r="U148" s="57" t="n">
        <v>0</v>
      </c>
      <c r="V148" s="57" t="n">
        <v>0</v>
      </c>
      <c r="W148" s="72" t="n">
        <v>9.6</v>
      </c>
    </row>
    <row r="149" ht="16" customHeight="1" thickBot="1">
      <c r="A149" s="63" t="inlineStr">
        <is>
          <t>W. Jones</t>
        </is>
      </c>
      <c r="B149" t="inlineStr">
        <is>
          <t>Wales</t>
        </is>
      </c>
      <c r="C149" t="inlineStr">
        <is>
          <t>Prop</t>
        </is>
      </c>
      <c r="D149" t="n">
        <v>2</v>
      </c>
      <c r="E149" s="57" t="n">
        <v>48.5</v>
      </c>
      <c r="F149" s="57" t="n">
        <v>4</v>
      </c>
      <c r="G149" s="57" t="n">
        <v>3.5</v>
      </c>
      <c r="H149" s="57" t="n">
        <v>0</v>
      </c>
      <c r="I149" s="57" t="n">
        <v>3.4</v>
      </c>
      <c r="J149" s="57" t="n">
        <v>0</v>
      </c>
      <c r="K149" s="57" t="n">
        <v>0</v>
      </c>
      <c r="L149" s="57" t="n">
        <v>0</v>
      </c>
      <c r="M149" s="57" t="n">
        <v>0</v>
      </c>
      <c r="N149" s="57" t="n">
        <v>0</v>
      </c>
      <c r="O149" s="57" t="n">
        <v>0</v>
      </c>
      <c r="P149" s="57" t="n">
        <v>0</v>
      </c>
      <c r="Q149" s="57" t="n">
        <v>0</v>
      </c>
      <c r="R149" s="57" t="n">
        <v>-0</v>
      </c>
      <c r="S149" s="57" t="n">
        <v>-0</v>
      </c>
      <c r="T149" s="57" t="n">
        <v>10.9</v>
      </c>
      <c r="U149" s="57" t="n">
        <v>0</v>
      </c>
      <c r="V149" s="57" t="n">
        <v>0</v>
      </c>
      <c r="W149" s="72" t="n">
        <v>10.9</v>
      </c>
    </row>
    <row r="150" ht="16" customHeight="1" thickBot="1">
      <c r="A150" s="61" t="inlineStr">
        <is>
          <t>H. Arundell</t>
        </is>
      </c>
      <c r="B150" t="inlineStr">
        <is>
          <t>England</t>
        </is>
      </c>
      <c r="C150" t="inlineStr">
        <is>
          <t>Back Three</t>
        </is>
      </c>
      <c r="D150" t="n">
        <v>3</v>
      </c>
      <c r="E150" s="57" t="n">
        <v>16.3333</v>
      </c>
      <c r="F150" s="57" t="n">
        <v>0.6667</v>
      </c>
      <c r="G150" s="57" t="n">
        <v>0</v>
      </c>
      <c r="H150" s="57" t="n">
        <v>0</v>
      </c>
      <c r="I150" s="57" t="n">
        <v>2.5333</v>
      </c>
      <c r="J150" s="57" t="n">
        <v>0</v>
      </c>
      <c r="K150" s="57" t="n">
        <v>0</v>
      </c>
      <c r="L150" s="57" t="n">
        <v>0</v>
      </c>
      <c r="M150" s="57" t="n">
        <v>4.9995</v>
      </c>
      <c r="N150" s="57" t="n">
        <v>0</v>
      </c>
      <c r="O150" s="57" t="n">
        <v>0</v>
      </c>
      <c r="P150" s="57" t="n">
        <v>0</v>
      </c>
      <c r="Q150" s="57" t="n">
        <v>0</v>
      </c>
      <c r="R150" s="57" t="n">
        <v>-0</v>
      </c>
      <c r="S150" s="57" t="n">
        <v>-0</v>
      </c>
      <c r="T150" s="57" t="n">
        <v>8.199999999999999</v>
      </c>
      <c r="U150" s="57" t="n">
        <v>0</v>
      </c>
      <c r="V150" s="57" t="n">
        <v>0</v>
      </c>
      <c r="W150" s="72" t="n">
        <v>8.199999999999999</v>
      </c>
    </row>
    <row r="151" ht="16" customHeight="1" thickBot="1">
      <c r="A151" s="64" t="inlineStr">
        <is>
          <t>H. Slade</t>
        </is>
      </c>
      <c r="B151" t="inlineStr">
        <is>
          <t>England</t>
        </is>
      </c>
      <c r="C151" t="inlineStr">
        <is>
          <t>Centre</t>
        </is>
      </c>
      <c r="D151" t="n">
        <v>3</v>
      </c>
      <c r="E151" s="57" t="n">
        <v>66</v>
      </c>
      <c r="F151" s="57" t="n">
        <v>3.3333</v>
      </c>
      <c r="G151" s="57" t="n">
        <v>0</v>
      </c>
      <c r="H151" s="57" t="n">
        <v>7</v>
      </c>
      <c r="I151" s="57" t="n">
        <v>4.2</v>
      </c>
      <c r="J151" s="57" t="n">
        <v>0</v>
      </c>
      <c r="K151" s="57" t="n">
        <v>0</v>
      </c>
      <c r="L151" s="57" t="n">
        <v>0</v>
      </c>
      <c r="M151" s="57" t="n">
        <v>0</v>
      </c>
      <c r="N151" s="57" t="n">
        <v>0</v>
      </c>
      <c r="O151" s="57" t="n">
        <v>0</v>
      </c>
      <c r="P151" s="57" t="n">
        <v>0</v>
      </c>
      <c r="Q151" s="57" t="n">
        <v>0</v>
      </c>
      <c r="R151" s="57" t="n">
        <v>-0</v>
      </c>
      <c r="S151" s="57" t="n">
        <v>-0</v>
      </c>
      <c r="T151" s="57" t="n">
        <v>14.5333</v>
      </c>
      <c r="U151" s="57" t="n">
        <v>0</v>
      </c>
      <c r="V151" s="57" t="n">
        <v>0</v>
      </c>
      <c r="W151" s="72" t="n">
        <v>14.5333</v>
      </c>
    </row>
    <row r="152" ht="16" customHeight="1" thickBot="1">
      <c r="A152" s="61" t="inlineStr">
        <is>
          <t>A. Mitchell</t>
        </is>
      </c>
      <c r="B152" t="inlineStr">
        <is>
          <t>England</t>
        </is>
      </c>
      <c r="C152" t="inlineStr">
        <is>
          <t>Scrum Half</t>
        </is>
      </c>
      <c r="D152" t="n">
        <v>3</v>
      </c>
      <c r="E152" s="57" t="n">
        <v>20.6667</v>
      </c>
      <c r="F152" s="57" t="n">
        <v>2</v>
      </c>
      <c r="G152" s="57" t="n">
        <v>0</v>
      </c>
      <c r="H152" s="57" t="n">
        <v>0</v>
      </c>
      <c r="I152" s="57" t="n">
        <v>0.6</v>
      </c>
      <c r="J152" s="57" t="n">
        <v>0</v>
      </c>
      <c r="K152" s="57" t="n">
        <v>0</v>
      </c>
      <c r="L152" s="57" t="n">
        <v>0</v>
      </c>
      <c r="M152" s="57" t="n">
        <v>0</v>
      </c>
      <c r="N152" s="57" t="n">
        <v>4.6669</v>
      </c>
      <c r="O152" s="57" t="n">
        <v>0</v>
      </c>
      <c r="P152" s="57" t="n">
        <v>0</v>
      </c>
      <c r="Q152" s="57" t="n">
        <v>0</v>
      </c>
      <c r="R152" s="57" t="n">
        <v>-0</v>
      </c>
      <c r="S152" s="57" t="n">
        <v>-0</v>
      </c>
      <c r="T152" s="57" t="n">
        <v>7.2667</v>
      </c>
      <c r="U152" s="57" t="n">
        <v>0</v>
      </c>
      <c r="V152" s="57" t="n">
        <v>0</v>
      </c>
      <c r="W152" s="72" t="n">
        <v>7.2667</v>
      </c>
    </row>
    <row r="153" ht="16" customHeight="1" thickBot="1">
      <c r="A153" s="63" t="inlineStr">
        <is>
          <t>J. Willis</t>
        </is>
      </c>
      <c r="B153" t="inlineStr">
        <is>
          <t>England</t>
        </is>
      </c>
      <c r="C153" t="inlineStr">
        <is>
          <t>Back Row</t>
        </is>
      </c>
      <c r="D153" t="n">
        <v>3</v>
      </c>
      <c r="E153" s="57" t="n">
        <v>55</v>
      </c>
      <c r="F153" s="57" t="n">
        <v>11.3333</v>
      </c>
      <c r="G153" s="57" t="n">
        <v>7</v>
      </c>
      <c r="H153" s="57" t="n">
        <v>2.3331</v>
      </c>
      <c r="I153" s="57" t="n">
        <v>3.6667</v>
      </c>
      <c r="J153" s="57" t="n">
        <v>0</v>
      </c>
      <c r="K153" s="57" t="n">
        <v>0</v>
      </c>
      <c r="L153" s="57" t="n">
        <v>4.6669</v>
      </c>
      <c r="M153" s="57" t="n">
        <v>4.9995</v>
      </c>
      <c r="N153" s="57" t="n">
        <v>0</v>
      </c>
      <c r="O153" s="57" t="n">
        <v>0</v>
      </c>
      <c r="P153" s="57" t="n">
        <v>0</v>
      </c>
      <c r="Q153" s="57" t="n">
        <v>0</v>
      </c>
      <c r="R153" s="57" t="n">
        <v>-0</v>
      </c>
      <c r="S153" s="57" t="n">
        <v>-0</v>
      </c>
      <c r="T153" s="57" t="n">
        <v>34</v>
      </c>
      <c r="U153" s="57" t="n">
        <v>0</v>
      </c>
      <c r="V153" s="57" t="n">
        <v>0</v>
      </c>
      <c r="W153" s="72" t="n">
        <v>34</v>
      </c>
    </row>
    <row r="154" ht="16" customHeight="1" thickBot="1">
      <c r="A154" s="61" t="inlineStr">
        <is>
          <t>J. Walker</t>
        </is>
      </c>
      <c r="B154" t="inlineStr">
        <is>
          <t>England</t>
        </is>
      </c>
      <c r="C154" t="inlineStr">
        <is>
          <t>Hooker</t>
        </is>
      </c>
      <c r="D154" t="n">
        <v>3</v>
      </c>
      <c r="E154" s="57" t="n">
        <v>9</v>
      </c>
      <c r="F154" s="57" t="n">
        <v>2</v>
      </c>
      <c r="G154" s="57" t="n">
        <v>0</v>
      </c>
      <c r="H154" s="57" t="n">
        <v>0</v>
      </c>
      <c r="I154" s="57" t="n">
        <v>2</v>
      </c>
      <c r="J154" s="57" t="n">
        <v>0</v>
      </c>
      <c r="K154" s="57" t="n">
        <v>0</v>
      </c>
      <c r="L154" s="57" t="n">
        <v>0</v>
      </c>
      <c r="M154" s="57" t="n">
        <v>0</v>
      </c>
      <c r="N154" s="57" t="n">
        <v>0</v>
      </c>
      <c r="O154" s="57" t="n">
        <v>0</v>
      </c>
      <c r="P154" s="57" t="n">
        <v>0</v>
      </c>
      <c r="Q154" s="57" t="n">
        <v>0</v>
      </c>
      <c r="R154" s="57" t="n">
        <v>-0</v>
      </c>
      <c r="S154" s="57" t="n">
        <v>-0</v>
      </c>
      <c r="T154" s="57" t="n">
        <v>4</v>
      </c>
      <c r="U154" s="57" t="n">
        <v>0</v>
      </c>
      <c r="V154" s="57" t="n">
        <v>0</v>
      </c>
      <c r="W154" s="72" t="n">
        <v>4</v>
      </c>
    </row>
    <row r="155" ht="16" customHeight="1" thickBot="1">
      <c r="A155" s="64" t="inlineStr">
        <is>
          <t>J. Polledri</t>
        </is>
      </c>
      <c r="B155" t="inlineStr">
        <is>
          <t>Italy</t>
        </is>
      </c>
      <c r="C155" t="inlineStr">
        <is>
          <t>Back Row</t>
        </is>
      </c>
      <c r="D155" t="n">
        <v>1</v>
      </c>
      <c r="E155" s="57" t="n">
        <v>23</v>
      </c>
      <c r="F155" s="57" t="n">
        <v>1</v>
      </c>
      <c r="G155" s="57" t="n">
        <v>7</v>
      </c>
      <c r="H155" s="57" t="n">
        <v>0</v>
      </c>
      <c r="I155" s="57" t="n">
        <v>5.2</v>
      </c>
      <c r="J155" s="57" t="n">
        <v>0</v>
      </c>
      <c r="K155" s="57" t="n">
        <v>0</v>
      </c>
      <c r="L155" s="57" t="n">
        <v>0</v>
      </c>
      <c r="M155" s="57" t="n">
        <v>0</v>
      </c>
      <c r="N155" s="57" t="n">
        <v>0</v>
      </c>
      <c r="O155" s="57" t="n">
        <v>0</v>
      </c>
      <c r="P155" s="57" t="n">
        <v>0</v>
      </c>
      <c r="Q155" s="57" t="n">
        <v>0</v>
      </c>
      <c r="R155" s="57" t="n">
        <v>-0</v>
      </c>
      <c r="S155" s="57" t="n">
        <v>-0</v>
      </c>
      <c r="T155" s="57" t="n">
        <v>13.2</v>
      </c>
      <c r="U155" s="57" t="n">
        <v>0</v>
      </c>
      <c r="V155" s="57" t="n">
        <v>0</v>
      </c>
      <c r="W155" s="72" t="n">
        <v>13.2</v>
      </c>
    </row>
    <row r="156" ht="16" customHeight="1" thickBot="1">
      <c r="A156" s="65" t="inlineStr">
        <is>
          <t>M. Riccioni</t>
        </is>
      </c>
      <c r="B156" t="inlineStr">
        <is>
          <t>Italy</t>
        </is>
      </c>
      <c r="C156" t="inlineStr">
        <is>
          <t>Prop</t>
        </is>
      </c>
      <c r="D156" t="n">
        <v>3</v>
      </c>
      <c r="E156" s="57" t="n">
        <v>41.6667</v>
      </c>
      <c r="F156" s="57" t="n">
        <v>6</v>
      </c>
      <c r="G156" s="57" t="n">
        <v>2.3331</v>
      </c>
      <c r="H156" s="57" t="n">
        <v>0</v>
      </c>
      <c r="I156" s="57" t="n">
        <v>1.9333</v>
      </c>
      <c r="J156" s="57" t="n">
        <v>0</v>
      </c>
      <c r="K156" s="57" t="n">
        <v>0</v>
      </c>
      <c r="L156" s="57" t="n">
        <v>0</v>
      </c>
      <c r="M156" s="57" t="n">
        <v>4.9995</v>
      </c>
      <c r="N156" s="57" t="n">
        <v>0</v>
      </c>
      <c r="O156" s="57" t="n">
        <v>0</v>
      </c>
      <c r="P156" s="57" t="n">
        <v>0</v>
      </c>
      <c r="Q156" s="57" t="n">
        <v>0</v>
      </c>
      <c r="R156" s="57" t="n">
        <v>-0</v>
      </c>
      <c r="S156" s="57" t="n">
        <v>-0</v>
      </c>
      <c r="T156" s="57" t="n">
        <v>15.2667</v>
      </c>
      <c r="U156" s="57" t="n">
        <v>0</v>
      </c>
      <c r="V156" s="57" t="n">
        <v>0</v>
      </c>
      <c r="W156" s="72" t="n">
        <v>15.2667</v>
      </c>
    </row>
    <row r="157" ht="16" customHeight="1" thickBot="1">
      <c r="A157" s="63" t="inlineStr">
        <is>
          <t>J. O'Brien</t>
        </is>
      </c>
      <c r="B157" t="inlineStr">
        <is>
          <t>Ireland</t>
        </is>
      </c>
      <c r="C157" t="inlineStr">
        <is>
          <t>Back Three</t>
        </is>
      </c>
      <c r="D157" t="n">
        <v>1</v>
      </c>
      <c r="E157" s="57" t="n">
        <v>8</v>
      </c>
      <c r="F157" s="57" t="n">
        <v>0</v>
      </c>
      <c r="G157" s="57" t="n">
        <v>0</v>
      </c>
      <c r="H157" s="57" t="n">
        <v>0</v>
      </c>
      <c r="I157" s="57" t="n">
        <v>0</v>
      </c>
      <c r="J157" s="57" t="n">
        <v>0</v>
      </c>
      <c r="K157" s="57" t="n">
        <v>0</v>
      </c>
      <c r="L157" s="57" t="n">
        <v>0</v>
      </c>
      <c r="M157" s="57" t="n">
        <v>0</v>
      </c>
      <c r="N157" s="57" t="n">
        <v>0</v>
      </c>
      <c r="O157" s="57" t="n">
        <v>0</v>
      </c>
      <c r="P157" s="57" t="n">
        <v>0</v>
      </c>
      <c r="Q157" s="57" t="n">
        <v>0</v>
      </c>
      <c r="R157" s="57" t="n">
        <v>-0</v>
      </c>
      <c r="S157" s="57" t="n">
        <v>-0</v>
      </c>
      <c r="T157" s="57" t="n">
        <v>0</v>
      </c>
      <c r="U157" s="57" t="n">
        <v>0</v>
      </c>
      <c r="V157" s="57" t="n">
        <v>0</v>
      </c>
      <c r="W157" s="72" t="n">
        <v>0</v>
      </c>
    </row>
    <row r="158" ht="16" customHeight="1" thickBot="1">
      <c r="A158" s="65" t="inlineStr">
        <is>
          <t>J. Crowley</t>
        </is>
      </c>
      <c r="B158" t="inlineStr">
        <is>
          <t>Ireland</t>
        </is>
      </c>
      <c r="C158" t="inlineStr">
        <is>
          <t>Fly Half</t>
        </is>
      </c>
      <c r="D158" t="n">
        <v>1</v>
      </c>
      <c r="E158" s="57" t="n">
        <v>2</v>
      </c>
      <c r="F158" s="57" t="n">
        <v>2</v>
      </c>
      <c r="G158" s="57" t="n">
        <v>0</v>
      </c>
      <c r="H158" s="57" t="n">
        <v>0</v>
      </c>
      <c r="I158" s="57" t="n">
        <v>0</v>
      </c>
      <c r="J158" s="57" t="n">
        <v>0</v>
      </c>
      <c r="K158" s="57" t="n">
        <v>0</v>
      </c>
      <c r="L158" s="57" t="n">
        <v>0</v>
      </c>
      <c r="M158" s="57" t="n">
        <v>0</v>
      </c>
      <c r="N158" s="57" t="n">
        <v>0</v>
      </c>
      <c r="O158" s="57" t="n">
        <v>0</v>
      </c>
      <c r="P158" s="57" t="n">
        <v>0</v>
      </c>
      <c r="Q158" s="57" t="n">
        <v>0</v>
      </c>
      <c r="R158" s="57" t="n">
        <v>-0</v>
      </c>
      <c r="S158" s="57" t="n">
        <v>-0</v>
      </c>
      <c r="T158" s="57" t="n">
        <v>2</v>
      </c>
      <c r="U158" s="57" t="n">
        <v>0</v>
      </c>
      <c r="V158" s="57" t="n">
        <v>0</v>
      </c>
      <c r="W158" s="72" t="n">
        <v>2</v>
      </c>
    </row>
    <row r="159" ht="16" customHeight="1" thickBot="1">
      <c r="A159" s="64" t="inlineStr">
        <is>
          <t>R. Baird</t>
        </is>
      </c>
      <c r="B159" t="inlineStr">
        <is>
          <t>Ireland</t>
        </is>
      </c>
      <c r="C159" t="inlineStr">
        <is>
          <t>Second Row</t>
        </is>
      </c>
      <c r="D159" t="n">
        <v>2</v>
      </c>
      <c r="E159" s="57" t="n">
        <v>42</v>
      </c>
      <c r="F159" s="57" t="n">
        <v>2.5</v>
      </c>
      <c r="G159" s="57" t="n">
        <v>3.5</v>
      </c>
      <c r="H159" s="57" t="n">
        <v>0</v>
      </c>
      <c r="I159" s="57" t="n">
        <v>2.9</v>
      </c>
      <c r="J159" s="57" t="n">
        <v>0</v>
      </c>
      <c r="K159" s="57" t="n">
        <v>3.5</v>
      </c>
      <c r="L159" s="57" t="n">
        <v>3.5</v>
      </c>
      <c r="M159" s="57" t="n">
        <v>0</v>
      </c>
      <c r="N159" s="57" t="n">
        <v>0</v>
      </c>
      <c r="O159" s="57" t="n">
        <v>0</v>
      </c>
      <c r="P159" s="57" t="n">
        <v>0</v>
      </c>
      <c r="Q159" s="57" t="n">
        <v>0</v>
      </c>
      <c r="R159" s="57" t="n">
        <v>-0</v>
      </c>
      <c r="S159" s="57" t="n">
        <v>-0</v>
      </c>
      <c r="T159" s="57" t="n">
        <v>15.9</v>
      </c>
      <c r="U159" s="57" t="n">
        <v>0</v>
      </c>
      <c r="V159" s="57" t="n">
        <v>0</v>
      </c>
      <c r="W159" s="72" t="n">
        <v>15.9</v>
      </c>
    </row>
    <row r="160" ht="16" customHeight="1" thickBot="1">
      <c r="A160" s="61" t="inlineStr">
        <is>
          <t>P. Garbisi</t>
        </is>
      </c>
      <c r="B160" t="inlineStr">
        <is>
          <t>Italy</t>
        </is>
      </c>
      <c r="C160" t="inlineStr">
        <is>
          <t>Fly Half</t>
        </is>
      </c>
      <c r="D160" t="n">
        <v>2</v>
      </c>
      <c r="E160" s="57" t="n">
        <v>76</v>
      </c>
      <c r="F160" s="57" t="n">
        <v>5.5</v>
      </c>
      <c r="G160" s="57" t="n">
        <v>0</v>
      </c>
      <c r="H160" s="57" t="n">
        <v>3.5</v>
      </c>
      <c r="I160" s="57" t="n">
        <v>7.9</v>
      </c>
      <c r="J160" s="57" t="n">
        <v>0</v>
      </c>
      <c r="K160" s="57" t="n">
        <v>0</v>
      </c>
      <c r="L160" s="57" t="n">
        <v>0</v>
      </c>
      <c r="M160" s="57" t="n">
        <v>0</v>
      </c>
      <c r="N160" s="57" t="n">
        <v>0</v>
      </c>
      <c r="O160" s="57" t="n">
        <v>2</v>
      </c>
      <c r="P160" s="57" t="n">
        <v>5</v>
      </c>
      <c r="Q160" s="57" t="n">
        <v>0</v>
      </c>
      <c r="R160" s="57" t="n">
        <v>-0</v>
      </c>
      <c r="S160" s="57" t="n">
        <v>-0</v>
      </c>
      <c r="T160" s="57" t="n">
        <v>23.9</v>
      </c>
      <c r="U160" s="57" t="n">
        <v>0</v>
      </c>
      <c r="V160" s="57" t="n">
        <v>0</v>
      </c>
      <c r="W160" s="72" t="n">
        <v>23.9</v>
      </c>
    </row>
    <row r="161" ht="16" customHeight="1" thickBot="1">
      <c r="A161" s="63" t="inlineStr">
        <is>
          <t>L. Halfpenny</t>
        </is>
      </c>
      <c r="B161" t="inlineStr">
        <is>
          <t>Wales</t>
        </is>
      </c>
      <c r="C161" t="inlineStr">
        <is>
          <t>Back Three</t>
        </is>
      </c>
      <c r="D161" t="n">
        <v>1</v>
      </c>
      <c r="E161" s="57" t="n">
        <v>80</v>
      </c>
      <c r="F161" s="57" t="n">
        <v>3</v>
      </c>
      <c r="G161" s="57" t="n">
        <v>0</v>
      </c>
      <c r="H161" s="57" t="n">
        <v>0</v>
      </c>
      <c r="I161" s="57" t="n">
        <v>12</v>
      </c>
      <c r="J161" s="57" t="n">
        <v>0</v>
      </c>
      <c r="K161" s="57" t="n">
        <v>0</v>
      </c>
      <c r="L161" s="57" t="n">
        <v>0</v>
      </c>
      <c r="M161" s="57" t="n">
        <v>0</v>
      </c>
      <c r="N161" s="57" t="n">
        <v>0</v>
      </c>
      <c r="O161" s="57" t="n">
        <v>2</v>
      </c>
      <c r="P161" s="57" t="n">
        <v>5</v>
      </c>
      <c r="Q161" s="57" t="n">
        <v>0</v>
      </c>
      <c r="R161" s="57" t="n">
        <v>-0</v>
      </c>
      <c r="S161" s="57" t="n">
        <v>-0</v>
      </c>
      <c r="T161" s="57" t="n">
        <v>22</v>
      </c>
      <c r="U161" s="57" t="n">
        <v>0</v>
      </c>
      <c r="V161" s="57" t="n">
        <v>0</v>
      </c>
      <c r="W161" s="72" t="n">
        <v>22</v>
      </c>
    </row>
    <row r="162" ht="16" customHeight="1" thickBot="1">
      <c r="A162" s="61" t="inlineStr">
        <is>
          <t>L. Rees-Zammit</t>
        </is>
      </c>
      <c r="B162" t="inlineStr">
        <is>
          <t>Wales</t>
        </is>
      </c>
      <c r="C162" t="inlineStr">
        <is>
          <t>Back Three</t>
        </is>
      </c>
      <c r="D162" t="n">
        <v>2</v>
      </c>
      <c r="E162" s="57" t="n">
        <v>54.5</v>
      </c>
      <c r="F162" s="57" t="n">
        <v>2.5</v>
      </c>
      <c r="G162" s="57" t="n">
        <v>7</v>
      </c>
      <c r="H162" s="57" t="n">
        <v>10.5</v>
      </c>
      <c r="I162" s="57" t="n">
        <v>17.1</v>
      </c>
      <c r="J162" s="57" t="n">
        <v>0</v>
      </c>
      <c r="K162" s="57" t="n">
        <v>0</v>
      </c>
      <c r="L162" s="57" t="n">
        <v>0</v>
      </c>
      <c r="M162" s="57" t="n">
        <v>7.5</v>
      </c>
      <c r="N162" s="57" t="n">
        <v>0</v>
      </c>
      <c r="O162" s="57" t="n">
        <v>0</v>
      </c>
      <c r="P162" s="57" t="n">
        <v>0</v>
      </c>
      <c r="Q162" s="57" t="n">
        <v>0</v>
      </c>
      <c r="R162" s="57" t="n">
        <v>-0</v>
      </c>
      <c r="S162" s="57" t="n">
        <v>-0</v>
      </c>
      <c r="T162" s="57" t="n">
        <v>44.6</v>
      </c>
      <c r="U162" s="57" t="n">
        <v>0</v>
      </c>
      <c r="V162" s="57" t="n">
        <v>0</v>
      </c>
      <c r="W162" s="72" t="n">
        <v>44.6</v>
      </c>
    </row>
    <row r="163" ht="16" customHeight="1" thickBot="1">
      <c r="A163" s="63" t="inlineStr">
        <is>
          <t>M. Grady</t>
        </is>
      </c>
      <c r="B163" t="inlineStr">
        <is>
          <t>Wales</t>
        </is>
      </c>
      <c r="C163" t="inlineStr">
        <is>
          <t>Centre</t>
        </is>
      </c>
      <c r="D163" t="n">
        <v>2</v>
      </c>
      <c r="E163" s="57" t="n">
        <v>80</v>
      </c>
      <c r="F163" s="57" t="n">
        <v>6.5</v>
      </c>
      <c r="G163" s="57" t="n">
        <v>0</v>
      </c>
      <c r="H163" s="57" t="n">
        <v>0</v>
      </c>
      <c r="I163" s="57" t="n">
        <v>7.4</v>
      </c>
      <c r="J163" s="57" t="n">
        <v>0</v>
      </c>
      <c r="K163" s="57" t="n">
        <v>0</v>
      </c>
      <c r="L163" s="57" t="n">
        <v>0</v>
      </c>
      <c r="M163" s="57" t="n">
        <v>0</v>
      </c>
      <c r="N163" s="57" t="n">
        <v>0</v>
      </c>
      <c r="O163" s="57" t="n">
        <v>0</v>
      </c>
      <c r="P163" s="57" t="n">
        <v>0</v>
      </c>
      <c r="Q163" s="57" t="n">
        <v>0</v>
      </c>
      <c r="R163" s="57" t="n">
        <v>-0</v>
      </c>
      <c r="S163" s="57" t="n">
        <v>-0</v>
      </c>
      <c r="T163" s="57" t="n">
        <v>13.9</v>
      </c>
      <c r="U163" s="57" t="n">
        <v>0</v>
      </c>
      <c r="V163" s="57" t="n">
        <v>0</v>
      </c>
      <c r="W163" s="72" t="n">
        <v>13.9</v>
      </c>
    </row>
    <row r="164" ht="16" customHeight="1" thickBot="1">
      <c r="A164" s="65" t="inlineStr">
        <is>
          <t>N. Tompkins</t>
        </is>
      </c>
      <c r="B164" t="inlineStr">
        <is>
          <t>Wales</t>
        </is>
      </c>
      <c r="C164" t="inlineStr">
        <is>
          <t>Centre</t>
        </is>
      </c>
      <c r="D164" t="n">
        <v>1</v>
      </c>
      <c r="E164" s="57" t="n">
        <v>26</v>
      </c>
      <c r="F164" s="57" t="n">
        <v>5</v>
      </c>
      <c r="G164" s="57" t="n">
        <v>0</v>
      </c>
      <c r="H164" s="57" t="n">
        <v>0</v>
      </c>
      <c r="I164" s="57" t="n">
        <v>5.8</v>
      </c>
      <c r="J164" s="57" t="n">
        <v>0</v>
      </c>
      <c r="K164" s="57" t="n">
        <v>0</v>
      </c>
      <c r="L164" s="57" t="n">
        <v>0</v>
      </c>
      <c r="M164" s="57" t="n">
        <v>0</v>
      </c>
      <c r="N164" s="57" t="n">
        <v>0</v>
      </c>
      <c r="O164" s="57" t="n">
        <v>0</v>
      </c>
      <c r="P164" s="57" t="n">
        <v>0</v>
      </c>
      <c r="Q164" s="57" t="n">
        <v>0</v>
      </c>
      <c r="R164" s="57" t="n">
        <v>-0</v>
      </c>
      <c r="S164" s="57" t="n">
        <v>-0</v>
      </c>
      <c r="T164" s="57" t="n">
        <v>10.8</v>
      </c>
      <c r="U164" s="57" t="n">
        <v>0</v>
      </c>
      <c r="V164" s="57" t="n">
        <v>0</v>
      </c>
      <c r="W164" s="72" t="n">
        <v>10.8</v>
      </c>
    </row>
    <row r="165" ht="16" customHeight="1" thickBot="1">
      <c r="A165" s="61" t="inlineStr">
        <is>
          <t>K. Hardy</t>
        </is>
      </c>
      <c r="B165" t="inlineStr">
        <is>
          <t>Wales</t>
        </is>
      </c>
      <c r="C165" t="inlineStr">
        <is>
          <t>Scrum Half</t>
        </is>
      </c>
      <c r="D165" t="n">
        <v>1</v>
      </c>
      <c r="E165" s="57" t="n">
        <v>11</v>
      </c>
      <c r="F165" s="57" t="n">
        <v>4</v>
      </c>
      <c r="G165" s="57" t="n">
        <v>0</v>
      </c>
      <c r="H165" s="57" t="n">
        <v>0</v>
      </c>
      <c r="I165" s="57" t="n">
        <v>0</v>
      </c>
      <c r="J165" s="57" t="n">
        <v>0</v>
      </c>
      <c r="K165" s="57" t="n">
        <v>0</v>
      </c>
      <c r="L165" s="57" t="n">
        <v>0</v>
      </c>
      <c r="M165" s="57" t="n">
        <v>0</v>
      </c>
      <c r="N165" s="57" t="n">
        <v>0</v>
      </c>
      <c r="O165" s="57" t="n">
        <v>0</v>
      </c>
      <c r="P165" s="57" t="n">
        <v>0</v>
      </c>
      <c r="Q165" s="57" t="n">
        <v>0</v>
      </c>
      <c r="R165" s="57" t="n">
        <v>-0</v>
      </c>
      <c r="S165" s="57" t="n">
        <v>-0</v>
      </c>
      <c r="T165" s="57" t="n">
        <v>4</v>
      </c>
      <c r="U165" s="57" t="n">
        <v>0</v>
      </c>
      <c r="V165" s="57" t="n">
        <v>0</v>
      </c>
      <c r="W165" s="72" t="n">
        <v>4</v>
      </c>
    </row>
    <row r="166" ht="16" customHeight="1" thickBot="1">
      <c r="A166" s="64" t="inlineStr">
        <is>
          <t>B. Roberts</t>
        </is>
      </c>
      <c r="B166" t="inlineStr">
        <is>
          <t>Wales</t>
        </is>
      </c>
      <c r="C166" t="inlineStr">
        <is>
          <t>Hooker</t>
        </is>
      </c>
      <c r="D166" t="n">
        <v>1</v>
      </c>
      <c r="E166" s="57" t="n">
        <v>11</v>
      </c>
      <c r="F166" s="57" t="n">
        <v>3</v>
      </c>
      <c r="G166" s="57" t="n">
        <v>0</v>
      </c>
      <c r="H166" s="57" t="n">
        <v>0</v>
      </c>
      <c r="I166" s="57" t="n">
        <v>1</v>
      </c>
      <c r="J166" s="57" t="n">
        <v>0</v>
      </c>
      <c r="K166" s="57" t="n">
        <v>0</v>
      </c>
      <c r="L166" s="57" t="n">
        <v>0</v>
      </c>
      <c r="M166" s="57" t="n">
        <v>0</v>
      </c>
      <c r="N166" s="57" t="n">
        <v>0</v>
      </c>
      <c r="O166" s="57" t="n">
        <v>0</v>
      </c>
      <c r="P166" s="57" t="n">
        <v>0</v>
      </c>
      <c r="Q166" s="57" t="n">
        <v>0</v>
      </c>
      <c r="R166" s="57" t="n">
        <v>-0</v>
      </c>
      <c r="S166" s="57" t="n">
        <v>-0</v>
      </c>
      <c r="T166" s="57" t="n">
        <v>4</v>
      </c>
      <c r="U166" s="57" t="n">
        <v>0</v>
      </c>
      <c r="V166" s="57" t="n">
        <v>0</v>
      </c>
      <c r="W166" s="72" t="n">
        <v>4</v>
      </c>
    </row>
    <row r="167" ht="16" customHeight="1" thickBot="1">
      <c r="A167" s="61" t="inlineStr">
        <is>
          <t>C. Lawes</t>
        </is>
      </c>
      <c r="B167" t="inlineStr">
        <is>
          <t>England</t>
        </is>
      </c>
      <c r="C167" t="inlineStr">
        <is>
          <t>Second Row</t>
        </is>
      </c>
      <c r="D167" t="n">
        <v>1</v>
      </c>
      <c r="E167" s="57" t="n">
        <v>11</v>
      </c>
      <c r="F167" s="57" t="n">
        <v>1</v>
      </c>
      <c r="G167" s="57" t="n">
        <v>0</v>
      </c>
      <c r="H167" s="57" t="n">
        <v>0</v>
      </c>
      <c r="I167" s="57" t="n">
        <v>1.2</v>
      </c>
      <c r="J167" s="57" t="n">
        <v>0</v>
      </c>
      <c r="K167" s="57" t="n">
        <v>0</v>
      </c>
      <c r="L167" s="57" t="n">
        <v>0</v>
      </c>
      <c r="M167" s="57" t="n">
        <v>0</v>
      </c>
      <c r="N167" s="57" t="n">
        <v>0</v>
      </c>
      <c r="O167" s="57" t="n">
        <v>0</v>
      </c>
      <c r="P167" s="57" t="n">
        <v>0</v>
      </c>
      <c r="Q167" s="57" t="n">
        <v>0</v>
      </c>
      <c r="R167" s="57" t="n">
        <v>-0</v>
      </c>
      <c r="S167" s="57" t="n">
        <v>-0</v>
      </c>
      <c r="T167" s="57" t="n">
        <v>2.2</v>
      </c>
      <c r="U167" s="57" t="n">
        <v>0</v>
      </c>
      <c r="V167" s="57" t="n">
        <v>0</v>
      </c>
      <c r="W167" s="72" t="n">
        <v>2.2</v>
      </c>
    </row>
    <row r="168" ht="16" customHeight="1" thickBot="1">
      <c r="A168" s="63" t="inlineStr">
        <is>
          <t>M. Haouas</t>
        </is>
      </c>
      <c r="B168" t="inlineStr">
        <is>
          <t>France</t>
        </is>
      </c>
      <c r="C168" t="inlineStr">
        <is>
          <t>Prop</t>
        </is>
      </c>
      <c r="D168" t="n">
        <v>1</v>
      </c>
      <c r="E168" s="57" t="n">
        <v>11</v>
      </c>
      <c r="F168" s="57" t="n">
        <v>1</v>
      </c>
      <c r="G168" s="57" t="n">
        <v>0</v>
      </c>
      <c r="H168" s="57" t="n">
        <v>0</v>
      </c>
      <c r="I168" s="57" t="n">
        <v>0</v>
      </c>
      <c r="J168" s="57" t="n">
        <v>0</v>
      </c>
      <c r="K168" s="57" t="n">
        <v>0</v>
      </c>
      <c r="L168" s="57" t="n">
        <v>0</v>
      </c>
      <c r="M168" s="57" t="n">
        <v>0</v>
      </c>
      <c r="N168" s="57" t="n">
        <v>0</v>
      </c>
      <c r="O168" s="57" t="n">
        <v>0</v>
      </c>
      <c r="P168" s="57" t="n">
        <v>0</v>
      </c>
      <c r="Q168" s="57" t="n">
        <v>0</v>
      </c>
      <c r="R168" s="57" t="n">
        <v>-0</v>
      </c>
      <c r="S168" s="57" t="n">
        <v>-10</v>
      </c>
      <c r="T168" s="57" t="n">
        <v>-9</v>
      </c>
      <c r="U168" s="57" t="n">
        <v>0</v>
      </c>
      <c r="V168" s="57" t="n">
        <v>0</v>
      </c>
      <c r="W168" s="72" t="n">
        <v>-9</v>
      </c>
    </row>
    <row r="169" ht="16" customHeight="1" thickBot="1">
      <c r="A169" s="65" t="inlineStr">
        <is>
          <t>A. Price</t>
        </is>
      </c>
      <c r="B169" t="inlineStr">
        <is>
          <t>Scotland</t>
        </is>
      </c>
      <c r="C169" t="inlineStr">
        <is>
          <t>Scrum Half</t>
        </is>
      </c>
      <c r="D169" t="n">
        <v>2</v>
      </c>
      <c r="E169" s="57" t="n">
        <v>22.5</v>
      </c>
      <c r="F169" s="57" t="n">
        <v>1.5</v>
      </c>
      <c r="G169" s="57" t="n">
        <v>0</v>
      </c>
      <c r="H169" s="57" t="n">
        <v>0</v>
      </c>
      <c r="I169" s="57" t="n">
        <v>0</v>
      </c>
      <c r="J169" s="57" t="n">
        <v>0</v>
      </c>
      <c r="K169" s="57" t="n">
        <v>0</v>
      </c>
      <c r="L169" s="57" t="n">
        <v>0</v>
      </c>
      <c r="M169" s="57" t="n">
        <v>0</v>
      </c>
      <c r="N169" s="57" t="n">
        <v>3.5</v>
      </c>
      <c r="O169" s="57" t="n">
        <v>0</v>
      </c>
      <c r="P169" s="57" t="n">
        <v>0</v>
      </c>
      <c r="Q169" s="57" t="n">
        <v>0</v>
      </c>
      <c r="R169" s="57" t="n">
        <v>-0</v>
      </c>
      <c r="S169" s="57" t="n">
        <v>-0</v>
      </c>
      <c r="T169" s="57" t="n">
        <v>5</v>
      </c>
      <c r="U169" s="57" t="n">
        <v>0</v>
      </c>
      <c r="V169" s="57" t="n">
        <v>0</v>
      </c>
      <c r="W169" s="72" t="n">
        <v>5</v>
      </c>
    </row>
    <row r="170" ht="16" customHeight="1" thickBot="1">
      <c r="A170" s="64" t="inlineStr">
        <is>
          <t>S. Skinner</t>
        </is>
      </c>
      <c r="B170" t="inlineStr">
        <is>
          <t>Scotland</t>
        </is>
      </c>
      <c r="C170" t="inlineStr">
        <is>
          <t>Back Row</t>
        </is>
      </c>
      <c r="D170" t="n">
        <v>1</v>
      </c>
      <c r="E170" s="57" t="n">
        <v>9</v>
      </c>
      <c r="F170" s="57" t="n">
        <v>4</v>
      </c>
      <c r="G170" s="57" t="n">
        <v>0</v>
      </c>
      <c r="H170" s="57" t="n">
        <v>0</v>
      </c>
      <c r="I170" s="57" t="n">
        <v>0</v>
      </c>
      <c r="J170" s="57" t="n">
        <v>0</v>
      </c>
      <c r="K170" s="57" t="n">
        <v>0</v>
      </c>
      <c r="L170" s="57" t="n">
        <v>7</v>
      </c>
      <c r="M170" s="57" t="n">
        <v>0</v>
      </c>
      <c r="N170" s="57" t="n">
        <v>0</v>
      </c>
      <c r="O170" s="57" t="n">
        <v>0</v>
      </c>
      <c r="P170" s="57" t="n">
        <v>0</v>
      </c>
      <c r="Q170" s="57" t="n">
        <v>0</v>
      </c>
      <c r="R170" s="57" t="n">
        <v>-0</v>
      </c>
      <c r="S170" s="57" t="n">
        <v>-0</v>
      </c>
      <c r="T170" s="57" t="n">
        <v>11</v>
      </c>
      <c r="U170" s="57" t="n">
        <v>0</v>
      </c>
      <c r="V170" s="57" t="n">
        <v>0</v>
      </c>
      <c r="W170" s="72" t="n">
        <v>11</v>
      </c>
    </row>
    <row r="171" ht="16" customHeight="1" thickBot="1">
      <c r="A171" s="65" t="inlineStr">
        <is>
          <t>H. Watson</t>
        </is>
      </c>
      <c r="B171" t="inlineStr">
        <is>
          <t>Scotland</t>
        </is>
      </c>
      <c r="C171" t="inlineStr">
        <is>
          <t>Back Row</t>
        </is>
      </c>
      <c r="D171" t="n">
        <v>2</v>
      </c>
      <c r="E171" s="57" t="n">
        <v>12</v>
      </c>
      <c r="F171" s="57" t="n">
        <v>3</v>
      </c>
      <c r="G171" s="57" t="n">
        <v>0</v>
      </c>
      <c r="H171" s="57" t="n">
        <v>0</v>
      </c>
      <c r="I171" s="57" t="n">
        <v>0.8</v>
      </c>
      <c r="J171" s="57" t="n">
        <v>0</v>
      </c>
      <c r="K171" s="57" t="n">
        <v>0</v>
      </c>
      <c r="L171" s="57" t="n">
        <v>0</v>
      </c>
      <c r="M171" s="57" t="n">
        <v>0</v>
      </c>
      <c r="N171" s="57" t="n">
        <v>0</v>
      </c>
      <c r="O171" s="57" t="n">
        <v>0</v>
      </c>
      <c r="P171" s="57" t="n">
        <v>0</v>
      </c>
      <c r="Q171" s="57" t="n">
        <v>0</v>
      </c>
      <c r="R171" s="57" t="n">
        <v>-0</v>
      </c>
      <c r="S171" s="57" t="n">
        <v>-0</v>
      </c>
      <c r="T171" s="57" t="n">
        <v>3.8</v>
      </c>
      <c r="U171" s="57" t="n">
        <v>0</v>
      </c>
      <c r="V171" s="57" t="n">
        <v>0</v>
      </c>
      <c r="W171" s="72" t="n">
        <v>3.8</v>
      </c>
    </row>
    <row r="172" ht="16" customHeight="1" thickBot="1">
      <c r="A172" s="64" t="inlineStr">
        <is>
          <t>D. Ribbans</t>
        </is>
      </c>
      <c r="B172" t="inlineStr">
        <is>
          <t>England</t>
        </is>
      </c>
      <c r="C172" t="inlineStr">
        <is>
          <t>Second Row</t>
        </is>
      </c>
      <c r="D172" t="n">
        <v>1</v>
      </c>
      <c r="E172" s="57" t="n">
        <v>5</v>
      </c>
      <c r="F172" s="57" t="n">
        <v>0</v>
      </c>
      <c r="G172" s="57" t="n">
        <v>0</v>
      </c>
      <c r="H172" s="57" t="n">
        <v>0</v>
      </c>
      <c r="I172" s="57" t="n">
        <v>0.6</v>
      </c>
      <c r="J172" s="57" t="n">
        <v>0</v>
      </c>
      <c r="K172" s="57" t="n">
        <v>0</v>
      </c>
      <c r="L172" s="57" t="n">
        <v>0</v>
      </c>
      <c r="M172" s="57" t="n">
        <v>0</v>
      </c>
      <c r="N172" s="57" t="n">
        <v>0</v>
      </c>
      <c r="O172" s="57" t="n">
        <v>0</v>
      </c>
      <c r="P172" s="57" t="n">
        <v>0</v>
      </c>
      <c r="Q172" s="57" t="n">
        <v>0</v>
      </c>
      <c r="R172" s="57" t="n">
        <v>-0</v>
      </c>
      <c r="S172" s="57" t="n">
        <v>-0</v>
      </c>
      <c r="T172" s="57" t="n">
        <v>0.6</v>
      </c>
      <c r="U172" s="57" t="n">
        <v>0</v>
      </c>
      <c r="V172" s="57" t="n">
        <v>0</v>
      </c>
      <c r="W172" s="72" t="n">
        <v>0.6</v>
      </c>
    </row>
    <row r="173" ht="16" customHeight="1" thickBot="1">
      <c r="A173" s="61" t="inlineStr">
        <is>
          <t>M. Jaminet</t>
        </is>
      </c>
      <c r="B173" t="inlineStr">
        <is>
          <t>France</t>
        </is>
      </c>
      <c r="C173" t="inlineStr">
        <is>
          <t>Back Three</t>
        </is>
      </c>
      <c r="D173" t="n">
        <v>1</v>
      </c>
      <c r="E173" s="57" t="n">
        <v>7</v>
      </c>
      <c r="F173" s="57" t="n">
        <v>2</v>
      </c>
      <c r="G173" s="57" t="n">
        <v>0</v>
      </c>
      <c r="H173" s="57" t="n">
        <v>0</v>
      </c>
      <c r="I173" s="57" t="n">
        <v>2.2</v>
      </c>
      <c r="J173" s="57" t="n">
        <v>0</v>
      </c>
      <c r="K173" s="57" t="n">
        <v>0</v>
      </c>
      <c r="L173" s="57" t="n">
        <v>0</v>
      </c>
      <c r="M173" s="57" t="n">
        <v>0</v>
      </c>
      <c r="N173" s="57" t="n">
        <v>7</v>
      </c>
      <c r="O173" s="57" t="n">
        <v>0</v>
      </c>
      <c r="P173" s="57" t="n">
        <v>0</v>
      </c>
      <c r="Q173" s="57" t="n">
        <v>0</v>
      </c>
      <c r="R173" s="57" t="n">
        <v>-0</v>
      </c>
      <c r="S173" s="57" t="n">
        <v>-0</v>
      </c>
      <c r="T173" s="57" t="n">
        <v>11.2</v>
      </c>
      <c r="U173" s="57" t="n">
        <v>0</v>
      </c>
      <c r="V173" s="57" t="n">
        <v>0</v>
      </c>
      <c r="W173" s="72" t="n">
        <v>11.2</v>
      </c>
    </row>
    <row r="174" ht="16" customHeight="1" thickBot="1">
      <c r="A174" s="63" t="inlineStr">
        <is>
          <t>J. Danty</t>
        </is>
      </c>
      <c r="B174" t="inlineStr">
        <is>
          <t>France</t>
        </is>
      </c>
      <c r="C174" t="inlineStr">
        <is>
          <t>Centre</t>
        </is>
      </c>
      <c r="D174" t="n">
        <v>1</v>
      </c>
      <c r="E174" s="57" t="n">
        <v>65</v>
      </c>
      <c r="F174" s="57" t="n">
        <v>8</v>
      </c>
      <c r="G174" s="57" t="n">
        <v>7</v>
      </c>
      <c r="H174" s="57" t="n">
        <v>0</v>
      </c>
      <c r="I174" s="57" t="n">
        <v>5.2</v>
      </c>
      <c r="J174" s="57" t="n">
        <v>0</v>
      </c>
      <c r="K174" s="57" t="n">
        <v>0</v>
      </c>
      <c r="L174" s="57" t="n">
        <v>7</v>
      </c>
      <c r="M174" s="57" t="n">
        <v>0</v>
      </c>
      <c r="N174" s="57" t="n">
        <v>0</v>
      </c>
      <c r="O174" s="57" t="n">
        <v>0</v>
      </c>
      <c r="P174" s="57" t="n">
        <v>0</v>
      </c>
      <c r="Q174" s="57" t="n">
        <v>0</v>
      </c>
      <c r="R174" s="57" t="n">
        <v>-0</v>
      </c>
      <c r="S174" s="57" t="n">
        <v>-0</v>
      </c>
      <c r="T174" s="57" t="n">
        <v>27.2</v>
      </c>
      <c r="U174" s="57" t="n">
        <v>0</v>
      </c>
      <c r="V174" s="57" t="n">
        <v>0</v>
      </c>
      <c r="W174" s="72" t="n">
        <v>27.2</v>
      </c>
    </row>
    <row r="175" ht="16" customHeight="1" thickBot="1">
      <c r="A175" s="65" t="inlineStr">
        <is>
          <t>M. Lucu</t>
        </is>
      </c>
      <c r="B175" t="inlineStr">
        <is>
          <t>France</t>
        </is>
      </c>
      <c r="C175" t="inlineStr">
        <is>
          <t>Scrum Half</t>
        </is>
      </c>
      <c r="D175" t="n">
        <v>1</v>
      </c>
      <c r="E175" s="57" t="n">
        <v>11</v>
      </c>
      <c r="F175" s="57" t="n">
        <v>0</v>
      </c>
      <c r="G175" s="57" t="n">
        <v>0</v>
      </c>
      <c r="H175" s="57" t="n">
        <v>0</v>
      </c>
      <c r="I175" s="57" t="n">
        <v>0.4</v>
      </c>
      <c r="J175" s="57" t="n">
        <v>0</v>
      </c>
      <c r="K175" s="57" t="n">
        <v>0</v>
      </c>
      <c r="L175" s="57" t="n">
        <v>0</v>
      </c>
      <c r="M175" s="57" t="n">
        <v>0</v>
      </c>
      <c r="N175" s="57" t="n">
        <v>0</v>
      </c>
      <c r="O175" s="57" t="n">
        <v>0</v>
      </c>
      <c r="P175" s="57" t="n">
        <v>0</v>
      </c>
      <c r="Q175" s="57" t="n">
        <v>0</v>
      </c>
      <c r="R175" s="57" t="n">
        <v>-0</v>
      </c>
      <c r="S175" s="57" t="n">
        <v>-0</v>
      </c>
      <c r="T175" s="57" t="n">
        <v>0.4</v>
      </c>
      <c r="U175" s="57" t="n">
        <v>0</v>
      </c>
      <c r="V175" s="57" t="n">
        <v>0</v>
      </c>
      <c r="W175" s="72" t="n">
        <v>0.4</v>
      </c>
    </row>
    <row r="176" ht="16" customHeight="1" thickBot="1">
      <c r="A176" s="63" t="inlineStr">
        <is>
          <t>D. Aldegheri</t>
        </is>
      </c>
      <c r="B176" t="inlineStr">
        <is>
          <t>France</t>
        </is>
      </c>
      <c r="C176" t="inlineStr">
        <is>
          <t>Prop</t>
        </is>
      </c>
      <c r="D176" t="n">
        <v>1</v>
      </c>
      <c r="E176" s="57" t="n">
        <v>50</v>
      </c>
      <c r="F176" s="57" t="n">
        <v>6</v>
      </c>
      <c r="G176" s="57" t="n">
        <v>0</v>
      </c>
      <c r="H176" s="57" t="n">
        <v>0</v>
      </c>
      <c r="I176" s="57" t="n">
        <v>0</v>
      </c>
      <c r="J176" s="57" t="n">
        <v>0</v>
      </c>
      <c r="K176" s="57" t="n">
        <v>0</v>
      </c>
      <c r="L176" s="57" t="n">
        <v>0</v>
      </c>
      <c r="M176" s="57" t="n">
        <v>0</v>
      </c>
      <c r="N176" s="57" t="n">
        <v>0</v>
      </c>
      <c r="O176" s="57" t="n">
        <v>0</v>
      </c>
      <c r="P176" s="57" t="n">
        <v>0</v>
      </c>
      <c r="Q176" s="57" t="n">
        <v>0</v>
      </c>
      <c r="R176" s="57" t="n">
        <v>-0</v>
      </c>
      <c r="S176" s="57" t="n">
        <v>-0</v>
      </c>
      <c r="T176" s="57" t="n">
        <v>6</v>
      </c>
      <c r="U176" s="57" t="n">
        <v>0</v>
      </c>
      <c r="V176" s="57" t="n">
        <v>0</v>
      </c>
      <c r="W176" s="72" t="n">
        <v>6</v>
      </c>
    </row>
    <row r="177" ht="16" customHeight="1" thickBot="1">
      <c r="A177" s="61" t="inlineStr">
        <is>
          <t>P. Mauvaka</t>
        </is>
      </c>
      <c r="B177" t="inlineStr">
        <is>
          <t>France</t>
        </is>
      </c>
      <c r="C177" t="inlineStr">
        <is>
          <t>Hooker</t>
        </is>
      </c>
      <c r="D177" t="n">
        <v>1</v>
      </c>
      <c r="E177" s="57" t="n">
        <v>19</v>
      </c>
      <c r="F177" s="57" t="n">
        <v>4</v>
      </c>
      <c r="G177" s="57" t="n">
        <v>0</v>
      </c>
      <c r="H177" s="57" t="n">
        <v>0</v>
      </c>
      <c r="I177" s="57" t="n">
        <v>0.2</v>
      </c>
      <c r="J177" s="57" t="n">
        <v>0</v>
      </c>
      <c r="K177" s="57" t="n">
        <v>0</v>
      </c>
      <c r="L177" s="57" t="n">
        <v>0</v>
      </c>
      <c r="M177" s="57" t="n">
        <v>0</v>
      </c>
      <c r="N177" s="57" t="n">
        <v>0</v>
      </c>
      <c r="O177" s="57" t="n">
        <v>0</v>
      </c>
      <c r="P177" s="57" t="n">
        <v>0</v>
      </c>
      <c r="Q177" s="57" t="n">
        <v>0</v>
      </c>
      <c r="R177" s="57" t="n">
        <v>-0</v>
      </c>
      <c r="S177" s="57" t="n">
        <v>-0</v>
      </c>
      <c r="T177" s="57" t="n">
        <v>4.2</v>
      </c>
      <c r="U177" s="57" t="n">
        <v>0</v>
      </c>
      <c r="V177" s="57" t="n">
        <v>0</v>
      </c>
      <c r="W177" s="72" t="n">
        <v>4.2</v>
      </c>
    </row>
    <row r="178" ht="16" customHeight="1" thickBot="1">
      <c r="A178" s="64" t="inlineStr">
        <is>
          <t>S. Cummings</t>
        </is>
      </c>
      <c r="B178" t="inlineStr">
        <is>
          <t>Scotland</t>
        </is>
      </c>
      <c r="C178" t="inlineStr">
        <is>
          <t>Second Row</t>
        </is>
      </c>
      <c r="D178" t="n">
        <v>1</v>
      </c>
      <c r="E178" s="57" t="n">
        <v>75</v>
      </c>
      <c r="F178" s="57" t="n">
        <v>9</v>
      </c>
      <c r="G178" s="57" t="n">
        <v>0</v>
      </c>
      <c r="H178" s="57" t="n">
        <v>0</v>
      </c>
      <c r="I178" s="57" t="n">
        <v>1.8</v>
      </c>
      <c r="J178" s="57" t="n">
        <v>0</v>
      </c>
      <c r="K178" s="57" t="n">
        <v>0</v>
      </c>
      <c r="L178" s="57" t="n">
        <v>0</v>
      </c>
      <c r="M178" s="57" t="n">
        <v>0</v>
      </c>
      <c r="N178" s="57" t="n">
        <v>0</v>
      </c>
      <c r="O178" s="57" t="n">
        <v>0</v>
      </c>
      <c r="P178" s="57" t="n">
        <v>0</v>
      </c>
      <c r="Q178" s="57" t="n">
        <v>0</v>
      </c>
      <c r="R178" s="57" t="n">
        <v>-0</v>
      </c>
      <c r="S178" s="57" t="n">
        <v>-0</v>
      </c>
      <c r="T178" s="57" t="n">
        <v>10.8</v>
      </c>
      <c r="U178" s="57" t="n">
        <v>0</v>
      </c>
      <c r="V178" s="57" t="n">
        <v>0</v>
      </c>
      <c r="W178" s="72" t="n">
        <v>10.8</v>
      </c>
    </row>
    <row r="179" ht="16" customHeight="1" thickBot="1">
      <c r="A179" s="61" t="inlineStr">
        <is>
          <t>R. Henshaw</t>
        </is>
      </c>
      <c r="B179" t="inlineStr">
        <is>
          <t>Ireland</t>
        </is>
      </c>
      <c r="C179" t="inlineStr">
        <is>
          <t>Centre</t>
        </is>
      </c>
      <c r="D179" t="n">
        <v>1</v>
      </c>
      <c r="E179" s="57" t="n">
        <v>14</v>
      </c>
      <c r="F179" s="57" t="n">
        <v>6</v>
      </c>
      <c r="G179" s="57" t="n">
        <v>0</v>
      </c>
      <c r="H179" s="57" t="n">
        <v>0</v>
      </c>
      <c r="I179" s="57" t="n">
        <v>0.8</v>
      </c>
      <c r="J179" s="57" t="n">
        <v>0</v>
      </c>
      <c r="K179" s="57" t="n">
        <v>0</v>
      </c>
      <c r="L179" s="57" t="n">
        <v>0</v>
      </c>
      <c r="M179" s="57" t="n">
        <v>0</v>
      </c>
      <c r="N179" s="57" t="n">
        <v>0</v>
      </c>
      <c r="O179" s="57" t="n">
        <v>0</v>
      </c>
      <c r="P179" s="57" t="n">
        <v>0</v>
      </c>
      <c r="Q179" s="57" t="n">
        <v>0</v>
      </c>
      <c r="R179" s="57" t="n">
        <v>-0</v>
      </c>
      <c r="S179" s="57" t="n">
        <v>-0</v>
      </c>
      <c r="T179" s="57" t="n">
        <v>6.8</v>
      </c>
      <c r="U179" s="57" t="n">
        <v>0</v>
      </c>
      <c r="V179" s="57" t="n">
        <v>0</v>
      </c>
      <c r="W179" s="72" t="n">
        <v>6.8</v>
      </c>
    </row>
    <row r="180" ht="16" customHeight="1" thickBot="1">
      <c r="A180" s="64" t="inlineStr">
        <is>
          <t>J. Gibson-Park</t>
        </is>
      </c>
      <c r="B180" t="inlineStr">
        <is>
          <t>Ireland</t>
        </is>
      </c>
      <c r="C180" t="inlineStr">
        <is>
          <t>Scrum Half</t>
        </is>
      </c>
      <c r="D180" t="n">
        <v>1</v>
      </c>
      <c r="E180" s="57" t="n">
        <v>27</v>
      </c>
      <c r="F180" s="57" t="n">
        <v>2</v>
      </c>
      <c r="G180" s="57" t="n">
        <v>0</v>
      </c>
      <c r="H180" s="57" t="n">
        <v>7</v>
      </c>
      <c r="I180" s="57" t="n">
        <v>6.8</v>
      </c>
      <c r="J180" s="57" t="n">
        <v>0</v>
      </c>
      <c r="K180" s="57" t="n">
        <v>0</v>
      </c>
      <c r="L180" s="57" t="n">
        <v>0</v>
      </c>
      <c r="M180" s="57" t="n">
        <v>0</v>
      </c>
      <c r="N180" s="57" t="n">
        <v>7</v>
      </c>
      <c r="O180" s="57" t="n">
        <v>0</v>
      </c>
      <c r="P180" s="57" t="n">
        <v>0</v>
      </c>
      <c r="Q180" s="57" t="n">
        <v>0</v>
      </c>
      <c r="R180" s="57" t="n">
        <v>-0</v>
      </c>
      <c r="S180" s="57" t="n">
        <v>-0</v>
      </c>
      <c r="T180" s="57" t="n">
        <v>22.8</v>
      </c>
      <c r="U180" s="57" t="n">
        <v>0</v>
      </c>
      <c r="V180" s="57" t="n">
        <v>0</v>
      </c>
      <c r="W180" s="72" t="n">
        <v>22.8</v>
      </c>
    </row>
    <row r="181" ht="16" customHeight="1" thickBot="1">
      <c r="A181" s="65" t="inlineStr">
        <is>
          <t>T. Furlong</t>
        </is>
      </c>
      <c r="B181" t="inlineStr">
        <is>
          <t>Ireland</t>
        </is>
      </c>
      <c r="C181" t="inlineStr">
        <is>
          <t>Prop</t>
        </is>
      </c>
      <c r="D181" t="n">
        <v>1</v>
      </c>
      <c r="E181" s="57" t="n">
        <v>65</v>
      </c>
      <c r="F181" s="57" t="n">
        <v>11</v>
      </c>
      <c r="G181" s="57" t="n">
        <v>0</v>
      </c>
      <c r="H181" s="57" t="n">
        <v>0</v>
      </c>
      <c r="I181" s="57" t="n">
        <v>8.199999999999999</v>
      </c>
      <c r="J181" s="57" t="n">
        <v>0</v>
      </c>
      <c r="K181" s="57" t="n">
        <v>0</v>
      </c>
      <c r="L181" s="57" t="n">
        <v>0</v>
      </c>
      <c r="M181" s="57" t="n">
        <v>0</v>
      </c>
      <c r="N181" s="57" t="n">
        <v>0</v>
      </c>
      <c r="O181" s="57" t="n">
        <v>0</v>
      </c>
      <c r="P181" s="57" t="n">
        <v>0</v>
      </c>
      <c r="Q181" s="57" t="n">
        <v>0</v>
      </c>
      <c r="R181" s="57" t="n">
        <v>-0</v>
      </c>
      <c r="S181" s="57" t="n">
        <v>-0</v>
      </c>
      <c r="T181" s="57" t="n">
        <v>19.2</v>
      </c>
      <c r="U181" s="57" t="n">
        <v>0</v>
      </c>
      <c r="V181" s="57" t="n">
        <v>0</v>
      </c>
      <c r="W181" s="72" t="n">
        <v>19.2</v>
      </c>
    </row>
    <row r="182" ht="16" customHeight="1" thickBot="1">
      <c r="A182" s="66" t="inlineStr">
        <is>
          <t>C. Healy</t>
        </is>
      </c>
      <c r="B182" s="48" t="inlineStr">
        <is>
          <t>Ireland</t>
        </is>
      </c>
      <c r="C182" s="48" t="inlineStr">
        <is>
          <t>Prop</t>
        </is>
      </c>
      <c r="D182" s="48" t="n">
        <v>1</v>
      </c>
      <c r="E182" s="67" t="n">
        <v>32</v>
      </c>
      <c r="F182" s="67" t="n">
        <v>1</v>
      </c>
      <c r="G182" s="67" t="n">
        <v>0</v>
      </c>
      <c r="H182" s="67" t="n">
        <v>0</v>
      </c>
      <c r="I182" s="67" t="n">
        <v>3</v>
      </c>
      <c r="J182" s="67" t="n">
        <v>0</v>
      </c>
      <c r="K182" s="67" t="n">
        <v>0</v>
      </c>
      <c r="L182" s="67" t="n">
        <v>0</v>
      </c>
      <c r="M182" s="67" t="n">
        <v>0</v>
      </c>
      <c r="N182" s="67" t="n">
        <v>0</v>
      </c>
      <c r="O182" s="67" t="n">
        <v>0</v>
      </c>
      <c r="P182" s="67" t="n">
        <v>0</v>
      </c>
      <c r="Q182" s="67" t="n">
        <v>0</v>
      </c>
      <c r="R182" s="67" t="n">
        <v>-0</v>
      </c>
      <c r="S182" s="67" t="n">
        <v>-0</v>
      </c>
      <c r="T182" s="67" t="n">
        <v>4</v>
      </c>
      <c r="U182" s="67" t="n">
        <v>0</v>
      </c>
      <c r="V182" s="67" t="n">
        <v>0</v>
      </c>
      <c r="W182" s="73" t="n">
        <v>4</v>
      </c>
    </row>
  </sheetData>
  <mergeCells count="1">
    <mergeCell ref="E5:T5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 filterMode="1">
    <outlinePr summaryBelow="1" summaryRight="1"/>
    <pageSetUpPr/>
  </sheetPr>
  <dimension ref="A3:T392"/>
  <sheetViews>
    <sheetView topLeftCell="B1" workbookViewId="0">
      <selection activeCell="O4" sqref="O4"/>
    </sheetView>
  </sheetViews>
  <sheetFormatPr baseColWidth="10" defaultColWidth="8.83203125" defaultRowHeight="15"/>
  <cols>
    <col width="14" customWidth="1" min="19" max="19"/>
  </cols>
  <sheetData>
    <row r="3" ht="16" customHeight="1" thickBot="1">
      <c r="A3" t="inlineStr">
        <is>
          <t>Subs</t>
        </is>
      </c>
      <c r="H3" t="inlineStr">
        <is>
          <t>Name</t>
        </is>
      </c>
      <c r="I3" t="inlineStr">
        <is>
          <t>Round 1</t>
        </is>
      </c>
      <c r="J3" t="inlineStr">
        <is>
          <t>Round 2</t>
        </is>
      </c>
      <c r="K3" t="inlineStr">
        <is>
          <t>Round 3</t>
        </is>
      </c>
      <c r="L3" t="inlineStr">
        <is>
          <t>Round 4</t>
        </is>
      </c>
      <c r="N3" t="inlineStr">
        <is>
          <t>Name</t>
        </is>
      </c>
      <c r="O3" t="inlineStr">
        <is>
          <t>Round 1</t>
        </is>
      </c>
      <c r="P3" t="inlineStr">
        <is>
          <t>Round 2</t>
        </is>
      </c>
      <c r="Q3" t="inlineStr">
        <is>
          <t>Round 3</t>
        </is>
      </c>
      <c r="R3" t="inlineStr">
        <is>
          <t>Round 4</t>
        </is>
      </c>
      <c r="S3" t="inlineStr">
        <is>
          <t>No. of Games</t>
        </is>
      </c>
      <c r="T3" t="inlineStr">
        <is>
          <t>Average</t>
        </is>
      </c>
    </row>
    <row r="4" ht="16" customHeight="1" thickBot="1">
      <c r="A4" s="39" t="inlineStr">
        <is>
          <t>Name</t>
        </is>
      </c>
      <c r="B4" s="40" t="inlineStr">
        <is>
          <t>Nation</t>
        </is>
      </c>
      <c r="C4" s="40" t="inlineStr">
        <is>
          <t>Position</t>
        </is>
      </c>
      <c r="D4" s="40" t="inlineStr">
        <is>
          <t>Time Played</t>
        </is>
      </c>
      <c r="H4" s="83" t="inlineStr">
        <is>
          <t>A. Cuthbert</t>
        </is>
      </c>
      <c r="I4" s="36">
        <f>_xlfn.XLOOKUP(H4,$A$5:$A$96,$E$5:$E$96,0)</f>
        <v/>
      </c>
      <c r="J4" s="36">
        <f>_xlfn.XLOOKUP(H4,$A$100:$A$197,$E$100:$E$197,0)</f>
        <v/>
      </c>
      <c r="K4">
        <f>_xlfn.XLOOKUP(H4,$A$202:$A$292,$E$202:$E$292,0)</f>
        <v/>
      </c>
      <c r="L4">
        <f>_xlfn.XLOOKUP(H4,$A$296:$A$392,$E$296:$E$392,0)</f>
        <v/>
      </c>
      <c r="N4" s="36" t="inlineStr">
        <is>
          <t>A. Cuthbert</t>
        </is>
      </c>
      <c r="O4" t="n">
        <v>6.600000000000001</v>
      </c>
      <c r="P4" t="n">
        <v>10.4</v>
      </c>
      <c r="Q4" t="inlineStr"/>
      <c r="R4" t="inlineStr"/>
      <c r="S4">
        <f>COUNT(O4:R4)</f>
        <v/>
      </c>
      <c r="T4" s="56">
        <f>IF(S4=0,"",SUM(O4:R4)/S4)</f>
        <v/>
      </c>
    </row>
    <row r="5" hidden="1">
      <c r="A5" s="36" t="inlineStr">
        <is>
          <t>A. Cuthbert</t>
        </is>
      </c>
      <c r="B5" s="36" t="inlineStr">
        <is>
          <t>Wales</t>
        </is>
      </c>
      <c r="C5" s="36" t="inlineStr">
        <is>
          <t>Back Three</t>
        </is>
      </c>
      <c r="D5" s="37" t="n">
        <v>12</v>
      </c>
      <c r="E5" s="36" t="inlineStr">
        <is>
          <t>y</t>
        </is>
      </c>
      <c r="F5" s="36" t="inlineStr">
        <is>
          <t>Round 1</t>
        </is>
      </c>
      <c r="H5" s="36" t="inlineStr">
        <is>
          <t>R. Dyer</t>
        </is>
      </c>
      <c r="I5" s="36">
        <f>_xlfn.XLOOKUP(H5,$A$5:$A$96,$E$5:$E$96,0)</f>
        <v/>
      </c>
      <c r="J5" s="36">
        <f>_xlfn.XLOOKUP(H5,$A$100:$A$197,$E$100:$E$197,0)</f>
        <v/>
      </c>
      <c r="K5">
        <f>_xlfn.XLOOKUP(H5,$A$202:$A$292,$E$202:$E$292,0)</f>
        <v/>
      </c>
      <c r="L5">
        <f>_xlfn.XLOOKUP(H5,$A$296:$A$392,$E$296:$E$392,0)</f>
        <v/>
      </c>
      <c r="N5" s="36" t="inlineStr">
        <is>
          <t>R. Dyer</t>
        </is>
      </c>
      <c r="O5" t="inlineStr"/>
      <c r="P5" t="inlineStr"/>
      <c r="Q5" t="inlineStr"/>
      <c r="R5" t="inlineStr"/>
      <c r="S5">
        <f>COUNT(O5:R5)</f>
        <v/>
      </c>
      <c r="T5" s="56">
        <f>IF(S5=0,"",SUM(O5:R5)/S5)</f>
        <v/>
      </c>
    </row>
    <row r="6" hidden="1">
      <c r="A6" s="36" t="inlineStr">
        <is>
          <t>R. Dyer</t>
        </is>
      </c>
      <c r="B6" s="36" t="inlineStr">
        <is>
          <t>Wales</t>
        </is>
      </c>
      <c r="C6" s="36" t="inlineStr">
        <is>
          <t>Back Three</t>
        </is>
      </c>
      <c r="D6" s="37" t="n">
        <v>68</v>
      </c>
      <c r="F6" s="36" t="inlineStr">
        <is>
          <t>Round 1</t>
        </is>
      </c>
      <c r="H6" s="36" t="inlineStr">
        <is>
          <t>L. Williams</t>
        </is>
      </c>
      <c r="I6" s="36">
        <f>_xlfn.XLOOKUP(H6,$A$5:$A$96,$E$5:$E$96,0)</f>
        <v/>
      </c>
      <c r="J6" s="36">
        <f>_xlfn.XLOOKUP(H6,$A$100:$A$197,$E$100:$E$197,0)</f>
        <v/>
      </c>
      <c r="K6">
        <f>_xlfn.XLOOKUP(H6,$A$202:$A$292,$E$202:$E$292,0)</f>
        <v/>
      </c>
      <c r="L6">
        <f>_xlfn.XLOOKUP(H6,$A$296:$A$392,$E$296:$E$392,0)</f>
        <v/>
      </c>
      <c r="N6" s="36" t="inlineStr">
        <is>
          <t>L. Williams</t>
        </is>
      </c>
      <c r="O6" t="inlineStr"/>
      <c r="P6" t="inlineStr"/>
      <c r="Q6" t="inlineStr"/>
      <c r="R6" t="inlineStr"/>
      <c r="S6">
        <f>COUNT(O6:R6)</f>
        <v/>
      </c>
      <c r="T6" s="56">
        <f>IF(S6=0,"",SUM(O6:R6)/S6)</f>
        <v/>
      </c>
    </row>
    <row r="7">
      <c r="A7" s="36" t="inlineStr">
        <is>
          <t>L. Williams</t>
        </is>
      </c>
      <c r="B7" s="36" t="inlineStr">
        <is>
          <t>Wales</t>
        </is>
      </c>
      <c r="C7" s="36" t="inlineStr">
        <is>
          <t>Back Three</t>
        </is>
      </c>
      <c r="D7" s="37" t="n">
        <v>70</v>
      </c>
      <c r="F7" s="36" t="inlineStr">
        <is>
          <t>Round 1</t>
        </is>
      </c>
      <c r="H7" s="36" t="inlineStr">
        <is>
          <t>D. Biggar</t>
        </is>
      </c>
      <c r="I7" s="36">
        <f>_xlfn.XLOOKUP(H7,$A$5:$A$96,$E$5:$E$96,0)</f>
        <v/>
      </c>
      <c r="J7" s="36">
        <f>_xlfn.XLOOKUP(H7,$A$100:$A$197,$E$100:$E$197,0)</f>
        <v/>
      </c>
      <c r="K7">
        <f>_xlfn.XLOOKUP(H7,$A$202:$A$292,$E$202:$E$292,0)</f>
        <v/>
      </c>
      <c r="L7">
        <f>_xlfn.XLOOKUP(H7,$A$296:$A$392,$E$296:$E$392,0)</f>
        <v/>
      </c>
      <c r="N7" s="36" t="inlineStr">
        <is>
          <t>D. Biggar</t>
        </is>
      </c>
      <c r="O7" t="inlineStr"/>
      <c r="P7" t="inlineStr"/>
      <c r="Q7" t="n">
        <v>4</v>
      </c>
      <c r="R7" t="inlineStr"/>
      <c r="S7">
        <f>COUNT(O7:R7)</f>
        <v/>
      </c>
      <c r="T7" s="56">
        <f>IF(S7=0,"",SUM(O7:R7)/S7)</f>
        <v/>
      </c>
    </row>
    <row r="8">
      <c r="A8" s="36" t="inlineStr">
        <is>
          <t>D. Biggar</t>
        </is>
      </c>
      <c r="B8" s="36" t="inlineStr">
        <is>
          <t>Wales</t>
        </is>
      </c>
      <c r="C8" s="36" t="inlineStr">
        <is>
          <t>Fly Half</t>
        </is>
      </c>
      <c r="D8" s="37" t="n">
        <v>67</v>
      </c>
      <c r="F8" s="36" t="inlineStr">
        <is>
          <t>Round 1</t>
        </is>
      </c>
      <c r="H8" s="36" t="inlineStr">
        <is>
          <t>O. Williams</t>
        </is>
      </c>
      <c r="I8" s="36">
        <f>_xlfn.XLOOKUP(H8,$A$5:$A$96,$E$5:$E$96,0)</f>
        <v/>
      </c>
      <c r="J8" s="36">
        <f>_xlfn.XLOOKUP(H8,$A$100:$A$197,$E$100:$E$197,0)</f>
        <v/>
      </c>
      <c r="K8">
        <f>_xlfn.XLOOKUP(H8,$A$202:$A$292,$E$202:$E$292,0)</f>
        <v/>
      </c>
      <c r="L8">
        <f>_xlfn.XLOOKUP(H8,$A$296:$A$392,$E$296:$E$392,0)</f>
        <v/>
      </c>
      <c r="N8" s="36" t="inlineStr">
        <is>
          <t>O. Williams</t>
        </is>
      </c>
      <c r="O8" t="n">
        <v>1.8</v>
      </c>
      <c r="P8" t="inlineStr"/>
      <c r="Q8" t="inlineStr"/>
      <c r="R8" t="inlineStr"/>
      <c r="S8">
        <f>COUNT(O8:R8)</f>
        <v/>
      </c>
      <c r="T8" s="56">
        <f>IF(S8=0,"",SUM(O8:R8)/S8)</f>
        <v/>
      </c>
    </row>
    <row r="9">
      <c r="A9" s="36" t="inlineStr">
        <is>
          <t>O. Williams</t>
        </is>
      </c>
      <c r="B9" s="36" t="inlineStr">
        <is>
          <t>Wales</t>
        </is>
      </c>
      <c r="C9" s="36" t="inlineStr">
        <is>
          <t>Fly Half</t>
        </is>
      </c>
      <c r="D9" s="37" t="n">
        <v>13</v>
      </c>
      <c r="E9" s="36" t="inlineStr">
        <is>
          <t>y</t>
        </is>
      </c>
      <c r="F9" s="36" t="inlineStr">
        <is>
          <t>Round 1</t>
        </is>
      </c>
      <c r="H9" s="36" t="inlineStr">
        <is>
          <t>R. Webb</t>
        </is>
      </c>
      <c r="I9" s="36">
        <f>_xlfn.XLOOKUP(H9,$A$5:$A$96,$E$5:$E$96,0)</f>
        <v/>
      </c>
      <c r="J9" s="36">
        <f>_xlfn.XLOOKUP(H9,$A$100:$A$197,$E$100:$E$197,0)</f>
        <v/>
      </c>
      <c r="K9">
        <f>_xlfn.XLOOKUP(H9,$A$202:$A$292,$E$202:$E$292,0)</f>
        <v/>
      </c>
      <c r="L9">
        <f>_xlfn.XLOOKUP(H9,$A$296:$A$392,$E$296:$E$392,0)</f>
        <v/>
      </c>
      <c r="N9" s="36" t="inlineStr">
        <is>
          <t>R. Webb</t>
        </is>
      </c>
      <c r="O9" t="n">
        <v>9.199999999999999</v>
      </c>
      <c r="P9" t="n">
        <v>-3</v>
      </c>
      <c r="Q9" t="inlineStr"/>
      <c r="R9" t="inlineStr"/>
      <c r="S9">
        <f>COUNT(O9:R9)</f>
        <v/>
      </c>
      <c r="T9" s="56">
        <f>IF(S9=0,"",SUM(O9:R9)/S9)</f>
        <v/>
      </c>
    </row>
    <row r="10">
      <c r="A10" s="36" t="inlineStr">
        <is>
          <t>R. Webb</t>
        </is>
      </c>
      <c r="B10" s="36" t="inlineStr">
        <is>
          <t>Wales</t>
        </is>
      </c>
      <c r="C10" s="36" t="inlineStr">
        <is>
          <t>Scrum Half</t>
        </is>
      </c>
      <c r="D10" s="37" t="n">
        <v>17</v>
      </c>
      <c r="E10" s="36" t="inlineStr">
        <is>
          <t>y</t>
        </is>
      </c>
      <c r="F10" s="36" t="inlineStr">
        <is>
          <t>Round 1</t>
        </is>
      </c>
      <c r="H10" s="36" t="inlineStr">
        <is>
          <t>T. Williams</t>
        </is>
      </c>
      <c r="I10" s="36">
        <f>_xlfn.XLOOKUP(H10,$A$5:$A$96,$E$5:$E$96,0)</f>
        <v/>
      </c>
      <c r="J10" s="36">
        <f>_xlfn.XLOOKUP(H10,$A$100:$A$197,$E$100:$E$197,0)</f>
        <v/>
      </c>
      <c r="K10">
        <f>_xlfn.XLOOKUP(H10,$A$202:$A$292,$E$202:$E$292,0)</f>
        <v/>
      </c>
      <c r="L10">
        <f>_xlfn.XLOOKUP(H10,$A$296:$A$392,$E$296:$E$392,0)</f>
        <v/>
      </c>
      <c r="N10" s="36" t="inlineStr">
        <is>
          <t>T. Williams</t>
        </is>
      </c>
      <c r="O10" t="inlineStr"/>
      <c r="P10" t="inlineStr"/>
      <c r="Q10" t="inlineStr"/>
      <c r="R10" t="n">
        <v>2</v>
      </c>
      <c r="S10">
        <f>COUNT(O10:R10)</f>
        <v/>
      </c>
      <c r="T10" s="56">
        <f>IF(S10=0,"",SUM(O10:R10)/S10)</f>
        <v/>
      </c>
    </row>
    <row r="11">
      <c r="A11" s="36" t="inlineStr">
        <is>
          <t>T. Williams</t>
        </is>
      </c>
      <c r="B11" s="36" t="inlineStr">
        <is>
          <t>Wales</t>
        </is>
      </c>
      <c r="C11" s="36" t="inlineStr">
        <is>
          <t>Scrum Half</t>
        </is>
      </c>
      <c r="D11" s="37" t="n">
        <v>63</v>
      </c>
      <c r="F11" s="36" t="inlineStr">
        <is>
          <t>Round 1</t>
        </is>
      </c>
      <c r="H11" s="36" t="inlineStr">
        <is>
          <t>T. Reffell</t>
        </is>
      </c>
      <c r="I11" s="36">
        <f>_xlfn.XLOOKUP(H11,$A$5:$A$96,$E$5:$E$96,0)</f>
        <v/>
      </c>
      <c r="J11" s="36">
        <f>_xlfn.XLOOKUP(H11,$A$100:$A$197,$E$100:$E$197,0)</f>
        <v/>
      </c>
      <c r="K11">
        <f>_xlfn.XLOOKUP(H11,$A$202:$A$292,$E$202:$E$292,0)</f>
        <v/>
      </c>
      <c r="L11">
        <f>_xlfn.XLOOKUP(H11,$A$296:$A$392,$E$296:$E$392,0)</f>
        <v/>
      </c>
      <c r="N11" s="36" t="inlineStr">
        <is>
          <t>T. Reffell</t>
        </is>
      </c>
      <c r="O11" t="n">
        <v>8</v>
      </c>
      <c r="P11" t="inlineStr"/>
      <c r="Q11" t="n">
        <v>8</v>
      </c>
      <c r="R11" t="n">
        <v>1</v>
      </c>
      <c r="S11">
        <f>COUNT(O11:R11)</f>
        <v/>
      </c>
      <c r="T11" s="56">
        <f>IF(S11=0,"",SUM(O11:R11)/S11)</f>
        <v/>
      </c>
    </row>
    <row r="12" hidden="1">
      <c r="A12" s="36" t="inlineStr">
        <is>
          <t>T. Reffell</t>
        </is>
      </c>
      <c r="B12" s="36" t="inlineStr">
        <is>
          <t>Wales</t>
        </is>
      </c>
      <c r="C12" s="36" t="inlineStr">
        <is>
          <t>Back Row</t>
        </is>
      </c>
      <c r="D12" s="37" t="n">
        <v>26</v>
      </c>
      <c r="E12" s="36" t="inlineStr">
        <is>
          <t>y</t>
        </is>
      </c>
      <c r="F12" s="36" t="inlineStr">
        <is>
          <t>Round 1</t>
        </is>
      </c>
      <c r="H12" s="36" t="inlineStr">
        <is>
          <t>J. Tipuric</t>
        </is>
      </c>
      <c r="I12" s="36">
        <f>_xlfn.XLOOKUP(H12,$A$5:$A$96,$E$5:$E$96,0)</f>
        <v/>
      </c>
      <c r="J12" s="36">
        <f>_xlfn.XLOOKUP(H12,$A$100:$A$197,$E$100:$E$197,0)</f>
        <v/>
      </c>
      <c r="K12">
        <f>_xlfn.XLOOKUP(H12,$A$202:$A$292,$E$202:$E$292,0)</f>
        <v/>
      </c>
      <c r="L12">
        <f>_xlfn.XLOOKUP(H12,$A$296:$A$392,$E$296:$E$392,0)</f>
        <v/>
      </c>
      <c r="N12" s="36" t="inlineStr">
        <is>
          <t>J. Tipuric</t>
        </is>
      </c>
      <c r="O12" t="inlineStr"/>
      <c r="P12" t="inlineStr"/>
      <c r="Q12" t="inlineStr"/>
      <c r="R12" t="inlineStr"/>
      <c r="S12">
        <f>COUNT(O12:R12)</f>
        <v/>
      </c>
      <c r="T12" s="56">
        <f>IF(S12=0,"",SUM(O12:R12)/S12)</f>
        <v/>
      </c>
    </row>
    <row r="13">
      <c r="A13" s="36" t="inlineStr">
        <is>
          <t>J. Tipuric</t>
        </is>
      </c>
      <c r="B13" s="36" t="inlineStr">
        <is>
          <t>Wales</t>
        </is>
      </c>
      <c r="C13" s="36" t="inlineStr">
        <is>
          <t>Back Row</t>
        </is>
      </c>
      <c r="D13" s="37" t="n">
        <v>54</v>
      </c>
      <c r="F13" s="36" t="inlineStr">
        <is>
          <t>Round 1</t>
        </is>
      </c>
      <c r="H13" s="36" t="inlineStr">
        <is>
          <t>D. Jenkins</t>
        </is>
      </c>
      <c r="I13" s="36">
        <f>_xlfn.XLOOKUP(H13,$A$5:$A$96,$E$5:$E$96,0)</f>
        <v/>
      </c>
      <c r="J13" s="36">
        <f>_xlfn.XLOOKUP(H13,$A$100:$A$197,$E$100:$E$197,0)</f>
        <v/>
      </c>
      <c r="K13">
        <f>_xlfn.XLOOKUP(H13,$A$202:$A$292,$E$202:$E$292,0)</f>
        <v/>
      </c>
      <c r="L13">
        <f>_xlfn.XLOOKUP(H13,$A$296:$A$392,$E$296:$E$392,0)</f>
        <v/>
      </c>
      <c r="N13" s="36" t="inlineStr">
        <is>
          <t>D. Jenkins</t>
        </is>
      </c>
      <c r="O13" t="n">
        <v>10</v>
      </c>
      <c r="P13" t="inlineStr"/>
      <c r="Q13" t="n">
        <v>5.6</v>
      </c>
      <c r="R13" t="inlineStr"/>
      <c r="S13">
        <f>COUNT(O13:R13)</f>
        <v/>
      </c>
      <c r="T13" s="56">
        <f>IF(S13=0,"",SUM(O13:R13)/S13)</f>
        <v/>
      </c>
    </row>
    <row r="14" hidden="1">
      <c r="A14" s="36" t="inlineStr">
        <is>
          <t>D. Jenkins</t>
        </is>
      </c>
      <c r="B14" s="36" t="inlineStr">
        <is>
          <t>Wales</t>
        </is>
      </c>
      <c r="C14" s="36" t="inlineStr">
        <is>
          <t>Second Row</t>
        </is>
      </c>
      <c r="D14" s="37" t="n">
        <v>19</v>
      </c>
      <c r="E14" s="36" t="inlineStr">
        <is>
          <t>y</t>
        </is>
      </c>
      <c r="F14" s="36" t="inlineStr">
        <is>
          <t>Round 1</t>
        </is>
      </c>
      <c r="H14" s="36" t="inlineStr">
        <is>
          <t>A. Jones</t>
        </is>
      </c>
      <c r="I14" s="36">
        <f>_xlfn.XLOOKUP(H14,$A$5:$A$96,$E$5:$E$96,0)</f>
        <v/>
      </c>
      <c r="J14" s="36">
        <f>_xlfn.XLOOKUP(H14,$A$100:$A$197,$E$100:$E$197,0)</f>
        <v/>
      </c>
      <c r="K14">
        <f>_xlfn.XLOOKUP(H14,$A$202:$A$292,$E$202:$E$292,0)</f>
        <v/>
      </c>
      <c r="L14">
        <f>_xlfn.XLOOKUP(H14,$A$296:$A$392,$E$296:$E$392,0)</f>
        <v/>
      </c>
      <c r="N14" s="36" t="inlineStr">
        <is>
          <t>A. Jones</t>
        </is>
      </c>
      <c r="O14" t="inlineStr"/>
      <c r="P14" t="inlineStr"/>
      <c r="Q14" t="inlineStr"/>
      <c r="R14" t="inlineStr"/>
      <c r="S14">
        <f>COUNT(O14:R14)</f>
        <v/>
      </c>
      <c r="T14" s="56">
        <f>IF(S14=0,"",SUM(O14:R14)/S14)</f>
        <v/>
      </c>
    </row>
    <row r="15">
      <c r="A15" s="36" t="inlineStr">
        <is>
          <t>A. Jones</t>
        </is>
      </c>
      <c r="B15" s="36" t="inlineStr">
        <is>
          <t>Wales</t>
        </is>
      </c>
      <c r="C15" s="36" t="inlineStr">
        <is>
          <t>Second Row</t>
        </is>
      </c>
      <c r="D15" s="37" t="n">
        <v>61</v>
      </c>
      <c r="F15" s="36" t="inlineStr">
        <is>
          <t>Round 1</t>
        </is>
      </c>
      <c r="H15" s="36" t="inlineStr">
        <is>
          <t>R. Carre</t>
        </is>
      </c>
      <c r="I15" s="36">
        <f>_xlfn.XLOOKUP(H15,$A$5:$A$96,$E$5:$E$96,0)</f>
        <v/>
      </c>
      <c r="J15" s="36">
        <f>_xlfn.XLOOKUP(H15,$A$100:$A$197,$E$100:$E$197,0)</f>
        <v/>
      </c>
      <c r="K15">
        <f>_xlfn.XLOOKUP(H15,$A$202:$A$292,$E$202:$E$292,0)</f>
        <v/>
      </c>
      <c r="L15">
        <f>_xlfn.XLOOKUP(H15,$A$296:$A$392,$E$296:$E$392,0)</f>
        <v/>
      </c>
      <c r="N15" s="36" t="inlineStr">
        <is>
          <t>R. Carre</t>
        </is>
      </c>
      <c r="O15" t="n">
        <v>10</v>
      </c>
      <c r="P15" t="n">
        <v>6.600000000000001</v>
      </c>
      <c r="Q15" t="n">
        <v>7.800000000000001</v>
      </c>
      <c r="R15" t="inlineStr"/>
      <c r="S15">
        <f>COUNT(O15:R15)</f>
        <v/>
      </c>
      <c r="T15" s="56">
        <f>IF(S15=0,"",SUM(O15:R15)/S15)</f>
        <v/>
      </c>
    </row>
    <row r="16" hidden="1">
      <c r="A16" s="36" t="inlineStr">
        <is>
          <t>R. Carre</t>
        </is>
      </c>
      <c r="B16" s="36" t="inlineStr">
        <is>
          <t>Wales</t>
        </is>
      </c>
      <c r="C16" s="36" t="inlineStr">
        <is>
          <t>Prop</t>
        </is>
      </c>
      <c r="D16" s="37" t="n">
        <v>26</v>
      </c>
      <c r="E16" s="36" t="inlineStr">
        <is>
          <t>y</t>
        </is>
      </c>
      <c r="F16" s="36" t="inlineStr">
        <is>
          <t>Round 1</t>
        </is>
      </c>
      <c r="H16" s="36" t="inlineStr">
        <is>
          <t>T. Francis</t>
        </is>
      </c>
      <c r="I16" s="36">
        <f>_xlfn.XLOOKUP(H16,$A$5:$A$96,$E$5:$E$96,0)</f>
        <v/>
      </c>
      <c r="J16" s="36">
        <f>_xlfn.XLOOKUP(H16,$A$100:$A$197,$E$100:$E$197,0)</f>
        <v/>
      </c>
      <c r="K16">
        <f>_xlfn.XLOOKUP(H16,$A$202:$A$292,$E$202:$E$292,0)</f>
        <v/>
      </c>
      <c r="L16">
        <f>_xlfn.XLOOKUP(H16,$A$296:$A$392,$E$296:$E$392,0)</f>
        <v/>
      </c>
      <c r="N16" s="36" t="inlineStr">
        <is>
          <t>T. Francis</t>
        </is>
      </c>
      <c r="O16" t="inlineStr"/>
      <c r="P16" t="inlineStr"/>
      <c r="Q16" t="inlineStr"/>
      <c r="R16" t="inlineStr"/>
      <c r="S16">
        <f>COUNT(O16:R16)</f>
        <v/>
      </c>
      <c r="T16" s="56">
        <f>IF(S16=0,"",SUM(O16:R16)/S16)</f>
        <v/>
      </c>
    </row>
    <row r="17">
      <c r="A17" s="36" t="inlineStr">
        <is>
          <t>T. Francis</t>
        </is>
      </c>
      <c r="B17" s="36" t="inlineStr">
        <is>
          <t>Wales</t>
        </is>
      </c>
      <c r="C17" s="36" t="inlineStr">
        <is>
          <t>Prop</t>
        </is>
      </c>
      <c r="D17" s="37" t="n">
        <v>40</v>
      </c>
      <c r="F17" s="36" t="inlineStr">
        <is>
          <t>Round 1</t>
        </is>
      </c>
      <c r="H17" s="36" t="inlineStr">
        <is>
          <t>D. Lewis</t>
        </is>
      </c>
      <c r="I17" s="36">
        <f>_xlfn.XLOOKUP(H17,$A$5:$A$96,$E$5:$E$96,0)</f>
        <v/>
      </c>
      <c r="J17" s="36">
        <f>_xlfn.XLOOKUP(H17,$A$100:$A$197,$E$100:$E$197,0)</f>
        <v/>
      </c>
      <c r="K17">
        <f>_xlfn.XLOOKUP(H17,$A$202:$A$292,$E$202:$E$292,0)</f>
        <v/>
      </c>
      <c r="L17">
        <f>_xlfn.XLOOKUP(H17,$A$296:$A$392,$E$296:$E$392,0)</f>
        <v/>
      </c>
      <c r="N17" s="36" t="inlineStr">
        <is>
          <t>D. Lewis</t>
        </is>
      </c>
      <c r="O17" t="n">
        <v>6.4</v>
      </c>
      <c r="P17" t="inlineStr"/>
      <c r="Q17" t="n">
        <v>2.6</v>
      </c>
      <c r="R17" t="n">
        <v>4</v>
      </c>
      <c r="S17">
        <f>COUNT(O17:R17)</f>
        <v/>
      </c>
      <c r="T17" s="56">
        <f>IF(S17=0,"",SUM(O17:R17)/S17)</f>
        <v/>
      </c>
    </row>
    <row r="18">
      <c r="A18" s="36" t="inlineStr">
        <is>
          <t>D. Lewis</t>
        </is>
      </c>
      <c r="B18" s="36" t="inlineStr">
        <is>
          <t>Wales</t>
        </is>
      </c>
      <c r="C18" s="36" t="inlineStr">
        <is>
          <t>Prop</t>
        </is>
      </c>
      <c r="D18" s="37" t="n">
        <v>40</v>
      </c>
      <c r="E18" s="36" t="inlineStr">
        <is>
          <t>y</t>
        </is>
      </c>
      <c r="F18" s="36" t="inlineStr">
        <is>
          <t>Round 1</t>
        </is>
      </c>
      <c r="H18" s="36" t="inlineStr">
        <is>
          <t>G. Thomas</t>
        </is>
      </c>
      <c r="I18" s="36">
        <f>_xlfn.XLOOKUP(H18,$A$5:$A$96,$E$5:$E$96,0)</f>
        <v/>
      </c>
      <c r="J18" s="36">
        <f>_xlfn.XLOOKUP(H18,$A$100:$A$197,$E$100:$E$197,0)</f>
        <v/>
      </c>
      <c r="K18">
        <f>_xlfn.XLOOKUP(H18,$A$202:$A$292,$E$202:$E$292,0)</f>
        <v/>
      </c>
      <c r="L18">
        <f>_xlfn.XLOOKUP(H18,$A$296:$A$392,$E$296:$E$392,0)</f>
        <v/>
      </c>
      <c r="N18" s="36" t="inlineStr">
        <is>
          <t>G. Thomas</t>
        </is>
      </c>
      <c r="O18" t="inlineStr"/>
      <c r="P18" t="inlineStr"/>
      <c r="Q18" t="inlineStr"/>
      <c r="R18" t="n">
        <v>4</v>
      </c>
      <c r="S18">
        <f>COUNT(O18:R18)</f>
        <v/>
      </c>
      <c r="T18" s="56">
        <f>IF(S18=0,"",SUM(O18:R18)/S18)</f>
        <v/>
      </c>
    </row>
    <row r="19">
      <c r="A19" s="36" t="inlineStr">
        <is>
          <t>G. Thomas</t>
        </is>
      </c>
      <c r="B19" s="36" t="inlineStr">
        <is>
          <t>Wales</t>
        </is>
      </c>
      <c r="C19" s="36" t="inlineStr">
        <is>
          <t>Prop</t>
        </is>
      </c>
      <c r="D19" s="37" t="n">
        <v>54</v>
      </c>
      <c r="F19" s="36" t="inlineStr">
        <is>
          <t>Round 1</t>
        </is>
      </c>
      <c r="H19" s="36" t="inlineStr">
        <is>
          <t>S. Baldwin</t>
        </is>
      </c>
      <c r="I19" s="36">
        <f>_xlfn.XLOOKUP(H19,$A$5:$A$96,$E$5:$E$96,0)</f>
        <v/>
      </c>
      <c r="J19" s="36">
        <f>_xlfn.XLOOKUP(H19,$A$100:$A$197,$E$100:$E$197,0)</f>
        <v/>
      </c>
      <c r="K19">
        <f>_xlfn.XLOOKUP(H19,$A$202:$A$292,$E$202:$E$292,0)</f>
        <v/>
      </c>
      <c r="L19">
        <f>_xlfn.XLOOKUP(H19,$A$296:$A$392,$E$296:$E$392,0)</f>
        <v/>
      </c>
      <c r="N19" s="36" t="inlineStr">
        <is>
          <t>S. Baldwin</t>
        </is>
      </c>
      <c r="O19" t="n">
        <v>5.800000000000001</v>
      </c>
      <c r="P19" t="n">
        <v>5.6</v>
      </c>
      <c r="Q19" t="inlineStr"/>
      <c r="R19" t="n">
        <v>2</v>
      </c>
      <c r="S19">
        <f>COUNT(O19:R19)</f>
        <v/>
      </c>
      <c r="T19" s="56">
        <f>IF(S19=0,"",SUM(O19:R19)/S19)</f>
        <v/>
      </c>
    </row>
    <row r="20" hidden="1">
      <c r="A20" s="36" t="inlineStr">
        <is>
          <t>S. Baldwin</t>
        </is>
      </c>
      <c r="B20" s="36" t="inlineStr">
        <is>
          <t>Wales</t>
        </is>
      </c>
      <c r="C20" s="36" t="inlineStr">
        <is>
          <t>Hooker</t>
        </is>
      </c>
      <c r="D20" s="37" t="n">
        <v>19</v>
      </c>
      <c r="E20" s="36" t="inlineStr">
        <is>
          <t>y</t>
        </is>
      </c>
      <c r="F20" s="36" t="inlineStr">
        <is>
          <t>Round 1</t>
        </is>
      </c>
      <c r="H20" s="36" t="inlineStr">
        <is>
          <t>K. Owens</t>
        </is>
      </c>
      <c r="I20" s="36">
        <f>_xlfn.XLOOKUP(H20,$A$5:$A$96,$E$5:$E$96,0)</f>
        <v/>
      </c>
      <c r="J20" s="36">
        <f>_xlfn.XLOOKUP(H20,$A$100:$A$197,$E$100:$E$197,0)</f>
        <v/>
      </c>
      <c r="K20">
        <f>_xlfn.XLOOKUP(H20,$A$202:$A$292,$E$202:$E$292,0)</f>
        <v/>
      </c>
      <c r="L20">
        <f>_xlfn.XLOOKUP(H20,$A$296:$A$392,$E$296:$E$392,0)</f>
        <v/>
      </c>
      <c r="N20" s="36" t="inlineStr">
        <is>
          <t>K. Owens</t>
        </is>
      </c>
      <c r="O20" t="inlineStr"/>
      <c r="P20" t="inlineStr"/>
      <c r="Q20" t="inlineStr"/>
      <c r="R20" t="inlineStr"/>
      <c r="S20">
        <f>COUNT(O20:R20)</f>
        <v/>
      </c>
      <c r="T20" s="56">
        <f>IF(S20=0,"",SUM(O20:R20)/S20)</f>
        <v/>
      </c>
    </row>
    <row r="21">
      <c r="A21" s="36" t="inlineStr">
        <is>
          <t>K. Owens</t>
        </is>
      </c>
      <c r="B21" s="36" t="inlineStr">
        <is>
          <t>Wales</t>
        </is>
      </c>
      <c r="C21" s="36" t="inlineStr">
        <is>
          <t>Hooker</t>
        </is>
      </c>
      <c r="D21" s="37" t="n">
        <v>61</v>
      </c>
      <c r="F21" s="36" t="inlineStr">
        <is>
          <t>Round 1</t>
        </is>
      </c>
      <c r="H21" s="36" t="inlineStr">
        <is>
          <t>B. Aki</t>
        </is>
      </c>
      <c r="I21" s="36">
        <f>_xlfn.XLOOKUP(H21,$A$5:$A$96,$E$5:$E$96,0)</f>
        <v/>
      </c>
      <c r="J21" s="36">
        <f>_xlfn.XLOOKUP(H21,$A$100:$A$197,$E$100:$E$197,0)</f>
        <v/>
      </c>
      <c r="K21">
        <f>_xlfn.XLOOKUP(H21,$A$202:$A$292,$E$202:$E$292,0)</f>
        <v/>
      </c>
      <c r="L21">
        <f>_xlfn.XLOOKUP(H21,$A$296:$A$392,$E$296:$E$392,0)</f>
        <v/>
      </c>
      <c r="N21" s="36" t="inlineStr">
        <is>
          <t>B. Aki</t>
        </is>
      </c>
      <c r="O21" t="n">
        <v>11.6</v>
      </c>
      <c r="P21" t="n">
        <v>8</v>
      </c>
      <c r="Q21" t="inlineStr"/>
      <c r="R21" t="inlineStr"/>
      <c r="S21">
        <f>COUNT(O21:R21)</f>
        <v/>
      </c>
      <c r="T21" s="56">
        <f>IF(S21=0,"",SUM(O21:R21)/S21)</f>
        <v/>
      </c>
    </row>
    <row r="22" hidden="1">
      <c r="A22" s="36" t="inlineStr">
        <is>
          <t>B. Aki</t>
        </is>
      </c>
      <c r="B22" s="36" t="inlineStr">
        <is>
          <t>Ireland</t>
        </is>
      </c>
      <c r="C22" s="36" t="inlineStr">
        <is>
          <t>Centre</t>
        </is>
      </c>
      <c r="D22" s="37" t="n">
        <v>20</v>
      </c>
      <c r="E22" s="36" t="inlineStr">
        <is>
          <t>y</t>
        </is>
      </c>
      <c r="F22" s="36" t="inlineStr">
        <is>
          <t>Round 1</t>
        </is>
      </c>
      <c r="H22" s="36" t="inlineStr">
        <is>
          <t>S. McCloskey</t>
        </is>
      </c>
      <c r="I22" s="36">
        <f>_xlfn.XLOOKUP(H22,$A$5:$A$96,$E$5:$E$96,0)</f>
        <v/>
      </c>
      <c r="J22" s="36">
        <f>_xlfn.XLOOKUP(H22,$A$100:$A$197,$E$100:$E$197,0)</f>
        <v/>
      </c>
      <c r="K22">
        <f>_xlfn.XLOOKUP(H22,$A$202:$A$292,$E$202:$E$292,0)</f>
        <v/>
      </c>
      <c r="L22">
        <f>_xlfn.XLOOKUP(H22,$A$296:$A$392,$E$296:$E$392,0)</f>
        <v/>
      </c>
      <c r="N22" s="36" t="inlineStr">
        <is>
          <t>S. McCloskey</t>
        </is>
      </c>
      <c r="O22" t="inlineStr"/>
      <c r="P22" t="inlineStr"/>
      <c r="Q22" t="inlineStr"/>
      <c r="R22" t="inlineStr"/>
      <c r="S22">
        <f>COUNT(O22:R22)</f>
        <v/>
      </c>
      <c r="T22" s="56">
        <f>IF(S22=0,"",SUM(O22:R22)/S22)</f>
        <v/>
      </c>
    </row>
    <row r="23">
      <c r="A23" s="36" t="inlineStr">
        <is>
          <t>S. McCloskey</t>
        </is>
      </c>
      <c r="B23" s="36" t="inlineStr">
        <is>
          <t>Ireland</t>
        </is>
      </c>
      <c r="C23" s="36" t="inlineStr">
        <is>
          <t>Centre</t>
        </is>
      </c>
      <c r="D23" s="37" t="n">
        <v>60</v>
      </c>
      <c r="F23" s="36" t="inlineStr">
        <is>
          <t>Round 1</t>
        </is>
      </c>
      <c r="H23" s="36" t="inlineStr">
        <is>
          <t>R. Byrne</t>
        </is>
      </c>
      <c r="I23" s="36">
        <f>_xlfn.XLOOKUP(H23,$A$5:$A$96,$E$5:$E$96,0)</f>
        <v/>
      </c>
      <c r="J23" s="36">
        <f>_xlfn.XLOOKUP(H23,$A$100:$A$197,$E$100:$E$197,0)</f>
        <v/>
      </c>
      <c r="K23">
        <f>_xlfn.XLOOKUP(H23,$A$202:$A$292,$E$202:$E$292,0)</f>
        <v/>
      </c>
      <c r="L23">
        <f>_xlfn.XLOOKUP(H23,$A$296:$A$392,$E$296:$E$392,0)</f>
        <v/>
      </c>
      <c r="N23" s="36" t="inlineStr">
        <is>
          <t>R. Byrne</t>
        </is>
      </c>
      <c r="O23" t="n">
        <v>4.2</v>
      </c>
      <c r="P23" t="n">
        <v>12</v>
      </c>
      <c r="Q23" t="inlineStr"/>
      <c r="R23" t="n">
        <v>2</v>
      </c>
      <c r="S23">
        <f>COUNT(O23:R23)</f>
        <v/>
      </c>
      <c r="T23" s="56">
        <f>IF(S23=0,"",SUM(O23:R23)/S23)</f>
        <v/>
      </c>
    </row>
    <row r="24" hidden="1">
      <c r="A24" s="36" t="inlineStr">
        <is>
          <t>R. Byrne</t>
        </is>
      </c>
      <c r="B24" s="36" t="inlineStr">
        <is>
          <t>Ireland</t>
        </is>
      </c>
      <c r="C24" s="36" t="inlineStr">
        <is>
          <t>Fly Half</t>
        </is>
      </c>
      <c r="D24" s="37" t="n">
        <v>12</v>
      </c>
      <c r="E24" s="36" t="inlineStr">
        <is>
          <t>y</t>
        </is>
      </c>
      <c r="F24" s="36" t="inlineStr">
        <is>
          <t>Round 1</t>
        </is>
      </c>
      <c r="H24" s="36" t="inlineStr">
        <is>
          <t>J. Sexton</t>
        </is>
      </c>
      <c r="I24" s="36">
        <f>_xlfn.XLOOKUP(H24,$A$5:$A$96,$E$5:$E$96,0)</f>
        <v/>
      </c>
      <c r="J24" s="36">
        <f>_xlfn.XLOOKUP(H24,$A$100:$A$197,$E$100:$E$197,0)</f>
        <v/>
      </c>
      <c r="K24">
        <f>_xlfn.XLOOKUP(H24,$A$202:$A$292,$E$202:$E$292,0)</f>
        <v/>
      </c>
      <c r="L24">
        <f>_xlfn.XLOOKUP(H24,$A$296:$A$392,$E$296:$E$392,0)</f>
        <v/>
      </c>
      <c r="N24" s="36" t="inlineStr">
        <is>
          <t>J. Sexton</t>
        </is>
      </c>
      <c r="O24" t="inlineStr"/>
      <c r="P24" t="inlineStr"/>
      <c r="Q24" t="inlineStr"/>
      <c r="R24" t="inlineStr"/>
      <c r="S24">
        <f>COUNT(O24:R24)</f>
        <v/>
      </c>
      <c r="T24" s="56">
        <f>IF(S24=0,"",SUM(O24:R24)/S24)</f>
        <v/>
      </c>
    </row>
    <row r="25">
      <c r="A25" s="36" t="inlineStr">
        <is>
          <t>J. Sexton</t>
        </is>
      </c>
      <c r="B25" s="36" t="inlineStr">
        <is>
          <t>Ireland</t>
        </is>
      </c>
      <c r="C25" s="36" t="inlineStr">
        <is>
          <t>Fly Half</t>
        </is>
      </c>
      <c r="D25" s="37" t="n">
        <v>68</v>
      </c>
      <c r="F25" s="36" t="inlineStr">
        <is>
          <t>Round 1</t>
        </is>
      </c>
      <c r="H25" s="36" t="inlineStr">
        <is>
          <t>C. Casey</t>
        </is>
      </c>
      <c r="I25" s="36">
        <f>_xlfn.XLOOKUP(H25,$A$5:$A$96,$E$5:$E$96,0)</f>
        <v/>
      </c>
      <c r="J25" s="36">
        <f>_xlfn.XLOOKUP(H25,$A$100:$A$197,$E$100:$E$197,0)</f>
        <v/>
      </c>
      <c r="K25">
        <f>_xlfn.XLOOKUP(H25,$A$202:$A$292,$E$202:$E$292,0)</f>
        <v/>
      </c>
      <c r="L25">
        <f>_xlfn.XLOOKUP(H25,$A$296:$A$392,$E$296:$E$392,0)</f>
        <v/>
      </c>
      <c r="N25" s="36" t="inlineStr">
        <is>
          <t>C. Casey</t>
        </is>
      </c>
      <c r="O25" t="n">
        <v>8.199999999999999</v>
      </c>
      <c r="P25" t="n">
        <v>3.8</v>
      </c>
      <c r="Q25" t="inlineStr"/>
      <c r="R25" t="inlineStr"/>
      <c r="S25">
        <f>COUNT(O25:R25)</f>
        <v/>
      </c>
      <c r="T25" s="56">
        <f>IF(S25=0,"",SUM(O25:R25)/S25)</f>
        <v/>
      </c>
    </row>
    <row r="26">
      <c r="A26" s="36" t="inlineStr">
        <is>
          <t>C. Casey</t>
        </is>
      </c>
      <c r="B26" s="36" t="inlineStr">
        <is>
          <t>Ireland</t>
        </is>
      </c>
      <c r="C26" s="36" t="inlineStr">
        <is>
          <t>Scrum Half</t>
        </is>
      </c>
      <c r="D26" s="37" t="n">
        <v>16</v>
      </c>
      <c r="E26" s="36" t="inlineStr">
        <is>
          <t>y</t>
        </is>
      </c>
      <c r="F26" s="36" t="inlineStr">
        <is>
          <t>Round 1</t>
        </is>
      </c>
      <c r="H26" s="36" t="inlineStr">
        <is>
          <t>C. Murray</t>
        </is>
      </c>
      <c r="I26" s="36">
        <f>_xlfn.XLOOKUP(H26,$A$5:$A$96,$E$5:$E$96,0)</f>
        <v/>
      </c>
      <c r="J26" s="36">
        <f>_xlfn.XLOOKUP(H26,$A$100:$A$197,$E$100:$E$197,0)</f>
        <v/>
      </c>
      <c r="K26">
        <f>_xlfn.XLOOKUP(H26,$A$202:$A$292,$E$202:$E$292,0)</f>
        <v/>
      </c>
      <c r="L26">
        <f>_xlfn.XLOOKUP(H26,$A$296:$A$392,$E$296:$E$392,0)</f>
        <v/>
      </c>
      <c r="N26" s="36" t="inlineStr">
        <is>
          <t>C. Murray</t>
        </is>
      </c>
      <c r="O26" t="inlineStr"/>
      <c r="P26" t="inlineStr"/>
      <c r="Q26" t="n">
        <v>9.199999999999999</v>
      </c>
      <c r="R26" t="inlineStr"/>
      <c r="S26">
        <f>COUNT(O26:R26)</f>
        <v/>
      </c>
      <c r="T26" s="56">
        <f>IF(S26=0,"",SUM(O26:R26)/S26)</f>
        <v/>
      </c>
    </row>
    <row r="27">
      <c r="A27" s="36" t="inlineStr">
        <is>
          <t>C. Murray</t>
        </is>
      </c>
      <c r="B27" s="36" t="inlineStr">
        <is>
          <t>Ireland</t>
        </is>
      </c>
      <c r="C27" s="36" t="inlineStr">
        <is>
          <t>Scrum Half</t>
        </is>
      </c>
      <c r="D27" s="37" t="n">
        <v>64</v>
      </c>
      <c r="E27" s="36" t="n"/>
      <c r="F27" s="36" t="inlineStr">
        <is>
          <t>Round 1</t>
        </is>
      </c>
      <c r="H27" s="36" t="inlineStr">
        <is>
          <t>J. Conan</t>
        </is>
      </c>
      <c r="I27" s="36">
        <f>_xlfn.XLOOKUP(H27,$A$5:$A$96,$E$5:$E$96,0)</f>
        <v/>
      </c>
      <c r="J27" s="36">
        <f>_xlfn.XLOOKUP(H27,$A$100:$A$197,$E$100:$E$197,0)</f>
        <v/>
      </c>
      <c r="K27">
        <f>_xlfn.XLOOKUP(H27,$A$202:$A$292,$E$202:$E$292,0)</f>
        <v/>
      </c>
      <c r="L27">
        <f>_xlfn.XLOOKUP(H27,$A$296:$A$392,$E$296:$E$392,0)</f>
        <v/>
      </c>
      <c r="N27" s="36" t="inlineStr">
        <is>
          <t>J. Conan</t>
        </is>
      </c>
      <c r="O27" t="n">
        <v>12.4</v>
      </c>
      <c r="P27" t="n">
        <v>6.4</v>
      </c>
      <c r="Q27" t="inlineStr"/>
      <c r="R27" t="n">
        <v>46.2</v>
      </c>
      <c r="S27">
        <f>COUNT(O27:R27)</f>
        <v/>
      </c>
      <c r="T27" s="56">
        <f>IF(S27=0,"",SUM(O27:R27)/S27)</f>
        <v/>
      </c>
    </row>
    <row r="28">
      <c r="A28" s="36" t="inlineStr">
        <is>
          <t>J. Conan</t>
        </is>
      </c>
      <c r="B28" s="36" t="inlineStr">
        <is>
          <t>Ireland</t>
        </is>
      </c>
      <c r="C28" s="36" t="inlineStr">
        <is>
          <t>Back Row</t>
        </is>
      </c>
      <c r="D28" s="37" t="n">
        <v>20</v>
      </c>
      <c r="E28" s="36" t="inlineStr">
        <is>
          <t>y</t>
        </is>
      </c>
      <c r="F28" s="36" t="inlineStr">
        <is>
          <t>Round 1</t>
        </is>
      </c>
      <c r="H28" s="36" t="inlineStr">
        <is>
          <t>P. O'Mahony</t>
        </is>
      </c>
      <c r="I28" s="36">
        <f>_xlfn.XLOOKUP(H28,$A$5:$A$96,$E$5:$E$96,0)</f>
        <v/>
      </c>
      <c r="J28" s="36">
        <f>_xlfn.XLOOKUP(H28,$A$100:$A$197,$E$100:$E$197,0)</f>
        <v/>
      </c>
      <c r="K28">
        <f>_xlfn.XLOOKUP(H28,$A$202:$A$292,$E$202:$E$292,0)</f>
        <v/>
      </c>
      <c r="L28">
        <f>_xlfn.XLOOKUP(H28,$A$296:$A$392,$E$296:$E$392,0)</f>
        <v/>
      </c>
      <c r="N28" s="36" t="inlineStr">
        <is>
          <t>P. O'Mahony</t>
        </is>
      </c>
      <c r="O28" t="inlineStr"/>
      <c r="P28" t="inlineStr"/>
      <c r="Q28" t="n">
        <v>11.8</v>
      </c>
      <c r="R28" t="inlineStr"/>
      <c r="S28">
        <f>COUNT(O28:R28)</f>
        <v/>
      </c>
      <c r="T28" s="56">
        <f>IF(S28=0,"",SUM(O28:R28)/S28)</f>
        <v/>
      </c>
    </row>
    <row r="29" hidden="1">
      <c r="A29" s="36" t="inlineStr">
        <is>
          <t>P. O'Mahony</t>
        </is>
      </c>
      <c r="B29" s="36" t="inlineStr">
        <is>
          <t>Ireland</t>
        </is>
      </c>
      <c r="C29" s="36" t="inlineStr">
        <is>
          <t>Back Row</t>
        </is>
      </c>
      <c r="D29" s="37" t="n">
        <v>60</v>
      </c>
      <c r="F29" s="36" t="inlineStr">
        <is>
          <t>Round 1</t>
        </is>
      </c>
      <c r="H29" s="36" t="inlineStr">
        <is>
          <t>T. Beirne</t>
        </is>
      </c>
      <c r="I29" s="36">
        <f>_xlfn.XLOOKUP(H29,$A$5:$A$96,$E$5:$E$96,0)</f>
        <v/>
      </c>
      <c r="J29" s="36">
        <f>_xlfn.XLOOKUP(H29,$A$100:$A$197,$E$100:$E$197,0)</f>
        <v/>
      </c>
      <c r="K29">
        <f>_xlfn.XLOOKUP(H29,$A$202:$A$292,$E$202:$E$292,0)</f>
        <v/>
      </c>
      <c r="L29">
        <f>_xlfn.XLOOKUP(H29,$A$296:$A$392,$E$296:$E$392,0)</f>
        <v/>
      </c>
      <c r="N29" s="36" t="inlineStr">
        <is>
          <t>T. Beirne</t>
        </is>
      </c>
      <c r="O29" t="inlineStr"/>
      <c r="P29" t="inlineStr"/>
      <c r="Q29" t="inlineStr"/>
      <c r="R29" t="inlineStr"/>
      <c r="S29">
        <f>COUNT(O29:R29)</f>
        <v/>
      </c>
      <c r="T29" s="56">
        <f>IF(S29=0,"",SUM(O29:R29)/S29)</f>
        <v/>
      </c>
    </row>
    <row r="30">
      <c r="A30" s="36" t="inlineStr">
        <is>
          <t>T. Beirne</t>
        </is>
      </c>
      <c r="B30" s="36" t="inlineStr">
        <is>
          <t>Ireland</t>
        </is>
      </c>
      <c r="C30" s="36" t="inlineStr">
        <is>
          <t>Second Row</t>
        </is>
      </c>
      <c r="D30" s="37" t="n">
        <v>54</v>
      </c>
      <c r="F30" s="36" t="inlineStr">
        <is>
          <t>Round 1</t>
        </is>
      </c>
      <c r="H30" s="36" t="inlineStr">
        <is>
          <t>I. Henderson</t>
        </is>
      </c>
      <c r="I30" s="36">
        <f>_xlfn.XLOOKUP(H30,$A$5:$A$96,$E$5:$E$96,0)</f>
        <v/>
      </c>
      <c r="J30" s="36">
        <f>_xlfn.XLOOKUP(H30,$A$100:$A$197,$E$100:$E$197,0)</f>
        <v/>
      </c>
      <c r="K30">
        <f>_xlfn.XLOOKUP(H30,$A$202:$A$292,$E$202:$E$292,0)</f>
        <v/>
      </c>
      <c r="L30">
        <f>_xlfn.XLOOKUP(H30,$A$296:$A$392,$E$296:$E$392,0)</f>
        <v/>
      </c>
      <c r="N30" s="36" t="inlineStr">
        <is>
          <t>I. Henderson</t>
        </is>
      </c>
      <c r="O30" t="n">
        <v>5</v>
      </c>
      <c r="P30" t="n">
        <v>8</v>
      </c>
      <c r="Q30" t="inlineStr"/>
      <c r="R30" t="inlineStr"/>
      <c r="S30">
        <f>COUNT(O30:R30)</f>
        <v/>
      </c>
      <c r="T30" s="56">
        <f>IF(S30=0,"",SUM(O30:R30)/S30)</f>
        <v/>
      </c>
    </row>
    <row r="31" hidden="1">
      <c r="A31" s="36" t="inlineStr">
        <is>
          <t>I. Henderson</t>
        </is>
      </c>
      <c r="B31" s="36" t="inlineStr">
        <is>
          <t>Ireland</t>
        </is>
      </c>
      <c r="C31" s="36" t="inlineStr">
        <is>
          <t>Second Row</t>
        </is>
      </c>
      <c r="D31" s="37" t="n">
        <v>26</v>
      </c>
      <c r="E31" s="36" t="inlineStr">
        <is>
          <t>y</t>
        </is>
      </c>
      <c r="F31" s="36" t="inlineStr">
        <is>
          <t>Round 1</t>
        </is>
      </c>
      <c r="H31" s="36" t="inlineStr">
        <is>
          <t>F. Bealham</t>
        </is>
      </c>
      <c r="I31" s="36">
        <f>_xlfn.XLOOKUP(H31,$A$5:$A$96,$E$5:$E$96,0)</f>
        <v/>
      </c>
      <c r="J31" s="36">
        <f>_xlfn.XLOOKUP(H31,$A$100:$A$197,$E$100:$E$197,0)</f>
        <v/>
      </c>
      <c r="K31">
        <f>_xlfn.XLOOKUP(H31,$A$202:$A$292,$E$202:$E$292,0)</f>
        <v/>
      </c>
      <c r="L31">
        <f>_xlfn.XLOOKUP(H31,$A$296:$A$392,$E$296:$E$392,0)</f>
        <v/>
      </c>
      <c r="N31" s="36" t="inlineStr">
        <is>
          <t>F. Bealham</t>
        </is>
      </c>
      <c r="O31" t="inlineStr"/>
      <c r="P31" t="inlineStr"/>
      <c r="Q31" t="inlineStr"/>
      <c r="R31" t="inlineStr"/>
      <c r="S31">
        <f>COUNT(O31:R31)</f>
        <v/>
      </c>
      <c r="T31" s="56">
        <f>IF(S31=0,"",SUM(O31:R31)/S31)</f>
        <v/>
      </c>
    </row>
    <row r="32">
      <c r="A32" s="36" t="inlineStr">
        <is>
          <t>F. Bealham</t>
        </is>
      </c>
      <c r="B32" s="36" t="inlineStr">
        <is>
          <t>Ireland</t>
        </is>
      </c>
      <c r="C32" s="36" t="inlineStr">
        <is>
          <t>Prop</t>
        </is>
      </c>
      <c r="D32" s="37" t="n">
        <v>60</v>
      </c>
      <c r="F32" s="36" t="inlineStr">
        <is>
          <t>Round 1</t>
        </is>
      </c>
      <c r="H32" s="36" t="inlineStr">
        <is>
          <t>D. Kilcoyne</t>
        </is>
      </c>
      <c r="I32" s="36">
        <f>_xlfn.XLOOKUP(H32,$A$5:$A$96,$E$5:$E$96,0)</f>
        <v/>
      </c>
      <c r="J32" s="36">
        <f>_xlfn.XLOOKUP(H32,$A$100:$A$197,$E$100:$E$197,0)</f>
        <v/>
      </c>
      <c r="K32">
        <f>_xlfn.XLOOKUP(H32,$A$202:$A$292,$E$202:$E$292,0)</f>
        <v/>
      </c>
      <c r="L32">
        <f>_xlfn.XLOOKUP(H32,$A$296:$A$392,$E$296:$E$392,0)</f>
        <v/>
      </c>
      <c r="N32" s="36" t="inlineStr">
        <is>
          <t>D. Kilcoyne</t>
        </is>
      </c>
      <c r="O32" t="n">
        <v>5.4</v>
      </c>
      <c r="P32" t="n">
        <v>4.8</v>
      </c>
      <c r="Q32" t="n">
        <v>8.4</v>
      </c>
      <c r="R32" t="inlineStr"/>
      <c r="S32">
        <f>COUNT(O32:R32)</f>
        <v/>
      </c>
      <c r="T32" s="56">
        <f>IF(S32=0,"",SUM(O32:R32)/S32)</f>
        <v/>
      </c>
    </row>
    <row r="33">
      <c r="A33" s="36" t="inlineStr">
        <is>
          <t>D. Kilcoyne</t>
        </is>
      </c>
      <c r="B33" s="36" t="inlineStr">
        <is>
          <t>Ireland</t>
        </is>
      </c>
      <c r="C33" s="36" t="inlineStr">
        <is>
          <t>Prop</t>
        </is>
      </c>
      <c r="D33" s="37" t="n">
        <v>7</v>
      </c>
      <c r="E33" s="36" t="inlineStr">
        <is>
          <t>y</t>
        </is>
      </c>
      <c r="F33" s="36" t="inlineStr">
        <is>
          <t>Round 1</t>
        </is>
      </c>
      <c r="H33" s="36" t="inlineStr">
        <is>
          <t>T. O'Toole</t>
        </is>
      </c>
      <c r="I33" s="36">
        <f>_xlfn.XLOOKUP(H33,$A$5:$A$96,$E$5:$E$96,0)</f>
        <v/>
      </c>
      <c r="J33" s="36">
        <f>_xlfn.XLOOKUP(H33,$A$100:$A$197,$E$100:$E$197,0)</f>
        <v/>
      </c>
      <c r="K33">
        <f>_xlfn.XLOOKUP(H33,$A$202:$A$292,$E$202:$E$292,0)</f>
        <v/>
      </c>
      <c r="L33">
        <f>_xlfn.XLOOKUP(H33,$A$296:$A$392,$E$296:$E$392,0)</f>
        <v/>
      </c>
      <c r="N33" s="36" t="inlineStr">
        <is>
          <t>T. O'Toole</t>
        </is>
      </c>
      <c r="O33" t="n">
        <v>5</v>
      </c>
      <c r="P33" t="n">
        <v>10.4</v>
      </c>
      <c r="Q33" t="n">
        <v>17.8</v>
      </c>
      <c r="R33" t="n">
        <v>1</v>
      </c>
      <c r="S33">
        <f>COUNT(O33:R33)</f>
        <v/>
      </c>
      <c r="T33" s="56">
        <f>IF(S33=0,"",SUM(O33:R33)/S33)</f>
        <v/>
      </c>
    </row>
    <row r="34" hidden="1">
      <c r="A34" s="36" t="inlineStr">
        <is>
          <t>T. O'Toole</t>
        </is>
      </c>
      <c r="B34" s="36" t="inlineStr">
        <is>
          <t>Ireland</t>
        </is>
      </c>
      <c r="C34" s="36" t="inlineStr">
        <is>
          <t>Prop</t>
        </is>
      </c>
      <c r="D34" s="37" t="n">
        <v>20</v>
      </c>
      <c r="E34" s="36" t="inlineStr">
        <is>
          <t>y</t>
        </is>
      </c>
      <c r="F34" s="36" t="inlineStr">
        <is>
          <t>Round 1</t>
        </is>
      </c>
      <c r="H34" s="36" t="inlineStr">
        <is>
          <t>A. Porter</t>
        </is>
      </c>
      <c r="I34" s="36">
        <f>_xlfn.XLOOKUP(H34,$A$5:$A$96,$E$5:$E$96,0)</f>
        <v/>
      </c>
      <c r="J34" s="36">
        <f>_xlfn.XLOOKUP(H34,$A$100:$A$197,$E$100:$E$197,0)</f>
        <v/>
      </c>
      <c r="K34">
        <f>_xlfn.XLOOKUP(H34,$A$202:$A$292,$E$202:$E$292,0)</f>
        <v/>
      </c>
      <c r="L34">
        <f>_xlfn.XLOOKUP(H34,$A$296:$A$392,$E$296:$E$392,0)</f>
        <v/>
      </c>
      <c r="N34" s="36" t="inlineStr">
        <is>
          <t>A. Porter</t>
        </is>
      </c>
      <c r="O34" t="inlineStr"/>
      <c r="P34" t="inlineStr"/>
      <c r="Q34" t="inlineStr"/>
      <c r="R34" t="inlineStr"/>
      <c r="S34">
        <f>COUNT(O34:R34)</f>
        <v/>
      </c>
      <c r="T34" s="56">
        <f>IF(S34=0,"",SUM(O34:R34)/S34)</f>
        <v/>
      </c>
    </row>
    <row r="35">
      <c r="A35" s="36" t="inlineStr">
        <is>
          <t>A. Porter</t>
        </is>
      </c>
      <c r="B35" s="36" t="inlineStr">
        <is>
          <t>Ireland</t>
        </is>
      </c>
      <c r="C35" s="36" t="inlineStr">
        <is>
          <t>Prop</t>
        </is>
      </c>
      <c r="D35" s="37" t="n">
        <v>73</v>
      </c>
      <c r="F35" s="36" t="inlineStr">
        <is>
          <t>Round 1</t>
        </is>
      </c>
      <c r="H35" s="36" t="inlineStr">
        <is>
          <t>R. Herring</t>
        </is>
      </c>
      <c r="I35" s="36">
        <f>_xlfn.XLOOKUP(H35,$A$5:$A$96,$E$5:$E$96,0)</f>
        <v/>
      </c>
      <c r="J35" s="36">
        <f>_xlfn.XLOOKUP(H35,$A$100:$A$197,$E$100:$E$197,0)</f>
        <v/>
      </c>
      <c r="K35">
        <f>_xlfn.XLOOKUP(H35,$A$202:$A$292,$E$202:$E$292,0)</f>
        <v/>
      </c>
      <c r="L35">
        <f>_xlfn.XLOOKUP(H35,$A$296:$A$392,$E$296:$E$392,0)</f>
        <v/>
      </c>
      <c r="N35" s="36" t="inlineStr">
        <is>
          <t>R. Herring</t>
        </is>
      </c>
      <c r="O35" t="n">
        <v>4.8</v>
      </c>
      <c r="P35" t="inlineStr"/>
      <c r="Q35" t="inlineStr"/>
      <c r="R35" t="inlineStr"/>
      <c r="S35">
        <f>COUNT(O35:R35)</f>
        <v/>
      </c>
      <c r="T35" s="56">
        <f>IF(S35=0,"",SUM(O35:R35)/S35)</f>
        <v/>
      </c>
    </row>
    <row r="36">
      <c r="A36" s="36" t="inlineStr">
        <is>
          <t>R. Herring</t>
        </is>
      </c>
      <c r="B36" s="36" t="inlineStr">
        <is>
          <t>Ireland</t>
        </is>
      </c>
      <c r="C36" s="36" t="inlineStr">
        <is>
          <t>Hooker</t>
        </is>
      </c>
      <c r="D36" s="37" t="n">
        <v>7</v>
      </c>
      <c r="E36" s="36" t="inlineStr">
        <is>
          <t>y</t>
        </is>
      </c>
      <c r="F36" s="36" t="inlineStr">
        <is>
          <t>Round 1</t>
        </is>
      </c>
      <c r="H36" s="36" t="inlineStr">
        <is>
          <t>D. Sheehan</t>
        </is>
      </c>
      <c r="I36" s="36">
        <f>_xlfn.XLOOKUP(H36,$A$5:$A$96,$E$5:$E$96,0)</f>
        <v/>
      </c>
      <c r="J36" s="36">
        <f>_xlfn.XLOOKUP(H36,$A$100:$A$197,$E$100:$E$197,0)</f>
        <v/>
      </c>
      <c r="K36">
        <f>_xlfn.XLOOKUP(H36,$A$202:$A$292,$E$202:$E$292,0)</f>
        <v/>
      </c>
      <c r="L36">
        <f>_xlfn.XLOOKUP(H36,$A$296:$A$392,$E$296:$E$392,0)</f>
        <v/>
      </c>
      <c r="N36" s="36" t="inlineStr">
        <is>
          <t>D. Sheehan</t>
        </is>
      </c>
      <c r="O36" t="inlineStr"/>
      <c r="P36" t="inlineStr"/>
      <c r="Q36" t="n">
        <v>17</v>
      </c>
      <c r="R36" t="inlineStr"/>
      <c r="S36">
        <f>COUNT(O36:R36)</f>
        <v/>
      </c>
      <c r="T36" s="56">
        <f>IF(S36=0,"",SUM(O36:R36)/S36)</f>
        <v/>
      </c>
    </row>
    <row r="37" hidden="1">
      <c r="A37" s="36" t="inlineStr">
        <is>
          <t>D. Sheehan</t>
        </is>
      </c>
      <c r="B37" s="36" t="inlineStr">
        <is>
          <t>Ireland</t>
        </is>
      </c>
      <c r="C37" s="36" t="inlineStr">
        <is>
          <t>Hooker</t>
        </is>
      </c>
      <c r="D37" s="37" t="n">
        <v>73</v>
      </c>
      <c r="F37" s="36" t="inlineStr">
        <is>
          <t>Round 1</t>
        </is>
      </c>
      <c r="H37" s="36" t="inlineStr">
        <is>
          <t>O. Hassell-Collins</t>
        </is>
      </c>
      <c r="I37" s="36">
        <f>_xlfn.XLOOKUP(H37,$A$5:$A$96,$E$5:$E$96,0)</f>
        <v/>
      </c>
      <c r="J37" s="36">
        <f>_xlfn.XLOOKUP(H37,$A$100:$A$197,$E$100:$E$197,0)</f>
        <v/>
      </c>
      <c r="K37">
        <f>_xlfn.XLOOKUP(H37,$A$202:$A$292,$E$202:$E$292,0)</f>
        <v/>
      </c>
      <c r="L37">
        <f>_xlfn.XLOOKUP(H37,$A$296:$A$392,$E$296:$E$392,0)</f>
        <v/>
      </c>
      <c r="N37" s="36" t="inlineStr">
        <is>
          <t>O. Hassell-Collins</t>
        </is>
      </c>
      <c r="O37" t="inlineStr"/>
      <c r="P37" t="inlineStr"/>
      <c r="Q37" t="inlineStr"/>
      <c r="R37" t="inlineStr"/>
      <c r="S37">
        <f>COUNT(O37:R37)</f>
        <v/>
      </c>
      <c r="T37" s="56">
        <f>IF(S37=0,"",SUM(O37:R37)/S37)</f>
        <v/>
      </c>
    </row>
    <row r="38">
      <c r="A38" s="36" t="inlineStr">
        <is>
          <t>O. Hassell-Collins</t>
        </is>
      </c>
      <c r="B38" s="36" t="inlineStr">
        <is>
          <t>England</t>
        </is>
      </c>
      <c r="C38" s="36" t="inlineStr">
        <is>
          <t>Back Three</t>
        </is>
      </c>
      <c r="D38" s="37" t="n">
        <v>64</v>
      </c>
      <c r="F38" s="36" t="inlineStr">
        <is>
          <t>Round 1</t>
        </is>
      </c>
      <c r="H38" s="36" t="inlineStr">
        <is>
          <t>A. Watson</t>
        </is>
      </c>
      <c r="I38" s="36">
        <f>_xlfn.XLOOKUP(H38,$A$5:$A$96,$E$5:$E$96,0)</f>
        <v/>
      </c>
      <c r="J38" s="36">
        <f>_xlfn.XLOOKUP(H38,$A$100:$A$197,$E$100:$E$197,0)</f>
        <v/>
      </c>
      <c r="K38">
        <f>_xlfn.XLOOKUP(H38,$A$202:$A$292,$E$202:$E$292,0)</f>
        <v/>
      </c>
      <c r="L38">
        <f>_xlfn.XLOOKUP(H38,$A$296:$A$392,$E$296:$E$392,0)</f>
        <v/>
      </c>
      <c r="N38" s="36" t="inlineStr">
        <is>
          <t>A. Watson</t>
        </is>
      </c>
      <c r="O38" t="n">
        <v>5.6</v>
      </c>
      <c r="P38" t="inlineStr"/>
      <c r="Q38" t="inlineStr"/>
      <c r="R38" t="inlineStr"/>
      <c r="S38">
        <f>COUNT(O38:R38)</f>
        <v/>
      </c>
      <c r="T38" s="56">
        <f>IF(S38=0,"",SUM(O38:R38)/S38)</f>
        <v/>
      </c>
    </row>
    <row r="39">
      <c r="A39" s="36" t="inlineStr">
        <is>
          <t>A. Watson</t>
        </is>
      </c>
      <c r="B39" s="36" t="inlineStr">
        <is>
          <t>England</t>
        </is>
      </c>
      <c r="C39" s="36" t="inlineStr">
        <is>
          <t>Back Three</t>
        </is>
      </c>
      <c r="D39" s="37" t="n">
        <v>16</v>
      </c>
      <c r="E39" s="36" t="inlineStr">
        <is>
          <t>y</t>
        </is>
      </c>
      <c r="F39" s="36" t="inlineStr">
        <is>
          <t>Round 1</t>
        </is>
      </c>
      <c r="H39" s="36" t="inlineStr">
        <is>
          <t>O. Lawrence</t>
        </is>
      </c>
      <c r="I39" s="36">
        <f>_xlfn.XLOOKUP(H39,$A$5:$A$96,$E$5:$E$96,0)</f>
        <v/>
      </c>
      <c r="J39" s="36">
        <f>_xlfn.XLOOKUP(H39,$A$100:$A$197,$E$100:$E$197,0)</f>
        <v/>
      </c>
      <c r="K39">
        <f>_xlfn.XLOOKUP(H39,$A$202:$A$292,$E$202:$E$292,0)</f>
        <v/>
      </c>
      <c r="L39">
        <f>_xlfn.XLOOKUP(H39,$A$296:$A$392,$E$296:$E$392,0)</f>
        <v/>
      </c>
      <c r="N39" s="36" t="inlineStr">
        <is>
          <t>O. Lawrence</t>
        </is>
      </c>
      <c r="O39" t="n">
        <v>2</v>
      </c>
      <c r="P39" t="inlineStr"/>
      <c r="Q39" t="inlineStr"/>
      <c r="R39" t="inlineStr"/>
      <c r="S39">
        <f>COUNT(O39:R39)</f>
        <v/>
      </c>
      <c r="T39" s="56">
        <f>IF(S39=0,"",SUM(O39:R39)/S39)</f>
        <v/>
      </c>
    </row>
    <row r="40" hidden="1">
      <c r="A40" s="36" t="inlineStr">
        <is>
          <t>O. Lawrence</t>
        </is>
      </c>
      <c r="B40" s="36" t="inlineStr">
        <is>
          <t>England</t>
        </is>
      </c>
      <c r="C40" s="36" t="inlineStr">
        <is>
          <t>Centre</t>
        </is>
      </c>
      <c r="D40" s="37" t="n">
        <v>4</v>
      </c>
      <c r="E40" s="36" t="inlineStr">
        <is>
          <t>y</t>
        </is>
      </c>
      <c r="F40" s="36" t="inlineStr">
        <is>
          <t>Round 1</t>
        </is>
      </c>
      <c r="H40" s="36" t="inlineStr">
        <is>
          <t>J. Marchant</t>
        </is>
      </c>
      <c r="I40" s="36">
        <f>_xlfn.XLOOKUP(H40,$A$5:$A$96,$E$5:$E$96,0)</f>
        <v/>
      </c>
      <c r="J40" s="36">
        <f>_xlfn.XLOOKUP(H40,$A$100:$A$197,$E$100:$E$197,0)</f>
        <v/>
      </c>
      <c r="K40">
        <f>_xlfn.XLOOKUP(H40,$A$202:$A$292,$E$202:$E$292,0)</f>
        <v/>
      </c>
      <c r="L40">
        <f>_xlfn.XLOOKUP(H40,$A$296:$A$392,$E$296:$E$392,0)</f>
        <v/>
      </c>
      <c r="N40" s="36" t="inlineStr">
        <is>
          <t>J. Marchant</t>
        </is>
      </c>
      <c r="O40" t="inlineStr"/>
      <c r="P40" t="inlineStr"/>
      <c r="Q40" t="inlineStr"/>
      <c r="R40" t="inlineStr"/>
      <c r="S40">
        <f>COUNT(O40:R40)</f>
        <v/>
      </c>
      <c r="T40" s="56">
        <f>IF(S40=0,"",SUM(O40:R40)/S40)</f>
        <v/>
      </c>
    </row>
    <row r="41" hidden="1">
      <c r="A41" s="36" t="inlineStr">
        <is>
          <t>J. Marchant</t>
        </is>
      </c>
      <c r="B41" s="36" t="inlineStr">
        <is>
          <t>England</t>
        </is>
      </c>
      <c r="C41" s="36" t="inlineStr">
        <is>
          <t>Centre</t>
        </is>
      </c>
      <c r="D41" s="37" t="n">
        <v>76</v>
      </c>
      <c r="F41" s="36" t="inlineStr">
        <is>
          <t>Round 1</t>
        </is>
      </c>
      <c r="H41" s="36" t="inlineStr">
        <is>
          <t>J. van Poortvliet</t>
        </is>
      </c>
      <c r="I41" s="36">
        <f>_xlfn.XLOOKUP(H41,$A$5:$A$96,$E$5:$E$96,0)</f>
        <v/>
      </c>
      <c r="J41" s="36">
        <f>_xlfn.XLOOKUP(H41,$A$100:$A$197,$E$100:$E$197,0)</f>
        <v/>
      </c>
      <c r="K41">
        <f>_xlfn.XLOOKUP(H41,$A$202:$A$292,$E$202:$E$292,0)</f>
        <v/>
      </c>
      <c r="L41">
        <f>_xlfn.XLOOKUP(H41,$A$296:$A$392,$E$296:$E$392,0)</f>
        <v/>
      </c>
      <c r="N41" s="36" t="inlineStr">
        <is>
          <t>J. van Poortvliet</t>
        </is>
      </c>
      <c r="O41" t="inlineStr"/>
      <c r="P41" t="inlineStr"/>
      <c r="Q41" t="inlineStr"/>
      <c r="R41" t="inlineStr"/>
      <c r="S41">
        <f>COUNT(O41:R41)</f>
        <v/>
      </c>
      <c r="T41" s="56">
        <f>IF(S41=0,"",SUM(O41:R41)/S41)</f>
        <v/>
      </c>
    </row>
    <row r="42">
      <c r="A42" s="36" t="inlineStr">
        <is>
          <t>J. van Poortvliet</t>
        </is>
      </c>
      <c r="B42" s="36" t="inlineStr">
        <is>
          <t>England</t>
        </is>
      </c>
      <c r="C42" s="36" t="inlineStr">
        <is>
          <t>Scrum Half</t>
        </is>
      </c>
      <c r="D42" s="37" t="n">
        <v>58</v>
      </c>
      <c r="F42" s="36" t="inlineStr">
        <is>
          <t>Round 1</t>
        </is>
      </c>
      <c r="H42" s="36" t="inlineStr">
        <is>
          <t>B. Youngs</t>
        </is>
      </c>
      <c r="I42" s="36">
        <f>_xlfn.XLOOKUP(H42,$A$5:$A$96,$E$5:$E$96,0)</f>
        <v/>
      </c>
      <c r="J42" s="36">
        <f>_xlfn.XLOOKUP(H42,$A$100:$A$197,$E$100:$E$197,0)</f>
        <v/>
      </c>
      <c r="K42">
        <f>_xlfn.XLOOKUP(H42,$A$202:$A$292,$E$202:$E$292,0)</f>
        <v/>
      </c>
      <c r="L42">
        <f>_xlfn.XLOOKUP(H42,$A$296:$A$392,$E$296:$E$392,0)</f>
        <v/>
      </c>
      <c r="N42" s="36" t="inlineStr">
        <is>
          <t>B. Youngs</t>
        </is>
      </c>
      <c r="O42" t="n">
        <v>6</v>
      </c>
      <c r="P42" t="inlineStr"/>
      <c r="Q42" t="inlineStr"/>
      <c r="R42" t="inlineStr"/>
      <c r="S42">
        <f>COUNT(O42:R42)</f>
        <v/>
      </c>
      <c r="T42" s="56">
        <f>IF(S42=0,"",SUM(O42:R42)/S42)</f>
        <v/>
      </c>
    </row>
    <row r="43">
      <c r="A43" s="36" t="inlineStr">
        <is>
          <t>B. Youngs</t>
        </is>
      </c>
      <c r="B43" s="36" t="inlineStr">
        <is>
          <t>England</t>
        </is>
      </c>
      <c r="C43" s="36" t="inlineStr">
        <is>
          <t>Scrum Half</t>
        </is>
      </c>
      <c r="D43" s="37" t="n">
        <v>22</v>
      </c>
      <c r="E43" s="36" t="inlineStr">
        <is>
          <t>y</t>
        </is>
      </c>
      <c r="F43" s="36" t="inlineStr">
        <is>
          <t>Round 1</t>
        </is>
      </c>
      <c r="H43" s="36" t="inlineStr">
        <is>
          <t>B. Curry</t>
        </is>
      </c>
      <c r="I43" s="36">
        <f>_xlfn.XLOOKUP(H43,$A$5:$A$96,$E$5:$E$96,0)</f>
        <v/>
      </c>
      <c r="J43" s="36">
        <f>_xlfn.XLOOKUP(H43,$A$100:$A$197,$E$100:$E$197,0)</f>
        <v/>
      </c>
      <c r="K43">
        <f>_xlfn.XLOOKUP(H43,$A$202:$A$292,$E$202:$E$292,0)</f>
        <v/>
      </c>
      <c r="L43">
        <f>_xlfn.XLOOKUP(H43,$A$296:$A$392,$E$296:$E$392,0)</f>
        <v/>
      </c>
      <c r="N43" s="36" t="inlineStr">
        <is>
          <t>B. Curry</t>
        </is>
      </c>
      <c r="O43" t="inlineStr"/>
      <c r="P43" t="inlineStr"/>
      <c r="Q43" t="n">
        <v>21.2</v>
      </c>
      <c r="R43" t="n">
        <v>14.2</v>
      </c>
      <c r="S43">
        <f>COUNT(O43:R43)</f>
        <v/>
      </c>
      <c r="T43" s="56">
        <f>IF(S43=0,"",SUM(O43:R43)/S43)</f>
        <v/>
      </c>
    </row>
    <row r="44" hidden="1">
      <c r="A44" s="36" t="inlineStr">
        <is>
          <t>B. Curry</t>
        </is>
      </c>
      <c r="B44" s="36" t="inlineStr">
        <is>
          <t>England</t>
        </is>
      </c>
      <c r="C44" s="36" t="inlineStr">
        <is>
          <t>Back Row</t>
        </is>
      </c>
      <c r="D44" s="37" t="n">
        <v>61</v>
      </c>
      <c r="F44" s="36" t="inlineStr">
        <is>
          <t>Round 1</t>
        </is>
      </c>
      <c r="H44" s="36" t="inlineStr">
        <is>
          <t>A. Dombrandt</t>
        </is>
      </c>
      <c r="I44" s="36">
        <f>_xlfn.XLOOKUP(H44,$A$5:$A$96,$E$5:$E$96,0)</f>
        <v/>
      </c>
      <c r="J44" s="36">
        <f>_xlfn.XLOOKUP(H44,$A$100:$A$197,$E$100:$E$197,0)</f>
        <v/>
      </c>
      <c r="K44">
        <f>_xlfn.XLOOKUP(H44,$A$202:$A$292,$E$202:$E$292,0)</f>
        <v/>
      </c>
      <c r="L44">
        <f>_xlfn.XLOOKUP(H44,$A$296:$A$392,$E$296:$E$392,0)</f>
        <v/>
      </c>
      <c r="N44" s="36" t="inlineStr">
        <is>
          <t>A. Dombrandt</t>
        </is>
      </c>
      <c r="O44" t="inlineStr"/>
      <c r="P44" t="inlineStr"/>
      <c r="Q44" t="inlineStr"/>
      <c r="R44" t="inlineStr"/>
      <c r="S44">
        <f>COUNT(O44:R44)</f>
        <v/>
      </c>
      <c r="T44" s="56">
        <f>IF(S44=0,"",SUM(O44:R44)/S44)</f>
        <v/>
      </c>
    </row>
    <row r="45">
      <c r="A45" s="36" t="inlineStr">
        <is>
          <t>A. Dombrandt</t>
        </is>
      </c>
      <c r="B45" s="36" t="inlineStr">
        <is>
          <t>England</t>
        </is>
      </c>
      <c r="C45" s="36" t="inlineStr">
        <is>
          <t>Back Row</t>
        </is>
      </c>
      <c r="D45" s="37" t="n">
        <v>56</v>
      </c>
      <c r="F45" s="36" t="inlineStr">
        <is>
          <t>Round 1</t>
        </is>
      </c>
      <c r="H45" s="36" t="inlineStr">
        <is>
          <t>B. Earl</t>
        </is>
      </c>
      <c r="I45" s="36">
        <f>_xlfn.XLOOKUP(H45,$A$5:$A$96,$E$5:$E$96,0)</f>
        <v/>
      </c>
      <c r="J45" s="36">
        <f>_xlfn.XLOOKUP(H45,$A$100:$A$197,$E$100:$E$197,0)</f>
        <v/>
      </c>
      <c r="K45">
        <f>_xlfn.XLOOKUP(H45,$A$202:$A$292,$E$202:$E$292,0)</f>
        <v/>
      </c>
      <c r="L45">
        <f>_xlfn.XLOOKUP(H45,$A$296:$A$392,$E$296:$E$392,0)</f>
        <v/>
      </c>
      <c r="N45" s="36" t="inlineStr">
        <is>
          <t>B. Earl</t>
        </is>
      </c>
      <c r="O45" t="n">
        <v>17.4</v>
      </c>
      <c r="P45" t="n">
        <v>8</v>
      </c>
      <c r="Q45" t="inlineStr"/>
      <c r="R45" t="inlineStr"/>
      <c r="S45">
        <f>COUNT(O45:R45)</f>
        <v/>
      </c>
      <c r="T45" s="56">
        <f>IF(S45=0,"",SUM(O45:R45)/S45)</f>
        <v/>
      </c>
    </row>
    <row r="46">
      <c r="A46" s="36" t="inlineStr">
        <is>
          <t>B. Earl</t>
        </is>
      </c>
      <c r="B46" s="36" t="inlineStr">
        <is>
          <t>England</t>
        </is>
      </c>
      <c r="C46" s="36" t="inlineStr">
        <is>
          <t>Back Row</t>
        </is>
      </c>
      <c r="D46" s="37" t="n">
        <v>24</v>
      </c>
      <c r="E46" s="36" t="inlineStr">
        <is>
          <t>y</t>
        </is>
      </c>
      <c r="F46" s="36" t="inlineStr">
        <is>
          <t>Round 1</t>
        </is>
      </c>
      <c r="H46" s="36" t="inlineStr">
        <is>
          <t>N. Isiekwe</t>
        </is>
      </c>
      <c r="I46" s="36">
        <f>_xlfn.XLOOKUP(H46,$A$5:$A$96,$E$5:$E$96,0)</f>
        <v/>
      </c>
      <c r="J46" s="36">
        <f>_xlfn.XLOOKUP(H46,$A$100:$A$197,$E$100:$E$197,0)</f>
        <v/>
      </c>
      <c r="K46">
        <f>_xlfn.XLOOKUP(H46,$A$202:$A$292,$E$202:$E$292,0)</f>
        <v/>
      </c>
      <c r="L46">
        <f>_xlfn.XLOOKUP(H46,$A$296:$A$392,$E$296:$E$392,0)</f>
        <v/>
      </c>
      <c r="N46" s="36" t="inlineStr">
        <is>
          <t>N. Isiekwe</t>
        </is>
      </c>
      <c r="O46" t="n">
        <v>8.6</v>
      </c>
      <c r="P46" t="n">
        <v>3</v>
      </c>
      <c r="Q46" t="inlineStr"/>
      <c r="R46" t="inlineStr"/>
      <c r="S46">
        <f>COUNT(O46:R46)</f>
        <v/>
      </c>
      <c r="T46" s="56">
        <f>IF(S46=0,"",SUM(O46:R46)/S46)</f>
        <v/>
      </c>
    </row>
    <row r="47">
      <c r="A47" s="36" t="inlineStr">
        <is>
          <t>N. Isiekwe</t>
        </is>
      </c>
      <c r="B47" s="36" t="inlineStr">
        <is>
          <t>England</t>
        </is>
      </c>
      <c r="C47" s="36" t="inlineStr">
        <is>
          <t>Second Row</t>
        </is>
      </c>
      <c r="D47" s="37" t="n">
        <v>19</v>
      </c>
      <c r="E47" s="36" t="inlineStr">
        <is>
          <t>y</t>
        </is>
      </c>
      <c r="F47" s="36" t="inlineStr">
        <is>
          <t>Round 1</t>
        </is>
      </c>
      <c r="H47" s="36" t="inlineStr">
        <is>
          <t>D. Cole</t>
        </is>
      </c>
      <c r="I47" s="36">
        <f>_xlfn.XLOOKUP(H47,$A$5:$A$96,$E$5:$E$96,0)</f>
        <v/>
      </c>
      <c r="J47" s="36">
        <f>_xlfn.XLOOKUP(H47,$A$100:$A$197,$E$100:$E$197,0)</f>
        <v/>
      </c>
      <c r="K47">
        <f>_xlfn.XLOOKUP(H47,$A$202:$A$292,$E$202:$E$292,0)</f>
        <v/>
      </c>
      <c r="L47">
        <f>_xlfn.XLOOKUP(H47,$A$296:$A$392,$E$296:$E$392,0)</f>
        <v/>
      </c>
      <c r="N47" s="36" t="inlineStr">
        <is>
          <t>D. Cole</t>
        </is>
      </c>
      <c r="O47" t="n">
        <v>1</v>
      </c>
      <c r="P47" t="n">
        <v>3.6</v>
      </c>
      <c r="Q47" t="n">
        <v>4.2</v>
      </c>
      <c r="R47" t="n">
        <v>1</v>
      </c>
      <c r="S47">
        <f>COUNT(O47:R47)</f>
        <v/>
      </c>
      <c r="T47" s="56">
        <f>IF(S47=0,"",SUM(O47:R47)/S47)</f>
        <v/>
      </c>
    </row>
    <row r="48" hidden="1">
      <c r="A48" s="36" t="inlineStr">
        <is>
          <t>D. Cole</t>
        </is>
      </c>
      <c r="B48" s="36" t="inlineStr">
        <is>
          <t>England</t>
        </is>
      </c>
      <c r="C48" s="36" t="inlineStr">
        <is>
          <t>Prop</t>
        </is>
      </c>
      <c r="D48" s="37" t="n">
        <v>19</v>
      </c>
      <c r="E48" s="36" t="inlineStr">
        <is>
          <t>y</t>
        </is>
      </c>
      <c r="F48" s="36" t="inlineStr">
        <is>
          <t>Round 1</t>
        </is>
      </c>
      <c r="H48" s="36" t="inlineStr">
        <is>
          <t>E. Genge</t>
        </is>
      </c>
      <c r="I48" s="36">
        <f>_xlfn.XLOOKUP(H48,$A$5:$A$96,$E$5:$E$96,0)</f>
        <v/>
      </c>
      <c r="J48" s="36">
        <f>_xlfn.XLOOKUP(H48,$A$100:$A$197,$E$100:$E$197,0)</f>
        <v/>
      </c>
      <c r="K48">
        <f>_xlfn.XLOOKUP(H48,$A$202:$A$292,$E$202:$E$292,0)</f>
        <v/>
      </c>
      <c r="L48">
        <f>_xlfn.XLOOKUP(H48,$A$296:$A$392,$E$296:$E$392,0)</f>
        <v/>
      </c>
      <c r="N48" s="36" t="inlineStr">
        <is>
          <t>E. Genge</t>
        </is>
      </c>
      <c r="O48" t="inlineStr"/>
      <c r="P48" t="inlineStr"/>
      <c r="Q48" t="inlineStr"/>
      <c r="R48" t="inlineStr"/>
      <c r="S48">
        <f>COUNT(O48:R48)</f>
        <v/>
      </c>
      <c r="T48" s="56">
        <f>IF(S48=0,"",SUM(O48:R48)/S48)</f>
        <v/>
      </c>
    </row>
    <row r="49" hidden="1">
      <c r="A49" s="36" t="inlineStr">
        <is>
          <t>E. Genge</t>
        </is>
      </c>
      <c r="B49" s="36" t="inlineStr">
        <is>
          <t>England</t>
        </is>
      </c>
      <c r="C49" s="36" t="inlineStr">
        <is>
          <t>Prop</t>
        </is>
      </c>
      <c r="D49" s="37" t="n">
        <v>61</v>
      </c>
      <c r="F49" s="36" t="inlineStr">
        <is>
          <t>Round 1</t>
        </is>
      </c>
      <c r="H49" s="36" t="inlineStr">
        <is>
          <t>K. Sinckler</t>
        </is>
      </c>
      <c r="I49" s="36">
        <f>_xlfn.XLOOKUP(H49,$A$5:$A$96,$E$5:$E$96,0)</f>
        <v/>
      </c>
      <c r="J49" s="36">
        <f>_xlfn.XLOOKUP(H49,$A$100:$A$197,$E$100:$E$197,0)</f>
        <v/>
      </c>
      <c r="K49">
        <f>_xlfn.XLOOKUP(H49,$A$202:$A$292,$E$202:$E$292,0)</f>
        <v/>
      </c>
      <c r="L49">
        <f>_xlfn.XLOOKUP(H49,$A$296:$A$392,$E$296:$E$392,0)</f>
        <v/>
      </c>
      <c r="N49" s="36" t="inlineStr">
        <is>
          <t>K. Sinckler</t>
        </is>
      </c>
      <c r="O49" t="inlineStr"/>
      <c r="P49" t="inlineStr"/>
      <c r="Q49" t="inlineStr"/>
      <c r="R49" t="inlineStr"/>
      <c r="S49">
        <f>COUNT(O49:R49)</f>
        <v/>
      </c>
      <c r="T49" s="56">
        <f>IF(S49=0,"",SUM(O49:R49)/S49)</f>
        <v/>
      </c>
    </row>
    <row r="50">
      <c r="A50" s="36" t="inlineStr">
        <is>
          <t>K. Sinckler</t>
        </is>
      </c>
      <c r="B50" s="36" t="inlineStr">
        <is>
          <t>England</t>
        </is>
      </c>
      <c r="C50" s="36" t="inlineStr">
        <is>
          <t>Prop</t>
        </is>
      </c>
      <c r="D50" s="37" t="n">
        <v>61</v>
      </c>
      <c r="F50" s="36" t="inlineStr">
        <is>
          <t>Round 1</t>
        </is>
      </c>
      <c r="H50" s="36" t="inlineStr">
        <is>
          <t>M. Vunipola</t>
        </is>
      </c>
      <c r="I50" s="36">
        <f>_xlfn.XLOOKUP(H50,$A$5:$A$96,$E$5:$E$96,0)</f>
        <v/>
      </c>
      <c r="J50" s="36">
        <f>_xlfn.XLOOKUP(H50,$A$100:$A$197,$E$100:$E$197,0)</f>
        <v/>
      </c>
      <c r="K50">
        <f>_xlfn.XLOOKUP(H50,$A$202:$A$292,$E$202:$E$292,0)</f>
        <v/>
      </c>
      <c r="L50">
        <f>_xlfn.XLOOKUP(H50,$A$296:$A$392,$E$296:$E$392,0)</f>
        <v/>
      </c>
      <c r="N50" s="36" t="inlineStr">
        <is>
          <t>M. Vunipola</t>
        </is>
      </c>
      <c r="O50" t="n">
        <v>7.4</v>
      </c>
      <c r="P50" t="n">
        <v>3</v>
      </c>
      <c r="Q50" t="n">
        <v>8.6</v>
      </c>
      <c r="R50" t="n">
        <v>2.8</v>
      </c>
      <c r="S50">
        <f>COUNT(O50:R50)</f>
        <v/>
      </c>
      <c r="T50" s="56">
        <f>IF(S50=0,"",SUM(O50:R50)/S50)</f>
        <v/>
      </c>
    </row>
    <row r="51" hidden="1">
      <c r="A51" s="36" t="inlineStr">
        <is>
          <t>M. Vunipola</t>
        </is>
      </c>
      <c r="B51" s="36" t="inlineStr">
        <is>
          <t>England</t>
        </is>
      </c>
      <c r="C51" s="36" t="inlineStr">
        <is>
          <t>Prop</t>
        </is>
      </c>
      <c r="D51" s="37" t="n">
        <v>19</v>
      </c>
      <c r="E51" s="36" t="inlineStr">
        <is>
          <t>y</t>
        </is>
      </c>
      <c r="F51" s="36" t="inlineStr">
        <is>
          <t>Round 1</t>
        </is>
      </c>
      <c r="H51" s="36" t="inlineStr">
        <is>
          <t>S. Hogg</t>
        </is>
      </c>
      <c r="I51" s="36">
        <f>_xlfn.XLOOKUP(H51,$A$5:$A$96,$E$5:$E$96,0)</f>
        <v/>
      </c>
      <c r="J51" s="36">
        <f>_xlfn.XLOOKUP(H51,$A$100:$A$197,$E$100:$E$197,0)</f>
        <v/>
      </c>
      <c r="K51">
        <f>_xlfn.XLOOKUP(H51,$A$202:$A$292,$E$202:$E$292,0)</f>
        <v/>
      </c>
      <c r="L51">
        <f>_xlfn.XLOOKUP(H51,$A$296:$A$392,$E$296:$E$392,0)</f>
        <v/>
      </c>
      <c r="N51" s="36" t="inlineStr">
        <is>
          <t>S. Hogg</t>
        </is>
      </c>
      <c r="O51" t="inlineStr"/>
      <c r="P51" t="inlineStr"/>
      <c r="Q51" t="inlineStr"/>
      <c r="R51" t="inlineStr"/>
      <c r="S51">
        <f>COUNT(O51:R51)</f>
        <v/>
      </c>
      <c r="T51" s="56">
        <f>IF(S51=0,"",SUM(O51:R51)/S51)</f>
        <v/>
      </c>
    </row>
    <row r="52">
      <c r="A52" s="36" t="inlineStr">
        <is>
          <t>S. Hogg</t>
        </is>
      </c>
      <c r="B52" s="36" t="inlineStr">
        <is>
          <t>Scotland</t>
        </is>
      </c>
      <c r="C52" s="36" t="inlineStr">
        <is>
          <t>Back Three</t>
        </is>
      </c>
      <c r="D52" s="37" t="n">
        <v>66</v>
      </c>
      <c r="F52" s="36" t="inlineStr">
        <is>
          <t>Round 1</t>
        </is>
      </c>
      <c r="H52" s="36" t="inlineStr">
        <is>
          <t>B. Kinghorn</t>
        </is>
      </c>
      <c r="I52" s="36">
        <f>_xlfn.XLOOKUP(H52,$A$5:$A$96,$E$5:$E$96,0)</f>
        <v/>
      </c>
      <c r="J52" s="36">
        <f>_xlfn.XLOOKUP(H52,$A$100:$A$197,$E$100:$E$197,0)</f>
        <v/>
      </c>
      <c r="K52">
        <f>_xlfn.XLOOKUP(H52,$A$202:$A$292,$E$202:$E$292,0)</f>
        <v/>
      </c>
      <c r="L52">
        <f>_xlfn.XLOOKUP(H52,$A$296:$A$392,$E$296:$E$392,0)</f>
        <v/>
      </c>
      <c r="N52" s="36" t="inlineStr">
        <is>
          <t>B. Kinghorn</t>
        </is>
      </c>
      <c r="O52" t="n">
        <v>6.800000000000001</v>
      </c>
      <c r="P52" t="n">
        <v>56</v>
      </c>
      <c r="Q52" t="n">
        <v>1</v>
      </c>
      <c r="R52" t="n">
        <v>12.8</v>
      </c>
      <c r="S52">
        <f>COUNT(O52:R52)</f>
        <v/>
      </c>
      <c r="T52" s="56">
        <f>IF(S52=0,"",SUM(O52:R52)/S52)</f>
        <v/>
      </c>
    </row>
    <row r="53">
      <c r="A53" s="36" t="inlineStr">
        <is>
          <t>B. Kinghorn</t>
        </is>
      </c>
      <c r="B53" s="36" t="inlineStr">
        <is>
          <t>Scotland</t>
        </is>
      </c>
      <c r="C53" s="36" t="inlineStr">
        <is>
          <t>Back Three</t>
        </is>
      </c>
      <c r="D53" s="37" t="n">
        <v>14</v>
      </c>
      <c r="E53" s="36" t="inlineStr">
        <is>
          <t>y</t>
        </is>
      </c>
      <c r="F53" s="36" t="inlineStr">
        <is>
          <t>Round 1</t>
        </is>
      </c>
      <c r="H53" s="36" t="inlineStr">
        <is>
          <t>C. Harris</t>
        </is>
      </c>
      <c r="I53" s="36">
        <f>_xlfn.XLOOKUP(H53,$A$5:$A$96,$E$5:$E$96,0)</f>
        <v/>
      </c>
      <c r="J53" s="36">
        <f>_xlfn.XLOOKUP(H53,$A$100:$A$197,$E$100:$E$197,0)</f>
        <v/>
      </c>
      <c r="K53">
        <f>_xlfn.XLOOKUP(H53,$A$202:$A$292,$E$202:$E$292,0)</f>
        <v/>
      </c>
      <c r="L53">
        <f>_xlfn.XLOOKUP(H53,$A$296:$A$392,$E$296:$E$392,0)</f>
        <v/>
      </c>
      <c r="N53" s="36" t="inlineStr">
        <is>
          <t>C. Harris</t>
        </is>
      </c>
      <c r="O53" t="n">
        <v>1</v>
      </c>
      <c r="P53" t="n">
        <v>5.4</v>
      </c>
      <c r="Q53" t="inlineStr"/>
      <c r="R53" t="n">
        <v>1</v>
      </c>
      <c r="S53">
        <f>COUNT(O53:R53)</f>
        <v/>
      </c>
      <c r="T53" s="56">
        <f>IF(S53=0,"",SUM(O53:R53)/S53)</f>
        <v/>
      </c>
    </row>
    <row r="54" hidden="1">
      <c r="A54" s="36" t="inlineStr">
        <is>
          <t>C. Harris</t>
        </is>
      </c>
      <c r="B54" s="36" t="inlineStr">
        <is>
          <t>Scotland</t>
        </is>
      </c>
      <c r="C54" s="36" t="inlineStr">
        <is>
          <t>Centre</t>
        </is>
      </c>
      <c r="D54" s="37" t="n">
        <v>4</v>
      </c>
      <c r="E54" s="36" t="inlineStr">
        <is>
          <t>y</t>
        </is>
      </c>
      <c r="F54" s="36" t="inlineStr">
        <is>
          <t>Round 1</t>
        </is>
      </c>
      <c r="H54" s="36" t="inlineStr">
        <is>
          <t>H. Jones</t>
        </is>
      </c>
      <c r="I54" s="36">
        <f>_xlfn.XLOOKUP(H54,$A$5:$A$96,$E$5:$E$96,0)</f>
        <v/>
      </c>
      <c r="J54" s="36">
        <f>_xlfn.XLOOKUP(H54,$A$100:$A$197,$E$100:$E$197,0)</f>
        <v/>
      </c>
      <c r="K54">
        <f>_xlfn.XLOOKUP(H54,$A$202:$A$292,$E$202:$E$292,0)</f>
        <v/>
      </c>
      <c r="L54">
        <f>_xlfn.XLOOKUP(H54,$A$296:$A$392,$E$296:$E$392,0)</f>
        <v/>
      </c>
      <c r="N54" s="36" t="inlineStr">
        <is>
          <t>H. Jones</t>
        </is>
      </c>
      <c r="O54" t="inlineStr"/>
      <c r="P54" t="inlineStr"/>
      <c r="Q54" t="inlineStr"/>
      <c r="R54" t="inlineStr"/>
      <c r="S54">
        <f>COUNT(O54:R54)</f>
        <v/>
      </c>
      <c r="T54" s="56">
        <f>IF(S54=0,"",SUM(O54:R54)/S54)</f>
        <v/>
      </c>
    </row>
    <row r="55">
      <c r="A55" s="36" t="inlineStr">
        <is>
          <t>H. Jones</t>
        </is>
      </c>
      <c r="B55" s="36" t="inlineStr">
        <is>
          <t>Scotland</t>
        </is>
      </c>
      <c r="C55" s="36" t="inlineStr">
        <is>
          <t>Centre</t>
        </is>
      </c>
      <c r="D55" s="37" t="n">
        <v>76</v>
      </c>
      <c r="F55" s="36" t="inlineStr">
        <is>
          <t>Round 1</t>
        </is>
      </c>
      <c r="H55" s="36" t="inlineStr">
        <is>
          <t>G. Horne</t>
        </is>
      </c>
      <c r="I55" s="36">
        <f>_xlfn.XLOOKUP(H55,$A$5:$A$96,$E$5:$E$96,0)</f>
        <v/>
      </c>
      <c r="J55" s="36">
        <f>_xlfn.XLOOKUP(H55,$A$100:$A$197,$E$100:$E$197,0)</f>
        <v/>
      </c>
      <c r="K55">
        <f>_xlfn.XLOOKUP(H55,$A$202:$A$292,$E$202:$E$292,0)</f>
        <v/>
      </c>
      <c r="L55">
        <f>_xlfn.XLOOKUP(H55,$A$296:$A$392,$E$296:$E$392,0)</f>
        <v/>
      </c>
      <c r="N55" s="36" t="inlineStr">
        <is>
          <t>G. Horne</t>
        </is>
      </c>
      <c r="O55" t="n">
        <v>1</v>
      </c>
      <c r="P55" t="n">
        <v>4.6</v>
      </c>
      <c r="Q55" t="inlineStr"/>
      <c r="R55" t="inlineStr"/>
      <c r="S55">
        <f>COUNT(O55:R55)</f>
        <v/>
      </c>
      <c r="T55" s="56">
        <f>IF(S55=0,"",SUM(O55:R55)/S55)</f>
        <v/>
      </c>
    </row>
    <row r="56" hidden="1">
      <c r="A56" s="36" t="inlineStr">
        <is>
          <t>G. Horne</t>
        </is>
      </c>
      <c r="B56" s="36" t="inlineStr">
        <is>
          <t>Scotland</t>
        </is>
      </c>
      <c r="C56" s="36" t="inlineStr">
        <is>
          <t>Scrum Half</t>
        </is>
      </c>
      <c r="D56" s="37" t="n">
        <v>11</v>
      </c>
      <c r="E56" s="36" t="inlineStr">
        <is>
          <t>y</t>
        </is>
      </c>
      <c r="F56" s="36" t="inlineStr">
        <is>
          <t>Round 1</t>
        </is>
      </c>
      <c r="H56" s="36" t="inlineStr">
        <is>
          <t>B. White</t>
        </is>
      </c>
      <c r="I56" s="36">
        <f>_xlfn.XLOOKUP(H56,$A$5:$A$96,$E$5:$E$96,0)</f>
        <v/>
      </c>
      <c r="J56" s="36">
        <f>_xlfn.XLOOKUP(H56,$A$100:$A$197,$E$100:$E$197,0)</f>
        <v/>
      </c>
      <c r="K56">
        <f>_xlfn.XLOOKUP(H56,$A$202:$A$292,$E$202:$E$292,0)</f>
        <v/>
      </c>
      <c r="L56">
        <f>_xlfn.XLOOKUP(H56,$A$296:$A$392,$E$296:$E$392,0)</f>
        <v/>
      </c>
      <c r="N56" s="36" t="inlineStr">
        <is>
          <t>B. White</t>
        </is>
      </c>
      <c r="O56" t="inlineStr"/>
      <c r="P56" t="inlineStr"/>
      <c r="Q56" t="inlineStr"/>
      <c r="R56" t="inlineStr"/>
      <c r="S56">
        <f>COUNT(O56:R56)</f>
        <v/>
      </c>
      <c r="T56" s="56">
        <f>IF(S56=0,"",SUM(O56:R56)/S56)</f>
        <v/>
      </c>
    </row>
    <row r="57" hidden="1">
      <c r="A57" s="36" t="inlineStr">
        <is>
          <t>B. White</t>
        </is>
      </c>
      <c r="B57" s="36" t="inlineStr">
        <is>
          <t>Scotland</t>
        </is>
      </c>
      <c r="C57" s="36" t="inlineStr">
        <is>
          <t>Scrum Half</t>
        </is>
      </c>
      <c r="D57" s="37" t="n">
        <v>69</v>
      </c>
      <c r="F57" s="36" t="inlineStr">
        <is>
          <t>Round 1</t>
        </is>
      </c>
      <c r="H57" s="36" t="inlineStr">
        <is>
          <t>L. Crosbie</t>
        </is>
      </c>
      <c r="I57" s="36">
        <f>_xlfn.XLOOKUP(H57,$A$5:$A$96,$E$5:$E$96,0)</f>
        <v/>
      </c>
      <c r="J57" s="36">
        <f>_xlfn.XLOOKUP(H57,$A$100:$A$197,$E$100:$E$197,0)</f>
        <v/>
      </c>
      <c r="K57">
        <f>_xlfn.XLOOKUP(H57,$A$202:$A$292,$E$202:$E$292,0)</f>
        <v/>
      </c>
      <c r="L57">
        <f>_xlfn.XLOOKUP(H57,$A$296:$A$392,$E$296:$E$392,0)</f>
        <v/>
      </c>
      <c r="N57" s="36" t="inlineStr">
        <is>
          <t>L. Crosbie</t>
        </is>
      </c>
      <c r="O57" t="inlineStr"/>
      <c r="P57" t="inlineStr"/>
      <c r="Q57" t="inlineStr"/>
      <c r="R57" t="inlineStr"/>
      <c r="S57">
        <f>COUNT(O57:R57)</f>
        <v/>
      </c>
      <c r="T57" s="56">
        <f>IF(S57=0,"",SUM(O57:R57)/S57)</f>
        <v/>
      </c>
    </row>
    <row r="58">
      <c r="A58" s="36" t="inlineStr">
        <is>
          <t>L. Crosbie</t>
        </is>
      </c>
      <c r="B58" s="36" t="inlineStr">
        <is>
          <t>Scotland</t>
        </is>
      </c>
      <c r="C58" s="36" t="inlineStr">
        <is>
          <t>Back Row</t>
        </is>
      </c>
      <c r="D58" s="37" t="n">
        <v>58</v>
      </c>
      <c r="F58" s="36" t="inlineStr">
        <is>
          <t>Round 1</t>
        </is>
      </c>
      <c r="H58" s="36" t="inlineStr">
        <is>
          <t>J. Dempsey</t>
        </is>
      </c>
      <c r="I58" s="36">
        <f>_xlfn.XLOOKUP(H58,$A$5:$A$96,$E$5:$E$96,0)</f>
        <v/>
      </c>
      <c r="J58" s="36">
        <f>_xlfn.XLOOKUP(H58,$A$100:$A$197,$E$100:$E$197,0)</f>
        <v/>
      </c>
      <c r="K58">
        <f>_xlfn.XLOOKUP(H58,$A$202:$A$292,$E$202:$E$292,0)</f>
        <v/>
      </c>
      <c r="L58">
        <f>_xlfn.XLOOKUP(H58,$A$296:$A$392,$E$296:$E$392,0)</f>
        <v/>
      </c>
      <c r="N58" s="36" t="inlineStr">
        <is>
          <t>J. Dempsey</t>
        </is>
      </c>
      <c r="O58" t="n">
        <v>8.6</v>
      </c>
      <c r="P58" t="n">
        <v>4.800000000000001</v>
      </c>
      <c r="Q58" t="n">
        <v>6</v>
      </c>
      <c r="R58" t="inlineStr"/>
      <c r="S58">
        <f>COUNT(O58:R58)</f>
        <v/>
      </c>
      <c r="T58" s="56">
        <f>IF(S58=0,"",SUM(O58:R58)/S58)</f>
        <v/>
      </c>
    </row>
    <row r="59" hidden="1">
      <c r="A59" s="36" t="inlineStr">
        <is>
          <t>J. Dempsey</t>
        </is>
      </c>
      <c r="B59" s="36" t="inlineStr">
        <is>
          <t>Scotland</t>
        </is>
      </c>
      <c r="C59" s="36" t="inlineStr">
        <is>
          <t>Back Row</t>
        </is>
      </c>
      <c r="D59" s="37" t="n">
        <v>22</v>
      </c>
      <c r="E59" s="36" t="inlineStr">
        <is>
          <t>y</t>
        </is>
      </c>
      <c r="F59" s="36" t="inlineStr">
        <is>
          <t>Round 1</t>
        </is>
      </c>
      <c r="H59" s="36" t="inlineStr">
        <is>
          <t>G. Gilchrist</t>
        </is>
      </c>
      <c r="I59" s="36">
        <f>_xlfn.XLOOKUP(H59,$A$5:$A$96,$E$5:$E$96,0)</f>
        <v/>
      </c>
      <c r="J59" s="36">
        <f>_xlfn.XLOOKUP(H59,$A$100:$A$197,$E$100:$E$197,0)</f>
        <v/>
      </c>
      <c r="K59">
        <f>_xlfn.XLOOKUP(H59,$A$202:$A$292,$E$202:$E$292,0)</f>
        <v/>
      </c>
      <c r="L59">
        <f>_xlfn.XLOOKUP(H59,$A$296:$A$392,$E$296:$E$392,0)</f>
        <v/>
      </c>
      <c r="N59" s="36" t="inlineStr">
        <is>
          <t>G. Gilchrist</t>
        </is>
      </c>
      <c r="O59" t="inlineStr"/>
      <c r="P59" t="inlineStr"/>
      <c r="Q59" t="inlineStr"/>
      <c r="R59" t="inlineStr"/>
      <c r="S59">
        <f>COUNT(O59:R59)</f>
        <v/>
      </c>
      <c r="T59" s="56">
        <f>IF(S59=0,"",SUM(O59:R59)/S59)</f>
        <v/>
      </c>
    </row>
    <row r="60">
      <c r="A60" s="36" t="inlineStr">
        <is>
          <t>G. Gilchrist</t>
        </is>
      </c>
      <c r="B60" s="36" t="inlineStr">
        <is>
          <t>Scotland</t>
        </is>
      </c>
      <c r="C60" s="36" t="inlineStr">
        <is>
          <t>Second Row</t>
        </is>
      </c>
      <c r="D60" s="37" t="n">
        <v>66</v>
      </c>
      <c r="F60" s="36" t="inlineStr">
        <is>
          <t>Round 1</t>
        </is>
      </c>
      <c r="H60" s="36" t="inlineStr">
        <is>
          <t>J. Gray</t>
        </is>
      </c>
      <c r="I60" s="36">
        <f>_xlfn.XLOOKUP(H60,$A$5:$A$96,$E$5:$E$96,0)</f>
        <v/>
      </c>
      <c r="J60" s="36">
        <f>_xlfn.XLOOKUP(H60,$A$100:$A$197,$E$100:$E$197,0)</f>
        <v/>
      </c>
      <c r="K60">
        <f>_xlfn.XLOOKUP(H60,$A$202:$A$292,$E$202:$E$292,0)</f>
        <v/>
      </c>
      <c r="L60">
        <f>_xlfn.XLOOKUP(H60,$A$296:$A$392,$E$296:$E$392,0)</f>
        <v/>
      </c>
      <c r="N60" s="36" t="inlineStr">
        <is>
          <t>J. Gray</t>
        </is>
      </c>
      <c r="O60" t="n">
        <v>11.4</v>
      </c>
      <c r="P60" t="n">
        <v>10.4</v>
      </c>
      <c r="Q60" t="n">
        <v>20.6</v>
      </c>
      <c r="R60" t="inlineStr"/>
      <c r="S60">
        <f>COUNT(O60:R60)</f>
        <v/>
      </c>
      <c r="T60" s="56">
        <f>IF(S60=0,"",SUM(O60:R60)/S60)</f>
        <v/>
      </c>
    </row>
    <row r="61">
      <c r="A61" s="36" t="inlineStr">
        <is>
          <t>J. Gray</t>
        </is>
      </c>
      <c r="B61" s="36" t="inlineStr">
        <is>
          <t>Scotland</t>
        </is>
      </c>
      <c r="C61" s="36" t="inlineStr">
        <is>
          <t>Second Row</t>
        </is>
      </c>
      <c r="D61" s="37" t="n">
        <v>14</v>
      </c>
      <c r="E61" s="36" t="inlineStr">
        <is>
          <t>y</t>
        </is>
      </c>
      <c r="F61" s="36" t="inlineStr">
        <is>
          <t>Round 1</t>
        </is>
      </c>
      <c r="H61" s="36" t="inlineStr">
        <is>
          <t>S. Berghan</t>
        </is>
      </c>
      <c r="I61" s="36">
        <f>_xlfn.XLOOKUP(H61,$A$5:$A$96,$E$5:$E$96,0)</f>
        <v/>
      </c>
      <c r="J61" s="36">
        <f>_xlfn.XLOOKUP(H61,$A$100:$A$197,$E$100:$E$197,0)</f>
        <v/>
      </c>
      <c r="K61">
        <f>_xlfn.XLOOKUP(H61,$A$202:$A$292,$E$202:$E$292,0)</f>
        <v/>
      </c>
      <c r="L61">
        <f>_xlfn.XLOOKUP(H61,$A$296:$A$392,$E$296:$E$392,0)</f>
        <v/>
      </c>
      <c r="N61" s="36" t="inlineStr">
        <is>
          <t>S. Berghan</t>
        </is>
      </c>
      <c r="O61" t="n">
        <v>8</v>
      </c>
      <c r="P61" t="inlineStr"/>
      <c r="Q61" t="inlineStr"/>
      <c r="R61" t="n">
        <v>7.800000000000001</v>
      </c>
      <c r="S61">
        <f>COUNT(O61:R61)</f>
        <v/>
      </c>
      <c r="T61" s="56">
        <f>IF(S61=0,"",SUM(O61:R61)/S61)</f>
        <v/>
      </c>
    </row>
    <row r="62">
      <c r="A62" s="36" t="inlineStr">
        <is>
          <t>S. Berghan</t>
        </is>
      </c>
      <c r="B62" s="36" t="inlineStr">
        <is>
          <t>Scotland</t>
        </is>
      </c>
      <c r="C62" s="36" t="inlineStr">
        <is>
          <t>Prop</t>
        </is>
      </c>
      <c r="D62" s="37" t="n">
        <v>22</v>
      </c>
      <c r="E62" s="36" t="inlineStr">
        <is>
          <t>y</t>
        </is>
      </c>
      <c r="F62" s="36" t="inlineStr">
        <is>
          <t>Round 1</t>
        </is>
      </c>
      <c r="H62" s="36" t="inlineStr">
        <is>
          <t>J. Bhatti</t>
        </is>
      </c>
      <c r="I62" s="36">
        <f>_xlfn.XLOOKUP(H62,$A$5:$A$96,$E$5:$E$96,0)</f>
        <v/>
      </c>
      <c r="J62" s="36">
        <f>_xlfn.XLOOKUP(H62,$A$100:$A$197,$E$100:$E$197,0)</f>
        <v/>
      </c>
      <c r="K62">
        <f>_xlfn.XLOOKUP(H62,$A$202:$A$292,$E$202:$E$292,0)</f>
        <v/>
      </c>
      <c r="L62">
        <f>_xlfn.XLOOKUP(H62,$A$296:$A$392,$E$296:$E$392,0)</f>
        <v/>
      </c>
      <c r="N62" s="36" t="inlineStr">
        <is>
          <t>J. Bhatti</t>
        </is>
      </c>
      <c r="O62" t="n">
        <v>3.4</v>
      </c>
      <c r="P62" t="n">
        <v>3</v>
      </c>
      <c r="Q62" t="n">
        <v>9</v>
      </c>
      <c r="R62" t="n">
        <v>7</v>
      </c>
      <c r="S62">
        <f>COUNT(O62:R62)</f>
        <v/>
      </c>
      <c r="T62" s="56">
        <f>IF(S62=0,"",SUM(O62:R62)/S62)</f>
        <v/>
      </c>
    </row>
    <row r="63">
      <c r="A63" s="36" t="inlineStr">
        <is>
          <t>J. Bhatti</t>
        </is>
      </c>
      <c r="B63" s="36" t="inlineStr">
        <is>
          <t>Scotland</t>
        </is>
      </c>
      <c r="C63" s="36" t="inlineStr">
        <is>
          <t>Prop</t>
        </is>
      </c>
      <c r="D63" s="37" t="n">
        <v>14</v>
      </c>
      <c r="E63" s="36" t="inlineStr">
        <is>
          <t>y</t>
        </is>
      </c>
      <c r="F63" s="36" t="inlineStr">
        <is>
          <t>Round 1</t>
        </is>
      </c>
      <c r="H63" s="36" t="inlineStr">
        <is>
          <t>W. Nel</t>
        </is>
      </c>
      <c r="I63" s="36">
        <f>_xlfn.XLOOKUP(H63,$A$5:$A$96,$E$5:$E$96,0)</f>
        <v/>
      </c>
      <c r="J63" s="36">
        <f>_xlfn.XLOOKUP(H63,$A$100:$A$197,$E$100:$E$197,0)</f>
        <v/>
      </c>
      <c r="K63">
        <f>_xlfn.XLOOKUP(H63,$A$202:$A$292,$E$202:$E$292,0)</f>
        <v/>
      </c>
      <c r="L63">
        <f>_xlfn.XLOOKUP(H63,$A$296:$A$392,$E$296:$E$392,0)</f>
        <v/>
      </c>
      <c r="N63" s="36" t="inlineStr">
        <is>
          <t>W. Nel</t>
        </is>
      </c>
      <c r="O63" t="inlineStr"/>
      <c r="P63" t="n">
        <v>1</v>
      </c>
      <c r="Q63" t="n">
        <v>4</v>
      </c>
      <c r="R63" t="inlineStr"/>
      <c r="S63">
        <f>COUNT(O63:R63)</f>
        <v/>
      </c>
      <c r="T63" s="56">
        <f>IF(S63=0,"",SUM(O63:R63)/S63)</f>
        <v/>
      </c>
    </row>
    <row r="64" hidden="1">
      <c r="A64" s="36" t="inlineStr">
        <is>
          <t>W. Nel</t>
        </is>
      </c>
      <c r="B64" s="36" t="inlineStr">
        <is>
          <t>Scotland</t>
        </is>
      </c>
      <c r="C64" s="36" t="inlineStr">
        <is>
          <t>Prop</t>
        </is>
      </c>
      <c r="D64" s="37" t="n">
        <v>58</v>
      </c>
      <c r="F64" s="36" t="inlineStr">
        <is>
          <t>Round 1</t>
        </is>
      </c>
      <c r="H64" s="36" t="inlineStr">
        <is>
          <t>P. Schoeman</t>
        </is>
      </c>
      <c r="I64" s="36">
        <f>_xlfn.XLOOKUP(H64,$A$5:$A$96,$E$5:$E$96,0)</f>
        <v/>
      </c>
      <c r="J64" s="36">
        <f>_xlfn.XLOOKUP(H64,$A$100:$A$197,$E$100:$E$197,0)</f>
        <v/>
      </c>
      <c r="K64">
        <f>_xlfn.XLOOKUP(H64,$A$202:$A$292,$E$202:$E$292,0)</f>
        <v/>
      </c>
      <c r="L64">
        <f>_xlfn.XLOOKUP(H64,$A$296:$A$392,$E$296:$E$392,0)</f>
        <v/>
      </c>
      <c r="N64" s="36" t="inlineStr">
        <is>
          <t>P. Schoeman</t>
        </is>
      </c>
      <c r="O64" t="inlineStr"/>
      <c r="P64" t="inlineStr"/>
      <c r="Q64" t="inlineStr"/>
      <c r="R64" t="inlineStr"/>
      <c r="S64">
        <f>COUNT(O64:R64)</f>
        <v/>
      </c>
      <c r="T64" s="56">
        <f>IF(S64=0,"",SUM(O64:R64)/S64)</f>
        <v/>
      </c>
    </row>
    <row r="65">
      <c r="A65" s="36" t="inlineStr">
        <is>
          <t>P. Schoeman</t>
        </is>
      </c>
      <c r="B65" s="36" t="inlineStr">
        <is>
          <t>Scotland</t>
        </is>
      </c>
      <c r="C65" s="36" t="inlineStr">
        <is>
          <t>Prop</t>
        </is>
      </c>
      <c r="D65" s="37" t="n">
        <v>66</v>
      </c>
      <c r="F65" s="36" t="inlineStr">
        <is>
          <t>Round 1</t>
        </is>
      </c>
      <c r="H65" s="36" t="inlineStr">
        <is>
          <t>F. Brown</t>
        </is>
      </c>
      <c r="I65" s="36">
        <f>_xlfn.XLOOKUP(H65,$A$5:$A$96,$E$5:$E$96,0)</f>
        <v/>
      </c>
      <c r="J65" s="36">
        <f>_xlfn.XLOOKUP(H65,$A$100:$A$197,$E$100:$E$197,0)</f>
        <v/>
      </c>
      <c r="K65">
        <f>_xlfn.XLOOKUP(H65,$A$202:$A$292,$E$202:$E$292,0)</f>
        <v/>
      </c>
      <c r="L65">
        <f>_xlfn.XLOOKUP(H65,$A$296:$A$392,$E$296:$E$392,0)</f>
        <v/>
      </c>
      <c r="N65" s="36" t="inlineStr">
        <is>
          <t>F. Brown</t>
        </is>
      </c>
      <c r="O65" t="n">
        <v>3.4</v>
      </c>
      <c r="P65" t="n">
        <v>12.8</v>
      </c>
      <c r="Q65" t="n">
        <v>5.4</v>
      </c>
      <c r="R65" t="n">
        <v>10</v>
      </c>
      <c r="S65">
        <f>COUNT(O65:R65)</f>
        <v/>
      </c>
      <c r="T65" s="56">
        <f>IF(S65=0,"",SUM(O65:R65)/S65)</f>
        <v/>
      </c>
    </row>
    <row r="66" hidden="1">
      <c r="A66" s="36" t="inlineStr">
        <is>
          <t>F. Brown</t>
        </is>
      </c>
      <c r="B66" s="36" t="inlineStr">
        <is>
          <t>Scotland</t>
        </is>
      </c>
      <c r="C66" s="36" t="inlineStr">
        <is>
          <t>Hooker</t>
        </is>
      </c>
      <c r="D66" s="37" t="n">
        <v>22</v>
      </c>
      <c r="E66" s="36" t="inlineStr">
        <is>
          <t>y</t>
        </is>
      </c>
      <c r="F66" s="36" t="inlineStr">
        <is>
          <t>Round 1</t>
        </is>
      </c>
      <c r="H66" s="36" t="inlineStr">
        <is>
          <t>G. Turner</t>
        </is>
      </c>
      <c r="I66" s="36">
        <f>_xlfn.XLOOKUP(H66,$A$5:$A$96,$E$5:$E$96,0)</f>
        <v/>
      </c>
      <c r="J66" s="36">
        <f>_xlfn.XLOOKUP(H66,$A$100:$A$197,$E$100:$E$197,0)</f>
        <v/>
      </c>
      <c r="K66">
        <f>_xlfn.XLOOKUP(H66,$A$202:$A$292,$E$202:$E$292,0)</f>
        <v/>
      </c>
      <c r="L66">
        <f>_xlfn.XLOOKUP(H66,$A$296:$A$392,$E$296:$E$392,0)</f>
        <v/>
      </c>
      <c r="N66" s="36" t="inlineStr">
        <is>
          <t>G. Turner</t>
        </is>
      </c>
      <c r="O66" t="inlineStr"/>
      <c r="P66" t="inlineStr"/>
      <c r="Q66" t="inlineStr"/>
      <c r="R66" t="inlineStr"/>
      <c r="S66">
        <f>COUNT(O66:R66)</f>
        <v/>
      </c>
      <c r="T66" s="56">
        <f>IF(S66=0,"",SUM(O66:R66)/S66)</f>
        <v/>
      </c>
    </row>
    <row r="67">
      <c r="A67" s="36" t="inlineStr">
        <is>
          <t>G. Turner</t>
        </is>
      </c>
      <c r="B67" s="36" t="inlineStr">
        <is>
          <t>Scotland</t>
        </is>
      </c>
      <c r="C67" s="36" t="inlineStr">
        <is>
          <t>Hooker</t>
        </is>
      </c>
      <c r="D67" s="37" t="n">
        <v>58</v>
      </c>
      <c r="F67" s="36" t="inlineStr">
        <is>
          <t>Round 1</t>
        </is>
      </c>
      <c r="H67" s="36" t="inlineStr">
        <is>
          <t>P. Bruno</t>
        </is>
      </c>
      <c r="I67" s="36">
        <f>_xlfn.XLOOKUP(H67,$A$5:$A$96,$E$5:$E$96,0)</f>
        <v/>
      </c>
      <c r="J67" s="36">
        <f>_xlfn.XLOOKUP(H67,$A$100:$A$197,$E$100:$E$197,0)</f>
        <v/>
      </c>
      <c r="K67">
        <f>_xlfn.XLOOKUP(H67,$A$202:$A$292,$E$202:$E$292,0)</f>
        <v/>
      </c>
      <c r="L67">
        <f>_xlfn.XLOOKUP(H67,$A$296:$A$392,$E$296:$E$392,0)</f>
        <v/>
      </c>
      <c r="N67" s="36" t="inlineStr">
        <is>
          <t>P. Bruno</t>
        </is>
      </c>
      <c r="O67" t="inlineStr"/>
      <c r="P67" t="n">
        <v>5.4</v>
      </c>
      <c r="Q67" t="inlineStr"/>
      <c r="R67" t="inlineStr"/>
      <c r="S67">
        <f>COUNT(O67:R67)</f>
        <v/>
      </c>
      <c r="T67" s="56">
        <f>IF(S67=0,"",SUM(O67:R67)/S67)</f>
        <v/>
      </c>
    </row>
    <row r="68">
      <c r="A68" s="36" t="inlineStr">
        <is>
          <t>P. Bruno</t>
        </is>
      </c>
      <c r="B68" s="36" t="inlineStr">
        <is>
          <t>Italy</t>
        </is>
      </c>
      <c r="C68" s="36" t="inlineStr">
        <is>
          <t>Back Three</t>
        </is>
      </c>
      <c r="D68" s="37" t="n">
        <v>66</v>
      </c>
      <c r="F68" s="36" t="inlineStr">
        <is>
          <t>Round 1</t>
        </is>
      </c>
      <c r="H68" s="36" t="inlineStr">
        <is>
          <t>A. Fusco</t>
        </is>
      </c>
      <c r="I68" s="36">
        <f>_xlfn.XLOOKUP(H68,$A$5:$A$96,$E$5:$E$96,0)</f>
        <v/>
      </c>
      <c r="J68" s="36">
        <f>_xlfn.XLOOKUP(H68,$A$100:$A$197,$E$100:$E$197,0)</f>
        <v/>
      </c>
      <c r="K68">
        <f>_xlfn.XLOOKUP(H68,$A$202:$A$292,$E$202:$E$292,0)</f>
        <v/>
      </c>
      <c r="L68">
        <f>_xlfn.XLOOKUP(H68,$A$296:$A$392,$E$296:$E$392,0)</f>
        <v/>
      </c>
      <c r="N68" s="36" t="inlineStr">
        <is>
          <t>A. Fusco</t>
        </is>
      </c>
      <c r="O68" t="n">
        <v>0</v>
      </c>
      <c r="P68" t="n">
        <v>24.6</v>
      </c>
      <c r="Q68" t="n">
        <v>0</v>
      </c>
      <c r="R68" t="n">
        <v>17</v>
      </c>
      <c r="S68">
        <f>COUNT(O68:R68)</f>
        <v/>
      </c>
      <c r="T68" s="56">
        <f>IF(S68=0,"",SUM(O68:R68)/S68)</f>
        <v/>
      </c>
    </row>
    <row r="69">
      <c r="A69" s="36" t="inlineStr">
        <is>
          <t>A. Fusco</t>
        </is>
      </c>
      <c r="B69" s="36" t="inlineStr">
        <is>
          <t>Italy</t>
        </is>
      </c>
      <c r="C69" s="36" t="inlineStr">
        <is>
          <t>Back Three</t>
        </is>
      </c>
      <c r="D69" s="37" t="n">
        <v>6</v>
      </c>
      <c r="E69" s="36" t="inlineStr">
        <is>
          <t>y</t>
        </is>
      </c>
      <c r="F69" s="36" t="inlineStr">
        <is>
          <t>Round 1</t>
        </is>
      </c>
      <c r="H69" s="36" t="inlineStr">
        <is>
          <t>E. Padovani</t>
        </is>
      </c>
      <c r="I69" s="36">
        <f>_xlfn.XLOOKUP(H69,$A$5:$A$96,$E$5:$E$96,0)</f>
        <v/>
      </c>
      <c r="J69" s="36">
        <f>_xlfn.XLOOKUP(H69,$A$100:$A$197,$E$100:$E$197,0)</f>
        <v/>
      </c>
      <c r="K69">
        <f>_xlfn.XLOOKUP(H69,$A$202:$A$292,$E$202:$E$292,0)</f>
        <v/>
      </c>
      <c r="L69">
        <f>_xlfn.XLOOKUP(H69,$A$296:$A$392,$E$296:$E$392,0)</f>
        <v/>
      </c>
      <c r="N69" s="36" t="inlineStr">
        <is>
          <t>E. Padovani</t>
        </is>
      </c>
      <c r="O69" t="n">
        <v>3.8</v>
      </c>
      <c r="P69" t="inlineStr"/>
      <c r="Q69" t="inlineStr"/>
      <c r="R69" t="inlineStr"/>
      <c r="S69">
        <f>COUNT(O69:R69)</f>
        <v/>
      </c>
      <c r="T69" s="56">
        <f>IF(S69=0,"",SUM(O69:R69)/S69)</f>
        <v/>
      </c>
    </row>
    <row r="70" hidden="1">
      <c r="A70" s="36" t="inlineStr">
        <is>
          <t>E. Padovani</t>
        </is>
      </c>
      <c r="B70" s="36" t="inlineStr">
        <is>
          <t>Italy</t>
        </is>
      </c>
      <c r="C70" s="36" t="inlineStr">
        <is>
          <t>Back Three</t>
        </is>
      </c>
      <c r="D70" s="37" t="n">
        <v>14</v>
      </c>
      <c r="E70" s="36" t="inlineStr">
        <is>
          <t>y</t>
        </is>
      </c>
      <c r="F70" s="36" t="inlineStr">
        <is>
          <t>Round 1</t>
        </is>
      </c>
      <c r="H70" s="36" t="inlineStr">
        <is>
          <t>S. Varney</t>
        </is>
      </c>
      <c r="I70" s="36">
        <f>_xlfn.XLOOKUP(H70,$A$5:$A$96,$E$5:$E$96,0)</f>
        <v/>
      </c>
      <c r="J70" s="36">
        <f>_xlfn.XLOOKUP(H70,$A$100:$A$197,$E$100:$E$197,0)</f>
        <v/>
      </c>
      <c r="K70">
        <f>_xlfn.XLOOKUP(H70,$A$202:$A$292,$E$202:$E$292,0)</f>
        <v/>
      </c>
      <c r="L70">
        <f>_xlfn.XLOOKUP(H70,$A$296:$A$392,$E$296:$E$392,0)</f>
        <v/>
      </c>
      <c r="N70" s="36" t="inlineStr">
        <is>
          <t>S. Varney</t>
        </is>
      </c>
      <c r="O70" t="inlineStr"/>
      <c r="P70" t="inlineStr"/>
      <c r="Q70" t="inlineStr"/>
      <c r="R70" t="inlineStr"/>
      <c r="S70">
        <f>COUNT(O70:R70)</f>
        <v/>
      </c>
      <c r="T70" s="56">
        <f>IF(S70=0,"",SUM(O70:R70)/S70)</f>
        <v/>
      </c>
    </row>
    <row r="71">
      <c r="A71" s="36" t="inlineStr">
        <is>
          <t>S. Varney</t>
        </is>
      </c>
      <c r="B71" s="36" t="inlineStr">
        <is>
          <t>Italy</t>
        </is>
      </c>
      <c r="C71" s="36" t="inlineStr">
        <is>
          <t>Scrum Half</t>
        </is>
      </c>
      <c r="D71" s="37" t="n">
        <v>74</v>
      </c>
      <c r="F71" s="36" t="inlineStr">
        <is>
          <t>Round 1</t>
        </is>
      </c>
      <c r="H71" s="36" t="inlineStr">
        <is>
          <t>E. Iachizzi</t>
        </is>
      </c>
      <c r="I71" s="36">
        <f>_xlfn.XLOOKUP(H71,$A$5:$A$96,$E$5:$E$96,0)</f>
        <v/>
      </c>
      <c r="J71" s="36">
        <f>_xlfn.XLOOKUP(H71,$A$100:$A$197,$E$100:$E$197,0)</f>
        <v/>
      </c>
      <c r="K71">
        <f>_xlfn.XLOOKUP(H71,$A$202:$A$292,$E$202:$E$292,0)</f>
        <v/>
      </c>
      <c r="L71">
        <f>_xlfn.XLOOKUP(H71,$A$296:$A$392,$E$296:$E$392,0)</f>
        <v/>
      </c>
      <c r="N71" s="36" t="inlineStr">
        <is>
          <t>E. Iachizzi</t>
        </is>
      </c>
      <c r="O71" t="n">
        <v>1.8</v>
      </c>
      <c r="P71" t="n">
        <v>5.2</v>
      </c>
      <c r="Q71" t="n">
        <v>11</v>
      </c>
      <c r="R71" t="n">
        <v>20.6</v>
      </c>
      <c r="S71">
        <f>COUNT(O71:R71)</f>
        <v/>
      </c>
      <c r="T71" s="56">
        <f>IF(S71=0,"",SUM(O71:R71)/S71)</f>
        <v/>
      </c>
    </row>
    <row r="72" hidden="1">
      <c r="A72" s="36" t="inlineStr">
        <is>
          <t>E. Iachizzi</t>
        </is>
      </c>
      <c r="B72" s="36" t="inlineStr">
        <is>
          <t>Italy</t>
        </is>
      </c>
      <c r="C72" s="36" t="inlineStr">
        <is>
          <t>Back Row</t>
        </is>
      </c>
      <c r="D72" s="37" t="n">
        <v>11</v>
      </c>
      <c r="E72" s="36" t="inlineStr">
        <is>
          <t>y</t>
        </is>
      </c>
      <c r="F72" s="36" t="inlineStr">
        <is>
          <t>Round 1</t>
        </is>
      </c>
      <c r="H72" s="36" t="inlineStr">
        <is>
          <t>S. Negri</t>
        </is>
      </c>
      <c r="I72" s="36">
        <f>_xlfn.XLOOKUP(H72,$A$5:$A$96,$E$5:$E$96,0)</f>
        <v/>
      </c>
      <c r="J72" s="36">
        <f>_xlfn.XLOOKUP(H72,$A$100:$A$197,$E$100:$E$197,0)</f>
        <v/>
      </c>
      <c r="K72">
        <f>_xlfn.XLOOKUP(H72,$A$202:$A$292,$E$202:$E$292,0)</f>
        <v/>
      </c>
      <c r="L72">
        <f>_xlfn.XLOOKUP(H72,$A$296:$A$392,$E$296:$E$392,0)</f>
        <v/>
      </c>
      <c r="N72" s="36" t="inlineStr">
        <is>
          <t>S. Negri</t>
        </is>
      </c>
      <c r="O72" t="inlineStr"/>
      <c r="P72" t="inlineStr"/>
      <c r="Q72" t="inlineStr"/>
      <c r="R72" t="inlineStr"/>
      <c r="S72">
        <f>COUNT(O72:R72)</f>
        <v/>
      </c>
      <c r="T72" s="56">
        <f>IF(S72=0,"",SUM(O72:R72)/S72)</f>
        <v/>
      </c>
    </row>
    <row r="73">
      <c r="A73" s="36" t="inlineStr">
        <is>
          <t>S. Negri</t>
        </is>
      </c>
      <c r="B73" s="36" t="inlineStr">
        <is>
          <t>Italy</t>
        </is>
      </c>
      <c r="C73" s="36" t="inlineStr">
        <is>
          <t>Back Row</t>
        </is>
      </c>
      <c r="D73" s="37" t="n">
        <v>65</v>
      </c>
      <c r="F73" s="36" t="inlineStr">
        <is>
          <t>Round 1</t>
        </is>
      </c>
      <c r="H73" s="36" t="inlineStr">
        <is>
          <t>G. Pettinelli</t>
        </is>
      </c>
      <c r="I73" s="36">
        <f>_xlfn.XLOOKUP(H73,$A$5:$A$96,$E$5:$E$96,0)</f>
        <v/>
      </c>
      <c r="J73" s="36">
        <f>_xlfn.XLOOKUP(H73,$A$100:$A$197,$E$100:$E$197,0)</f>
        <v/>
      </c>
      <c r="K73">
        <f>_xlfn.XLOOKUP(H73,$A$202:$A$292,$E$202:$E$292,0)</f>
        <v/>
      </c>
      <c r="L73">
        <f>_xlfn.XLOOKUP(H73,$A$296:$A$392,$E$296:$E$392,0)</f>
        <v/>
      </c>
      <c r="N73" s="36" t="inlineStr">
        <is>
          <t>G. Pettinelli</t>
        </is>
      </c>
      <c r="O73" t="n">
        <v>2</v>
      </c>
      <c r="P73" t="inlineStr"/>
      <c r="Q73" t="n">
        <v>17.6</v>
      </c>
      <c r="R73" t="n">
        <v>0</v>
      </c>
      <c r="S73">
        <f>COUNT(O73:R73)</f>
        <v/>
      </c>
      <c r="T73" s="56">
        <f>IF(S73=0,"",SUM(O73:R73)/S73)</f>
        <v/>
      </c>
    </row>
    <row r="74" hidden="1">
      <c r="A74" s="36" t="inlineStr">
        <is>
          <t>G. Pettinelli</t>
        </is>
      </c>
      <c r="B74" s="36" t="inlineStr">
        <is>
          <t>Italy</t>
        </is>
      </c>
      <c r="C74" s="36" t="inlineStr">
        <is>
          <t>Back Row</t>
        </is>
      </c>
      <c r="D74" s="37" t="n">
        <v>11</v>
      </c>
      <c r="E74" s="36" t="inlineStr">
        <is>
          <t>y</t>
        </is>
      </c>
      <c r="F74" s="36" t="inlineStr">
        <is>
          <t>Round 1</t>
        </is>
      </c>
      <c r="H74" s="36" t="inlineStr">
        <is>
          <t>N. Cannone</t>
        </is>
      </c>
      <c r="I74" s="36">
        <f>_xlfn.XLOOKUP(H74,$A$5:$A$96,$E$5:$E$96,0)</f>
        <v/>
      </c>
      <c r="J74" s="36">
        <f>_xlfn.XLOOKUP(H74,$A$100:$A$197,$E$100:$E$197,0)</f>
        <v/>
      </c>
      <c r="K74">
        <f>_xlfn.XLOOKUP(H74,$A$202:$A$292,$E$202:$E$292,0)</f>
        <v/>
      </c>
      <c r="L74">
        <f>_xlfn.XLOOKUP(H74,$A$296:$A$392,$E$296:$E$392,0)</f>
        <v/>
      </c>
      <c r="N74" s="36" t="inlineStr">
        <is>
          <t>N. Cannone</t>
        </is>
      </c>
      <c r="O74" t="inlineStr"/>
      <c r="P74" t="inlineStr"/>
      <c r="Q74" t="inlineStr"/>
      <c r="R74" t="inlineStr"/>
      <c r="S74">
        <f>COUNT(O74:R74)</f>
        <v/>
      </c>
      <c r="T74" s="56">
        <f>IF(S74=0,"",SUM(O74:R74)/S74)</f>
        <v/>
      </c>
    </row>
    <row r="75" hidden="1">
      <c r="A75" s="36" t="inlineStr">
        <is>
          <t>N. Cannone</t>
        </is>
      </c>
      <c r="B75" s="36" t="inlineStr">
        <is>
          <t>Italy</t>
        </is>
      </c>
      <c r="C75" s="36" t="inlineStr">
        <is>
          <t>Second Row</t>
        </is>
      </c>
      <c r="D75" s="37" t="n">
        <v>69</v>
      </c>
      <c r="F75" s="36" t="inlineStr">
        <is>
          <t>Round 1</t>
        </is>
      </c>
      <c r="H75" s="36" t="inlineStr">
        <is>
          <t>L. Cannone</t>
        </is>
      </c>
      <c r="I75" s="36">
        <f>_xlfn.XLOOKUP(H75,$A$5:$A$96,$E$5:$E$96,0)</f>
        <v/>
      </c>
      <c r="J75" s="36">
        <f>_xlfn.XLOOKUP(H75,$A$100:$A$197,$E$100:$E$197,0)</f>
        <v/>
      </c>
      <c r="K75">
        <f>_xlfn.XLOOKUP(H75,$A$202:$A$292,$E$202:$E$292,0)</f>
        <v/>
      </c>
      <c r="L75">
        <f>_xlfn.XLOOKUP(H75,$A$296:$A$392,$E$296:$E$392,0)</f>
        <v/>
      </c>
      <c r="N75" s="36" t="inlineStr">
        <is>
          <t>L. Cannone</t>
        </is>
      </c>
      <c r="O75" t="inlineStr"/>
      <c r="P75" t="inlineStr"/>
      <c r="Q75" t="inlineStr"/>
      <c r="R75" t="inlineStr"/>
      <c r="S75">
        <f>COUNT(O75:R75)</f>
        <v/>
      </c>
      <c r="T75" s="56">
        <f>IF(S75=0,"",SUM(O75:R75)/S75)</f>
        <v/>
      </c>
    </row>
    <row r="76">
      <c r="A76" s="36" t="inlineStr">
        <is>
          <t>L. Cannone</t>
        </is>
      </c>
      <c r="B76" s="36" t="inlineStr">
        <is>
          <t>Italy</t>
        </is>
      </c>
      <c r="C76" s="36" t="inlineStr">
        <is>
          <t>Second Row</t>
        </is>
      </c>
      <c r="D76" s="37" t="n">
        <v>69</v>
      </c>
      <c r="F76" s="36" t="inlineStr">
        <is>
          <t>Round 1</t>
        </is>
      </c>
      <c r="H76" s="36" t="inlineStr">
        <is>
          <t>M. Zuliani</t>
        </is>
      </c>
      <c r="I76" s="36">
        <f>_xlfn.XLOOKUP(H76,$A$5:$A$96,$E$5:$E$96,0)</f>
        <v/>
      </c>
      <c r="J76" s="36">
        <f>_xlfn.XLOOKUP(H76,$A$100:$A$197,$E$100:$E$197,0)</f>
        <v/>
      </c>
      <c r="K76">
        <f>_xlfn.XLOOKUP(H76,$A$202:$A$292,$E$202:$E$292,0)</f>
        <v/>
      </c>
      <c r="L76">
        <f>_xlfn.XLOOKUP(H76,$A$296:$A$392,$E$296:$E$392,0)</f>
        <v/>
      </c>
      <c r="N76" s="36" t="inlineStr">
        <is>
          <t>M. Zuliani</t>
        </is>
      </c>
      <c r="O76" t="n">
        <v>3.2</v>
      </c>
      <c r="P76" t="n">
        <v>42.2</v>
      </c>
      <c r="Q76" t="inlineStr"/>
      <c r="R76" t="n">
        <v>22.2</v>
      </c>
      <c r="S76">
        <f>COUNT(O76:R76)</f>
        <v/>
      </c>
      <c r="T76" s="56">
        <f>IF(S76=0,"",SUM(O76:R76)/S76)</f>
        <v/>
      </c>
    </row>
    <row r="77">
      <c r="A77" s="36" t="inlineStr">
        <is>
          <t>M. Zuliani</t>
        </is>
      </c>
      <c r="B77" s="36" t="inlineStr">
        <is>
          <t>Italy</t>
        </is>
      </c>
      <c r="C77" s="36" t="inlineStr">
        <is>
          <t>Second Row</t>
        </is>
      </c>
      <c r="D77" s="37" t="n">
        <v>15</v>
      </c>
      <c r="E77" s="36" t="inlineStr">
        <is>
          <t>y</t>
        </is>
      </c>
      <c r="F77" s="36" t="inlineStr">
        <is>
          <t>Round 1</t>
        </is>
      </c>
      <c r="H77" s="36" t="inlineStr">
        <is>
          <t>P. Ceccarelli</t>
        </is>
      </c>
      <c r="I77" s="36">
        <f>_xlfn.XLOOKUP(H77,$A$5:$A$96,$E$5:$E$96,0)</f>
        <v/>
      </c>
      <c r="J77" s="36">
        <f>_xlfn.XLOOKUP(H77,$A$100:$A$197,$E$100:$E$197,0)</f>
        <v/>
      </c>
      <c r="K77">
        <f>_xlfn.XLOOKUP(H77,$A$202:$A$292,$E$202:$E$292,0)</f>
        <v/>
      </c>
      <c r="L77">
        <f>_xlfn.XLOOKUP(H77,$A$296:$A$392,$E$296:$E$392,0)</f>
        <v/>
      </c>
      <c r="N77" s="36" t="inlineStr">
        <is>
          <t>P. Ceccarelli</t>
        </is>
      </c>
      <c r="O77" t="n">
        <v>2.4</v>
      </c>
      <c r="P77" t="inlineStr"/>
      <c r="Q77" t="inlineStr"/>
      <c r="R77" t="inlineStr"/>
      <c r="S77">
        <f>COUNT(O77:R77)</f>
        <v/>
      </c>
      <c r="T77" s="56">
        <f>IF(S77=0,"",SUM(O77:R77)/S77)</f>
        <v/>
      </c>
    </row>
    <row r="78">
      <c r="A78" s="36" t="inlineStr">
        <is>
          <t>P. Ceccarelli</t>
        </is>
      </c>
      <c r="B78" s="36" t="inlineStr">
        <is>
          <t>Italy</t>
        </is>
      </c>
      <c r="C78" s="36" t="inlineStr">
        <is>
          <t>Prop</t>
        </is>
      </c>
      <c r="D78" s="37" t="n">
        <v>24</v>
      </c>
      <c r="E78" s="36" t="inlineStr">
        <is>
          <t>y</t>
        </is>
      </c>
      <c r="F78" s="36" t="inlineStr">
        <is>
          <t>Round 1</t>
        </is>
      </c>
      <c r="H78" s="36" t="inlineStr">
        <is>
          <t>S. Ferrari</t>
        </is>
      </c>
      <c r="I78" s="36">
        <f>_xlfn.XLOOKUP(H78,$A$5:$A$96,$E$5:$E$96,0)</f>
        <v/>
      </c>
      <c r="J78" s="36">
        <f>_xlfn.XLOOKUP(H78,$A$100:$A$197,$E$100:$E$197,0)</f>
        <v/>
      </c>
      <c r="K78">
        <f>_xlfn.XLOOKUP(H78,$A$202:$A$292,$E$202:$E$292,0)</f>
        <v/>
      </c>
      <c r="L78">
        <f>_xlfn.XLOOKUP(H78,$A$296:$A$392,$E$296:$E$392,0)</f>
        <v/>
      </c>
      <c r="N78" s="36" t="inlineStr">
        <is>
          <t>S. Ferrari</t>
        </is>
      </c>
      <c r="O78" t="inlineStr"/>
      <c r="P78" t="n">
        <v>-1.2</v>
      </c>
      <c r="Q78" t="inlineStr"/>
      <c r="R78" t="inlineStr"/>
      <c r="S78">
        <f>COUNT(O78:R78)</f>
        <v/>
      </c>
      <c r="T78" s="56">
        <f>IF(S78=0,"",SUM(O78:R78)/S78)</f>
        <v/>
      </c>
    </row>
    <row r="79" hidden="1">
      <c r="A79" s="36" t="inlineStr">
        <is>
          <t>S. Ferrari</t>
        </is>
      </c>
      <c r="B79" s="36" t="inlineStr">
        <is>
          <t>Italy</t>
        </is>
      </c>
      <c r="C79" s="36" t="inlineStr">
        <is>
          <t>Prop</t>
        </is>
      </c>
      <c r="D79" s="37" t="n">
        <v>56</v>
      </c>
      <c r="F79" s="36" t="inlineStr">
        <is>
          <t>Round 1</t>
        </is>
      </c>
      <c r="H79" s="36" t="inlineStr">
        <is>
          <t>D. Fischetti</t>
        </is>
      </c>
      <c r="I79" s="36">
        <f>_xlfn.XLOOKUP(H79,$A$5:$A$96,$E$5:$E$96,0)</f>
        <v/>
      </c>
      <c r="J79" s="36">
        <f>_xlfn.XLOOKUP(H79,$A$100:$A$197,$E$100:$E$197,0)</f>
        <v/>
      </c>
      <c r="K79">
        <f>_xlfn.XLOOKUP(H79,$A$202:$A$292,$E$202:$E$292,0)</f>
        <v/>
      </c>
      <c r="L79">
        <f>_xlfn.XLOOKUP(H79,$A$296:$A$392,$E$296:$E$392,0)</f>
        <v/>
      </c>
      <c r="N79" s="36" t="inlineStr">
        <is>
          <t>D. Fischetti</t>
        </is>
      </c>
      <c r="O79" t="inlineStr"/>
      <c r="P79" t="inlineStr"/>
      <c r="Q79" t="inlineStr"/>
      <c r="R79" t="inlineStr"/>
      <c r="S79">
        <f>COUNT(O79:R79)</f>
        <v/>
      </c>
      <c r="T79" s="56">
        <f>IF(S79=0,"",SUM(O79:R79)/S79)</f>
        <v/>
      </c>
    </row>
    <row r="80">
      <c r="A80" s="36" t="inlineStr">
        <is>
          <t>D. Fischetti</t>
        </is>
      </c>
      <c r="B80" s="36" t="inlineStr">
        <is>
          <t>Italy</t>
        </is>
      </c>
      <c r="C80" s="36" t="inlineStr">
        <is>
          <t>Prop</t>
        </is>
      </c>
      <c r="D80" s="37" t="n">
        <v>69</v>
      </c>
      <c r="F80" s="36" t="inlineStr">
        <is>
          <t>Round 1</t>
        </is>
      </c>
      <c r="H80" s="36" t="inlineStr">
        <is>
          <t>F. Zani</t>
        </is>
      </c>
      <c r="I80" s="36">
        <f>_xlfn.XLOOKUP(H80,$A$5:$A$96,$E$5:$E$96,0)</f>
        <v/>
      </c>
      <c r="J80" s="36">
        <f>_xlfn.XLOOKUP(H80,$A$100:$A$197,$E$100:$E$197,0)</f>
        <v/>
      </c>
      <c r="K80">
        <f>_xlfn.XLOOKUP(H80,$A$202:$A$292,$E$202:$E$292,0)</f>
        <v/>
      </c>
      <c r="L80">
        <f>_xlfn.XLOOKUP(H80,$A$296:$A$392,$E$296:$E$392,0)</f>
        <v/>
      </c>
      <c r="N80" s="36" t="inlineStr">
        <is>
          <t>F. Zani</t>
        </is>
      </c>
      <c r="O80" t="n">
        <v>1.8</v>
      </c>
      <c r="P80" t="n">
        <v>3.4</v>
      </c>
      <c r="Q80" t="n">
        <v>12.2</v>
      </c>
      <c r="R80" t="n">
        <v>0</v>
      </c>
      <c r="S80">
        <f>COUNT(O80:R80)</f>
        <v/>
      </c>
      <c r="T80" s="56">
        <f>IF(S80=0,"",SUM(O80:R80)/S80)</f>
        <v/>
      </c>
    </row>
    <row r="81">
      <c r="A81" s="36" t="inlineStr">
        <is>
          <t>F. Zani</t>
        </is>
      </c>
      <c r="B81" s="36" t="inlineStr">
        <is>
          <t>Italy</t>
        </is>
      </c>
      <c r="C81" s="36" t="inlineStr">
        <is>
          <t>Prop</t>
        </is>
      </c>
      <c r="D81" s="37" t="n">
        <v>11</v>
      </c>
      <c r="E81" s="36" t="inlineStr">
        <is>
          <t>y</t>
        </is>
      </c>
      <c r="F81" s="36" t="inlineStr">
        <is>
          <t>Round 1</t>
        </is>
      </c>
      <c r="H81" s="36" t="inlineStr">
        <is>
          <t>L. Bigi</t>
        </is>
      </c>
      <c r="I81" s="36">
        <f>_xlfn.XLOOKUP(H81,$A$5:$A$96,$E$5:$E$96,0)</f>
        <v/>
      </c>
      <c r="J81" s="36">
        <f>_xlfn.XLOOKUP(H81,$A$100:$A$197,$E$100:$E$197,0)</f>
        <v/>
      </c>
      <c r="K81">
        <f>_xlfn.XLOOKUP(H81,$A$202:$A$292,$E$202:$E$292,0)</f>
        <v/>
      </c>
      <c r="L81">
        <f>_xlfn.XLOOKUP(H81,$A$296:$A$392,$E$296:$E$392,0)</f>
        <v/>
      </c>
      <c r="N81" s="36" t="inlineStr">
        <is>
          <t>L. Bigi</t>
        </is>
      </c>
      <c r="O81" t="n">
        <v>0</v>
      </c>
      <c r="P81" t="n">
        <v>9</v>
      </c>
      <c r="Q81" t="n">
        <v>19.2</v>
      </c>
      <c r="R81" t="n">
        <v>3</v>
      </c>
      <c r="S81">
        <f>COUNT(O81:R81)</f>
        <v/>
      </c>
      <c r="T81" s="56">
        <f>IF(S81=0,"",SUM(O81:R81)/S81)</f>
        <v/>
      </c>
    </row>
    <row r="82" hidden="1">
      <c r="A82" s="36" t="inlineStr">
        <is>
          <t>L. Bigi</t>
        </is>
      </c>
      <c r="B82" s="36" t="inlineStr">
        <is>
          <t>Italy</t>
        </is>
      </c>
      <c r="C82" s="36" t="inlineStr">
        <is>
          <t>Hooker</t>
        </is>
      </c>
      <c r="D82" s="37" t="n">
        <v>11</v>
      </c>
      <c r="E82" s="36" t="inlineStr">
        <is>
          <t>y</t>
        </is>
      </c>
      <c r="F82" s="36" t="inlineStr">
        <is>
          <t>Round 1</t>
        </is>
      </c>
      <c r="H82" s="36" t="inlineStr">
        <is>
          <t>G. Nicotera</t>
        </is>
      </c>
      <c r="I82" s="36">
        <f>_xlfn.XLOOKUP(H82,$A$5:$A$96,$E$5:$E$96,0)</f>
        <v/>
      </c>
      <c r="J82" s="36">
        <f>_xlfn.XLOOKUP(H82,$A$100:$A$197,$E$100:$E$197,0)</f>
        <v/>
      </c>
      <c r="K82">
        <f>_xlfn.XLOOKUP(H82,$A$202:$A$292,$E$202:$E$292,0)</f>
        <v/>
      </c>
      <c r="L82">
        <f>_xlfn.XLOOKUP(H82,$A$296:$A$392,$E$296:$E$392,0)</f>
        <v/>
      </c>
      <c r="N82" s="36" t="inlineStr">
        <is>
          <t>G. Nicotera</t>
        </is>
      </c>
      <c r="O82" t="inlineStr"/>
      <c r="P82" t="inlineStr"/>
      <c r="Q82" t="inlineStr"/>
      <c r="R82" t="inlineStr"/>
      <c r="S82">
        <f>COUNT(O82:R82)</f>
        <v/>
      </c>
      <c r="T82" s="56">
        <f>IF(S82=0,"",SUM(O82:R82)/S82)</f>
        <v/>
      </c>
    </row>
    <row r="83">
      <c r="A83" s="36" t="inlineStr">
        <is>
          <t>G. Nicotera</t>
        </is>
      </c>
      <c r="B83" s="36" t="inlineStr">
        <is>
          <t>Italy</t>
        </is>
      </c>
      <c r="C83" s="36" t="inlineStr">
        <is>
          <t>Hooker</t>
        </is>
      </c>
      <c r="D83" s="37" t="n">
        <v>69</v>
      </c>
      <c r="F83" s="36" t="inlineStr">
        <is>
          <t>Round 1</t>
        </is>
      </c>
      <c r="H83" s="36" t="inlineStr">
        <is>
          <t>M. Jalibert</t>
        </is>
      </c>
      <c r="I83" s="36">
        <f>_xlfn.XLOOKUP(H83,$A$5:$A$96,$E$5:$E$96,0)</f>
        <v/>
      </c>
      <c r="J83" s="36">
        <f>_xlfn.XLOOKUP(H83,$A$100:$A$197,$E$100:$E$197,0)</f>
        <v/>
      </c>
      <c r="K83">
        <f>_xlfn.XLOOKUP(H83,$A$202:$A$292,$E$202:$E$292,0)</f>
        <v/>
      </c>
      <c r="L83">
        <f>_xlfn.XLOOKUP(H83,$A$296:$A$392,$E$296:$E$392,0)</f>
        <v/>
      </c>
      <c r="N83" s="36" t="inlineStr">
        <is>
          <t>M. Jalibert</t>
        </is>
      </c>
      <c r="O83" t="n">
        <v>16.6</v>
      </c>
      <c r="P83" t="n">
        <v>5.800000000000001</v>
      </c>
      <c r="Q83" t="n">
        <v>3</v>
      </c>
      <c r="R83" t="inlineStr"/>
      <c r="S83">
        <f>COUNT(O83:R83)</f>
        <v/>
      </c>
      <c r="T83" s="56">
        <f>IF(S83=0,"",SUM(O83:R83)/S83)</f>
        <v/>
      </c>
    </row>
    <row r="84" hidden="1">
      <c r="A84" s="36" t="inlineStr">
        <is>
          <t>M. Jalibert</t>
        </is>
      </c>
      <c r="B84" s="36" t="inlineStr">
        <is>
          <t>France</t>
        </is>
      </c>
      <c r="C84" s="36" t="inlineStr">
        <is>
          <t>Fly Half</t>
        </is>
      </c>
      <c r="D84" s="37" t="n">
        <v>15</v>
      </c>
      <c r="E84" s="36" t="inlineStr">
        <is>
          <t>y</t>
        </is>
      </c>
      <c r="F84" s="36" t="inlineStr">
        <is>
          <t>Round 1</t>
        </is>
      </c>
      <c r="H84" s="36" t="inlineStr">
        <is>
          <t>R. Ntamack</t>
        </is>
      </c>
      <c r="I84" s="36">
        <f>_xlfn.XLOOKUP(H84,$A$5:$A$96,$E$5:$E$96,0)</f>
        <v/>
      </c>
      <c r="J84" s="36">
        <f>_xlfn.XLOOKUP(H84,$A$100:$A$197,$E$100:$E$197,0)</f>
        <v/>
      </c>
      <c r="K84">
        <f>_xlfn.XLOOKUP(H84,$A$202:$A$292,$E$202:$E$292,0)</f>
        <v/>
      </c>
      <c r="L84">
        <f>_xlfn.XLOOKUP(H84,$A$296:$A$392,$E$296:$E$392,0)</f>
        <v/>
      </c>
      <c r="N84" s="36" t="inlineStr">
        <is>
          <t>R. Ntamack</t>
        </is>
      </c>
      <c r="O84" t="inlineStr"/>
      <c r="P84" t="inlineStr"/>
      <c r="Q84" t="inlineStr"/>
      <c r="R84" t="inlineStr"/>
      <c r="S84">
        <f>COUNT(O84:R84)</f>
        <v/>
      </c>
      <c r="T84" s="56">
        <f>IF(S84=0,"",SUM(O84:R84)/S84)</f>
        <v/>
      </c>
    </row>
    <row r="85" hidden="1">
      <c r="A85" s="36" t="inlineStr">
        <is>
          <t>R. Ntamack</t>
        </is>
      </c>
      <c r="B85" s="36" t="inlineStr">
        <is>
          <t>France</t>
        </is>
      </c>
      <c r="C85" s="36" t="inlineStr">
        <is>
          <t>Fly Half</t>
        </is>
      </c>
      <c r="D85" s="37" t="n">
        <v>65</v>
      </c>
      <c r="F85" s="36" t="inlineStr">
        <is>
          <t>Round 1</t>
        </is>
      </c>
      <c r="H85" s="36" t="inlineStr">
        <is>
          <t>G. Alldritt</t>
        </is>
      </c>
      <c r="I85" s="36">
        <f>_xlfn.XLOOKUP(H85,$A$5:$A$96,$E$5:$E$96,0)</f>
        <v/>
      </c>
      <c r="J85" s="36">
        <f>_xlfn.XLOOKUP(H85,$A$100:$A$197,$E$100:$E$197,0)</f>
        <v/>
      </c>
      <c r="K85">
        <f>_xlfn.XLOOKUP(H85,$A$202:$A$292,$E$202:$E$292,0)</f>
        <v/>
      </c>
      <c r="L85">
        <f>_xlfn.XLOOKUP(H85,$A$296:$A$392,$E$296:$E$392,0)</f>
        <v/>
      </c>
      <c r="N85" s="36" t="inlineStr">
        <is>
          <t>G. Alldritt</t>
        </is>
      </c>
      <c r="O85" t="inlineStr"/>
      <c r="P85" t="inlineStr"/>
      <c r="Q85" t="inlineStr"/>
      <c r="R85" t="inlineStr"/>
      <c r="S85">
        <f>COUNT(O85:R85)</f>
        <v/>
      </c>
      <c r="T85" s="56">
        <f>IF(S85=0,"",SUM(O85:R85)/S85)</f>
        <v/>
      </c>
    </row>
    <row r="86">
      <c r="A86" s="36" t="inlineStr">
        <is>
          <t>G. Alldritt</t>
        </is>
      </c>
      <c r="B86" s="36" t="inlineStr">
        <is>
          <t>France</t>
        </is>
      </c>
      <c r="C86" s="36" t="inlineStr">
        <is>
          <t>Back Row</t>
        </is>
      </c>
      <c r="D86" s="37" t="n">
        <v>61</v>
      </c>
      <c r="F86" s="36" t="inlineStr">
        <is>
          <t>Round 1</t>
        </is>
      </c>
      <c r="H86" s="36" t="inlineStr">
        <is>
          <t>S. Macalou</t>
        </is>
      </c>
      <c r="I86" s="36">
        <f>_xlfn.XLOOKUP(H86,$A$5:$A$96,$E$5:$E$96,0)</f>
        <v/>
      </c>
      <c r="J86" s="36">
        <f>_xlfn.XLOOKUP(H86,$A$100:$A$197,$E$100:$E$197,0)</f>
        <v/>
      </c>
      <c r="K86">
        <f>_xlfn.XLOOKUP(H86,$A$202:$A$292,$E$202:$E$292,0)</f>
        <v/>
      </c>
      <c r="L86">
        <f>_xlfn.XLOOKUP(H86,$A$296:$A$392,$E$296:$E$392,0)</f>
        <v/>
      </c>
      <c r="N86" s="36" t="inlineStr">
        <is>
          <t>S. Macalou</t>
        </is>
      </c>
      <c r="O86" t="n">
        <v>11</v>
      </c>
      <c r="P86" t="n">
        <v>11.6</v>
      </c>
      <c r="Q86" t="inlineStr"/>
      <c r="R86" t="n">
        <v>2</v>
      </c>
      <c r="S86">
        <f>COUNT(O86:R86)</f>
        <v/>
      </c>
      <c r="T86" s="56">
        <f>IF(S86=0,"",SUM(O86:R86)/S86)</f>
        <v/>
      </c>
    </row>
    <row r="87" hidden="1">
      <c r="A87" s="36" t="inlineStr">
        <is>
          <t>S. Macalou</t>
        </is>
      </c>
      <c r="B87" s="36" t="inlineStr">
        <is>
          <t>France</t>
        </is>
      </c>
      <c r="C87" s="36" t="inlineStr">
        <is>
          <t>Back Row</t>
        </is>
      </c>
      <c r="D87" s="37" t="n">
        <v>19</v>
      </c>
      <c r="E87" s="36" t="inlineStr">
        <is>
          <t>y</t>
        </is>
      </c>
      <c r="F87" s="36" t="inlineStr">
        <is>
          <t>Round 1</t>
        </is>
      </c>
      <c r="H87" s="36" t="inlineStr">
        <is>
          <t>C. Ollivon</t>
        </is>
      </c>
      <c r="I87" s="36">
        <f>_xlfn.XLOOKUP(H87,$A$5:$A$96,$E$5:$E$96,0)</f>
        <v/>
      </c>
      <c r="J87" s="36">
        <f>_xlfn.XLOOKUP(H87,$A$100:$A$197,$E$100:$E$197,0)</f>
        <v/>
      </c>
      <c r="K87">
        <f>_xlfn.XLOOKUP(H87,$A$202:$A$292,$E$202:$E$292,0)</f>
        <v/>
      </c>
      <c r="L87">
        <f>_xlfn.XLOOKUP(H87,$A$296:$A$392,$E$296:$E$392,0)</f>
        <v/>
      </c>
      <c r="N87" s="36" t="inlineStr">
        <is>
          <t>C. Ollivon</t>
        </is>
      </c>
      <c r="O87" t="inlineStr"/>
      <c r="P87" t="inlineStr"/>
      <c r="Q87" t="inlineStr"/>
      <c r="R87" t="inlineStr"/>
      <c r="S87">
        <f>COUNT(O87:R87)</f>
        <v/>
      </c>
      <c r="T87" s="56">
        <f>IF(S87=0,"",SUM(O87:R87)/S87)</f>
        <v/>
      </c>
    </row>
    <row r="88">
      <c r="A88" s="36" t="inlineStr">
        <is>
          <t>C. Ollivon</t>
        </is>
      </c>
      <c r="B88" s="36" t="inlineStr">
        <is>
          <t>France</t>
        </is>
      </c>
      <c r="C88" s="36" t="inlineStr">
        <is>
          <t>Back Row</t>
        </is>
      </c>
      <c r="D88" s="37" t="n">
        <v>70</v>
      </c>
      <c r="F88" s="36" t="inlineStr">
        <is>
          <t>Round 1</t>
        </is>
      </c>
      <c r="H88" s="36" t="inlineStr">
        <is>
          <t>R. Taofifenua</t>
        </is>
      </c>
      <c r="I88" s="36">
        <f>_xlfn.XLOOKUP(H88,$A$5:$A$96,$E$5:$E$96,0)</f>
        <v/>
      </c>
      <c r="J88" s="36">
        <f>_xlfn.XLOOKUP(H88,$A$100:$A$197,$E$100:$E$197,0)</f>
        <v/>
      </c>
      <c r="K88">
        <f>_xlfn.XLOOKUP(H88,$A$202:$A$292,$E$202:$E$292,0)</f>
        <v/>
      </c>
      <c r="L88">
        <f>_xlfn.XLOOKUP(H88,$A$296:$A$392,$E$296:$E$392,0)</f>
        <v/>
      </c>
      <c r="N88" s="36" t="inlineStr">
        <is>
          <t>R. Taofifenua</t>
        </is>
      </c>
      <c r="O88" t="n">
        <v>24.6</v>
      </c>
      <c r="P88" t="n">
        <v>25.6</v>
      </c>
      <c r="Q88" t="n">
        <v>12.6</v>
      </c>
      <c r="R88" t="n">
        <v>9.6</v>
      </c>
      <c r="S88">
        <f>COUNT(O88:R88)</f>
        <v/>
      </c>
      <c r="T88" s="56">
        <f>IF(S88=0,"",SUM(O88:R88)/S88)</f>
        <v/>
      </c>
    </row>
    <row r="89" hidden="1">
      <c r="A89" s="36" t="inlineStr">
        <is>
          <t>R. Taofifenua</t>
        </is>
      </c>
      <c r="B89" s="36" t="inlineStr">
        <is>
          <t>France</t>
        </is>
      </c>
      <c r="C89" s="36" t="inlineStr">
        <is>
          <t>Second Row</t>
        </is>
      </c>
      <c r="D89" s="37" t="n">
        <v>26</v>
      </c>
      <c r="E89" s="36" t="inlineStr">
        <is>
          <t>y</t>
        </is>
      </c>
      <c r="F89" s="36" t="inlineStr">
        <is>
          <t>Round 1</t>
        </is>
      </c>
      <c r="H89" s="36" t="inlineStr">
        <is>
          <t>P. Willemse</t>
        </is>
      </c>
      <c r="I89" s="36">
        <f>_xlfn.XLOOKUP(H89,$A$5:$A$96,$E$5:$E$96,0)</f>
        <v/>
      </c>
      <c r="J89" s="36">
        <f>_xlfn.XLOOKUP(H89,$A$100:$A$197,$E$100:$E$197,0)</f>
        <v/>
      </c>
      <c r="K89">
        <f>_xlfn.XLOOKUP(H89,$A$202:$A$292,$E$202:$E$292,0)</f>
        <v/>
      </c>
      <c r="L89">
        <f>_xlfn.XLOOKUP(H89,$A$296:$A$392,$E$296:$E$392,0)</f>
        <v/>
      </c>
      <c r="N89" s="36" t="inlineStr">
        <is>
          <t>P. Willemse</t>
        </is>
      </c>
      <c r="O89" t="inlineStr"/>
      <c r="P89" t="inlineStr"/>
      <c r="Q89" t="inlineStr"/>
      <c r="R89" t="inlineStr"/>
      <c r="S89">
        <f>COUNT(O89:R89)</f>
        <v/>
      </c>
      <c r="T89" s="56">
        <f>IF(S89=0,"",SUM(O89:R89)/S89)</f>
        <v/>
      </c>
    </row>
    <row r="90" hidden="1">
      <c r="A90" s="36" t="inlineStr">
        <is>
          <t>P. Willemse</t>
        </is>
      </c>
      <c r="B90" s="36" t="inlineStr">
        <is>
          <t>France</t>
        </is>
      </c>
      <c r="C90" s="36" t="inlineStr">
        <is>
          <t>Second Row</t>
        </is>
      </c>
      <c r="D90" s="37" t="n">
        <v>54</v>
      </c>
      <c r="F90" s="36" t="inlineStr">
        <is>
          <t>Round 1</t>
        </is>
      </c>
      <c r="H90" s="36" t="inlineStr">
        <is>
          <t>U. Atonio</t>
        </is>
      </c>
      <c r="I90" s="36">
        <f>_xlfn.XLOOKUP(H90,$A$5:$A$96,$E$5:$E$96,0)</f>
        <v/>
      </c>
      <c r="J90" s="36">
        <f>_xlfn.XLOOKUP(H90,$A$100:$A$197,$E$100:$E$197,0)</f>
        <v/>
      </c>
      <c r="K90">
        <f>_xlfn.XLOOKUP(H90,$A$202:$A$292,$E$202:$E$292,0)</f>
        <v/>
      </c>
      <c r="L90">
        <f>_xlfn.XLOOKUP(H90,$A$296:$A$392,$E$296:$E$392,0)</f>
        <v/>
      </c>
      <c r="N90" s="36" t="inlineStr">
        <is>
          <t>U. Atonio</t>
        </is>
      </c>
      <c r="O90" t="inlineStr"/>
      <c r="P90" t="inlineStr"/>
      <c r="Q90" t="inlineStr"/>
      <c r="R90" t="inlineStr"/>
      <c r="S90">
        <f>COUNT(O90:R90)</f>
        <v/>
      </c>
      <c r="T90" s="56">
        <f>IF(S90=0,"",SUM(O90:R90)/S90)</f>
        <v/>
      </c>
    </row>
    <row r="91" hidden="1">
      <c r="A91" s="36" t="inlineStr">
        <is>
          <t>U. Atonio</t>
        </is>
      </c>
      <c r="B91" s="36" t="inlineStr">
        <is>
          <t>France</t>
        </is>
      </c>
      <c r="C91" s="36" t="inlineStr">
        <is>
          <t>Prop</t>
        </is>
      </c>
      <c r="D91" s="37" t="n">
        <v>51</v>
      </c>
      <c r="F91" s="36" t="inlineStr">
        <is>
          <t>Round 1</t>
        </is>
      </c>
      <c r="H91" s="36" t="inlineStr">
        <is>
          <t>C. Baille</t>
        </is>
      </c>
      <c r="I91" s="36">
        <f>_xlfn.XLOOKUP(H91,$A$5:$A$96,$E$5:$E$96,0)</f>
        <v/>
      </c>
      <c r="J91" s="36">
        <f>_xlfn.XLOOKUP(H91,$A$100:$A$197,$E$100:$E$197,0)</f>
        <v/>
      </c>
      <c r="K91">
        <f>_xlfn.XLOOKUP(H91,$A$202:$A$292,$E$202:$E$292,0)</f>
        <v/>
      </c>
      <c r="L91">
        <f>_xlfn.XLOOKUP(H91,$A$296:$A$392,$E$296:$E$392,0)</f>
        <v/>
      </c>
      <c r="N91" s="36" t="inlineStr">
        <is>
          <t>C. Baille</t>
        </is>
      </c>
      <c r="O91" t="inlineStr"/>
      <c r="P91" t="inlineStr"/>
      <c r="Q91" t="inlineStr"/>
      <c r="R91" t="inlineStr"/>
      <c r="S91">
        <f>COUNT(O91:R91)</f>
        <v/>
      </c>
      <c r="T91" s="56">
        <f>IF(S91=0,"",SUM(O91:R91)/S91)</f>
        <v/>
      </c>
    </row>
    <row r="92">
      <c r="A92" s="36" t="inlineStr">
        <is>
          <t>C. Baille</t>
        </is>
      </c>
      <c r="B92" s="36" t="inlineStr">
        <is>
          <t>France</t>
        </is>
      </c>
      <c r="C92" s="36" t="inlineStr">
        <is>
          <t>Prop</t>
        </is>
      </c>
      <c r="D92" s="37" t="n">
        <v>51</v>
      </c>
      <c r="F92" s="36" t="inlineStr">
        <is>
          <t>Round 1</t>
        </is>
      </c>
      <c r="H92" s="36" t="inlineStr">
        <is>
          <t>S. Falatea</t>
        </is>
      </c>
      <c r="I92" s="36">
        <f>_xlfn.XLOOKUP(H92,$A$5:$A$96,$E$5:$E$96,0)</f>
        <v/>
      </c>
      <c r="J92" s="36">
        <f>_xlfn.XLOOKUP(H92,$A$100:$A$197,$E$100:$E$197,0)</f>
        <v/>
      </c>
      <c r="K92">
        <f>_xlfn.XLOOKUP(H92,$A$202:$A$292,$E$202:$E$292,0)</f>
        <v/>
      </c>
      <c r="L92">
        <f>_xlfn.XLOOKUP(H92,$A$296:$A$392,$E$296:$E$392,0)</f>
        <v/>
      </c>
      <c r="N92" s="36" t="inlineStr">
        <is>
          <t>S. Falatea</t>
        </is>
      </c>
      <c r="O92" t="n">
        <v>3</v>
      </c>
      <c r="P92" t="n">
        <v>17</v>
      </c>
      <c r="Q92" t="n">
        <v>25.4</v>
      </c>
      <c r="R92" t="n">
        <v>2</v>
      </c>
      <c r="S92">
        <f>COUNT(O92:R92)</f>
        <v/>
      </c>
      <c r="T92" s="56">
        <f>IF(S92=0,"",SUM(O92:R92)/S92)</f>
        <v/>
      </c>
    </row>
    <row r="93">
      <c r="A93" s="36" t="inlineStr">
        <is>
          <t>S. Falatea</t>
        </is>
      </c>
      <c r="B93" s="36" t="inlineStr">
        <is>
          <t>France</t>
        </is>
      </c>
      <c r="C93" s="36" t="inlineStr">
        <is>
          <t>Prop</t>
        </is>
      </c>
      <c r="D93" s="37" t="n">
        <v>29</v>
      </c>
      <c r="E93" s="36" t="inlineStr">
        <is>
          <t>y</t>
        </is>
      </c>
      <c r="F93" s="36" t="inlineStr">
        <is>
          <t>Round 1</t>
        </is>
      </c>
      <c r="H93" s="36" t="inlineStr">
        <is>
          <t>R. Wardi</t>
        </is>
      </c>
      <c r="I93" s="36">
        <f>_xlfn.XLOOKUP(H93,$A$5:$A$96,$E$5:$E$96,0)</f>
        <v/>
      </c>
      <c r="J93" s="36">
        <f>_xlfn.XLOOKUP(H93,$A$100:$A$197,$E$100:$E$197,0)</f>
        <v/>
      </c>
      <c r="K93">
        <f>_xlfn.XLOOKUP(H93,$A$202:$A$292,$E$202:$E$292,0)</f>
        <v/>
      </c>
      <c r="L93">
        <f>_xlfn.XLOOKUP(H93,$A$296:$A$392,$E$296:$E$392,0)</f>
        <v/>
      </c>
      <c r="N93" s="36" t="inlineStr">
        <is>
          <t>R. Wardi</t>
        </is>
      </c>
      <c r="O93" t="n">
        <v>7</v>
      </c>
      <c r="P93" t="n">
        <v>15.2</v>
      </c>
      <c r="Q93" t="n">
        <v>1.6</v>
      </c>
      <c r="R93" t="n">
        <v>5</v>
      </c>
      <c r="S93">
        <f>COUNT(O93:R93)</f>
        <v/>
      </c>
      <c r="T93" s="56">
        <f>IF(S93=0,"",SUM(O93:R93)/S93)</f>
        <v/>
      </c>
    </row>
    <row r="94">
      <c r="A94" s="36" t="inlineStr">
        <is>
          <t>R. Wardi</t>
        </is>
      </c>
      <c r="B94" s="36" t="inlineStr">
        <is>
          <t>France</t>
        </is>
      </c>
      <c r="C94" s="36" t="inlineStr">
        <is>
          <t>Prop</t>
        </is>
      </c>
      <c r="D94" s="37" t="n">
        <v>29</v>
      </c>
      <c r="E94" s="36" t="inlineStr">
        <is>
          <t>y</t>
        </is>
      </c>
      <c r="F94" s="36" t="inlineStr">
        <is>
          <t>Round 1</t>
        </is>
      </c>
      <c r="H94" s="36" t="inlineStr">
        <is>
          <t>G. Barlot</t>
        </is>
      </c>
      <c r="I94" s="36">
        <f>_xlfn.XLOOKUP(H94,$A$5:$A$96,$E$5:$E$96,0)</f>
        <v/>
      </c>
      <c r="J94" s="36">
        <f>_xlfn.XLOOKUP(H94,$A$100:$A$197,$E$100:$E$197,0)</f>
        <v/>
      </c>
      <c r="K94">
        <f>_xlfn.XLOOKUP(H94,$A$202:$A$292,$E$202:$E$292,0)</f>
        <v/>
      </c>
      <c r="L94">
        <f>_xlfn.XLOOKUP(H94,$A$296:$A$392,$E$296:$E$392,0)</f>
        <v/>
      </c>
      <c r="N94" s="36" t="inlineStr">
        <is>
          <t>G. Barlot</t>
        </is>
      </c>
      <c r="O94" t="n">
        <v>11</v>
      </c>
      <c r="P94" t="n">
        <v>5.6</v>
      </c>
      <c r="Q94" t="n">
        <v>8.800000000000001</v>
      </c>
      <c r="R94" t="inlineStr"/>
      <c r="S94">
        <f>COUNT(O94:R94)</f>
        <v/>
      </c>
      <c r="T94" s="56">
        <f>IF(S94=0,"",SUM(O94:R94)/S94)</f>
        <v/>
      </c>
    </row>
    <row r="95" hidden="1">
      <c r="A95" s="36" t="inlineStr">
        <is>
          <t>G. Barlot</t>
        </is>
      </c>
      <c r="B95" s="36" t="inlineStr">
        <is>
          <t>France</t>
        </is>
      </c>
      <c r="C95" s="36" t="inlineStr">
        <is>
          <t>Hooker</t>
        </is>
      </c>
      <c r="D95" s="37" t="n">
        <v>19</v>
      </c>
      <c r="E95" s="36" t="inlineStr">
        <is>
          <t>y</t>
        </is>
      </c>
      <c r="F95" s="36" t="inlineStr">
        <is>
          <t>Round 1</t>
        </is>
      </c>
      <c r="H95" s="36" t="inlineStr">
        <is>
          <t>J. Marchand</t>
        </is>
      </c>
      <c r="I95" s="36">
        <f>_xlfn.XLOOKUP(H95,$A$5:$A$96,$E$5:$E$96,0)</f>
        <v/>
      </c>
      <c r="J95" s="36">
        <f>_xlfn.XLOOKUP(H95,$A$100:$A$197,$E$100:$E$197,0)</f>
        <v/>
      </c>
      <c r="K95">
        <f>_xlfn.XLOOKUP(H95,$A$202:$A$292,$E$202:$E$292,0)</f>
        <v/>
      </c>
      <c r="L95">
        <f>_xlfn.XLOOKUP(H95,$A$296:$A$392,$E$296:$E$392,0)</f>
        <v/>
      </c>
      <c r="N95" s="36" t="inlineStr">
        <is>
          <t>J. Marchand</t>
        </is>
      </c>
      <c r="O95" t="inlineStr"/>
      <c r="P95" t="inlineStr"/>
      <c r="Q95" t="inlineStr"/>
      <c r="R95" t="inlineStr"/>
      <c r="S95">
        <f>COUNT(O95:R95)</f>
        <v/>
      </c>
      <c r="T95" s="56">
        <f>IF(S95=0,"",SUM(O95:R95)/S95)</f>
        <v/>
      </c>
    </row>
    <row r="96" hidden="1">
      <c r="A96" s="36" t="inlineStr">
        <is>
          <t>J. Marchand</t>
        </is>
      </c>
      <c r="B96" s="36" t="inlineStr">
        <is>
          <t>France</t>
        </is>
      </c>
      <c r="C96" s="36" t="inlineStr">
        <is>
          <t>Hooker</t>
        </is>
      </c>
      <c r="D96" s="37" t="n">
        <v>61</v>
      </c>
      <c r="F96" s="36" t="inlineStr">
        <is>
          <t>Round 1</t>
        </is>
      </c>
      <c r="H96" s="36" t="inlineStr">
        <is>
          <t>Round 2</t>
        </is>
      </c>
      <c r="I96" s="36">
        <f>_xlfn.XLOOKUP(H96,$A$5:$A$96,$E$5:$E$96,0)</f>
        <v/>
      </c>
      <c r="J96" s="36">
        <f>_xlfn.XLOOKUP(H96,$A$100:$A$197,$E$100:$E$197,0)</f>
        <v/>
      </c>
      <c r="K96">
        <f>_xlfn.XLOOKUP(H96,$A$202:$A$292,$E$202:$E$292,0)</f>
        <v/>
      </c>
      <c r="L96">
        <f>_xlfn.XLOOKUP(H96,$A$296:$A$392,$E$296:$E$392,0)</f>
        <v/>
      </c>
      <c r="N96" s="36" t="inlineStr">
        <is>
          <t>Round 2</t>
        </is>
      </c>
      <c r="O96" t="inlineStr"/>
      <c r="P96" t="inlineStr"/>
      <c r="Q96" t="inlineStr"/>
      <c r="R96" t="inlineStr"/>
      <c r="S96">
        <f>COUNT(O96:R96)</f>
        <v/>
      </c>
      <c r="T96" s="56">
        <f>IF(S96=0,"",SUM(O96:R96)/S96)</f>
        <v/>
      </c>
    </row>
    <row r="97" ht="16" customHeight="1" thickBot="1">
      <c r="H97" s="36" t="inlineStr">
        <is>
          <t>R. Kelleher</t>
        </is>
      </c>
      <c r="I97" s="36">
        <f>_xlfn.XLOOKUP(H97,$A$5:$A$96,$E$5:$E$96,0)</f>
        <v/>
      </c>
      <c r="J97" s="36">
        <f>_xlfn.XLOOKUP(H97,$A$100:$A$197,$E$100:$E$197,0)</f>
        <v/>
      </c>
      <c r="K97">
        <f>_xlfn.XLOOKUP(H97,$A$202:$A$292,$E$202:$E$292,0)</f>
        <v/>
      </c>
      <c r="L97">
        <f>_xlfn.XLOOKUP(H97,$A$296:$A$392,$E$296:$E$392,0)</f>
        <v/>
      </c>
      <c r="N97" s="36" t="inlineStr">
        <is>
          <t>R. Kelleher</t>
        </is>
      </c>
      <c r="O97" t="inlineStr"/>
      <c r="P97" t="n">
        <v>30.6</v>
      </c>
      <c r="Q97" t="inlineStr"/>
      <c r="R97" t="n">
        <v>6.600000000000001</v>
      </c>
      <c r="S97">
        <f>COUNT(O97:R97)</f>
        <v/>
      </c>
      <c r="T97" s="56">
        <f>IF(S97=0,"",SUM(O97:R97)/S97)</f>
        <v/>
      </c>
    </row>
    <row r="98" hidden="1" ht="16" customHeight="1" thickBot="1">
      <c r="A98" s="36" t="inlineStr">
        <is>
          <t>Round 2</t>
        </is>
      </c>
      <c r="H98" s="36" t="inlineStr">
        <is>
          <t>T. Ramos</t>
        </is>
      </c>
      <c r="I98" s="36">
        <f>_xlfn.XLOOKUP(H98,$A$5:$A$96,$E$5:$E$96,0)</f>
        <v/>
      </c>
      <c r="J98" s="36">
        <f>_xlfn.XLOOKUP(H98,$A$100:$A$197,$E$100:$E$197,0)</f>
        <v/>
      </c>
      <c r="K98">
        <f>_xlfn.XLOOKUP(H98,$A$202:$A$292,$E$202:$E$292,0)</f>
        <v/>
      </c>
      <c r="L98">
        <f>_xlfn.XLOOKUP(H98,$A$296:$A$392,$E$296:$E$392,0)</f>
        <v/>
      </c>
      <c r="N98" s="36" t="inlineStr">
        <is>
          <t>T. Ramos</t>
        </is>
      </c>
      <c r="O98" t="inlineStr"/>
      <c r="P98" t="inlineStr"/>
      <c r="Q98" t="inlineStr"/>
      <c r="R98" t="inlineStr"/>
      <c r="S98">
        <f>COUNT(O98:R98)</f>
        <v/>
      </c>
      <c r="T98" s="56">
        <f>IF(S98=0,"",SUM(O98:R98)/S98)</f>
        <v/>
      </c>
    </row>
    <row r="99" hidden="1" ht="16" customHeight="1" thickBot="1">
      <c r="A99" s="39" t="inlineStr">
        <is>
          <t>Name</t>
        </is>
      </c>
      <c r="B99" s="40" t="inlineStr">
        <is>
          <t>Nation</t>
        </is>
      </c>
      <c r="C99" s="40" t="inlineStr">
        <is>
          <t>Position</t>
        </is>
      </c>
      <c r="D99" s="40" t="inlineStr">
        <is>
          <t>Time Played</t>
        </is>
      </c>
      <c r="H99" s="83" t="inlineStr">
        <is>
          <t>E. Dumortier</t>
        </is>
      </c>
      <c r="I99" s="36">
        <f>_xlfn.XLOOKUP(H99,$A$5:$A$96,$E$5:$E$96,0)</f>
        <v/>
      </c>
      <c r="J99" s="36">
        <f>_xlfn.XLOOKUP(H99,$A$100:$A$197,$E$100:$E$197,0)</f>
        <v/>
      </c>
      <c r="K99">
        <f>_xlfn.XLOOKUP(H99,$A$202:$A$292,$E$202:$E$292,0)</f>
        <v/>
      </c>
      <c r="L99">
        <f>_xlfn.XLOOKUP(H99,$A$296:$A$392,$E$296:$E$392,0)</f>
        <v/>
      </c>
      <c r="N99" s="36" t="inlineStr">
        <is>
          <t>E. Dumortier</t>
        </is>
      </c>
      <c r="O99" t="inlineStr"/>
      <c r="P99" t="inlineStr"/>
      <c r="Q99" t="inlineStr"/>
      <c r="R99" t="inlineStr"/>
      <c r="S99">
        <f>COUNT(O99:R99)</f>
        <v/>
      </c>
      <c r="T99" s="56">
        <f>IF(S99=0,"",SUM(O99:R99)/S99)</f>
        <v/>
      </c>
    </row>
    <row r="100" ht="16" customHeight="1" thickBot="1">
      <c r="A100" s="77" t="inlineStr">
        <is>
          <t>B. Aki</t>
        </is>
      </c>
      <c r="B100" s="36" t="inlineStr">
        <is>
          <t>Ireland</t>
        </is>
      </c>
      <c r="C100" s="36" t="inlineStr">
        <is>
          <t>Centre</t>
        </is>
      </c>
      <c r="D100" s="37" t="n">
        <v>14</v>
      </c>
      <c r="E100" s="36" t="inlineStr">
        <is>
          <t>y</t>
        </is>
      </c>
      <c r="F100" s="36" t="inlineStr">
        <is>
          <t>Round 2</t>
        </is>
      </c>
      <c r="H100" s="77" t="inlineStr">
        <is>
          <t>F. Cros</t>
        </is>
      </c>
      <c r="I100" s="36">
        <f>_xlfn.XLOOKUP(H100,$A$5:$A$96,$E$5:$E$96,0)</f>
        <v/>
      </c>
      <c r="J100" s="36">
        <f>_xlfn.XLOOKUP(H100,$A$100:$A$197,$E$100:$E$197,0)</f>
        <v/>
      </c>
      <c r="K100">
        <f>_xlfn.XLOOKUP(H100,$A$202:$A$292,$E$202:$E$292,0)</f>
        <v/>
      </c>
      <c r="L100">
        <f>_xlfn.XLOOKUP(H100,$A$296:$A$392,$E$296:$E$392,0)</f>
        <v/>
      </c>
      <c r="N100" s="36" t="inlineStr">
        <is>
          <t>F. Cros</t>
        </is>
      </c>
      <c r="O100" t="inlineStr"/>
      <c r="P100" t="n">
        <v>6</v>
      </c>
      <c r="Q100" t="n">
        <v>29.2</v>
      </c>
      <c r="R100" t="inlineStr"/>
      <c r="S100">
        <f>COUNT(O100:R100)</f>
        <v/>
      </c>
      <c r="T100" s="56">
        <f>IF(S100=0,"",SUM(O100:R100)/S100)</f>
        <v/>
      </c>
    </row>
    <row r="101" hidden="1" ht="16" customHeight="1" thickBot="1">
      <c r="A101" s="76" t="inlineStr">
        <is>
          <t>S. McCloskey</t>
        </is>
      </c>
      <c r="B101" s="36" t="inlineStr">
        <is>
          <t>Ireland</t>
        </is>
      </c>
      <c r="C101" s="36" t="inlineStr">
        <is>
          <t>Centre</t>
        </is>
      </c>
      <c r="D101" s="37" t="n">
        <v>66</v>
      </c>
      <c r="F101" s="36" t="inlineStr">
        <is>
          <t>Round 2</t>
        </is>
      </c>
      <c r="H101" s="76" t="inlineStr">
        <is>
          <t>S. Tuipulotu</t>
        </is>
      </c>
      <c r="I101" s="36">
        <f>_xlfn.XLOOKUP(H101,$A$5:$A$96,$E$5:$E$96,0)</f>
        <v/>
      </c>
      <c r="J101" s="36">
        <f>_xlfn.XLOOKUP(H101,$A$100:$A$197,$E$100:$E$197,0)</f>
        <v/>
      </c>
      <c r="K101">
        <f>_xlfn.XLOOKUP(H101,$A$202:$A$292,$E$202:$E$292,0)</f>
        <v/>
      </c>
      <c r="L101">
        <f>_xlfn.XLOOKUP(H101,$A$296:$A$392,$E$296:$E$392,0)</f>
        <v/>
      </c>
      <c r="N101" s="36" t="inlineStr">
        <is>
          <t>S. Tuipulotu</t>
        </is>
      </c>
      <c r="O101" t="inlineStr"/>
      <c r="P101" t="inlineStr"/>
      <c r="Q101" t="inlineStr"/>
      <c r="R101" t="inlineStr"/>
      <c r="S101">
        <f>COUNT(O101:R101)</f>
        <v/>
      </c>
      <c r="T101" s="56">
        <f>IF(S101=0,"",SUM(O101:R101)/S101)</f>
        <v/>
      </c>
    </row>
    <row r="102" hidden="1" ht="16" customHeight="1" thickBot="1">
      <c r="A102" s="76" t="inlineStr">
        <is>
          <t>R. Byrne</t>
        </is>
      </c>
      <c r="B102" s="36" t="inlineStr">
        <is>
          <t>Ireland</t>
        </is>
      </c>
      <c r="C102" s="36" t="inlineStr">
        <is>
          <t>Fly Half</t>
        </is>
      </c>
      <c r="D102" s="37" t="n">
        <v>32</v>
      </c>
      <c r="E102" s="36" t="inlineStr">
        <is>
          <t>y</t>
        </is>
      </c>
      <c r="F102" s="36" t="inlineStr">
        <is>
          <t>Round 2</t>
        </is>
      </c>
      <c r="H102" s="76" t="inlineStr">
        <is>
          <t>Z. Fagerson</t>
        </is>
      </c>
      <c r="I102" s="36">
        <f>_xlfn.XLOOKUP(H102,$A$5:$A$96,$E$5:$E$96,0)</f>
        <v/>
      </c>
      <c r="J102" s="36">
        <f>_xlfn.XLOOKUP(H102,$A$100:$A$197,$E$100:$E$197,0)</f>
        <v/>
      </c>
      <c r="K102">
        <f>_xlfn.XLOOKUP(H102,$A$202:$A$292,$E$202:$E$292,0)</f>
        <v/>
      </c>
      <c r="L102">
        <f>_xlfn.XLOOKUP(H102,$A$296:$A$392,$E$296:$E$392,0)</f>
        <v/>
      </c>
      <c r="N102" s="36" t="inlineStr">
        <is>
          <t>Z. Fagerson</t>
        </is>
      </c>
      <c r="O102" t="inlineStr"/>
      <c r="P102" t="inlineStr"/>
      <c r="Q102" t="inlineStr"/>
      <c r="R102" t="inlineStr"/>
      <c r="S102">
        <f>COUNT(O102:R102)</f>
        <v/>
      </c>
      <c r="T102" s="56">
        <f>IF(S102=0,"",SUM(O102:R102)/S102)</f>
        <v/>
      </c>
    </row>
    <row r="103" hidden="1" ht="16" customHeight="1" thickBot="1">
      <c r="A103" s="77" t="inlineStr">
        <is>
          <t>J. Sexton</t>
        </is>
      </c>
      <c r="B103" s="36" t="inlineStr">
        <is>
          <t>Ireland</t>
        </is>
      </c>
      <c r="C103" s="36" t="inlineStr">
        <is>
          <t>Fly Half</t>
        </is>
      </c>
      <c r="D103" s="37" t="n">
        <v>48</v>
      </c>
      <c r="F103" s="36" t="inlineStr">
        <is>
          <t>Round 2</t>
        </is>
      </c>
      <c r="H103" s="77" t="inlineStr">
        <is>
          <t>J. Adams</t>
        </is>
      </c>
      <c r="I103" s="36">
        <f>_xlfn.XLOOKUP(H103,$A$5:$A$96,$E$5:$E$96,0)</f>
        <v/>
      </c>
      <c r="J103" s="36">
        <f>_xlfn.XLOOKUP(H103,$A$100:$A$197,$E$100:$E$197,0)</f>
        <v/>
      </c>
      <c r="K103">
        <f>_xlfn.XLOOKUP(H103,$A$202:$A$292,$E$202:$E$292,0)</f>
        <v/>
      </c>
      <c r="L103">
        <f>_xlfn.XLOOKUP(H103,$A$296:$A$392,$E$296:$E$392,0)</f>
        <v/>
      </c>
      <c r="N103" s="36" t="inlineStr">
        <is>
          <t>J. Adams</t>
        </is>
      </c>
      <c r="O103" t="inlineStr"/>
      <c r="P103" t="inlineStr"/>
      <c r="Q103" t="inlineStr"/>
      <c r="R103" t="inlineStr"/>
      <c r="S103">
        <f>COUNT(O103:R103)</f>
        <v/>
      </c>
      <c r="T103" s="56">
        <f>IF(S103=0,"",SUM(O103:R103)/S103)</f>
        <v/>
      </c>
    </row>
    <row r="104" ht="16" customHeight="1" thickBot="1">
      <c r="A104" s="76" t="inlineStr">
        <is>
          <t>C. Casey</t>
        </is>
      </c>
      <c r="B104" s="36" t="inlineStr">
        <is>
          <t>Ireland</t>
        </is>
      </c>
      <c r="C104" s="36" t="inlineStr">
        <is>
          <t>Scrum Half</t>
        </is>
      </c>
      <c r="D104" s="37" t="n">
        <v>24</v>
      </c>
      <c r="E104" s="36" t="inlineStr">
        <is>
          <t>y</t>
        </is>
      </c>
      <c r="F104" s="36" t="inlineStr">
        <is>
          <t>Round 2</t>
        </is>
      </c>
      <c r="H104" s="76" t="inlineStr">
        <is>
          <t>G. North</t>
        </is>
      </c>
      <c r="I104" s="36">
        <f>_xlfn.XLOOKUP(H104,$A$5:$A$96,$E$5:$E$96,0)</f>
        <v/>
      </c>
      <c r="J104" s="36">
        <f>_xlfn.XLOOKUP(H104,$A$100:$A$197,$E$100:$E$197,0)</f>
        <v/>
      </c>
      <c r="K104">
        <f>_xlfn.XLOOKUP(H104,$A$202:$A$292,$E$202:$E$292,0)</f>
        <v/>
      </c>
      <c r="L104">
        <f>_xlfn.XLOOKUP(H104,$A$296:$A$392,$E$296:$E$392,0)</f>
        <v/>
      </c>
      <c r="N104" s="36" t="inlineStr">
        <is>
          <t>G. North</t>
        </is>
      </c>
      <c r="O104" t="inlineStr"/>
      <c r="P104" t="inlineStr"/>
      <c r="Q104" t="inlineStr"/>
      <c r="R104" t="n">
        <v>1</v>
      </c>
      <c r="S104">
        <f>COUNT(O104:R104)</f>
        <v/>
      </c>
      <c r="T104" s="56">
        <f>IF(S104=0,"",SUM(O104:R104)/S104)</f>
        <v/>
      </c>
    </row>
    <row r="105" ht="16" customHeight="1" thickBot="1">
      <c r="A105" s="77" t="inlineStr">
        <is>
          <t>C. Murray</t>
        </is>
      </c>
      <c r="B105" s="36" t="inlineStr">
        <is>
          <t>Ireland</t>
        </is>
      </c>
      <c r="C105" s="36" t="inlineStr">
        <is>
          <t>Scrum Half</t>
        </is>
      </c>
      <c r="D105" s="37" t="n">
        <v>56</v>
      </c>
      <c r="F105" s="36" t="inlineStr">
        <is>
          <t>Round 2</t>
        </is>
      </c>
      <c r="H105" s="77" t="inlineStr">
        <is>
          <t>R. Patchell</t>
        </is>
      </c>
      <c r="I105" s="36">
        <f>_xlfn.XLOOKUP(H105,$A$5:$A$96,$E$5:$E$96,0)</f>
        <v/>
      </c>
      <c r="J105" s="36">
        <f>_xlfn.XLOOKUP(H105,$A$100:$A$197,$E$100:$E$197,0)</f>
        <v/>
      </c>
      <c r="K105">
        <f>_xlfn.XLOOKUP(H105,$A$202:$A$292,$E$202:$E$292,0)</f>
        <v/>
      </c>
      <c r="L105">
        <f>_xlfn.XLOOKUP(H105,$A$296:$A$392,$E$296:$E$392,0)</f>
        <v/>
      </c>
      <c r="N105" s="36" t="inlineStr">
        <is>
          <t>R. Patchell</t>
        </is>
      </c>
      <c r="O105" t="inlineStr"/>
      <c r="P105" t="n">
        <v>4.6</v>
      </c>
      <c r="Q105" t="inlineStr"/>
      <c r="R105" t="inlineStr"/>
      <c r="S105">
        <f>COUNT(O105:R105)</f>
        <v/>
      </c>
      <c r="T105" s="56">
        <f>IF(S105=0,"",SUM(O105:R105)/S105)</f>
        <v/>
      </c>
    </row>
    <row r="106" ht="16" customHeight="1" thickBot="1">
      <c r="A106" s="76" t="inlineStr">
        <is>
          <t>J. Conan</t>
        </is>
      </c>
      <c r="B106" s="36" t="inlineStr">
        <is>
          <t>Ireland</t>
        </is>
      </c>
      <c r="C106" s="36" t="inlineStr">
        <is>
          <t>Back Row</t>
        </is>
      </c>
      <c r="D106" s="37" t="n">
        <v>24</v>
      </c>
      <c r="E106" s="36" t="inlineStr">
        <is>
          <t>y</t>
        </is>
      </c>
      <c r="F106" s="36" t="inlineStr">
        <is>
          <t>Round 2</t>
        </is>
      </c>
      <c r="H106" s="76" t="inlineStr">
        <is>
          <t>T. Faletau</t>
        </is>
      </c>
      <c r="I106" s="36">
        <f>_xlfn.XLOOKUP(H106,$A$5:$A$96,$E$5:$E$96,0)</f>
        <v/>
      </c>
      <c r="J106" s="36">
        <f>_xlfn.XLOOKUP(H106,$A$100:$A$197,$E$100:$E$197,0)</f>
        <v/>
      </c>
      <c r="K106">
        <f>_xlfn.XLOOKUP(H106,$A$202:$A$292,$E$202:$E$292,0)</f>
        <v/>
      </c>
      <c r="L106">
        <f>_xlfn.XLOOKUP(H106,$A$296:$A$392,$E$296:$E$392,0)</f>
        <v/>
      </c>
      <c r="N106" s="36" t="inlineStr">
        <is>
          <t>T. Faletau</t>
        </is>
      </c>
      <c r="O106" t="inlineStr"/>
      <c r="P106" t="n">
        <v>13</v>
      </c>
      <c r="Q106" t="inlineStr"/>
      <c r="R106" t="inlineStr"/>
      <c r="S106">
        <f>COUNT(O106:R106)</f>
        <v/>
      </c>
      <c r="T106" s="56">
        <f>IF(S106=0,"",SUM(O106:R106)/S106)</f>
        <v/>
      </c>
    </row>
    <row r="107" hidden="1" ht="16" customHeight="1" thickBot="1">
      <c r="A107" s="76" t="inlineStr">
        <is>
          <t>P. O'Mahony</t>
        </is>
      </c>
      <c r="B107" s="36" t="inlineStr">
        <is>
          <t>Ireland</t>
        </is>
      </c>
      <c r="C107" s="36" t="inlineStr">
        <is>
          <t>Back Row</t>
        </is>
      </c>
      <c r="D107" s="37" t="n">
        <v>56</v>
      </c>
      <c r="F107" s="36" t="inlineStr">
        <is>
          <t>Round 2</t>
        </is>
      </c>
      <c r="H107" s="76" t="inlineStr">
        <is>
          <t>J. Morgan</t>
        </is>
      </c>
      <c r="I107" s="36">
        <f>_xlfn.XLOOKUP(H107,$A$5:$A$96,$E$5:$E$96,0)</f>
        <v/>
      </c>
      <c r="J107" s="36">
        <f>_xlfn.XLOOKUP(H107,$A$100:$A$197,$E$100:$E$197,0)</f>
        <v/>
      </c>
      <c r="K107">
        <f>_xlfn.XLOOKUP(H107,$A$202:$A$292,$E$202:$E$292,0)</f>
        <v/>
      </c>
      <c r="L107">
        <f>_xlfn.XLOOKUP(H107,$A$296:$A$392,$E$296:$E$392,0)</f>
        <v/>
      </c>
      <c r="N107" s="36" t="inlineStr">
        <is>
          <t>J. Morgan</t>
        </is>
      </c>
      <c r="O107" t="inlineStr"/>
      <c r="P107" t="inlineStr"/>
      <c r="Q107" t="inlineStr"/>
      <c r="R107" t="inlineStr"/>
      <c r="S107">
        <f>COUNT(O107:R107)</f>
        <v/>
      </c>
      <c r="T107" s="56">
        <f>IF(S107=0,"",SUM(O107:R107)/S107)</f>
        <v/>
      </c>
    </row>
    <row r="108" ht="16" customHeight="1" thickBot="1">
      <c r="A108" s="76" t="inlineStr">
        <is>
          <t>T. Beirne</t>
        </is>
      </c>
      <c r="B108" s="36" t="inlineStr">
        <is>
          <t>Ireland</t>
        </is>
      </c>
      <c r="C108" s="36" t="inlineStr">
        <is>
          <t>Second Row</t>
        </is>
      </c>
      <c r="D108" s="37" t="n">
        <v>45</v>
      </c>
      <c r="F108" s="36" t="inlineStr">
        <is>
          <t>Round 2</t>
        </is>
      </c>
      <c r="H108" s="76" t="inlineStr">
        <is>
          <t>R. Davies</t>
        </is>
      </c>
      <c r="I108" s="36">
        <f>_xlfn.XLOOKUP(H108,$A$5:$A$96,$E$5:$E$96,0)</f>
        <v/>
      </c>
      <c r="J108" s="36">
        <f>_xlfn.XLOOKUP(H108,$A$100:$A$197,$E$100:$E$197,0)</f>
        <v/>
      </c>
      <c r="K108">
        <f>_xlfn.XLOOKUP(H108,$A$202:$A$292,$E$202:$E$292,0)</f>
        <v/>
      </c>
      <c r="L108">
        <f>_xlfn.XLOOKUP(H108,$A$296:$A$392,$E$296:$E$392,0)</f>
        <v/>
      </c>
      <c r="N108" s="36" t="inlineStr">
        <is>
          <t>R. Davies</t>
        </is>
      </c>
      <c r="O108" t="inlineStr"/>
      <c r="P108" t="n">
        <v>1.2</v>
      </c>
      <c r="Q108" t="inlineStr"/>
      <c r="R108" t="n">
        <v>2.4</v>
      </c>
      <c r="S108">
        <f>COUNT(O108:R108)</f>
        <v/>
      </c>
      <c r="T108" s="56">
        <f>IF(S108=0,"",SUM(O108:R108)/S108)</f>
        <v/>
      </c>
    </row>
    <row r="109" ht="16" customHeight="1" thickBot="1">
      <c r="A109" s="77" t="inlineStr">
        <is>
          <t>I. Henderson</t>
        </is>
      </c>
      <c r="B109" s="36" t="inlineStr">
        <is>
          <t>Ireland</t>
        </is>
      </c>
      <c r="C109" s="36" t="inlineStr">
        <is>
          <t>Second Row</t>
        </is>
      </c>
      <c r="D109" s="37" t="n">
        <v>35</v>
      </c>
      <c r="E109" s="36" t="inlineStr">
        <is>
          <t>y</t>
        </is>
      </c>
      <c r="F109" s="36" t="inlineStr">
        <is>
          <t>Round 2</t>
        </is>
      </c>
      <c r="H109" s="77" t="inlineStr">
        <is>
          <t>L. Brown</t>
        </is>
      </c>
      <c r="I109" s="36">
        <f>_xlfn.XLOOKUP(H109,$A$5:$A$96,$E$5:$E$96,0)</f>
        <v/>
      </c>
      <c r="J109" s="36">
        <f>_xlfn.XLOOKUP(H109,$A$100:$A$197,$E$100:$E$197,0)</f>
        <v/>
      </c>
      <c r="K109">
        <f>_xlfn.XLOOKUP(H109,$A$202:$A$292,$E$202:$E$292,0)</f>
        <v/>
      </c>
      <c r="L109">
        <f>_xlfn.XLOOKUP(H109,$A$296:$A$392,$E$296:$E$392,0)</f>
        <v/>
      </c>
      <c r="N109" s="36" t="inlineStr">
        <is>
          <t>L. Brown</t>
        </is>
      </c>
      <c r="O109" t="inlineStr"/>
      <c r="P109" t="n">
        <v>9.6</v>
      </c>
      <c r="Q109" t="inlineStr"/>
      <c r="R109" t="inlineStr"/>
      <c r="S109">
        <f>COUNT(O109:R109)</f>
        <v/>
      </c>
      <c r="T109" s="56">
        <f>IF(S109=0,"",SUM(O109:R109)/S109)</f>
        <v/>
      </c>
    </row>
    <row r="110" hidden="1" ht="16" customHeight="1" thickBot="1">
      <c r="A110" s="77" t="inlineStr">
        <is>
          <t>F. Bealham</t>
        </is>
      </c>
      <c r="B110" s="36" t="inlineStr">
        <is>
          <t>Ireland</t>
        </is>
      </c>
      <c r="C110" s="36" t="inlineStr">
        <is>
          <t>Prop</t>
        </is>
      </c>
      <c r="D110" s="37" t="n">
        <v>61</v>
      </c>
      <c r="F110" s="36" t="inlineStr">
        <is>
          <t>Round 2</t>
        </is>
      </c>
      <c r="H110" s="77" t="inlineStr">
        <is>
          <t>W. Jones</t>
        </is>
      </c>
      <c r="I110" s="36">
        <f>_xlfn.XLOOKUP(H110,$A$5:$A$96,$E$5:$E$96,0)</f>
        <v/>
      </c>
      <c r="J110" s="36">
        <f>_xlfn.XLOOKUP(H110,$A$100:$A$197,$E$100:$E$197,0)</f>
        <v/>
      </c>
      <c r="K110">
        <f>_xlfn.XLOOKUP(H110,$A$202:$A$292,$E$202:$E$292,0)</f>
        <v/>
      </c>
      <c r="L110">
        <f>_xlfn.XLOOKUP(H110,$A$296:$A$392,$E$296:$E$392,0)</f>
        <v/>
      </c>
      <c r="N110" s="36" t="inlineStr">
        <is>
          <t>W. Jones</t>
        </is>
      </c>
      <c r="O110" t="inlineStr"/>
      <c r="P110" t="inlineStr"/>
      <c r="Q110" t="inlineStr"/>
      <c r="R110" t="inlineStr"/>
      <c r="S110">
        <f>COUNT(O110:R110)</f>
        <v/>
      </c>
      <c r="T110" s="56">
        <f>IF(S110=0,"",SUM(O110:R110)/S110)</f>
        <v/>
      </c>
    </row>
    <row r="111" ht="16" customHeight="1" thickBot="1">
      <c r="A111" s="76" t="inlineStr">
        <is>
          <t>D. Kilcoyne</t>
        </is>
      </c>
      <c r="B111" s="36" t="inlineStr">
        <is>
          <t>Ireland</t>
        </is>
      </c>
      <c r="C111" s="36" t="inlineStr">
        <is>
          <t>Prop</t>
        </is>
      </c>
      <c r="D111" s="37" t="n">
        <v>11</v>
      </c>
      <c r="E111" s="36" t="inlineStr">
        <is>
          <t>y</t>
        </is>
      </c>
      <c r="F111" s="36" t="inlineStr">
        <is>
          <t>Round 2</t>
        </is>
      </c>
      <c r="H111" s="76" t="inlineStr">
        <is>
          <t>H. Arundell</t>
        </is>
      </c>
      <c r="I111" s="36">
        <f>_xlfn.XLOOKUP(H111,$A$5:$A$96,$E$5:$E$96,0)</f>
        <v/>
      </c>
      <c r="J111" s="36">
        <f>_xlfn.XLOOKUP(H111,$A$100:$A$197,$E$100:$E$197,0)</f>
        <v/>
      </c>
      <c r="K111">
        <f>_xlfn.XLOOKUP(H111,$A$202:$A$292,$E$202:$E$292,0)</f>
        <v/>
      </c>
      <c r="L111">
        <f>_xlfn.XLOOKUP(H111,$A$296:$A$392,$E$296:$E$392,0)</f>
        <v/>
      </c>
      <c r="N111" s="36" t="inlineStr">
        <is>
          <t>H. Arundell</t>
        </is>
      </c>
      <c r="O111" t="inlineStr"/>
      <c r="P111" t="n">
        <v>18.4</v>
      </c>
      <c r="Q111" t="n">
        <v>2.4</v>
      </c>
      <c r="R111" t="n">
        <v>3.8</v>
      </c>
      <c r="S111">
        <f>COUNT(O111:R111)</f>
        <v/>
      </c>
      <c r="T111" s="56">
        <f>IF(S111=0,"",SUM(O111:R111)/S111)</f>
        <v/>
      </c>
    </row>
    <row r="112" hidden="1" ht="16" customHeight="1" thickBot="1">
      <c r="A112" s="77" t="inlineStr">
        <is>
          <t>T. O'Toole</t>
        </is>
      </c>
      <c r="B112" s="36" t="inlineStr">
        <is>
          <t>Ireland</t>
        </is>
      </c>
      <c r="C112" s="36" t="inlineStr">
        <is>
          <t>Prop</t>
        </is>
      </c>
      <c r="D112" s="37" t="n">
        <v>19</v>
      </c>
      <c r="E112" s="36" t="inlineStr">
        <is>
          <t>y</t>
        </is>
      </c>
      <c r="F112" s="36" t="inlineStr">
        <is>
          <t>Round 2</t>
        </is>
      </c>
      <c r="H112" s="77" t="inlineStr">
        <is>
          <t>H. Slade</t>
        </is>
      </c>
      <c r="I112" s="36">
        <f>_xlfn.XLOOKUP(H112,$A$5:$A$96,$E$5:$E$96,0)</f>
        <v/>
      </c>
      <c r="J112" s="36">
        <f>_xlfn.XLOOKUP(H112,$A$100:$A$197,$E$100:$E$197,0)</f>
        <v/>
      </c>
      <c r="K112">
        <f>_xlfn.XLOOKUP(H112,$A$202:$A$292,$E$202:$E$292,0)</f>
        <v/>
      </c>
      <c r="L112">
        <f>_xlfn.XLOOKUP(H112,$A$296:$A$392,$E$296:$E$392,0)</f>
        <v/>
      </c>
      <c r="N112" s="36" t="inlineStr">
        <is>
          <t>H. Slade</t>
        </is>
      </c>
      <c r="O112" t="inlineStr"/>
      <c r="P112" t="inlineStr"/>
      <c r="Q112" t="inlineStr"/>
      <c r="R112" t="inlineStr"/>
      <c r="S112">
        <f>COUNT(O112:R112)</f>
        <v/>
      </c>
      <c r="T112" s="56">
        <f>IF(S112=0,"",SUM(O112:R112)/S112)</f>
        <v/>
      </c>
    </row>
    <row r="113" ht="16" customHeight="1" thickBot="1">
      <c r="A113" s="76" t="inlineStr">
        <is>
          <t>A. Porter</t>
        </is>
      </c>
      <c r="B113" s="36" t="inlineStr">
        <is>
          <t>Ireland</t>
        </is>
      </c>
      <c r="C113" s="36" t="inlineStr">
        <is>
          <t>Prop</t>
        </is>
      </c>
      <c r="D113" s="37" t="n">
        <v>69</v>
      </c>
      <c r="F113" s="36" t="inlineStr">
        <is>
          <t>Round 2</t>
        </is>
      </c>
      <c r="H113" s="76" t="inlineStr">
        <is>
          <t>M. Smith</t>
        </is>
      </c>
      <c r="I113" s="36">
        <f>_xlfn.XLOOKUP(H113,$A$5:$A$96,$E$5:$E$96,0)</f>
        <v/>
      </c>
      <c r="J113" s="36">
        <f>_xlfn.XLOOKUP(H113,$A$100:$A$197,$E$100:$E$197,0)</f>
        <v/>
      </c>
      <c r="K113">
        <f>_xlfn.XLOOKUP(H113,$A$202:$A$292,$E$202:$E$292,0)</f>
        <v/>
      </c>
      <c r="L113">
        <f>_xlfn.XLOOKUP(H113,$A$296:$A$392,$E$296:$E$392,0)</f>
        <v/>
      </c>
      <c r="N113" s="36" t="inlineStr">
        <is>
          <t>M. Smith</t>
        </is>
      </c>
      <c r="O113" t="inlineStr"/>
      <c r="P113" t="n">
        <v>4</v>
      </c>
      <c r="Q113" t="n">
        <v>1.4</v>
      </c>
      <c r="R113" t="inlineStr"/>
      <c r="S113">
        <f>COUNT(O113:R113)</f>
        <v/>
      </c>
      <c r="T113" s="56">
        <f>IF(S113=0,"",SUM(O113:R113)/S113)</f>
        <v/>
      </c>
    </row>
    <row r="114" ht="16" customHeight="1" thickBot="1">
      <c r="A114" s="77" t="inlineStr">
        <is>
          <t>R. Herring</t>
        </is>
      </c>
      <c r="B114" s="36" t="inlineStr">
        <is>
          <t>Ireland</t>
        </is>
      </c>
      <c r="C114" s="36" t="inlineStr">
        <is>
          <t>Hooker</t>
        </is>
      </c>
      <c r="D114" s="37" t="n">
        <v>25</v>
      </c>
      <c r="E114" s="36" t="n"/>
      <c r="F114" s="36" t="inlineStr">
        <is>
          <t>Round 2</t>
        </is>
      </c>
      <c r="H114" s="77" t="inlineStr">
        <is>
          <t>A. Mitchell</t>
        </is>
      </c>
      <c r="I114" s="36">
        <f>_xlfn.XLOOKUP(H114,$A$5:$A$96,$E$5:$E$96,0)</f>
        <v/>
      </c>
      <c r="J114" s="36">
        <f>_xlfn.XLOOKUP(H114,$A$100:$A$197,$E$100:$E$197,0)</f>
        <v/>
      </c>
      <c r="K114">
        <f>_xlfn.XLOOKUP(H114,$A$202:$A$292,$E$202:$E$292,0)</f>
        <v/>
      </c>
      <c r="L114">
        <f>_xlfn.XLOOKUP(H114,$A$296:$A$392,$E$296:$E$392,0)</f>
        <v/>
      </c>
      <c r="N114" s="36" t="inlineStr">
        <is>
          <t>A. Mitchell</t>
        </is>
      </c>
      <c r="O114" t="inlineStr"/>
      <c r="P114" t="n">
        <v>12.2</v>
      </c>
      <c r="Q114" t="n">
        <v>1</v>
      </c>
      <c r="R114" t="n">
        <v>8.6</v>
      </c>
      <c r="S114">
        <f>COUNT(O114:R114)</f>
        <v/>
      </c>
      <c r="T114" s="56">
        <f>IF(S114=0,"",SUM(O114:R114)/S114)</f>
        <v/>
      </c>
    </row>
    <row r="115" hidden="1" ht="16" customHeight="1" thickBot="1">
      <c r="A115" s="76" t="inlineStr">
        <is>
          <t>R. Kelleher</t>
        </is>
      </c>
      <c r="B115" s="36" t="inlineStr">
        <is>
          <t>Ireland</t>
        </is>
      </c>
      <c r="C115" s="36" t="inlineStr">
        <is>
          <t>Hooker</t>
        </is>
      </c>
      <c r="D115" s="37" t="n">
        <v>55</v>
      </c>
      <c r="E115" s="36" t="inlineStr">
        <is>
          <t>y</t>
        </is>
      </c>
      <c r="F115" s="36" t="inlineStr">
        <is>
          <t>Round 2</t>
        </is>
      </c>
      <c r="H115" s="76" t="inlineStr">
        <is>
          <t>J. Willis</t>
        </is>
      </c>
      <c r="I115" s="36">
        <f>_xlfn.XLOOKUP(H115,$A$5:$A$96,$E$5:$E$96,0)</f>
        <v/>
      </c>
      <c r="J115" s="36">
        <f>_xlfn.XLOOKUP(H115,$A$100:$A$197,$E$100:$E$197,0)</f>
        <v/>
      </c>
      <c r="K115">
        <f>_xlfn.XLOOKUP(H115,$A$202:$A$292,$E$202:$E$292,0)</f>
        <v/>
      </c>
      <c r="L115">
        <f>_xlfn.XLOOKUP(H115,$A$296:$A$392,$E$296:$E$392,0)</f>
        <v/>
      </c>
      <c r="N115" s="36" t="inlineStr">
        <is>
          <t>J. Willis</t>
        </is>
      </c>
      <c r="O115" t="inlineStr"/>
      <c r="P115" t="inlineStr"/>
      <c r="Q115" t="inlineStr"/>
      <c r="R115" t="inlineStr"/>
      <c r="S115">
        <f>COUNT(O115:R115)</f>
        <v/>
      </c>
      <c r="T115" s="56">
        <f>IF(S115=0,"",SUM(O115:R115)/S115)</f>
        <v/>
      </c>
    </row>
    <row r="116" hidden="1" ht="16" customHeight="1" thickBot="1">
      <c r="A116" s="77" t="inlineStr">
        <is>
          <t>T. Ramos</t>
        </is>
      </c>
      <c r="B116" s="36" t="inlineStr">
        <is>
          <t>France</t>
        </is>
      </c>
      <c r="C116" s="36" t="inlineStr">
        <is>
          <t>Back Three</t>
        </is>
      </c>
      <c r="D116" s="37" t="n">
        <v>61</v>
      </c>
      <c r="F116" s="36" t="inlineStr">
        <is>
          <t>Round 2</t>
        </is>
      </c>
      <c r="H116" s="77" t="inlineStr">
        <is>
          <t>J. George</t>
        </is>
      </c>
      <c r="I116" s="36">
        <f>_xlfn.XLOOKUP(H116,$A$5:$A$96,$E$5:$E$96,0)</f>
        <v/>
      </c>
      <c r="J116" s="36">
        <f>_xlfn.XLOOKUP(H116,$A$100:$A$197,$E$100:$E$197,0)</f>
        <v/>
      </c>
      <c r="K116">
        <f>_xlfn.XLOOKUP(H116,$A$202:$A$292,$E$202:$E$292,0)</f>
        <v/>
      </c>
      <c r="L116">
        <f>_xlfn.XLOOKUP(H116,$A$296:$A$392,$E$296:$E$392,0)</f>
        <v/>
      </c>
      <c r="N116" s="36" t="inlineStr">
        <is>
          <t>J. George</t>
        </is>
      </c>
      <c r="O116" t="inlineStr"/>
      <c r="P116" t="inlineStr"/>
      <c r="Q116" t="inlineStr"/>
      <c r="R116" t="inlineStr"/>
      <c r="S116">
        <f>COUNT(O116:R116)</f>
        <v/>
      </c>
      <c r="T116" s="56">
        <f>IF(S116=0,"",SUM(O116:R116)/S116)</f>
        <v/>
      </c>
    </row>
    <row r="117" ht="16" customHeight="1" thickBot="1">
      <c r="A117" s="76" t="inlineStr">
        <is>
          <t>E. Dumortier</t>
        </is>
      </c>
      <c r="B117" s="36" t="inlineStr">
        <is>
          <t>France</t>
        </is>
      </c>
      <c r="C117" s="36" t="inlineStr">
        <is>
          <t>Centre</t>
        </is>
      </c>
      <c r="D117" s="37" t="n">
        <v>68</v>
      </c>
      <c r="F117" s="36" t="inlineStr">
        <is>
          <t>Round 2</t>
        </is>
      </c>
      <c r="H117" s="76" t="inlineStr">
        <is>
          <t>J. Walker</t>
        </is>
      </c>
      <c r="I117" s="36">
        <f>_xlfn.XLOOKUP(H117,$A$5:$A$96,$E$5:$E$96,0)</f>
        <v/>
      </c>
      <c r="J117" s="36">
        <f>_xlfn.XLOOKUP(H117,$A$100:$A$197,$E$100:$E$197,0)</f>
        <v/>
      </c>
      <c r="K117">
        <f>_xlfn.XLOOKUP(H117,$A$202:$A$292,$E$202:$E$292,0)</f>
        <v/>
      </c>
      <c r="L117">
        <f>_xlfn.XLOOKUP(H117,$A$296:$A$392,$E$296:$E$392,0)</f>
        <v/>
      </c>
      <c r="N117" s="36" t="inlineStr">
        <is>
          <t>J. Walker</t>
        </is>
      </c>
      <c r="O117" t="inlineStr"/>
      <c r="P117" t="n">
        <v>4.8</v>
      </c>
      <c r="Q117" t="n">
        <v>0</v>
      </c>
      <c r="R117" t="n">
        <v>7.2</v>
      </c>
      <c r="S117">
        <f>COUNT(O117:R117)</f>
        <v/>
      </c>
      <c r="T117" s="56">
        <f>IF(S117=0,"",SUM(O117:R117)/S117)</f>
        <v/>
      </c>
    </row>
    <row r="118" ht="16" customHeight="1" thickBot="1">
      <c r="A118" s="77" t="inlineStr">
        <is>
          <t>M. Jalibert</t>
        </is>
      </c>
      <c r="B118" s="36" t="inlineStr">
        <is>
          <t>France</t>
        </is>
      </c>
      <c r="C118" s="36" t="inlineStr">
        <is>
          <t>Fly Half</t>
        </is>
      </c>
      <c r="D118" s="37" t="n">
        <v>19</v>
      </c>
      <c r="E118" s="36" t="inlineStr">
        <is>
          <t>y</t>
        </is>
      </c>
      <c r="F118" s="36" t="inlineStr">
        <is>
          <t>Round 2</t>
        </is>
      </c>
      <c r="H118" s="77" t="inlineStr">
        <is>
          <t>L. Morisi</t>
        </is>
      </c>
      <c r="I118" s="36">
        <f>_xlfn.XLOOKUP(H118,$A$5:$A$96,$E$5:$E$96,0)</f>
        <v/>
      </c>
      <c r="J118" s="36">
        <f>_xlfn.XLOOKUP(H118,$A$100:$A$197,$E$100:$E$197,0)</f>
        <v/>
      </c>
      <c r="K118">
        <f>_xlfn.XLOOKUP(H118,$A$202:$A$292,$E$202:$E$292,0)</f>
        <v/>
      </c>
      <c r="L118">
        <f>_xlfn.XLOOKUP(H118,$A$296:$A$392,$E$296:$E$392,0)</f>
        <v/>
      </c>
      <c r="N118" s="36" t="inlineStr">
        <is>
          <t>L. Morisi</t>
        </is>
      </c>
      <c r="O118" t="inlineStr"/>
      <c r="P118" t="inlineStr"/>
      <c r="Q118" t="n">
        <v>1</v>
      </c>
      <c r="R118" t="n">
        <v>4.800000000000001</v>
      </c>
      <c r="S118">
        <f>COUNT(O118:R118)</f>
        <v/>
      </c>
      <c r="T118" s="56">
        <f>IF(S118=0,"",SUM(O118:R118)/S118)</f>
        <v/>
      </c>
    </row>
    <row r="119" hidden="1" ht="16" customHeight="1" thickBot="1">
      <c r="A119" s="76" t="inlineStr">
        <is>
          <t>G. Alldritt</t>
        </is>
      </c>
      <c r="B119" s="36" t="inlineStr">
        <is>
          <t>France</t>
        </is>
      </c>
      <c r="C119" s="36" t="inlineStr">
        <is>
          <t>Back Row</t>
        </is>
      </c>
      <c r="D119" s="37" t="n">
        <v>52</v>
      </c>
      <c r="F119" s="36" t="inlineStr">
        <is>
          <t>Round 2</t>
        </is>
      </c>
      <c r="H119" s="76" t="inlineStr">
        <is>
          <t>M. Lamaro</t>
        </is>
      </c>
      <c r="I119" s="36">
        <f>_xlfn.XLOOKUP(H119,$A$5:$A$96,$E$5:$E$96,0)</f>
        <v/>
      </c>
      <c r="J119" s="36">
        <f>_xlfn.XLOOKUP(H119,$A$100:$A$197,$E$100:$E$197,0)</f>
        <v/>
      </c>
      <c r="K119">
        <f>_xlfn.XLOOKUP(H119,$A$202:$A$292,$E$202:$E$292,0)</f>
        <v/>
      </c>
      <c r="L119">
        <f>_xlfn.XLOOKUP(H119,$A$296:$A$392,$E$296:$E$392,0)</f>
        <v/>
      </c>
      <c r="N119" s="36" t="inlineStr">
        <is>
          <t>M. Lamaro</t>
        </is>
      </c>
      <c r="O119" t="inlineStr"/>
      <c r="P119" t="inlineStr"/>
      <c r="Q119" t="inlineStr"/>
      <c r="R119" t="inlineStr"/>
      <c r="S119">
        <f>COUNT(O119:R119)</f>
        <v/>
      </c>
      <c r="T119" s="56">
        <f>IF(S119=0,"",SUM(O119:R119)/S119)</f>
        <v/>
      </c>
    </row>
    <row r="120" ht="16" customHeight="1" thickBot="1">
      <c r="A120" s="77" t="inlineStr">
        <is>
          <t>F. Cros</t>
        </is>
      </c>
      <c r="B120" s="36" t="inlineStr">
        <is>
          <t>France</t>
        </is>
      </c>
      <c r="C120" s="36" t="inlineStr">
        <is>
          <t>Back Row</t>
        </is>
      </c>
      <c r="D120" s="37" t="n">
        <v>11</v>
      </c>
      <c r="E120" s="36" t="inlineStr">
        <is>
          <t>y</t>
        </is>
      </c>
      <c r="F120" s="36" t="inlineStr">
        <is>
          <t>Round 2</t>
        </is>
      </c>
      <c r="H120" s="77" t="inlineStr">
        <is>
          <t>J. Polledri</t>
        </is>
      </c>
      <c r="I120" s="36">
        <f>_xlfn.XLOOKUP(H120,$A$5:$A$96,$E$5:$E$96,0)</f>
        <v/>
      </c>
      <c r="J120" s="36">
        <f>_xlfn.XLOOKUP(H120,$A$100:$A$197,$E$100:$E$197,0)</f>
        <v/>
      </c>
      <c r="K120">
        <f>_xlfn.XLOOKUP(H120,$A$202:$A$292,$E$202:$E$292,0)</f>
        <v/>
      </c>
      <c r="L120">
        <f>_xlfn.XLOOKUP(H120,$A$296:$A$392,$E$296:$E$392,0)</f>
        <v/>
      </c>
      <c r="N120" s="36" t="inlineStr">
        <is>
          <t>J. Polledri</t>
        </is>
      </c>
      <c r="O120" t="inlineStr"/>
      <c r="P120" t="n">
        <v>13.2</v>
      </c>
      <c r="Q120" t="inlineStr"/>
      <c r="R120" t="inlineStr"/>
      <c r="S120">
        <f>COUNT(O120:R120)</f>
        <v/>
      </c>
      <c r="T120" s="56">
        <f>IF(S120=0,"",SUM(O120:R120)/S120)</f>
        <v/>
      </c>
    </row>
    <row r="121" ht="16" customHeight="1" thickBot="1">
      <c r="A121" s="77" t="inlineStr">
        <is>
          <t>S. Macalou</t>
        </is>
      </c>
      <c r="B121" s="36" t="inlineStr">
        <is>
          <t>France</t>
        </is>
      </c>
      <c r="C121" s="36" t="inlineStr">
        <is>
          <t>Back Row</t>
        </is>
      </c>
      <c r="D121" s="37" t="n">
        <v>28</v>
      </c>
      <c r="E121" s="36" t="inlineStr">
        <is>
          <t>y</t>
        </is>
      </c>
      <c r="F121" s="36" t="inlineStr">
        <is>
          <t>Round 2</t>
        </is>
      </c>
      <c r="H121" s="77" t="inlineStr">
        <is>
          <t>M. Riccioni</t>
        </is>
      </c>
      <c r="I121" s="36">
        <f>_xlfn.XLOOKUP(H121,$A$5:$A$96,$E$5:$E$96,0)</f>
        <v/>
      </c>
      <c r="J121" s="36">
        <f>_xlfn.XLOOKUP(H121,$A$100:$A$197,$E$100:$E$197,0)</f>
        <v/>
      </c>
      <c r="K121">
        <f>_xlfn.XLOOKUP(H121,$A$202:$A$292,$E$202:$E$292,0)</f>
        <v/>
      </c>
      <c r="L121">
        <f>_xlfn.XLOOKUP(H121,$A$296:$A$392,$E$296:$E$392,0)</f>
        <v/>
      </c>
      <c r="N121" s="36" t="inlineStr">
        <is>
          <t>M. Riccioni</t>
        </is>
      </c>
      <c r="O121" t="inlineStr"/>
      <c r="P121" t="inlineStr"/>
      <c r="Q121" t="n">
        <v>16</v>
      </c>
      <c r="R121" t="n">
        <v>4.800000000000001</v>
      </c>
      <c r="S121">
        <f>COUNT(O121:R121)</f>
        <v/>
      </c>
      <c r="T121" s="56">
        <f>IF(S121=0,"",SUM(O121:R121)/S121)</f>
        <v/>
      </c>
    </row>
    <row r="122" ht="16" customHeight="1" thickBot="1">
      <c r="A122" s="76" t="inlineStr">
        <is>
          <t>C. Ollivon</t>
        </is>
      </c>
      <c r="B122" s="36" t="inlineStr">
        <is>
          <t>France</t>
        </is>
      </c>
      <c r="C122" s="36" t="inlineStr">
        <is>
          <t>Back Row</t>
        </is>
      </c>
      <c r="D122" s="37" t="n">
        <v>69</v>
      </c>
      <c r="F122" s="36" t="inlineStr">
        <is>
          <t>Round 2</t>
        </is>
      </c>
      <c r="H122" s="76" t="inlineStr">
        <is>
          <t>J. O'Brien</t>
        </is>
      </c>
      <c r="I122" s="36">
        <f>_xlfn.XLOOKUP(H122,$A$5:$A$96,$E$5:$E$96,0)</f>
        <v/>
      </c>
      <c r="J122" s="36">
        <f>_xlfn.XLOOKUP(H122,$A$100:$A$197,$E$100:$E$197,0)</f>
        <v/>
      </c>
      <c r="K122">
        <f>_xlfn.XLOOKUP(H122,$A$202:$A$292,$E$202:$E$292,0)</f>
        <v/>
      </c>
      <c r="L122">
        <f>_xlfn.XLOOKUP(H122,$A$296:$A$392,$E$296:$E$392,0)</f>
        <v/>
      </c>
      <c r="N122" s="36" t="inlineStr">
        <is>
          <t>J. O'Brien</t>
        </is>
      </c>
      <c r="O122" t="inlineStr"/>
      <c r="P122" t="inlineStr"/>
      <c r="Q122" t="n">
        <v>0</v>
      </c>
      <c r="R122" t="inlineStr"/>
      <c r="S122">
        <f>COUNT(O122:R122)</f>
        <v/>
      </c>
      <c r="T122" s="56">
        <f>IF(S122=0,"",SUM(O122:R122)/S122)</f>
        <v/>
      </c>
    </row>
    <row r="123" ht="16" customHeight="1" thickBot="1">
      <c r="A123" s="76" t="inlineStr">
        <is>
          <t>R. Taofifenua</t>
        </is>
      </c>
      <c r="B123" s="36" t="inlineStr">
        <is>
          <t>France</t>
        </is>
      </c>
      <c r="C123" s="36" t="inlineStr">
        <is>
          <t>Second Row</t>
        </is>
      </c>
      <c r="D123" s="37" t="n">
        <v>35</v>
      </c>
      <c r="E123" s="36" t="inlineStr">
        <is>
          <t>y</t>
        </is>
      </c>
      <c r="F123" s="36" t="inlineStr">
        <is>
          <t>Round 2</t>
        </is>
      </c>
      <c r="H123" s="76" t="inlineStr">
        <is>
          <t>J. Crowley</t>
        </is>
      </c>
      <c r="I123" s="36">
        <f>_xlfn.XLOOKUP(H123,$A$5:$A$96,$E$5:$E$96,0)</f>
        <v/>
      </c>
      <c r="J123" s="36">
        <f>_xlfn.XLOOKUP(H123,$A$100:$A$197,$E$100:$E$197,0)</f>
        <v/>
      </c>
      <c r="K123">
        <f>_xlfn.XLOOKUP(H123,$A$202:$A$292,$E$202:$E$292,0)</f>
        <v/>
      </c>
      <c r="L123">
        <f>_xlfn.XLOOKUP(H123,$A$296:$A$392,$E$296:$E$392,0)</f>
        <v/>
      </c>
      <c r="N123" s="36" t="inlineStr">
        <is>
          <t>J. Crowley</t>
        </is>
      </c>
      <c r="O123" t="inlineStr"/>
      <c r="P123" t="inlineStr"/>
      <c r="Q123" t="n">
        <v>2</v>
      </c>
      <c r="R123" t="inlineStr"/>
      <c r="S123">
        <f>COUNT(O123:R123)</f>
        <v/>
      </c>
      <c r="T123" s="56">
        <f>IF(S123=0,"",SUM(O123:R123)/S123)</f>
        <v/>
      </c>
    </row>
    <row r="124" ht="16" customHeight="1" thickBot="1">
      <c r="A124" s="77" t="inlineStr">
        <is>
          <t>P. Willemse</t>
        </is>
      </c>
      <c r="B124" s="36" t="inlineStr">
        <is>
          <t>France</t>
        </is>
      </c>
      <c r="C124" s="36" t="inlineStr">
        <is>
          <t>Second Row</t>
        </is>
      </c>
      <c r="D124" s="37" t="n">
        <v>45</v>
      </c>
      <c r="F124" s="36" t="inlineStr">
        <is>
          <t>Round 2</t>
        </is>
      </c>
      <c r="H124" s="77" t="inlineStr">
        <is>
          <t>R. Baird</t>
        </is>
      </c>
      <c r="I124" s="36">
        <f>_xlfn.XLOOKUP(H124,$A$5:$A$96,$E$5:$E$96,0)</f>
        <v/>
      </c>
      <c r="J124" s="36">
        <f>_xlfn.XLOOKUP(H124,$A$100:$A$197,$E$100:$E$197,0)</f>
        <v/>
      </c>
      <c r="K124">
        <f>_xlfn.XLOOKUP(H124,$A$202:$A$292,$E$202:$E$292,0)</f>
        <v/>
      </c>
      <c r="L124">
        <f>_xlfn.XLOOKUP(H124,$A$296:$A$392,$E$296:$E$392,0)</f>
        <v/>
      </c>
      <c r="N124" s="36" t="inlineStr">
        <is>
          <t>R. Baird</t>
        </is>
      </c>
      <c r="O124" t="inlineStr"/>
      <c r="P124" t="inlineStr"/>
      <c r="Q124" t="n">
        <v>23.6</v>
      </c>
      <c r="R124" t="n">
        <v>8.199999999999999</v>
      </c>
      <c r="S124">
        <f>COUNT(O124:R124)</f>
        <v/>
      </c>
      <c r="T124" s="56">
        <f>IF(S124=0,"",SUM(O124:R124)/S124)</f>
        <v/>
      </c>
    </row>
    <row r="125" hidden="1" ht="16" customHeight="1" thickBot="1">
      <c r="A125" s="76" t="inlineStr">
        <is>
          <t>U. Atonio</t>
        </is>
      </c>
      <c r="B125" s="36" t="inlineStr">
        <is>
          <t>France</t>
        </is>
      </c>
      <c r="C125" s="36" t="inlineStr">
        <is>
          <t>Prop</t>
        </is>
      </c>
      <c r="D125" s="37" t="n">
        <v>44</v>
      </c>
      <c r="F125" s="36" t="inlineStr">
        <is>
          <t>Round 2</t>
        </is>
      </c>
      <c r="H125" s="76" t="inlineStr">
        <is>
          <t>T. Menoncello</t>
        </is>
      </c>
      <c r="I125" s="36">
        <f>_xlfn.XLOOKUP(H125,$A$5:$A$96,$E$5:$E$96,0)</f>
        <v/>
      </c>
      <c r="J125" s="36">
        <f>_xlfn.XLOOKUP(H125,$A$100:$A$197,$E$100:$E$197,0)</f>
        <v/>
      </c>
      <c r="K125">
        <f>_xlfn.XLOOKUP(H125,$A$202:$A$292,$E$202:$E$292,0)</f>
        <v/>
      </c>
      <c r="L125">
        <f>_xlfn.XLOOKUP(H125,$A$296:$A$392,$E$296:$E$392,0)</f>
        <v/>
      </c>
      <c r="N125" s="36" t="inlineStr">
        <is>
          <t>T. Menoncello</t>
        </is>
      </c>
      <c r="O125" t="inlineStr"/>
      <c r="P125" t="inlineStr"/>
      <c r="Q125" t="inlineStr"/>
      <c r="R125" t="inlineStr"/>
      <c r="S125">
        <f>COUNT(O125:R125)</f>
        <v/>
      </c>
      <c r="T125" s="56">
        <f>IF(S125=0,"",SUM(O125:R125)/S125)</f>
        <v/>
      </c>
    </row>
    <row r="126" ht="16" customHeight="1" thickBot="1">
      <c r="A126" s="77" t="inlineStr">
        <is>
          <t>C. Baille</t>
        </is>
      </c>
      <c r="B126" s="36" t="inlineStr">
        <is>
          <t>France</t>
        </is>
      </c>
      <c r="C126" s="36" t="inlineStr">
        <is>
          <t>Prop</t>
        </is>
      </c>
      <c r="D126" s="37" t="n">
        <v>56</v>
      </c>
      <c r="F126" s="36" t="inlineStr">
        <is>
          <t>Round 2</t>
        </is>
      </c>
      <c r="H126" s="77" t="inlineStr">
        <is>
          <t>T. Allan</t>
        </is>
      </c>
      <c r="I126" s="36">
        <f>_xlfn.XLOOKUP(H126,$A$5:$A$96,$E$5:$E$96,0)</f>
        <v/>
      </c>
      <c r="J126" s="36">
        <f>_xlfn.XLOOKUP(H126,$A$100:$A$197,$E$100:$E$197,0)</f>
        <v/>
      </c>
      <c r="K126">
        <f>_xlfn.XLOOKUP(H126,$A$202:$A$292,$E$202:$E$292,0)</f>
        <v/>
      </c>
      <c r="L126">
        <f>_xlfn.XLOOKUP(H126,$A$296:$A$392,$E$296:$E$392,0)</f>
        <v/>
      </c>
      <c r="N126" s="36" t="inlineStr">
        <is>
          <t>T. Allan</t>
        </is>
      </c>
      <c r="O126" t="inlineStr"/>
      <c r="P126" t="inlineStr"/>
      <c r="Q126" t="n">
        <v>3.8</v>
      </c>
      <c r="R126" t="inlineStr"/>
      <c r="S126">
        <f>COUNT(O126:R126)</f>
        <v/>
      </c>
      <c r="T126" s="56">
        <f>IF(S126=0,"",SUM(O126:R126)/S126)</f>
        <v/>
      </c>
    </row>
    <row r="127" hidden="1" ht="16" customHeight="1" thickBot="1">
      <c r="A127" s="76" t="inlineStr">
        <is>
          <t>S. Falatea</t>
        </is>
      </c>
      <c r="B127" s="36" t="inlineStr">
        <is>
          <t>France</t>
        </is>
      </c>
      <c r="C127" s="36" t="inlineStr">
        <is>
          <t>Prop</t>
        </is>
      </c>
      <c r="D127" s="37" t="n">
        <v>36</v>
      </c>
      <c r="E127" s="36" t="inlineStr">
        <is>
          <t>y</t>
        </is>
      </c>
      <c r="F127" s="36" t="inlineStr">
        <is>
          <t>Round 2</t>
        </is>
      </c>
      <c r="H127" s="76" t="inlineStr">
        <is>
          <t>P. Garbisi</t>
        </is>
      </c>
      <c r="I127" s="36">
        <f>_xlfn.XLOOKUP(H127,$A$5:$A$96,$E$5:$E$96,0)</f>
        <v/>
      </c>
      <c r="J127" s="36">
        <f>_xlfn.XLOOKUP(H127,$A$100:$A$197,$E$100:$E$197,0)</f>
        <v/>
      </c>
      <c r="K127">
        <f>_xlfn.XLOOKUP(H127,$A$202:$A$292,$E$202:$E$292,0)</f>
        <v/>
      </c>
      <c r="L127">
        <f>_xlfn.XLOOKUP(H127,$A$296:$A$392,$E$296:$E$392,0)</f>
        <v/>
      </c>
      <c r="N127" s="36" t="inlineStr">
        <is>
          <t>P. Garbisi</t>
        </is>
      </c>
      <c r="O127" t="inlineStr"/>
      <c r="P127" t="inlineStr"/>
      <c r="Q127" t="inlineStr"/>
      <c r="R127" t="inlineStr"/>
      <c r="S127">
        <f>COUNT(O127:R127)</f>
        <v/>
      </c>
      <c r="T127" s="56">
        <f>IF(S127=0,"",SUM(O127:R127)/S127)</f>
        <v/>
      </c>
    </row>
    <row r="128" ht="16" customHeight="1" thickBot="1">
      <c r="A128" s="77" t="inlineStr">
        <is>
          <t>R. Wardi</t>
        </is>
      </c>
      <c r="B128" s="36" t="inlineStr">
        <is>
          <t>France</t>
        </is>
      </c>
      <c r="C128" s="36" t="inlineStr">
        <is>
          <t>Prop</t>
        </is>
      </c>
      <c r="D128" s="37" t="n">
        <v>24</v>
      </c>
      <c r="E128" s="36" t="inlineStr">
        <is>
          <t>y</t>
        </is>
      </c>
      <c r="F128" s="36" t="inlineStr">
        <is>
          <t>Round 2</t>
        </is>
      </c>
      <c r="H128" s="77" t="inlineStr">
        <is>
          <t>N. Tompkins</t>
        </is>
      </c>
      <c r="I128" s="36">
        <f>_xlfn.XLOOKUP(H128,$A$5:$A$96,$E$5:$E$96,0)</f>
        <v/>
      </c>
      <c r="J128" s="36">
        <f>_xlfn.XLOOKUP(H128,$A$100:$A$197,$E$100:$E$197,0)</f>
        <v/>
      </c>
      <c r="K128">
        <f>_xlfn.XLOOKUP(H128,$A$202:$A$292,$E$202:$E$292,0)</f>
        <v/>
      </c>
      <c r="L128">
        <f>_xlfn.XLOOKUP(H128,$A$296:$A$392,$E$296:$E$392,0)</f>
        <v/>
      </c>
      <c r="N128" s="36" t="inlineStr">
        <is>
          <t>N. Tompkins</t>
        </is>
      </c>
      <c r="O128" t="inlineStr"/>
      <c r="P128" t="inlineStr"/>
      <c r="Q128" t="n">
        <v>10.8</v>
      </c>
      <c r="R128" t="inlineStr"/>
      <c r="S128">
        <f>COUNT(O128:R128)</f>
        <v/>
      </c>
      <c r="T128" s="56">
        <f>IF(S128=0,"",SUM(O128:R128)/S128)</f>
        <v/>
      </c>
    </row>
    <row r="129" ht="16" customHeight="1" thickBot="1">
      <c r="A129" s="76" t="inlineStr">
        <is>
          <t>G. Barlot</t>
        </is>
      </c>
      <c r="B129" s="36" t="inlineStr">
        <is>
          <t>France</t>
        </is>
      </c>
      <c r="C129" s="36" t="inlineStr">
        <is>
          <t>Hooker</t>
        </is>
      </c>
      <c r="D129" s="37" t="n">
        <v>6</v>
      </c>
      <c r="E129" s="36" t="inlineStr">
        <is>
          <t>y</t>
        </is>
      </c>
      <c r="F129" s="36" t="inlineStr">
        <is>
          <t>Round 2</t>
        </is>
      </c>
      <c r="H129" s="76" t="inlineStr">
        <is>
          <t>K. Hardy</t>
        </is>
      </c>
      <c r="I129" s="36">
        <f>_xlfn.XLOOKUP(H129,$A$5:$A$96,$E$5:$E$96,0)</f>
        <v/>
      </c>
      <c r="J129" s="36">
        <f>_xlfn.XLOOKUP(H129,$A$100:$A$197,$E$100:$E$197,0)</f>
        <v/>
      </c>
      <c r="K129">
        <f>_xlfn.XLOOKUP(H129,$A$202:$A$292,$E$202:$E$292,0)</f>
        <v/>
      </c>
      <c r="L129">
        <f>_xlfn.XLOOKUP(H129,$A$296:$A$392,$E$296:$E$392,0)</f>
        <v/>
      </c>
      <c r="N129" s="36" t="inlineStr">
        <is>
          <t>K. Hardy</t>
        </is>
      </c>
      <c r="O129" t="inlineStr"/>
      <c r="P129" t="inlineStr"/>
      <c r="Q129" t="n">
        <v>4</v>
      </c>
      <c r="R129" t="inlineStr"/>
      <c r="S129">
        <f>COUNT(O129:R129)</f>
        <v/>
      </c>
      <c r="T129" s="56">
        <f>IF(S129=0,"",SUM(O129:R129)/S129)</f>
        <v/>
      </c>
    </row>
    <row r="130" hidden="1" ht="16" customHeight="1" thickBot="1">
      <c r="A130" s="77" t="inlineStr">
        <is>
          <t>J. Marchand</t>
        </is>
      </c>
      <c r="B130" s="36" t="inlineStr">
        <is>
          <t>France</t>
        </is>
      </c>
      <c r="C130" s="36" t="inlineStr">
        <is>
          <t>Hooker</t>
        </is>
      </c>
      <c r="D130" s="37" t="n">
        <v>74</v>
      </c>
      <c r="F130" s="36" t="inlineStr">
        <is>
          <t>Round 2</t>
        </is>
      </c>
      <c r="H130" s="77" t="inlineStr">
        <is>
          <t>C. Tshiunza</t>
        </is>
      </c>
      <c r="I130" s="36">
        <f>_xlfn.XLOOKUP(H130,$A$5:$A$96,$E$5:$E$96,0)</f>
        <v/>
      </c>
      <c r="J130" s="36">
        <f>_xlfn.XLOOKUP(H130,$A$100:$A$197,$E$100:$E$197,0)</f>
        <v/>
      </c>
      <c r="K130">
        <f>_xlfn.XLOOKUP(H130,$A$202:$A$292,$E$202:$E$292,0)</f>
        <v/>
      </c>
      <c r="L130">
        <f>_xlfn.XLOOKUP(H130,$A$296:$A$392,$E$296:$E$392,0)</f>
        <v/>
      </c>
      <c r="N130" s="36" t="inlineStr">
        <is>
          <t>C. Tshiunza</t>
        </is>
      </c>
      <c r="O130" t="inlineStr"/>
      <c r="P130" t="inlineStr"/>
      <c r="Q130" t="inlineStr"/>
      <c r="R130" t="inlineStr"/>
      <c r="S130">
        <f>COUNT(O130:R130)</f>
        <v/>
      </c>
      <c r="T130" s="56">
        <f>IF(S130=0,"",SUM(O130:R130)/S130)</f>
        <v/>
      </c>
    </row>
    <row r="131" ht="16" customHeight="1" thickBot="1">
      <c r="A131" s="76" t="inlineStr">
        <is>
          <t>S. Hogg</t>
        </is>
      </c>
      <c r="B131" s="36" t="inlineStr">
        <is>
          <t>Scotland</t>
        </is>
      </c>
      <c r="C131" s="36" t="inlineStr">
        <is>
          <t>Back Three</t>
        </is>
      </c>
      <c r="D131" s="37" t="n">
        <v>13</v>
      </c>
      <c r="F131" s="36" t="inlineStr">
        <is>
          <t>Round 2</t>
        </is>
      </c>
      <c r="H131" s="76" t="inlineStr">
        <is>
          <t>B. Roberts</t>
        </is>
      </c>
      <c r="I131" s="36">
        <f>_xlfn.XLOOKUP(H131,$A$5:$A$96,$E$5:$E$96,0)</f>
        <v/>
      </c>
      <c r="J131" s="36">
        <f>_xlfn.XLOOKUP(H131,$A$100:$A$197,$E$100:$E$197,0)</f>
        <v/>
      </c>
      <c r="K131">
        <f>_xlfn.XLOOKUP(H131,$A$202:$A$292,$E$202:$E$292,0)</f>
        <v/>
      </c>
      <c r="L131">
        <f>_xlfn.XLOOKUP(H131,$A$296:$A$392,$E$296:$E$392,0)</f>
        <v/>
      </c>
      <c r="N131" s="36" t="inlineStr">
        <is>
          <t>B. Roberts</t>
        </is>
      </c>
      <c r="O131" t="inlineStr"/>
      <c r="P131" t="inlineStr"/>
      <c r="Q131" t="n">
        <v>4</v>
      </c>
      <c r="R131" t="inlineStr"/>
      <c r="S131">
        <f>COUNT(O131:R131)</f>
        <v/>
      </c>
      <c r="T131" s="56">
        <f>IF(S131=0,"",SUM(O131:R131)/S131)</f>
        <v/>
      </c>
    </row>
    <row r="132" ht="16" customHeight="1" thickBot="1">
      <c r="A132" s="77" t="inlineStr">
        <is>
          <t>B. Kinghorn</t>
        </is>
      </c>
      <c r="B132" s="36" t="inlineStr">
        <is>
          <t>Scotland</t>
        </is>
      </c>
      <c r="C132" s="36" t="inlineStr">
        <is>
          <t>Back Three</t>
        </is>
      </c>
      <c r="D132" s="37" t="n">
        <v>67</v>
      </c>
      <c r="E132" s="36" t="inlineStr">
        <is>
          <t>y</t>
        </is>
      </c>
      <c r="F132" s="36" t="inlineStr">
        <is>
          <t>Round 2</t>
        </is>
      </c>
      <c r="H132" s="77" t="inlineStr">
        <is>
          <t>C. Lawes</t>
        </is>
      </c>
      <c r="I132" s="36">
        <f>_xlfn.XLOOKUP(H132,$A$5:$A$96,$E$5:$E$96,0)</f>
        <v/>
      </c>
      <c r="J132" s="36">
        <f>_xlfn.XLOOKUP(H132,$A$100:$A$197,$E$100:$E$197,0)</f>
        <v/>
      </c>
      <c r="K132">
        <f>_xlfn.XLOOKUP(H132,$A$202:$A$292,$E$202:$E$292,0)</f>
        <v/>
      </c>
      <c r="L132">
        <f>_xlfn.XLOOKUP(H132,$A$296:$A$392,$E$296:$E$392,0)</f>
        <v/>
      </c>
      <c r="N132" s="36" t="inlineStr">
        <is>
          <t>C. Lawes</t>
        </is>
      </c>
      <c r="O132" t="inlineStr"/>
      <c r="P132" t="inlineStr"/>
      <c r="Q132" t="n">
        <v>2.2</v>
      </c>
      <c r="R132" t="inlineStr"/>
      <c r="S132">
        <f>COUNT(O132:R132)</f>
        <v/>
      </c>
      <c r="T132" s="56">
        <f>IF(S132=0,"",SUM(O132:R132)/S132)</f>
        <v/>
      </c>
    </row>
    <row r="133" hidden="1" ht="16" customHeight="1" thickBot="1">
      <c r="A133" s="76" t="inlineStr">
        <is>
          <t>C. Harris</t>
        </is>
      </c>
      <c r="B133" s="36" t="inlineStr">
        <is>
          <t>Scotland</t>
        </is>
      </c>
      <c r="C133" s="36" t="inlineStr">
        <is>
          <t>Centre</t>
        </is>
      </c>
      <c r="D133" s="37" t="n">
        <v>8</v>
      </c>
      <c r="E133" s="36" t="inlineStr">
        <is>
          <t>y</t>
        </is>
      </c>
      <c r="F133" s="36" t="inlineStr">
        <is>
          <t>Round 2</t>
        </is>
      </c>
      <c r="H133" s="76" t="inlineStr">
        <is>
          <t>A. Jelonch</t>
        </is>
      </c>
      <c r="I133" s="36">
        <f>_xlfn.XLOOKUP(H133,$A$5:$A$96,$E$5:$E$96,0)</f>
        <v/>
      </c>
      <c r="J133" s="36">
        <f>_xlfn.XLOOKUP(H133,$A$100:$A$197,$E$100:$E$197,0)</f>
        <v/>
      </c>
      <c r="K133">
        <f>_xlfn.XLOOKUP(H133,$A$202:$A$292,$E$202:$E$292,0)</f>
        <v/>
      </c>
      <c r="L133">
        <f>_xlfn.XLOOKUP(H133,$A$296:$A$392,$E$296:$E$392,0)</f>
        <v/>
      </c>
      <c r="N133" s="36" t="inlineStr">
        <is>
          <t>A. Jelonch</t>
        </is>
      </c>
      <c r="O133" t="inlineStr"/>
      <c r="P133" t="inlineStr"/>
      <c r="Q133" t="inlineStr"/>
      <c r="R133" t="inlineStr"/>
      <c r="S133">
        <f>COUNT(O133:R133)</f>
        <v/>
      </c>
      <c r="T133" s="56">
        <f>IF(S133=0,"",SUM(O133:R133)/S133)</f>
        <v/>
      </c>
    </row>
    <row r="134" hidden="1" ht="16" customHeight="1" thickBot="1">
      <c r="A134" s="76" t="inlineStr">
        <is>
          <t>S. Tuipulotu</t>
        </is>
      </c>
      <c r="B134" s="36" t="inlineStr">
        <is>
          <t>Scotland</t>
        </is>
      </c>
      <c r="C134" s="36" t="inlineStr">
        <is>
          <t>Centre</t>
        </is>
      </c>
      <c r="D134" s="37" t="n">
        <v>72</v>
      </c>
      <c r="F134" s="36" t="inlineStr">
        <is>
          <t>Round 2</t>
        </is>
      </c>
      <c r="H134" s="76" t="inlineStr">
        <is>
          <t>M. Haouas</t>
        </is>
      </c>
      <c r="I134" s="36">
        <f>_xlfn.XLOOKUP(H134,$A$5:$A$96,$E$5:$E$96,0)</f>
        <v/>
      </c>
      <c r="J134" s="36">
        <f>_xlfn.XLOOKUP(H134,$A$100:$A$197,$E$100:$E$197,0)</f>
        <v/>
      </c>
      <c r="K134">
        <f>_xlfn.XLOOKUP(H134,$A$202:$A$292,$E$202:$E$292,0)</f>
        <v/>
      </c>
      <c r="L134">
        <f>_xlfn.XLOOKUP(H134,$A$296:$A$392,$E$296:$E$392,0)</f>
        <v/>
      </c>
      <c r="N134" s="36" t="inlineStr">
        <is>
          <t>M. Haouas</t>
        </is>
      </c>
      <c r="O134" t="inlineStr"/>
      <c r="P134" t="inlineStr"/>
      <c r="Q134" t="inlineStr"/>
      <c r="R134" t="inlineStr"/>
      <c r="S134">
        <f>COUNT(O134:R134)</f>
        <v/>
      </c>
      <c r="T134" s="56">
        <f>IF(S134=0,"",SUM(O134:R134)/S134)</f>
        <v/>
      </c>
    </row>
    <row r="135" hidden="1" ht="16" customHeight="1" thickBot="1">
      <c r="A135" s="76" t="inlineStr">
        <is>
          <t>G. Horne</t>
        </is>
      </c>
      <c r="B135" s="36" t="inlineStr">
        <is>
          <t>Scotland</t>
        </is>
      </c>
      <c r="C135" s="36" t="inlineStr">
        <is>
          <t>Scrum Half</t>
        </is>
      </c>
      <c r="D135" s="37" t="n">
        <v>21</v>
      </c>
      <c r="E135" s="36" t="inlineStr">
        <is>
          <t>y</t>
        </is>
      </c>
      <c r="F135" s="36" t="inlineStr">
        <is>
          <t>Round 2</t>
        </is>
      </c>
      <c r="H135" s="76" t="inlineStr">
        <is>
          <t>K. Steyn</t>
        </is>
      </c>
      <c r="I135" s="36">
        <f>_xlfn.XLOOKUP(H135,$A$5:$A$96,$E$5:$E$96,0)</f>
        <v/>
      </c>
      <c r="J135" s="36">
        <f>_xlfn.XLOOKUP(H135,$A$100:$A$197,$E$100:$E$197,0)</f>
        <v/>
      </c>
      <c r="K135">
        <f>_xlfn.XLOOKUP(H135,$A$202:$A$292,$E$202:$E$292,0)</f>
        <v/>
      </c>
      <c r="L135">
        <f>_xlfn.XLOOKUP(H135,$A$296:$A$392,$E$296:$E$392,0)</f>
        <v/>
      </c>
      <c r="N135" s="36" t="inlineStr">
        <is>
          <t>K. Steyn</t>
        </is>
      </c>
      <c r="O135" t="inlineStr"/>
      <c r="P135" t="inlineStr"/>
      <c r="Q135" t="inlineStr"/>
      <c r="R135" t="inlineStr"/>
      <c r="S135">
        <f>COUNT(O135:R135)</f>
        <v/>
      </c>
      <c r="T135" s="56">
        <f>IF(S135=0,"",SUM(O135:R135)/S135)</f>
        <v/>
      </c>
    </row>
    <row r="136" ht="16" customHeight="1" thickBot="1">
      <c r="A136" s="77" t="inlineStr">
        <is>
          <t>B. White</t>
        </is>
      </c>
      <c r="B136" s="36" t="inlineStr">
        <is>
          <t>Scotland</t>
        </is>
      </c>
      <c r="C136" s="36" t="inlineStr">
        <is>
          <t>Scrum Half</t>
        </is>
      </c>
      <c r="D136" s="37" t="n">
        <v>59</v>
      </c>
      <c r="F136" s="36" t="inlineStr">
        <is>
          <t>Round 2</t>
        </is>
      </c>
      <c r="H136" s="77" t="inlineStr">
        <is>
          <t>A. Price</t>
        </is>
      </c>
      <c r="I136" s="36">
        <f>_xlfn.XLOOKUP(H136,$A$5:$A$96,$E$5:$E$96,0)</f>
        <v/>
      </c>
      <c r="J136" s="36">
        <f>_xlfn.XLOOKUP(H136,$A$100:$A$197,$E$100:$E$197,0)</f>
        <v/>
      </c>
      <c r="K136">
        <f>_xlfn.XLOOKUP(H136,$A$202:$A$292,$E$202:$E$292,0)</f>
        <v/>
      </c>
      <c r="L136">
        <f>_xlfn.XLOOKUP(H136,$A$296:$A$392,$E$296:$E$392,0)</f>
        <v/>
      </c>
      <c r="N136" s="36" t="inlineStr">
        <is>
          <t>A. Price</t>
        </is>
      </c>
      <c r="O136" t="inlineStr"/>
      <c r="P136" t="inlineStr"/>
      <c r="Q136" t="n">
        <v>8</v>
      </c>
      <c r="R136" t="n">
        <v>2</v>
      </c>
      <c r="S136">
        <f>COUNT(O136:R136)</f>
        <v/>
      </c>
      <c r="T136" s="56">
        <f>IF(S136=0,"",SUM(O136:R136)/S136)</f>
        <v/>
      </c>
    </row>
    <row r="137" hidden="1" ht="16" customHeight="1" thickBot="1">
      <c r="A137" s="76" t="inlineStr">
        <is>
          <t>L. Crosbie</t>
        </is>
      </c>
      <c r="B137" s="36" t="inlineStr">
        <is>
          <t>Scotland</t>
        </is>
      </c>
      <c r="C137" s="36" t="inlineStr">
        <is>
          <t>Back Row</t>
        </is>
      </c>
      <c r="D137" s="37" t="n">
        <v>39</v>
      </c>
      <c r="F137" s="36" t="inlineStr">
        <is>
          <t>Round 2</t>
        </is>
      </c>
      <c r="H137" s="76" t="inlineStr">
        <is>
          <t>M. Fagerson</t>
        </is>
      </c>
      <c r="I137" s="36">
        <f>_xlfn.XLOOKUP(H137,$A$5:$A$96,$E$5:$E$96,0)</f>
        <v/>
      </c>
      <c r="J137" s="36">
        <f>_xlfn.XLOOKUP(H137,$A$100:$A$197,$E$100:$E$197,0)</f>
        <v/>
      </c>
      <c r="K137">
        <f>_xlfn.XLOOKUP(H137,$A$202:$A$292,$E$202:$E$292,0)</f>
        <v/>
      </c>
      <c r="L137">
        <f>_xlfn.XLOOKUP(H137,$A$296:$A$392,$E$296:$E$392,0)</f>
        <v/>
      </c>
      <c r="N137" s="36" t="inlineStr">
        <is>
          <t>M. Fagerson</t>
        </is>
      </c>
      <c r="O137" t="inlineStr"/>
      <c r="P137" t="inlineStr"/>
      <c r="Q137" t="inlineStr"/>
      <c r="R137" t="inlineStr"/>
      <c r="S137">
        <f>COUNT(O137:R137)</f>
        <v/>
      </c>
      <c r="T137" s="56">
        <f>IF(S137=0,"",SUM(O137:R137)/S137)</f>
        <v/>
      </c>
    </row>
    <row r="138" ht="16" customHeight="1" thickBot="1">
      <c r="A138" s="77" t="inlineStr">
        <is>
          <t>J. Dempsey</t>
        </is>
      </c>
      <c r="B138" s="36" t="inlineStr">
        <is>
          <t>Scotland</t>
        </is>
      </c>
      <c r="C138" s="36" t="inlineStr">
        <is>
          <t>Back Row</t>
        </is>
      </c>
      <c r="D138" s="37" t="n">
        <v>36</v>
      </c>
      <c r="E138" s="36" t="inlineStr">
        <is>
          <t>y</t>
        </is>
      </c>
      <c r="F138" s="36" t="inlineStr">
        <is>
          <t>Round 2</t>
        </is>
      </c>
      <c r="H138" s="77" t="inlineStr">
        <is>
          <t>S. Skinner</t>
        </is>
      </c>
      <c r="I138" s="36">
        <f>_xlfn.XLOOKUP(H138,$A$5:$A$96,$E$5:$E$96,0)</f>
        <v/>
      </c>
      <c r="J138" s="36">
        <f>_xlfn.XLOOKUP(H138,$A$100:$A$197,$E$100:$E$197,0)</f>
        <v/>
      </c>
      <c r="K138">
        <f>_xlfn.XLOOKUP(H138,$A$202:$A$292,$E$202:$E$292,0)</f>
        <v/>
      </c>
      <c r="L138">
        <f>_xlfn.XLOOKUP(H138,$A$296:$A$392,$E$296:$E$392,0)</f>
        <v/>
      </c>
      <c r="N138" s="36" t="inlineStr">
        <is>
          <t>S. Skinner</t>
        </is>
      </c>
      <c r="O138" t="inlineStr"/>
      <c r="P138" t="inlineStr"/>
      <c r="Q138" t="n">
        <v>11</v>
      </c>
      <c r="R138" t="inlineStr"/>
      <c r="S138">
        <f>COUNT(O138:R138)</f>
        <v/>
      </c>
      <c r="T138" s="56">
        <f>IF(S138=0,"",SUM(O138:R138)/S138)</f>
        <v/>
      </c>
    </row>
    <row r="139" ht="16" customHeight="1" thickBot="1">
      <c r="A139" s="76" t="inlineStr">
        <is>
          <t>G. Gilchrist</t>
        </is>
      </c>
      <c r="B139" s="36" t="inlineStr">
        <is>
          <t>Scotland</t>
        </is>
      </c>
      <c r="C139" s="36" t="inlineStr">
        <is>
          <t>Second Row</t>
        </is>
      </c>
      <c r="D139" s="37" t="n">
        <v>64</v>
      </c>
      <c r="F139" s="36" t="inlineStr">
        <is>
          <t>Round 2</t>
        </is>
      </c>
      <c r="H139" s="76" t="inlineStr">
        <is>
          <t>H. Watson</t>
        </is>
      </c>
      <c r="I139" s="36">
        <f>_xlfn.XLOOKUP(H139,$A$5:$A$96,$E$5:$E$96,0)</f>
        <v/>
      </c>
      <c r="J139" s="36">
        <f>_xlfn.XLOOKUP(H139,$A$100:$A$197,$E$100:$E$197,0)</f>
        <v/>
      </c>
      <c r="K139">
        <f>_xlfn.XLOOKUP(H139,$A$202:$A$292,$E$202:$E$292,0)</f>
        <v/>
      </c>
      <c r="L139">
        <f>_xlfn.XLOOKUP(H139,$A$296:$A$392,$E$296:$E$392,0)</f>
        <v/>
      </c>
      <c r="N139" s="36" t="inlineStr">
        <is>
          <t>H. Watson</t>
        </is>
      </c>
      <c r="O139" t="inlineStr"/>
      <c r="P139" t="inlineStr"/>
      <c r="Q139" t="inlineStr"/>
      <c r="R139" t="n">
        <v>2.6</v>
      </c>
      <c r="S139">
        <f>COUNT(O139:R139)</f>
        <v/>
      </c>
      <c r="T139" s="56">
        <f>IF(S139=0,"",SUM(O139:R139)/S139)</f>
        <v/>
      </c>
    </row>
    <row r="140" hidden="1" ht="16" customHeight="1" thickBot="1">
      <c r="A140" s="77" t="inlineStr">
        <is>
          <t>J. Gray</t>
        </is>
      </c>
      <c r="B140" s="36" t="inlineStr">
        <is>
          <t>Scotland</t>
        </is>
      </c>
      <c r="C140" s="36" t="inlineStr">
        <is>
          <t>Second Row</t>
        </is>
      </c>
      <c r="D140" s="37" t="n">
        <v>16</v>
      </c>
      <c r="E140" s="36" t="inlineStr">
        <is>
          <t>y</t>
        </is>
      </c>
      <c r="F140" s="36" t="inlineStr">
        <is>
          <t>Round 2</t>
        </is>
      </c>
      <c r="H140" s="77" t="inlineStr">
        <is>
          <t>R. Gray</t>
        </is>
      </c>
      <c r="I140" s="36">
        <f>_xlfn.XLOOKUP(H140,$A$5:$A$96,$E$5:$E$96,0)</f>
        <v/>
      </c>
      <c r="J140" s="36">
        <f>_xlfn.XLOOKUP(H140,$A$100:$A$197,$E$100:$E$197,0)</f>
        <v/>
      </c>
      <c r="K140">
        <f>_xlfn.XLOOKUP(H140,$A$202:$A$292,$E$202:$E$292,0)</f>
        <v/>
      </c>
      <c r="L140">
        <f>_xlfn.XLOOKUP(H140,$A$296:$A$392,$E$296:$E$392,0)</f>
        <v/>
      </c>
      <c r="N140" s="36" t="inlineStr">
        <is>
          <t>R. Gray</t>
        </is>
      </c>
      <c r="O140" t="inlineStr"/>
      <c r="P140" t="inlineStr"/>
      <c r="Q140" t="inlineStr"/>
      <c r="R140" t="inlineStr"/>
      <c r="S140">
        <f>COUNT(O140:R140)</f>
        <v/>
      </c>
      <c r="T140" s="56">
        <f>IF(S140=0,"",SUM(O140:R140)/S140)</f>
        <v/>
      </c>
    </row>
    <row r="141" ht="16" customHeight="1" thickBot="1">
      <c r="A141" s="77" t="inlineStr">
        <is>
          <t>J. Bhatti</t>
        </is>
      </c>
      <c r="B141" s="36" t="inlineStr">
        <is>
          <t>Scotland</t>
        </is>
      </c>
      <c r="C141" s="36" t="inlineStr">
        <is>
          <t>Prop</t>
        </is>
      </c>
      <c r="D141" s="37" t="n">
        <v>16</v>
      </c>
      <c r="E141" s="36" t="inlineStr">
        <is>
          <t>y</t>
        </is>
      </c>
      <c r="F141" s="36" t="inlineStr">
        <is>
          <t>Round 2</t>
        </is>
      </c>
      <c r="H141" s="77" t="inlineStr">
        <is>
          <t>L. Rees-Zammit</t>
        </is>
      </c>
      <c r="I141" s="36">
        <f>_xlfn.XLOOKUP(H141,$A$5:$A$96,$E$5:$E$96,0)</f>
        <v/>
      </c>
      <c r="J141" s="36">
        <f>_xlfn.XLOOKUP(H141,$A$100:$A$197,$E$100:$E$197,0)</f>
        <v/>
      </c>
      <c r="K141">
        <f>_xlfn.XLOOKUP(H141,$A$202:$A$292,$E$202:$E$292,0)</f>
        <v/>
      </c>
      <c r="L141">
        <f>_xlfn.XLOOKUP(H141,$A$296:$A$392,$E$296:$E$392,0)</f>
        <v/>
      </c>
      <c r="N141" s="36" t="inlineStr">
        <is>
          <t>L. Rees-Zammit</t>
        </is>
      </c>
      <c r="O141" t="inlineStr"/>
      <c r="P141" t="inlineStr"/>
      <c r="Q141" t="inlineStr"/>
      <c r="R141" t="n">
        <v>12.2</v>
      </c>
      <c r="S141">
        <f>COUNT(O141:R141)</f>
        <v/>
      </c>
      <c r="T141" s="56">
        <f>IF(S141=0,"",SUM(O141:R141)/S141)</f>
        <v/>
      </c>
    </row>
    <row r="142" hidden="1" ht="16" customHeight="1" thickBot="1">
      <c r="A142" s="76" t="inlineStr">
        <is>
          <t>Z. Fagerson</t>
        </is>
      </c>
      <c r="B142" s="36" t="inlineStr">
        <is>
          <t>Scotland</t>
        </is>
      </c>
      <c r="C142" s="36" t="inlineStr">
        <is>
          <t>Prop</t>
        </is>
      </c>
      <c r="D142" s="37" t="n">
        <v>64</v>
      </c>
      <c r="F142" s="36" t="inlineStr">
        <is>
          <t>Round 2</t>
        </is>
      </c>
      <c r="H142" s="76" t="inlineStr">
        <is>
          <t>M. Malins</t>
        </is>
      </c>
      <c r="I142" s="36">
        <f>_xlfn.XLOOKUP(H142,$A$5:$A$96,$E$5:$E$96,0)</f>
        <v/>
      </c>
      <c r="J142" s="36">
        <f>_xlfn.XLOOKUP(H142,$A$100:$A$197,$E$100:$E$197,0)</f>
        <v/>
      </c>
      <c r="K142">
        <f>_xlfn.XLOOKUP(H142,$A$202:$A$292,$E$202:$E$292,0)</f>
        <v/>
      </c>
      <c r="L142">
        <f>_xlfn.XLOOKUP(H142,$A$296:$A$392,$E$296:$E$392,0)</f>
        <v/>
      </c>
      <c r="N142" s="36" t="inlineStr">
        <is>
          <t>M. Malins</t>
        </is>
      </c>
      <c r="O142" t="inlineStr"/>
      <c r="P142" t="inlineStr"/>
      <c r="Q142" t="inlineStr"/>
      <c r="R142" t="inlineStr"/>
      <c r="S142">
        <f>COUNT(O142:R142)</f>
        <v/>
      </c>
      <c r="T142" s="56">
        <f>IF(S142=0,"",SUM(O142:R142)/S142)</f>
        <v/>
      </c>
    </row>
    <row r="143" ht="16" customHeight="1" thickBot="1">
      <c r="A143" s="77" t="inlineStr">
        <is>
          <t>W. Nel</t>
        </is>
      </c>
      <c r="B143" s="36" t="inlineStr">
        <is>
          <t>Scotland</t>
        </is>
      </c>
      <c r="C143" s="36" t="inlineStr">
        <is>
          <t>Prop</t>
        </is>
      </c>
      <c r="D143" s="37" t="n">
        <v>16</v>
      </c>
      <c r="E143" s="36" t="inlineStr">
        <is>
          <t>y</t>
        </is>
      </c>
      <c r="F143" s="36" t="inlineStr">
        <is>
          <t>Round 2</t>
        </is>
      </c>
      <c r="H143" s="77" t="inlineStr">
        <is>
          <t>O. Farrell</t>
        </is>
      </c>
      <c r="I143" s="36">
        <f>_xlfn.XLOOKUP(H143,$A$5:$A$96,$E$5:$E$96,0)</f>
        <v/>
      </c>
      <c r="J143" s="36">
        <f>_xlfn.XLOOKUP(H143,$A$100:$A$197,$E$100:$E$197,0)</f>
        <v/>
      </c>
      <c r="K143">
        <f>_xlfn.XLOOKUP(H143,$A$202:$A$292,$E$202:$E$292,0)</f>
        <v/>
      </c>
      <c r="L143">
        <f>_xlfn.XLOOKUP(H143,$A$296:$A$392,$E$296:$E$392,0)</f>
        <v/>
      </c>
      <c r="N143" s="36" t="inlineStr">
        <is>
          <t>O. Farrell</t>
        </is>
      </c>
      <c r="O143" t="inlineStr"/>
      <c r="P143" t="inlineStr"/>
      <c r="Q143" t="inlineStr"/>
      <c r="R143" t="n">
        <v>12.8</v>
      </c>
      <c r="S143">
        <f>COUNT(O143:R143)</f>
        <v/>
      </c>
      <c r="T143" s="56">
        <f>IF(S143=0,"",SUM(O143:R143)/S143)</f>
        <v/>
      </c>
    </row>
    <row r="144" ht="16" customHeight="1" thickBot="1">
      <c r="A144" s="76" t="inlineStr">
        <is>
          <t>P. Schoeman</t>
        </is>
      </c>
      <c r="B144" s="36" t="inlineStr">
        <is>
          <t>Scotland</t>
        </is>
      </c>
      <c r="C144" s="36" t="inlineStr">
        <is>
          <t>Prop</t>
        </is>
      </c>
      <c r="D144" s="37" t="n">
        <v>64</v>
      </c>
      <c r="F144" s="36" t="inlineStr">
        <is>
          <t>Round 2</t>
        </is>
      </c>
      <c r="H144" s="76" t="inlineStr">
        <is>
          <t>D. Ribbans</t>
        </is>
      </c>
      <c r="I144" s="36">
        <f>_xlfn.XLOOKUP(H144,$A$5:$A$96,$E$5:$E$96,0)</f>
        <v/>
      </c>
      <c r="J144" s="36">
        <f>_xlfn.XLOOKUP(H144,$A$100:$A$197,$E$100:$E$197,0)</f>
        <v/>
      </c>
      <c r="K144">
        <f>_xlfn.XLOOKUP(H144,$A$202:$A$292,$E$202:$E$292,0)</f>
        <v/>
      </c>
      <c r="L144">
        <f>_xlfn.XLOOKUP(H144,$A$296:$A$392,$E$296:$E$392,0)</f>
        <v/>
      </c>
      <c r="N144" s="36" t="inlineStr">
        <is>
          <t>D. Ribbans</t>
        </is>
      </c>
      <c r="O144" t="inlineStr"/>
      <c r="P144" t="inlineStr"/>
      <c r="Q144" t="inlineStr"/>
      <c r="R144" t="n">
        <v>0.6000000000000001</v>
      </c>
      <c r="S144">
        <f>COUNT(O144:R144)</f>
        <v/>
      </c>
      <c r="T144" s="56">
        <f>IF(S144=0,"",SUM(O144:R144)/S144)</f>
        <v/>
      </c>
    </row>
    <row r="145" ht="16" customHeight="1" thickBot="1">
      <c r="A145" s="77" t="inlineStr">
        <is>
          <t>F. Brown</t>
        </is>
      </c>
      <c r="B145" s="36" t="inlineStr">
        <is>
          <t>Scotland</t>
        </is>
      </c>
      <c r="C145" s="36" t="inlineStr">
        <is>
          <t>Hooker</t>
        </is>
      </c>
      <c r="D145" s="37" t="n">
        <v>27</v>
      </c>
      <c r="E145" s="36" t="inlineStr">
        <is>
          <t>y</t>
        </is>
      </c>
      <c r="F145" s="36" t="inlineStr">
        <is>
          <t>Round 2</t>
        </is>
      </c>
      <c r="H145" s="77" t="inlineStr">
        <is>
          <t>M. Jaminet</t>
        </is>
      </c>
      <c r="I145" s="36">
        <f>_xlfn.XLOOKUP(H145,$A$5:$A$96,$E$5:$E$96,0)</f>
        <v/>
      </c>
      <c r="J145" s="36">
        <f>_xlfn.XLOOKUP(H145,$A$100:$A$197,$E$100:$E$197,0)</f>
        <v/>
      </c>
      <c r="K145">
        <f>_xlfn.XLOOKUP(H145,$A$202:$A$292,$E$202:$E$292,0)</f>
        <v/>
      </c>
      <c r="L145">
        <f>_xlfn.XLOOKUP(H145,$A$296:$A$392,$E$296:$E$392,0)</f>
        <v/>
      </c>
      <c r="N145" s="36" t="inlineStr">
        <is>
          <t>M. Jaminet</t>
        </is>
      </c>
      <c r="O145" t="inlineStr"/>
      <c r="P145" t="inlineStr"/>
      <c r="Q145" t="inlineStr"/>
      <c r="R145" t="n">
        <v>11.2</v>
      </c>
      <c r="S145">
        <f>COUNT(O145:R145)</f>
        <v/>
      </c>
      <c r="T145" s="56">
        <f>IF(S145=0,"",SUM(O145:R145)/S145)</f>
        <v/>
      </c>
    </row>
    <row r="146" hidden="1" ht="16" customHeight="1" thickBot="1">
      <c r="A146" s="76" t="inlineStr">
        <is>
          <t>G. Turner</t>
        </is>
      </c>
      <c r="B146" s="36" t="inlineStr">
        <is>
          <t>Scotland</t>
        </is>
      </c>
      <c r="C146" s="36" t="inlineStr">
        <is>
          <t>Hooker</t>
        </is>
      </c>
      <c r="D146" s="37" t="n">
        <v>48</v>
      </c>
      <c r="F146" s="36" t="inlineStr">
        <is>
          <t>Round 2</t>
        </is>
      </c>
      <c r="H146" s="76" t="inlineStr">
        <is>
          <t>J. Danty</t>
        </is>
      </c>
      <c r="I146" s="36">
        <f>_xlfn.XLOOKUP(H146,$A$5:$A$96,$E$5:$E$96,0)</f>
        <v/>
      </c>
      <c r="J146" s="36">
        <f>_xlfn.XLOOKUP(H146,$A$100:$A$197,$E$100:$E$197,0)</f>
        <v/>
      </c>
      <c r="K146">
        <f>_xlfn.XLOOKUP(H146,$A$202:$A$292,$E$202:$E$292,0)</f>
        <v/>
      </c>
      <c r="L146">
        <f>_xlfn.XLOOKUP(H146,$A$296:$A$392,$E$296:$E$392,0)</f>
        <v/>
      </c>
      <c r="N146" s="36" t="inlineStr">
        <is>
          <t>J. Danty</t>
        </is>
      </c>
      <c r="O146" t="inlineStr"/>
      <c r="P146" t="inlineStr"/>
      <c r="Q146" t="inlineStr"/>
      <c r="R146" t="inlineStr"/>
      <c r="S146">
        <f>COUNT(O146:R146)</f>
        <v/>
      </c>
      <c r="T146" s="56">
        <f>IF(S146=0,"",SUM(O146:R146)/S146)</f>
        <v/>
      </c>
    </row>
    <row r="147" ht="16" customHeight="1" thickBot="1">
      <c r="A147" s="76" t="inlineStr">
        <is>
          <t>J. Adams</t>
        </is>
      </c>
      <c r="B147" s="36" t="inlineStr">
        <is>
          <t>Wales</t>
        </is>
      </c>
      <c r="C147" s="36" t="inlineStr">
        <is>
          <t>Back Three</t>
        </is>
      </c>
      <c r="D147" s="37" t="n">
        <v>59</v>
      </c>
      <c r="F147" s="36" t="inlineStr">
        <is>
          <t>Round 2</t>
        </is>
      </c>
      <c r="H147" s="76" t="inlineStr">
        <is>
          <t>Y. Moefana</t>
        </is>
      </c>
      <c r="I147" s="36">
        <f>_xlfn.XLOOKUP(H147,$A$5:$A$96,$E$5:$E$96,0)</f>
        <v/>
      </c>
      <c r="J147" s="36">
        <f>_xlfn.XLOOKUP(H147,$A$100:$A$197,$E$100:$E$197,0)</f>
        <v/>
      </c>
      <c r="K147">
        <f>_xlfn.XLOOKUP(H147,$A$202:$A$292,$E$202:$E$292,0)</f>
        <v/>
      </c>
      <c r="L147">
        <f>_xlfn.XLOOKUP(H147,$A$296:$A$392,$E$296:$E$392,0)</f>
        <v/>
      </c>
      <c r="N147" s="36" t="inlineStr">
        <is>
          <t>Y. Moefana</t>
        </is>
      </c>
      <c r="O147" t="inlineStr"/>
      <c r="P147" t="inlineStr"/>
      <c r="Q147" t="inlineStr"/>
      <c r="R147" t="n">
        <v>4.2</v>
      </c>
      <c r="S147">
        <f>COUNT(O147:R147)</f>
        <v/>
      </c>
      <c r="T147" s="56">
        <f>IF(S147=0,"",SUM(O147:R147)/S147)</f>
        <v/>
      </c>
    </row>
    <row r="148" hidden="1" ht="16" customHeight="1" thickBot="1">
      <c r="A148" s="77" t="inlineStr">
        <is>
          <t>A. Cuthbert</t>
        </is>
      </c>
      <c r="B148" s="36" t="inlineStr">
        <is>
          <t>Wales</t>
        </is>
      </c>
      <c r="C148" s="36" t="inlineStr">
        <is>
          <t>Back Three</t>
        </is>
      </c>
      <c r="D148" s="37" t="n">
        <v>28</v>
      </c>
      <c r="E148" s="36" t="inlineStr">
        <is>
          <t>y</t>
        </is>
      </c>
      <c r="F148" s="36" t="inlineStr">
        <is>
          <t>Round 2</t>
        </is>
      </c>
      <c r="H148" s="77" t="inlineStr">
        <is>
          <t>A. Dupont</t>
        </is>
      </c>
      <c r="I148" s="36">
        <f>_xlfn.XLOOKUP(H148,$A$5:$A$96,$E$5:$E$96,0)</f>
        <v/>
      </c>
      <c r="J148" s="36">
        <f>_xlfn.XLOOKUP(H148,$A$100:$A$197,$E$100:$E$197,0)</f>
        <v/>
      </c>
      <c r="K148">
        <f>_xlfn.XLOOKUP(H148,$A$202:$A$292,$E$202:$E$292,0)</f>
        <v/>
      </c>
      <c r="L148">
        <f>_xlfn.XLOOKUP(H148,$A$296:$A$392,$E$296:$E$392,0)</f>
        <v/>
      </c>
      <c r="N148" s="36" t="inlineStr">
        <is>
          <t>A. Dupont</t>
        </is>
      </c>
      <c r="O148" t="inlineStr"/>
      <c r="P148" t="inlineStr"/>
      <c r="Q148" t="inlineStr"/>
      <c r="R148" t="inlineStr"/>
      <c r="S148">
        <f>COUNT(O148:R148)</f>
        <v/>
      </c>
      <c r="T148" s="56">
        <f>IF(S148=0,"",SUM(O148:R148)/S148)</f>
        <v/>
      </c>
    </row>
    <row r="149" ht="16" customHeight="1" thickBot="1">
      <c r="A149" s="77" t="inlineStr">
        <is>
          <t>L. Williams</t>
        </is>
      </c>
      <c r="B149" s="36" t="inlineStr">
        <is>
          <t>Wales</t>
        </is>
      </c>
      <c r="C149" s="36" t="inlineStr">
        <is>
          <t>Back Three</t>
        </is>
      </c>
      <c r="D149" s="37" t="n">
        <v>69</v>
      </c>
      <c r="F149" s="36" t="inlineStr">
        <is>
          <t>Round 2</t>
        </is>
      </c>
      <c r="H149" s="77" t="inlineStr">
        <is>
          <t>M. Lucu</t>
        </is>
      </c>
      <c r="I149" s="36">
        <f>_xlfn.XLOOKUP(H149,$A$5:$A$96,$E$5:$E$96,0)</f>
        <v/>
      </c>
      <c r="J149" s="36">
        <f>_xlfn.XLOOKUP(H149,$A$100:$A$197,$E$100:$E$197,0)</f>
        <v/>
      </c>
      <c r="K149">
        <f>_xlfn.XLOOKUP(H149,$A$202:$A$292,$E$202:$E$292,0)</f>
        <v/>
      </c>
      <c r="L149">
        <f>_xlfn.XLOOKUP(H149,$A$296:$A$392,$E$296:$E$392,0)</f>
        <v/>
      </c>
      <c r="N149" s="36" t="inlineStr">
        <is>
          <t>M. Lucu</t>
        </is>
      </c>
      <c r="O149" t="inlineStr"/>
      <c r="P149" t="inlineStr"/>
      <c r="Q149" t="inlineStr"/>
      <c r="R149" t="n">
        <v>0.4</v>
      </c>
      <c r="S149">
        <f>COUNT(O149:R149)</f>
        <v/>
      </c>
      <c r="T149" s="56">
        <f>IF(S149=0,"",SUM(O149:R149)/S149)</f>
        <v/>
      </c>
    </row>
    <row r="150" hidden="1" ht="16" customHeight="1" thickBot="1">
      <c r="A150" s="77" t="inlineStr">
        <is>
          <t>G. North</t>
        </is>
      </c>
      <c r="B150" s="36" t="inlineStr">
        <is>
          <t>Wales</t>
        </is>
      </c>
      <c r="C150" s="36" t="inlineStr">
        <is>
          <t>Centre</t>
        </is>
      </c>
      <c r="D150" s="37" t="n">
        <v>73</v>
      </c>
      <c r="F150" s="36" t="inlineStr">
        <is>
          <t>Round 2</t>
        </is>
      </c>
      <c r="H150" s="77" t="inlineStr">
        <is>
          <t>D. Aldegheri</t>
        </is>
      </c>
      <c r="I150" s="36">
        <f>_xlfn.XLOOKUP(H150,$A$5:$A$96,$E$5:$E$96,0)</f>
        <v/>
      </c>
      <c r="J150" s="36">
        <f>_xlfn.XLOOKUP(H150,$A$100:$A$197,$E$100:$E$197,0)</f>
        <v/>
      </c>
      <c r="K150">
        <f>_xlfn.XLOOKUP(H150,$A$202:$A$292,$E$202:$E$292,0)</f>
        <v/>
      </c>
      <c r="L150">
        <f>_xlfn.XLOOKUP(H150,$A$296:$A$392,$E$296:$E$392,0)</f>
        <v/>
      </c>
      <c r="N150" s="36" t="inlineStr">
        <is>
          <t>D. Aldegheri</t>
        </is>
      </c>
      <c r="O150" t="inlineStr"/>
      <c r="P150" t="inlineStr"/>
      <c r="Q150" t="inlineStr"/>
      <c r="R150" t="inlineStr"/>
      <c r="S150">
        <f>COUNT(O150:R150)</f>
        <v/>
      </c>
      <c r="T150" s="56">
        <f>IF(S150=0,"",SUM(O150:R150)/S150)</f>
        <v/>
      </c>
    </row>
    <row r="151" ht="16" customHeight="1" thickBot="1">
      <c r="A151" s="76" t="inlineStr">
        <is>
          <t>D. Biggar</t>
        </is>
      </c>
      <c r="B151" s="36" t="inlineStr">
        <is>
          <t>Wales</t>
        </is>
      </c>
      <c r="C151" s="36" t="inlineStr">
        <is>
          <t>Fly Half</t>
        </is>
      </c>
      <c r="D151" s="37" t="n">
        <v>57</v>
      </c>
      <c r="F151" s="36" t="inlineStr">
        <is>
          <t>Round 2</t>
        </is>
      </c>
      <c r="H151" s="76" t="inlineStr">
        <is>
          <t>P. Mauvaka</t>
        </is>
      </c>
      <c r="I151" s="36">
        <f>_xlfn.XLOOKUP(H151,$A$5:$A$96,$E$5:$E$96,0)</f>
        <v/>
      </c>
      <c r="J151" s="36">
        <f>_xlfn.XLOOKUP(H151,$A$100:$A$197,$E$100:$E$197,0)</f>
        <v/>
      </c>
      <c r="K151">
        <f>_xlfn.XLOOKUP(H151,$A$202:$A$292,$E$202:$E$292,0)</f>
        <v/>
      </c>
      <c r="L151">
        <f>_xlfn.XLOOKUP(H151,$A$296:$A$392,$E$296:$E$392,0)</f>
        <v/>
      </c>
      <c r="N151" s="36" t="inlineStr">
        <is>
          <t>P. Mauvaka</t>
        </is>
      </c>
      <c r="O151" t="inlineStr"/>
      <c r="P151" t="inlineStr"/>
      <c r="Q151" t="inlineStr"/>
      <c r="R151" t="n">
        <v>4.2</v>
      </c>
      <c r="S151">
        <f>COUNT(O151:R151)</f>
        <v/>
      </c>
      <c r="T151" s="56">
        <f>IF(S151=0,"",SUM(O151:R151)/S151)</f>
        <v/>
      </c>
    </row>
    <row r="152" ht="16" customHeight="1" thickBot="1">
      <c r="A152" s="77" t="inlineStr">
        <is>
          <t>R. Patchell</t>
        </is>
      </c>
      <c r="B152" s="36" t="inlineStr">
        <is>
          <t>Wales</t>
        </is>
      </c>
      <c r="C152" s="36" t="inlineStr">
        <is>
          <t>Fly Half</t>
        </is>
      </c>
      <c r="D152" s="37" t="n">
        <v>23</v>
      </c>
      <c r="E152" s="36" t="inlineStr">
        <is>
          <t>y</t>
        </is>
      </c>
      <c r="F152" s="36" t="inlineStr">
        <is>
          <t>Round 2</t>
        </is>
      </c>
      <c r="H152" s="77" t="inlineStr">
        <is>
          <t>S. Cummings</t>
        </is>
      </c>
      <c r="I152" s="36">
        <f>_xlfn.XLOOKUP(H152,$A$5:$A$96,$E$5:$E$96,0)</f>
        <v/>
      </c>
      <c r="J152" s="36">
        <f>_xlfn.XLOOKUP(H152,$A$100:$A$197,$E$100:$E$197,0)</f>
        <v/>
      </c>
      <c r="K152">
        <f>_xlfn.XLOOKUP(H152,$A$202:$A$292,$E$202:$E$292,0)</f>
        <v/>
      </c>
      <c r="L152">
        <f>_xlfn.XLOOKUP(H152,$A$296:$A$392,$E$296:$E$392,0)</f>
        <v/>
      </c>
      <c r="N152" s="36" t="inlineStr">
        <is>
          <t>S. Cummings</t>
        </is>
      </c>
      <c r="O152" t="inlineStr"/>
      <c r="P152" t="inlineStr"/>
      <c r="Q152" t="inlineStr"/>
      <c r="R152" t="n">
        <v>10.8</v>
      </c>
      <c r="S152">
        <f>COUNT(O152:R152)</f>
        <v/>
      </c>
      <c r="T152" s="56">
        <f>IF(S152=0,"",SUM(O152:R152)/S152)</f>
        <v/>
      </c>
    </row>
    <row r="153" ht="16" customHeight="1" thickBot="1">
      <c r="A153" s="76" t="inlineStr">
        <is>
          <t>R. Webb</t>
        </is>
      </c>
      <c r="B153" s="36" t="inlineStr">
        <is>
          <t>Wales</t>
        </is>
      </c>
      <c r="C153" s="36" t="inlineStr">
        <is>
          <t>Scrum Half</t>
        </is>
      </c>
      <c r="D153" s="37" t="n">
        <v>23</v>
      </c>
      <c r="E153" s="36" t="inlineStr">
        <is>
          <t>y</t>
        </is>
      </c>
      <c r="F153" s="36" t="inlineStr">
        <is>
          <t>Round 2</t>
        </is>
      </c>
      <c r="H153" s="76" t="inlineStr">
        <is>
          <t>R. Henshaw</t>
        </is>
      </c>
      <c r="I153" s="36">
        <f>_xlfn.XLOOKUP(H153,$A$5:$A$96,$E$5:$E$96,0)</f>
        <v/>
      </c>
      <c r="J153" s="36">
        <f>_xlfn.XLOOKUP(H153,$A$100:$A$197,$E$100:$E$197,0)</f>
        <v/>
      </c>
      <c r="K153">
        <f>_xlfn.XLOOKUP(H153,$A$202:$A$292,$E$202:$E$292,0)</f>
        <v/>
      </c>
      <c r="L153">
        <f>_xlfn.XLOOKUP(H153,$A$296:$A$392,$E$296:$E$392,0)</f>
        <v/>
      </c>
      <c r="N153" s="36" t="inlineStr">
        <is>
          <t>R. Henshaw</t>
        </is>
      </c>
      <c r="O153" t="inlineStr"/>
      <c r="P153" t="inlineStr"/>
      <c r="Q153" t="inlineStr"/>
      <c r="R153" t="n">
        <v>6.8</v>
      </c>
      <c r="S153">
        <f>COUNT(O153:R153)</f>
        <v/>
      </c>
      <c r="T153" s="56">
        <f>IF(S153=0,"",SUM(O153:R153)/S153)</f>
        <v/>
      </c>
    </row>
    <row r="154" hidden="1" ht="16" customHeight="1" thickBot="1">
      <c r="A154" s="77" t="inlineStr">
        <is>
          <t>T. Williams</t>
        </is>
      </c>
      <c r="B154" s="36" t="inlineStr">
        <is>
          <t>Wales</t>
        </is>
      </c>
      <c r="C154" s="36" t="inlineStr">
        <is>
          <t>Scrum Half</t>
        </is>
      </c>
      <c r="D154" s="37" t="n">
        <v>57</v>
      </c>
      <c r="F154" s="36" t="inlineStr">
        <is>
          <t>Round 2</t>
        </is>
      </c>
      <c r="H154" s="77" t="inlineStr">
        <is>
          <t>G. Ringrose</t>
        </is>
      </c>
      <c r="I154" s="36">
        <f>_xlfn.XLOOKUP(H154,$A$5:$A$96,$E$5:$E$96,0)</f>
        <v/>
      </c>
      <c r="J154" s="36">
        <f>_xlfn.XLOOKUP(H154,$A$100:$A$197,$E$100:$E$197,0)</f>
        <v/>
      </c>
      <c r="K154">
        <f>_xlfn.XLOOKUP(H154,$A$202:$A$292,$E$202:$E$292,0)</f>
        <v/>
      </c>
      <c r="L154">
        <f>_xlfn.XLOOKUP(H154,$A$296:$A$392,$E$296:$E$392,0)</f>
        <v/>
      </c>
      <c r="N154" s="36" t="inlineStr">
        <is>
          <t>G. Ringrose</t>
        </is>
      </c>
      <c r="O154" t="inlineStr"/>
      <c r="P154" t="inlineStr"/>
      <c r="Q154" t="inlineStr"/>
      <c r="R154" t="inlineStr"/>
      <c r="S154">
        <f>COUNT(O154:R154)</f>
        <v/>
      </c>
      <c r="T154" s="56">
        <f>IF(S154=0,"",SUM(O154:R154)/S154)</f>
        <v/>
      </c>
    </row>
    <row r="155" ht="16" customHeight="1" thickBot="1">
      <c r="A155" s="76" t="inlineStr">
        <is>
          <t>T. Faletau</t>
        </is>
      </c>
      <c r="B155" s="36" t="inlineStr">
        <is>
          <t>Wales</t>
        </is>
      </c>
      <c r="C155" s="36" t="inlineStr">
        <is>
          <t>Back Row</t>
        </is>
      </c>
      <c r="D155" s="37" t="n">
        <v>28</v>
      </c>
      <c r="E155" s="36" t="inlineStr">
        <is>
          <t>y</t>
        </is>
      </c>
      <c r="F155" s="36" t="inlineStr">
        <is>
          <t>Round 2</t>
        </is>
      </c>
      <c r="H155" s="76" t="inlineStr">
        <is>
          <t>J. Gibson-Park</t>
        </is>
      </c>
      <c r="I155" s="36">
        <f>_xlfn.XLOOKUP(H155,$A$5:$A$96,$E$5:$E$96,0)</f>
        <v/>
      </c>
      <c r="J155" s="36">
        <f>_xlfn.XLOOKUP(H155,$A$100:$A$197,$E$100:$E$197,0)</f>
        <v/>
      </c>
      <c r="K155">
        <f>_xlfn.XLOOKUP(H155,$A$202:$A$292,$E$202:$E$292,0)</f>
        <v/>
      </c>
      <c r="L155">
        <f>_xlfn.XLOOKUP(H155,$A$296:$A$392,$E$296:$E$392,0)</f>
        <v/>
      </c>
      <c r="N155" s="36" t="inlineStr">
        <is>
          <t>J. Gibson-Park</t>
        </is>
      </c>
      <c r="O155" t="inlineStr"/>
      <c r="P155" t="inlineStr"/>
      <c r="Q155" t="inlineStr"/>
      <c r="R155" t="n">
        <v>22.8</v>
      </c>
      <c r="S155">
        <f>COUNT(O155:R155)</f>
        <v/>
      </c>
      <c r="T155" s="56">
        <f>IF(S155=0,"",SUM(O155:R155)/S155)</f>
        <v/>
      </c>
    </row>
    <row r="156" hidden="1" ht="16" customHeight="1" thickBot="1">
      <c r="A156" s="77" t="inlineStr">
        <is>
          <t>J. Morgan</t>
        </is>
      </c>
      <c r="B156" s="36" t="inlineStr">
        <is>
          <t>Wales</t>
        </is>
      </c>
      <c r="C156" s="36" t="inlineStr">
        <is>
          <t>Back Row</t>
        </is>
      </c>
      <c r="D156" s="37" t="n">
        <v>52</v>
      </c>
      <c r="F156" s="36" t="inlineStr">
        <is>
          <t>Round 2</t>
        </is>
      </c>
      <c r="H156" s="77" t="inlineStr">
        <is>
          <t>C. Doris</t>
        </is>
      </c>
      <c r="I156" s="36">
        <f>_xlfn.XLOOKUP(H156,$A$5:$A$96,$E$5:$E$96,0)</f>
        <v/>
      </c>
      <c r="J156" s="36">
        <f>_xlfn.XLOOKUP(H156,$A$100:$A$197,$E$100:$E$197,0)</f>
        <v/>
      </c>
      <c r="K156">
        <f>_xlfn.XLOOKUP(H156,$A$202:$A$292,$E$202:$E$292,0)</f>
        <v/>
      </c>
      <c r="L156">
        <f>_xlfn.XLOOKUP(H156,$A$296:$A$392,$E$296:$E$392,0)</f>
        <v/>
      </c>
      <c r="N156" s="36" t="inlineStr">
        <is>
          <t>C. Doris</t>
        </is>
      </c>
      <c r="O156" t="inlineStr"/>
      <c r="P156" t="inlineStr"/>
      <c r="Q156" t="inlineStr"/>
      <c r="R156" t="inlineStr"/>
      <c r="S156">
        <f>COUNT(O156:R156)</f>
        <v/>
      </c>
      <c r="T156" s="56">
        <f>IF(S156=0,"",SUM(O156:R156)/S156)</f>
        <v/>
      </c>
    </row>
    <row r="157" hidden="1" ht="16" customHeight="1" thickBot="1">
      <c r="A157" s="76" t="inlineStr">
        <is>
          <t>R. Davies</t>
        </is>
      </c>
      <c r="B157" s="36" t="inlineStr">
        <is>
          <t>Wales</t>
        </is>
      </c>
      <c r="C157" s="36" t="inlineStr">
        <is>
          <t>Second Row</t>
        </is>
      </c>
      <c r="D157" s="37" t="n">
        <v>14</v>
      </c>
      <c r="E157" s="36" t="inlineStr">
        <is>
          <t>y</t>
        </is>
      </c>
      <c r="F157" s="36" t="inlineStr">
        <is>
          <t>Round 2</t>
        </is>
      </c>
      <c r="H157" s="76" t="inlineStr">
        <is>
          <t>T. Furlong</t>
        </is>
      </c>
      <c r="I157" s="36">
        <f>_xlfn.XLOOKUP(H157,$A$5:$A$96,$E$5:$E$96,0)</f>
        <v/>
      </c>
      <c r="J157" s="36">
        <f>_xlfn.XLOOKUP(H157,$A$100:$A$197,$E$100:$E$197,0)</f>
        <v/>
      </c>
      <c r="K157">
        <f>_xlfn.XLOOKUP(H157,$A$202:$A$292,$E$202:$E$292,0)</f>
        <v/>
      </c>
      <c r="L157">
        <f>_xlfn.XLOOKUP(H157,$A$296:$A$392,$E$296:$E$392,0)</f>
        <v/>
      </c>
      <c r="N157" s="36" t="inlineStr">
        <is>
          <t>T. Furlong</t>
        </is>
      </c>
      <c r="O157" t="inlineStr"/>
      <c r="P157" t="inlineStr"/>
      <c r="Q157" t="inlineStr"/>
      <c r="R157" t="inlineStr"/>
      <c r="S157">
        <f>COUNT(O157:R157)</f>
        <v/>
      </c>
      <c r="T157" s="56">
        <f>IF(S157=0,"",SUM(O157:R157)/S157)</f>
        <v/>
      </c>
    </row>
    <row r="158" ht="16" customHeight="1" thickBot="1">
      <c r="A158" s="77" t="inlineStr">
        <is>
          <t>D. Jenkins</t>
        </is>
      </c>
      <c r="B158" s="36" t="inlineStr">
        <is>
          <t>Wales</t>
        </is>
      </c>
      <c r="C158" s="36" t="inlineStr">
        <is>
          <t>Second Row</t>
        </is>
      </c>
      <c r="D158" s="37" t="n">
        <v>66</v>
      </c>
      <c r="F158" s="36" t="inlineStr">
        <is>
          <t>Round 2</t>
        </is>
      </c>
      <c r="H158" s="77" t="inlineStr">
        <is>
          <t>C. Healy</t>
        </is>
      </c>
      <c r="I158" s="36">
        <f>_xlfn.XLOOKUP(H158,$A$5:$A$96,$E$5:$E$96,0)</f>
        <v/>
      </c>
      <c r="J158" s="36">
        <f>_xlfn.XLOOKUP(H158,$A$100:$A$197,$E$100:$E$197,0)</f>
        <v/>
      </c>
      <c r="K158">
        <f>_xlfn.XLOOKUP(H158,$A$202:$A$292,$E$202:$E$292,0)</f>
        <v/>
      </c>
      <c r="L158">
        <f>_xlfn.XLOOKUP(H158,$A$296:$A$392,$E$296:$E$392,0)</f>
        <v/>
      </c>
      <c r="N158" s="36" t="inlineStr">
        <is>
          <t>C. Healy</t>
        </is>
      </c>
      <c r="O158" t="inlineStr"/>
      <c r="P158" t="inlineStr"/>
      <c r="Q158" t="inlineStr"/>
      <c r="R158" t="n">
        <v>4</v>
      </c>
      <c r="S158">
        <f>COUNT(O158:R158)</f>
        <v/>
      </c>
      <c r="T158" s="56">
        <f>IF(S158=0,"",SUM(O158:R158)/S158)</f>
        <v/>
      </c>
    </row>
    <row r="159" ht="16" customHeight="1" thickBot="1">
      <c r="A159" s="77" t="inlineStr">
        <is>
          <t>L. Brown</t>
        </is>
      </c>
      <c r="B159" s="36" t="inlineStr">
        <is>
          <t>Wales</t>
        </is>
      </c>
      <c r="C159" s="36" t="inlineStr">
        <is>
          <t>Prop</t>
        </is>
      </c>
      <c r="D159" s="37" t="n">
        <v>16</v>
      </c>
      <c r="E159" s="36" t="inlineStr">
        <is>
          <t>y</t>
        </is>
      </c>
      <c r="F159" s="36" t="inlineStr">
        <is>
          <t>Round 2</t>
        </is>
      </c>
    </row>
    <row r="160" ht="16" customHeight="1" thickBot="1">
      <c r="A160" s="76" t="inlineStr">
        <is>
          <t>R. Carre</t>
        </is>
      </c>
      <c r="B160" s="36" t="inlineStr">
        <is>
          <t>Wales</t>
        </is>
      </c>
      <c r="C160" s="36" t="inlineStr">
        <is>
          <t>Prop</t>
        </is>
      </c>
      <c r="D160" s="37" t="n">
        <v>28</v>
      </c>
      <c r="E160" s="36" t="inlineStr">
        <is>
          <t>y</t>
        </is>
      </c>
      <c r="F160" s="36" t="inlineStr">
        <is>
          <t>Round 2</t>
        </is>
      </c>
    </row>
    <row r="161" ht="16" customHeight="1" thickBot="1">
      <c r="A161" s="77" t="inlineStr">
        <is>
          <t>W. Jones</t>
        </is>
      </c>
      <c r="B161" s="36" t="inlineStr">
        <is>
          <t>Wales</t>
        </is>
      </c>
      <c r="C161" s="36" t="inlineStr">
        <is>
          <t>Prop</t>
        </is>
      </c>
      <c r="D161" s="37" t="n">
        <v>52</v>
      </c>
      <c r="F161" s="36" t="inlineStr">
        <is>
          <t>Round 2</t>
        </is>
      </c>
    </row>
    <row r="162" ht="16" customHeight="1" thickBot="1">
      <c r="A162" s="76" t="inlineStr">
        <is>
          <t>D. Lewis</t>
        </is>
      </c>
      <c r="B162" s="36" t="inlineStr">
        <is>
          <t>Wales</t>
        </is>
      </c>
      <c r="C162" s="36" t="inlineStr">
        <is>
          <t>Prop</t>
        </is>
      </c>
      <c r="D162" s="37" t="n">
        <v>64</v>
      </c>
      <c r="F162" s="36" t="inlineStr">
        <is>
          <t>Round 2</t>
        </is>
      </c>
    </row>
    <row r="163" ht="16" customHeight="1" thickBot="1">
      <c r="A163" s="77" t="inlineStr">
        <is>
          <t>S. Baldwin</t>
        </is>
      </c>
      <c r="B163" s="36" t="inlineStr">
        <is>
          <t>Wales</t>
        </is>
      </c>
      <c r="C163" s="36" t="inlineStr">
        <is>
          <t>Hooker</t>
        </is>
      </c>
      <c r="D163" s="37" t="n">
        <v>16</v>
      </c>
      <c r="E163" s="36" t="inlineStr">
        <is>
          <t>y</t>
        </is>
      </c>
      <c r="F163" s="36" t="inlineStr">
        <is>
          <t>Round 2</t>
        </is>
      </c>
    </row>
    <row r="164" ht="16" customHeight="1" thickBot="1">
      <c r="A164" s="76" t="inlineStr">
        <is>
          <t>K. Owens</t>
        </is>
      </c>
      <c r="B164" s="36" t="inlineStr">
        <is>
          <t>Wales</t>
        </is>
      </c>
      <c r="C164" s="36" t="inlineStr">
        <is>
          <t>Hooker</t>
        </is>
      </c>
      <c r="D164" s="37" t="n">
        <v>64</v>
      </c>
      <c r="F164" s="36" t="inlineStr">
        <is>
          <t>Round 2</t>
        </is>
      </c>
    </row>
    <row r="165" ht="16" customHeight="1" thickBot="1">
      <c r="A165" s="76" t="inlineStr">
        <is>
          <t>H. Arundell</t>
        </is>
      </c>
      <c r="B165" s="36" t="inlineStr">
        <is>
          <t>England</t>
        </is>
      </c>
      <c r="C165" s="36" t="inlineStr">
        <is>
          <t>Back Three</t>
        </is>
      </c>
      <c r="D165" s="37" t="n">
        <v>26</v>
      </c>
      <c r="E165" s="36" t="inlineStr">
        <is>
          <t>y</t>
        </is>
      </c>
      <c r="F165" s="36" t="inlineStr">
        <is>
          <t>Round 2</t>
        </is>
      </c>
    </row>
    <row r="166" ht="16" customHeight="1" thickBot="1">
      <c r="A166" s="77" t="inlineStr">
        <is>
          <t>O. Hassell-Collins</t>
        </is>
      </c>
      <c r="B166" s="36" t="inlineStr">
        <is>
          <t>England</t>
        </is>
      </c>
      <c r="C166" s="36" t="inlineStr">
        <is>
          <t>Back Three</t>
        </is>
      </c>
      <c r="D166" s="37" t="n">
        <v>54</v>
      </c>
      <c r="F166" s="36" t="inlineStr">
        <is>
          <t>Round 2</t>
        </is>
      </c>
    </row>
    <row r="167" ht="16" customHeight="1" thickBot="1">
      <c r="A167" s="76" t="inlineStr">
        <is>
          <t>H. Slade</t>
        </is>
      </c>
      <c r="B167" s="36" t="inlineStr">
        <is>
          <t>England</t>
        </is>
      </c>
      <c r="C167" s="36" t="inlineStr">
        <is>
          <t>Centre</t>
        </is>
      </c>
      <c r="D167" s="37" t="n">
        <v>72</v>
      </c>
      <c r="F167" s="36" t="inlineStr">
        <is>
          <t>Round 2</t>
        </is>
      </c>
    </row>
    <row r="168" ht="16" customHeight="1" thickBot="1">
      <c r="A168" s="77" t="inlineStr">
        <is>
          <t>M. Smith</t>
        </is>
      </c>
      <c r="B168" s="36" t="inlineStr">
        <is>
          <t>England</t>
        </is>
      </c>
      <c r="C168" s="36" t="inlineStr">
        <is>
          <t>Fly Half</t>
        </is>
      </c>
      <c r="D168" s="37" t="n">
        <v>8</v>
      </c>
      <c r="E168" s="36" t="inlineStr">
        <is>
          <t>y</t>
        </is>
      </c>
      <c r="F168" s="36" t="inlineStr">
        <is>
          <t>Round 2</t>
        </is>
      </c>
    </row>
    <row r="169" ht="16" customHeight="1" thickBot="1">
      <c r="A169" s="76" t="inlineStr">
        <is>
          <t>A. Mitchell</t>
        </is>
      </c>
      <c r="B169" s="36" t="inlineStr">
        <is>
          <t>England</t>
        </is>
      </c>
      <c r="C169" s="36" t="inlineStr">
        <is>
          <t>Scrum Half</t>
        </is>
      </c>
      <c r="D169" s="37" t="n">
        <v>20</v>
      </c>
      <c r="E169" s="36" t="inlineStr">
        <is>
          <t>y</t>
        </is>
      </c>
      <c r="F169" s="36" t="inlineStr">
        <is>
          <t>Round 2</t>
        </is>
      </c>
    </row>
    <row r="170" ht="16" customHeight="1" thickBot="1">
      <c r="A170" s="77" t="inlineStr">
        <is>
          <t>J. van Poortvliet</t>
        </is>
      </c>
      <c r="B170" s="36" t="inlineStr">
        <is>
          <t>England</t>
        </is>
      </c>
      <c r="C170" s="36" t="inlineStr">
        <is>
          <t>Scrum Half</t>
        </is>
      </c>
      <c r="D170" s="37" t="n">
        <v>60</v>
      </c>
      <c r="F170" s="36" t="inlineStr">
        <is>
          <t>Round 2</t>
        </is>
      </c>
    </row>
    <row r="171" ht="16" customHeight="1" thickBot="1">
      <c r="A171" s="76" t="inlineStr">
        <is>
          <t>A. Dombrandt</t>
        </is>
      </c>
      <c r="B171" s="36" t="inlineStr">
        <is>
          <t>England</t>
        </is>
      </c>
      <c r="C171" s="36" t="inlineStr">
        <is>
          <t>Back Row</t>
        </is>
      </c>
      <c r="D171" s="37" t="n">
        <v>65</v>
      </c>
      <c r="F171" s="36" t="inlineStr">
        <is>
          <t>Round 2</t>
        </is>
      </c>
    </row>
    <row r="172" ht="16" customHeight="1" thickBot="1">
      <c r="A172" s="77" t="inlineStr">
        <is>
          <t>B. Earl</t>
        </is>
      </c>
      <c r="B172" s="36" t="inlineStr">
        <is>
          <t>England</t>
        </is>
      </c>
      <c r="C172" s="36" t="inlineStr">
        <is>
          <t>Back Row</t>
        </is>
      </c>
      <c r="D172" s="37" t="n">
        <v>27</v>
      </c>
      <c r="E172" s="36" t="inlineStr">
        <is>
          <t>y</t>
        </is>
      </c>
      <c r="F172" s="36" t="inlineStr">
        <is>
          <t>Round 2</t>
        </is>
      </c>
    </row>
    <row r="173" ht="16" customHeight="1" thickBot="1">
      <c r="A173" s="77" t="inlineStr">
        <is>
          <t>J. Willis</t>
        </is>
      </c>
      <c r="B173" s="36" t="inlineStr">
        <is>
          <t>England</t>
        </is>
      </c>
      <c r="C173" s="36" t="inlineStr">
        <is>
          <t>Back Row</t>
        </is>
      </c>
      <c r="D173" s="37" t="n">
        <v>53</v>
      </c>
      <c r="F173" s="36" t="inlineStr">
        <is>
          <t>Round 2</t>
        </is>
      </c>
    </row>
    <row r="174" ht="16" customHeight="1" thickBot="1">
      <c r="A174" s="77" t="inlineStr">
        <is>
          <t>N. Isiekwe</t>
        </is>
      </c>
      <c r="B174" s="36" t="inlineStr">
        <is>
          <t>England</t>
        </is>
      </c>
      <c r="C174" s="36" t="inlineStr">
        <is>
          <t>Second Row</t>
        </is>
      </c>
      <c r="D174" s="37" t="n">
        <v>15</v>
      </c>
      <c r="E174" s="36" t="inlineStr">
        <is>
          <t>y</t>
        </is>
      </c>
      <c r="F174" s="36" t="inlineStr">
        <is>
          <t>Round 2</t>
        </is>
      </c>
    </row>
    <row r="175" ht="16" customHeight="1" thickBot="1">
      <c r="A175" s="77" t="inlineStr">
        <is>
          <t>D. Cole</t>
        </is>
      </c>
      <c r="B175" s="36" t="inlineStr">
        <is>
          <t>England</t>
        </is>
      </c>
      <c r="C175" s="36" t="inlineStr">
        <is>
          <t>Prop</t>
        </is>
      </c>
      <c r="D175" s="37" t="n">
        <v>31</v>
      </c>
      <c r="E175" s="36" t="inlineStr">
        <is>
          <t>y</t>
        </is>
      </c>
      <c r="F175" s="36" t="inlineStr">
        <is>
          <t>Round 2</t>
        </is>
      </c>
    </row>
    <row r="176" ht="16" customHeight="1" thickBot="1">
      <c r="A176" s="76" t="inlineStr">
        <is>
          <t>E. Genge</t>
        </is>
      </c>
      <c r="B176" s="36" t="inlineStr">
        <is>
          <t>England</t>
        </is>
      </c>
      <c r="C176" s="36" t="inlineStr">
        <is>
          <t>Prop</t>
        </is>
      </c>
      <c r="D176" s="37" t="n">
        <v>54</v>
      </c>
      <c r="F176" s="36" t="inlineStr">
        <is>
          <t>Round 2</t>
        </is>
      </c>
    </row>
    <row r="177" ht="16" customHeight="1" thickBot="1">
      <c r="A177" s="77" t="inlineStr">
        <is>
          <t>K. Sinckler</t>
        </is>
      </c>
      <c r="B177" s="36" t="inlineStr">
        <is>
          <t>England</t>
        </is>
      </c>
      <c r="C177" s="36" t="inlineStr">
        <is>
          <t>Prop</t>
        </is>
      </c>
      <c r="D177" s="37" t="n">
        <v>49</v>
      </c>
      <c r="F177" s="36" t="inlineStr">
        <is>
          <t>Round 2</t>
        </is>
      </c>
    </row>
    <row r="178" ht="16" customHeight="1" thickBot="1">
      <c r="A178" s="76" t="inlineStr">
        <is>
          <t>M. Vunipola</t>
        </is>
      </c>
      <c r="B178" s="36" t="inlineStr">
        <is>
          <t>England</t>
        </is>
      </c>
      <c r="C178" s="36" t="inlineStr">
        <is>
          <t>Prop</t>
        </is>
      </c>
      <c r="D178" s="37" t="n">
        <v>26</v>
      </c>
      <c r="E178" s="36" t="inlineStr">
        <is>
          <t>y</t>
        </is>
      </c>
      <c r="F178" s="36" t="inlineStr">
        <is>
          <t>Round 2</t>
        </is>
      </c>
    </row>
    <row r="179" ht="16" customHeight="1" thickBot="1">
      <c r="A179" s="77" t="inlineStr">
        <is>
          <t>J. George</t>
        </is>
      </c>
      <c r="B179" s="36" t="inlineStr">
        <is>
          <t>England</t>
        </is>
      </c>
      <c r="C179" s="36" t="inlineStr">
        <is>
          <t>Hooker</t>
        </is>
      </c>
      <c r="D179" s="37" t="n">
        <v>73</v>
      </c>
      <c r="F179" s="36" t="inlineStr">
        <is>
          <t>Round 2</t>
        </is>
      </c>
    </row>
    <row r="180" ht="16" customHeight="1" thickBot="1">
      <c r="A180" s="76" t="inlineStr">
        <is>
          <t>J. Walker</t>
        </is>
      </c>
      <c r="B180" s="36" t="inlineStr">
        <is>
          <t>England</t>
        </is>
      </c>
      <c r="C180" s="36" t="inlineStr">
        <is>
          <t>Hooker</t>
        </is>
      </c>
      <c r="D180" s="37" t="n">
        <v>7</v>
      </c>
      <c r="E180" s="36" t="inlineStr">
        <is>
          <t>y</t>
        </is>
      </c>
      <c r="F180" s="36" t="inlineStr">
        <is>
          <t>Round 2</t>
        </is>
      </c>
    </row>
    <row r="181" ht="16" customHeight="1" thickBot="1">
      <c r="A181" s="76" t="inlineStr">
        <is>
          <t>P. Bruno</t>
        </is>
      </c>
      <c r="B181" s="36" t="inlineStr">
        <is>
          <t>Italy</t>
        </is>
      </c>
      <c r="C181" s="36" t="inlineStr">
        <is>
          <t>Back Three</t>
        </is>
      </c>
      <c r="D181" s="37" t="n">
        <v>33</v>
      </c>
      <c r="E181" s="36" t="inlineStr">
        <is>
          <t>y</t>
        </is>
      </c>
      <c r="F181" s="36" t="inlineStr">
        <is>
          <t>Round 2</t>
        </is>
      </c>
    </row>
    <row r="182" ht="16" customHeight="1" thickBot="1">
      <c r="A182" s="76" t="inlineStr">
        <is>
          <t>A. Fusco</t>
        </is>
      </c>
      <c r="B182" s="36" t="inlineStr">
        <is>
          <t>Italy</t>
        </is>
      </c>
      <c r="C182" s="36" t="inlineStr">
        <is>
          <t>Back Three</t>
        </is>
      </c>
      <c r="D182" s="37" t="n">
        <v>18</v>
      </c>
      <c r="E182" s="36" t="inlineStr">
        <is>
          <t>y</t>
        </is>
      </c>
      <c r="F182" s="36" t="inlineStr">
        <is>
          <t>Round 2</t>
        </is>
      </c>
    </row>
    <row r="183" ht="16" customHeight="1" thickBot="1">
      <c r="A183" s="76" t="inlineStr">
        <is>
          <t>L. Morisi</t>
        </is>
      </c>
      <c r="B183" s="36" t="inlineStr">
        <is>
          <t>Italy</t>
        </is>
      </c>
      <c r="C183" s="36" t="inlineStr">
        <is>
          <t>Centre</t>
        </is>
      </c>
      <c r="D183" s="37" t="n">
        <v>47</v>
      </c>
      <c r="F183" s="36" t="inlineStr">
        <is>
          <t>Round 2</t>
        </is>
      </c>
    </row>
    <row r="184" ht="16" customHeight="1" thickBot="1">
      <c r="A184" s="76" t="inlineStr">
        <is>
          <t>S. Varney</t>
        </is>
      </c>
      <c r="B184" s="36" t="inlineStr">
        <is>
          <t>Italy</t>
        </is>
      </c>
      <c r="C184" s="36" t="inlineStr">
        <is>
          <t>Scrum Half</t>
        </is>
      </c>
      <c r="D184" s="37" t="n">
        <v>62</v>
      </c>
      <c r="F184" s="36" t="inlineStr">
        <is>
          <t>Round 2</t>
        </is>
      </c>
    </row>
    <row r="185" ht="16" customHeight="1" thickBot="1">
      <c r="A185" s="77" t="inlineStr">
        <is>
          <t>E. Iachizzi</t>
        </is>
      </c>
      <c r="B185" s="36" t="inlineStr">
        <is>
          <t>Italy</t>
        </is>
      </c>
      <c r="C185" s="36" t="inlineStr">
        <is>
          <t>Back Row</t>
        </is>
      </c>
      <c r="D185" s="37" t="n">
        <v>8</v>
      </c>
      <c r="E185" s="36" t="inlineStr">
        <is>
          <t>y</t>
        </is>
      </c>
      <c r="F185" s="36" t="inlineStr">
        <is>
          <t>Round 2</t>
        </is>
      </c>
    </row>
    <row r="186" ht="16" customHeight="1" thickBot="1">
      <c r="A186" s="76" t="inlineStr">
        <is>
          <t>M. Lamaro</t>
        </is>
      </c>
      <c r="B186" s="36" t="inlineStr">
        <is>
          <t>Italy</t>
        </is>
      </c>
      <c r="C186" s="36" t="inlineStr">
        <is>
          <t>Back Row</t>
        </is>
      </c>
      <c r="D186" s="37" t="n">
        <v>23</v>
      </c>
      <c r="F186" s="36" t="inlineStr">
        <is>
          <t>Round 2</t>
        </is>
      </c>
    </row>
    <row r="187" ht="16" customHeight="1" thickBot="1">
      <c r="A187" s="77" t="inlineStr">
        <is>
          <t>S. Negri</t>
        </is>
      </c>
      <c r="B187" s="36" t="inlineStr">
        <is>
          <t>Italy</t>
        </is>
      </c>
      <c r="C187" s="36" t="inlineStr">
        <is>
          <t>Back Row</t>
        </is>
      </c>
      <c r="D187" s="37" t="n">
        <v>74</v>
      </c>
      <c r="F187" s="36" t="inlineStr">
        <is>
          <t>Round 2</t>
        </is>
      </c>
    </row>
    <row r="188" ht="16" customHeight="1" thickBot="1">
      <c r="A188" s="76" t="inlineStr">
        <is>
          <t>J. Polledri</t>
        </is>
      </c>
      <c r="B188" s="36" t="inlineStr">
        <is>
          <t>Italy</t>
        </is>
      </c>
      <c r="C188" s="36" t="inlineStr">
        <is>
          <t>Back Row</t>
        </is>
      </c>
      <c r="D188" s="37" t="n">
        <v>23</v>
      </c>
      <c r="E188" s="36" t="inlineStr">
        <is>
          <t>y</t>
        </is>
      </c>
      <c r="F188" s="36" t="inlineStr">
        <is>
          <t>Round 2</t>
        </is>
      </c>
    </row>
    <row r="189" ht="16" customHeight="1" thickBot="1">
      <c r="A189" s="77" t="inlineStr">
        <is>
          <t>L. Cannone</t>
        </is>
      </c>
      <c r="B189" s="36" t="inlineStr">
        <is>
          <t>Italy</t>
        </is>
      </c>
      <c r="C189" s="36" t="inlineStr">
        <is>
          <t>Second Row</t>
        </is>
      </c>
      <c r="D189" s="37" t="n">
        <v>48</v>
      </c>
      <c r="F189" s="36" t="inlineStr">
        <is>
          <t>Round 2</t>
        </is>
      </c>
    </row>
    <row r="190" ht="16" customHeight="1" thickBot="1">
      <c r="A190" s="76" t="inlineStr">
        <is>
          <t>N. Cannone</t>
        </is>
      </c>
      <c r="B190" s="36" t="inlineStr">
        <is>
          <t>Italy</t>
        </is>
      </c>
      <c r="C190" s="36" t="inlineStr">
        <is>
          <t>Second Row</t>
        </is>
      </c>
      <c r="D190" s="37" t="n">
        <v>72</v>
      </c>
      <c r="F190" s="36" t="inlineStr">
        <is>
          <t>Round 2</t>
        </is>
      </c>
    </row>
    <row r="191" ht="16" customHeight="1" thickBot="1">
      <c r="A191" s="76" t="inlineStr">
        <is>
          <t>M. Zuliani</t>
        </is>
      </c>
      <c r="B191" s="36" t="inlineStr">
        <is>
          <t>Italy</t>
        </is>
      </c>
      <c r="C191" s="36" t="inlineStr">
        <is>
          <t>Second Row</t>
        </is>
      </c>
      <c r="D191" s="37" t="n">
        <v>56</v>
      </c>
      <c r="E191" s="36" t="inlineStr">
        <is>
          <t>y</t>
        </is>
      </c>
      <c r="F191" s="36" t="inlineStr">
        <is>
          <t>Round 2</t>
        </is>
      </c>
    </row>
    <row r="192" ht="16" customHeight="1" thickBot="1">
      <c r="A192" s="77" t="inlineStr">
        <is>
          <t>S. Ferrari</t>
        </is>
      </c>
      <c r="B192" s="36" t="inlineStr">
        <is>
          <t>Italy</t>
        </is>
      </c>
      <c r="C192" s="36" t="inlineStr">
        <is>
          <t>Prop</t>
        </is>
      </c>
      <c r="D192" s="37" t="n">
        <v>21</v>
      </c>
      <c r="E192" s="36" t="inlineStr">
        <is>
          <t>y</t>
        </is>
      </c>
      <c r="F192" s="36" t="inlineStr">
        <is>
          <t>Round 2</t>
        </is>
      </c>
    </row>
    <row r="193" ht="16" customHeight="1" thickBot="1">
      <c r="A193" s="76" t="inlineStr">
        <is>
          <t>D. Fischetti</t>
        </is>
      </c>
      <c r="B193" s="36" t="inlineStr">
        <is>
          <t>Italy</t>
        </is>
      </c>
      <c r="C193" s="36" t="inlineStr">
        <is>
          <t>Prop</t>
        </is>
      </c>
      <c r="D193" s="37" t="n">
        <v>55</v>
      </c>
      <c r="F193" s="36" t="inlineStr">
        <is>
          <t>Round 2</t>
        </is>
      </c>
    </row>
    <row r="194" ht="16" customHeight="1" thickBot="1">
      <c r="A194" s="77" t="inlineStr">
        <is>
          <t>M. Riccioni</t>
        </is>
      </c>
      <c r="B194" s="36" t="inlineStr">
        <is>
          <t>Italy</t>
        </is>
      </c>
      <c r="C194" s="36" t="inlineStr">
        <is>
          <t>Prop</t>
        </is>
      </c>
      <c r="D194" s="37" t="n">
        <v>54</v>
      </c>
      <c r="F194" s="36" t="inlineStr">
        <is>
          <t>Round 2</t>
        </is>
      </c>
    </row>
    <row r="195" ht="16" customHeight="1" thickBot="1">
      <c r="A195" s="76" t="inlineStr">
        <is>
          <t>F. Zani</t>
        </is>
      </c>
      <c r="B195" s="36" t="inlineStr">
        <is>
          <t>Italy</t>
        </is>
      </c>
      <c r="C195" s="36" t="inlineStr">
        <is>
          <t>Prop</t>
        </is>
      </c>
      <c r="D195" s="37" t="n">
        <v>25</v>
      </c>
      <c r="E195" s="36" t="inlineStr">
        <is>
          <t>y</t>
        </is>
      </c>
      <c r="F195" s="36" t="inlineStr">
        <is>
          <t>Round 2</t>
        </is>
      </c>
    </row>
    <row r="196" ht="16" customHeight="1" thickBot="1">
      <c r="A196" s="77" t="inlineStr">
        <is>
          <t>L. Bigi</t>
        </is>
      </c>
      <c r="B196" s="36" t="inlineStr">
        <is>
          <t>Italy</t>
        </is>
      </c>
      <c r="C196" s="36" t="inlineStr">
        <is>
          <t>Hooker</t>
        </is>
      </c>
      <c r="D196" s="37" t="n">
        <v>19</v>
      </c>
      <c r="E196" s="36" t="inlineStr">
        <is>
          <t>y</t>
        </is>
      </c>
      <c r="F196" s="36" t="inlineStr">
        <is>
          <t>Round 2</t>
        </is>
      </c>
    </row>
    <row r="197" ht="16" customHeight="1" thickBot="1">
      <c r="A197" s="78" t="inlineStr">
        <is>
          <t>G. Nicotera</t>
        </is>
      </c>
      <c r="B197" s="75" t="inlineStr">
        <is>
          <t>Italy</t>
        </is>
      </c>
      <c r="C197" s="75" t="inlineStr">
        <is>
          <t>Hooker</t>
        </is>
      </c>
      <c r="D197" s="79" t="n">
        <v>61</v>
      </c>
      <c r="F197" s="36" t="inlineStr">
        <is>
          <t>Round 2</t>
        </is>
      </c>
    </row>
    <row r="200" ht="16" customHeight="1" thickBot="1"/>
    <row r="201" ht="16" customHeight="1" thickBot="1">
      <c r="A201" s="39" t="inlineStr">
        <is>
          <t>Name</t>
        </is>
      </c>
      <c r="B201" s="40" t="inlineStr">
        <is>
          <t>Nation</t>
        </is>
      </c>
      <c r="C201" s="40" t="inlineStr">
        <is>
          <t>Position</t>
        </is>
      </c>
      <c r="D201" s="40" t="inlineStr">
        <is>
          <t>Time Played</t>
        </is>
      </c>
    </row>
    <row r="202">
      <c r="A202" s="81" t="inlineStr">
        <is>
          <t>J. O'Brien</t>
        </is>
      </c>
      <c r="B202" s="36" t="inlineStr">
        <is>
          <t>Ireland</t>
        </is>
      </c>
      <c r="C202" s="36" t="inlineStr">
        <is>
          <t>Back Three</t>
        </is>
      </c>
      <c r="D202" s="37" t="n">
        <v>8</v>
      </c>
      <c r="E202" s="36" t="inlineStr">
        <is>
          <t>y</t>
        </is>
      </c>
      <c r="F202" s="36" t="inlineStr">
        <is>
          <t>Round 3</t>
        </is>
      </c>
    </row>
    <row r="203">
      <c r="A203" s="81" t="inlineStr">
        <is>
          <t>S. McCloskey</t>
        </is>
      </c>
      <c r="B203" s="36" t="inlineStr">
        <is>
          <t>Ireland</t>
        </is>
      </c>
      <c r="C203" s="36" t="inlineStr">
        <is>
          <t>Centre</t>
        </is>
      </c>
      <c r="D203" s="37" t="n">
        <v>72</v>
      </c>
      <c r="F203" s="36" t="inlineStr">
        <is>
          <t>Round 3</t>
        </is>
      </c>
    </row>
    <row r="204">
      <c r="A204" s="81" t="inlineStr">
        <is>
          <t>R. Byrne</t>
        </is>
      </c>
      <c r="B204" s="36" t="inlineStr">
        <is>
          <t>Ireland</t>
        </is>
      </c>
      <c r="C204" s="36" t="inlineStr">
        <is>
          <t>Fly Half</t>
        </is>
      </c>
      <c r="D204" s="37" t="n">
        <v>78</v>
      </c>
      <c r="F204" s="36" t="inlineStr">
        <is>
          <t>Round 3</t>
        </is>
      </c>
    </row>
    <row r="205">
      <c r="A205" s="81" t="inlineStr">
        <is>
          <t>J. Crowley</t>
        </is>
      </c>
      <c r="B205" s="36" t="inlineStr">
        <is>
          <t>Ireland</t>
        </is>
      </c>
      <c r="C205" s="36" t="inlineStr">
        <is>
          <t>Fly Half</t>
        </is>
      </c>
      <c r="D205" s="37" t="n">
        <v>2</v>
      </c>
      <c r="E205" s="36" t="inlineStr">
        <is>
          <t>y</t>
        </is>
      </c>
      <c r="F205" s="36" t="inlineStr">
        <is>
          <t>Round 3</t>
        </is>
      </c>
    </row>
    <row r="206">
      <c r="A206" s="81" t="inlineStr">
        <is>
          <t>C. Casey</t>
        </is>
      </c>
      <c r="B206" s="36" t="inlineStr">
        <is>
          <t>Ireland</t>
        </is>
      </c>
      <c r="C206" s="36" t="inlineStr">
        <is>
          <t>Scrum Half</t>
        </is>
      </c>
      <c r="D206" s="37" t="n">
        <v>65</v>
      </c>
      <c r="F206" s="36" t="inlineStr">
        <is>
          <t>Round 3</t>
        </is>
      </c>
    </row>
    <row r="207">
      <c r="A207" s="81" t="inlineStr">
        <is>
          <t>C. Murray</t>
        </is>
      </c>
      <c r="B207" s="36" t="inlineStr">
        <is>
          <t>Ireland</t>
        </is>
      </c>
      <c r="C207" s="36" t="inlineStr">
        <is>
          <t>Scrum Half</t>
        </is>
      </c>
      <c r="D207" s="37" t="n">
        <v>15</v>
      </c>
      <c r="E207" s="36" t="inlineStr">
        <is>
          <t>y</t>
        </is>
      </c>
      <c r="F207" s="36" t="inlineStr">
        <is>
          <t>Round 3</t>
        </is>
      </c>
    </row>
    <row r="208">
      <c r="A208" s="81" t="inlineStr">
        <is>
          <t>J. Conan</t>
        </is>
      </c>
      <c r="B208" s="36" t="inlineStr">
        <is>
          <t>Ireland</t>
        </is>
      </c>
      <c r="C208" s="36" t="inlineStr">
        <is>
          <t>Back Row</t>
        </is>
      </c>
      <c r="D208" s="37" t="n">
        <v>56</v>
      </c>
      <c r="F208" s="36" t="inlineStr">
        <is>
          <t>Round 3</t>
        </is>
      </c>
    </row>
    <row r="209">
      <c r="A209" s="81" t="inlineStr">
        <is>
          <t>P. O'Mahony</t>
        </is>
      </c>
      <c r="B209" s="36" t="inlineStr">
        <is>
          <t>Ireland</t>
        </is>
      </c>
      <c r="C209" s="36" t="inlineStr">
        <is>
          <t>Back Row</t>
        </is>
      </c>
      <c r="D209" s="37" t="n">
        <v>24</v>
      </c>
      <c r="E209" s="36" t="inlineStr">
        <is>
          <t>y</t>
        </is>
      </c>
      <c r="F209" s="36" t="inlineStr">
        <is>
          <t>Round 3</t>
        </is>
      </c>
    </row>
    <row r="210">
      <c r="A210" s="81" t="inlineStr">
        <is>
          <t>R. Baird</t>
        </is>
      </c>
      <c r="B210" s="36" t="inlineStr">
        <is>
          <t>Ireland</t>
        </is>
      </c>
      <c r="C210" s="36" t="inlineStr">
        <is>
          <t>Second Row</t>
        </is>
      </c>
      <c r="D210" s="37" t="n">
        <v>28</v>
      </c>
      <c r="E210" s="36" t="inlineStr">
        <is>
          <t>y</t>
        </is>
      </c>
      <c r="F210" s="36" t="inlineStr">
        <is>
          <t>Round 3</t>
        </is>
      </c>
    </row>
    <row r="211">
      <c r="A211" s="81" t="inlineStr">
        <is>
          <t>I. Henderson</t>
        </is>
      </c>
      <c r="B211" s="36" t="inlineStr">
        <is>
          <t>Ireland</t>
        </is>
      </c>
      <c r="C211" s="36" t="inlineStr">
        <is>
          <t>Second Row</t>
        </is>
      </c>
      <c r="D211" s="37" t="n">
        <v>52</v>
      </c>
      <c r="F211" s="36" t="inlineStr">
        <is>
          <t>Round 3</t>
        </is>
      </c>
    </row>
    <row r="212">
      <c r="A212" s="81" t="inlineStr">
        <is>
          <t>F. Bealham</t>
        </is>
      </c>
      <c r="B212" s="36" t="inlineStr">
        <is>
          <t>Ireland</t>
        </is>
      </c>
      <c r="C212" s="36" t="inlineStr">
        <is>
          <t>Prop</t>
        </is>
      </c>
      <c r="D212" s="37" t="n">
        <v>37</v>
      </c>
      <c r="F212" s="36" t="inlineStr">
        <is>
          <t>Round 3</t>
        </is>
      </c>
    </row>
    <row r="213">
      <c r="A213" s="81" t="inlineStr">
        <is>
          <t>D. Kilcoyne</t>
        </is>
      </c>
      <c r="B213" s="36" t="inlineStr">
        <is>
          <t>Ireland</t>
        </is>
      </c>
      <c r="C213" s="36" t="inlineStr">
        <is>
          <t>Prop</t>
        </is>
      </c>
      <c r="D213" s="37" t="n">
        <v>15</v>
      </c>
      <c r="E213" s="36" t="inlineStr">
        <is>
          <t>y</t>
        </is>
      </c>
      <c r="F213" s="36" t="inlineStr">
        <is>
          <t>Round 3</t>
        </is>
      </c>
    </row>
    <row r="214">
      <c r="A214" s="81" t="inlineStr">
        <is>
          <t>T. O'Toole</t>
        </is>
      </c>
      <c r="B214" s="36" t="inlineStr">
        <is>
          <t>Ireland</t>
        </is>
      </c>
      <c r="C214" s="36" t="inlineStr">
        <is>
          <t>Prop</t>
        </is>
      </c>
      <c r="D214" s="37" t="n">
        <v>43</v>
      </c>
      <c r="E214" s="36" t="inlineStr">
        <is>
          <t>y</t>
        </is>
      </c>
      <c r="F214" s="36" t="inlineStr">
        <is>
          <t>Round 3</t>
        </is>
      </c>
    </row>
    <row r="215">
      <c r="A215" s="81" t="inlineStr">
        <is>
          <t>A. Porter</t>
        </is>
      </c>
      <c r="B215" s="36" t="inlineStr">
        <is>
          <t>Ireland</t>
        </is>
      </c>
      <c r="C215" s="36" t="inlineStr">
        <is>
          <t>Prop</t>
        </is>
      </c>
      <c r="D215" s="37" t="n">
        <v>65</v>
      </c>
      <c r="F215" s="36" t="inlineStr">
        <is>
          <t>Round 3</t>
        </is>
      </c>
    </row>
    <row r="216">
      <c r="A216" s="81" t="inlineStr">
        <is>
          <t>R. Kelleher</t>
        </is>
      </c>
      <c r="B216" s="36" t="inlineStr">
        <is>
          <t>Ireland</t>
        </is>
      </c>
      <c r="C216" s="36" t="inlineStr">
        <is>
          <t>Hooker</t>
        </is>
      </c>
      <c r="D216" s="37" t="n">
        <v>56</v>
      </c>
      <c r="F216" s="36" t="inlineStr">
        <is>
          <t>Round 3</t>
        </is>
      </c>
    </row>
    <row r="217">
      <c r="A217" s="81" t="inlineStr">
        <is>
          <t>D. Sheehan</t>
        </is>
      </c>
      <c r="B217" s="36" t="inlineStr">
        <is>
          <t>Ireland</t>
        </is>
      </c>
      <c r="C217" s="36" t="inlineStr">
        <is>
          <t>Hooker</t>
        </is>
      </c>
      <c r="D217" s="37" t="n">
        <v>24</v>
      </c>
      <c r="E217" s="36" t="inlineStr">
        <is>
          <t>y</t>
        </is>
      </c>
      <c r="F217" s="36" t="inlineStr">
        <is>
          <t>Round 3</t>
        </is>
      </c>
    </row>
    <row r="218">
      <c r="A218" s="81" t="inlineStr">
        <is>
          <t>A. Fusco</t>
        </is>
      </c>
      <c r="B218" s="36" t="inlineStr">
        <is>
          <t>Italy</t>
        </is>
      </c>
      <c r="C218" s="36" t="inlineStr">
        <is>
          <t>Back Three</t>
        </is>
      </c>
      <c r="D218" s="37" t="n">
        <v>13</v>
      </c>
      <c r="E218" s="36" t="inlineStr">
        <is>
          <t>y</t>
        </is>
      </c>
      <c r="F218" s="36" t="inlineStr">
        <is>
          <t>Round 3</t>
        </is>
      </c>
    </row>
    <row r="219">
      <c r="A219" s="81" t="inlineStr">
        <is>
          <t>T. Menoncello</t>
        </is>
      </c>
      <c r="B219" s="36" t="inlineStr">
        <is>
          <t>Italy</t>
        </is>
      </c>
      <c r="C219" s="36" t="inlineStr">
        <is>
          <t>Back Three</t>
        </is>
      </c>
      <c r="D219" s="37" t="n">
        <v>78</v>
      </c>
      <c r="F219" s="36" t="inlineStr">
        <is>
          <t>Round 3</t>
        </is>
      </c>
    </row>
    <row r="220">
      <c r="A220" s="81" t="inlineStr">
        <is>
          <t>L. Morisi</t>
        </is>
      </c>
      <c r="B220" s="36" t="inlineStr">
        <is>
          <t>Italy</t>
        </is>
      </c>
      <c r="C220" s="36" t="inlineStr">
        <is>
          <t>Centre</t>
        </is>
      </c>
      <c r="D220" s="37" t="n">
        <v>2</v>
      </c>
      <c r="E220" s="36" t="inlineStr">
        <is>
          <t>y</t>
        </is>
      </c>
      <c r="F220" s="36" t="inlineStr">
        <is>
          <t>Round 3</t>
        </is>
      </c>
    </row>
    <row r="221">
      <c r="A221" s="81" t="inlineStr">
        <is>
          <t>T. Allan</t>
        </is>
      </c>
      <c r="B221" s="36" t="inlineStr">
        <is>
          <t>Italy</t>
        </is>
      </c>
      <c r="C221" s="36" t="inlineStr">
        <is>
          <t>Fly Half</t>
        </is>
      </c>
      <c r="D221" s="37" t="n">
        <v>8</v>
      </c>
      <c r="E221" s="36" t="inlineStr">
        <is>
          <t>y</t>
        </is>
      </c>
      <c r="F221" s="36" t="inlineStr">
        <is>
          <t>Round 3</t>
        </is>
      </c>
    </row>
    <row r="222">
      <c r="A222" s="81" t="inlineStr">
        <is>
          <t>P. Garbisi</t>
        </is>
      </c>
      <c r="B222" s="36" t="inlineStr">
        <is>
          <t>Italy</t>
        </is>
      </c>
      <c r="C222" s="36" t="inlineStr">
        <is>
          <t>Fly Half</t>
        </is>
      </c>
      <c r="D222" s="37" t="n">
        <v>72</v>
      </c>
      <c r="F222" s="36" t="inlineStr">
        <is>
          <t>Round 3</t>
        </is>
      </c>
    </row>
    <row r="223">
      <c r="A223" s="81" t="inlineStr">
        <is>
          <t>S. Varney</t>
        </is>
      </c>
      <c r="B223" s="36" t="inlineStr">
        <is>
          <t>Italy</t>
        </is>
      </c>
      <c r="C223" s="36" t="inlineStr">
        <is>
          <t>Scrum Half</t>
        </is>
      </c>
      <c r="D223" s="37" t="n">
        <v>67</v>
      </c>
      <c r="F223" s="36" t="inlineStr">
        <is>
          <t>Round 3</t>
        </is>
      </c>
    </row>
    <row r="224">
      <c r="A224" s="81" t="inlineStr">
        <is>
          <t>E. Iachizzi</t>
        </is>
      </c>
      <c r="B224" s="36" t="inlineStr">
        <is>
          <t>Italy</t>
        </is>
      </c>
      <c r="C224" s="36" t="inlineStr">
        <is>
          <t>Back Row</t>
        </is>
      </c>
      <c r="D224" s="37" t="n">
        <v>15</v>
      </c>
      <c r="E224" s="36" t="inlineStr">
        <is>
          <t>y</t>
        </is>
      </c>
      <c r="F224" s="36" t="inlineStr">
        <is>
          <t>Round 3</t>
        </is>
      </c>
    </row>
    <row r="225">
      <c r="A225" s="81" t="inlineStr">
        <is>
          <t>G. Pettinelli</t>
        </is>
      </c>
      <c r="B225" s="36" t="inlineStr">
        <is>
          <t>Italy</t>
        </is>
      </c>
      <c r="C225" s="36" t="inlineStr">
        <is>
          <t>Back Row</t>
        </is>
      </c>
      <c r="D225" s="37" t="n">
        <v>15</v>
      </c>
      <c r="E225" s="36" t="inlineStr">
        <is>
          <t>y</t>
        </is>
      </c>
      <c r="F225" s="36" t="inlineStr">
        <is>
          <t>Round 3</t>
        </is>
      </c>
    </row>
    <row r="226">
      <c r="A226" s="81" t="inlineStr">
        <is>
          <t>N. Cannone</t>
        </is>
      </c>
      <c r="B226" s="36" t="inlineStr">
        <is>
          <t>Italy</t>
        </is>
      </c>
      <c r="C226" s="36" t="inlineStr">
        <is>
          <t>Second Row</t>
        </is>
      </c>
      <c r="D226" s="37" t="n">
        <v>65</v>
      </c>
      <c r="F226" s="36" t="inlineStr">
        <is>
          <t>Round 3</t>
        </is>
      </c>
    </row>
    <row r="227">
      <c r="A227" s="81" t="inlineStr">
        <is>
          <t>L. Cannone</t>
        </is>
      </c>
      <c r="B227" s="36" t="inlineStr">
        <is>
          <t>Italy</t>
        </is>
      </c>
      <c r="C227" s="36" t="inlineStr">
        <is>
          <t>Second Row</t>
        </is>
      </c>
      <c r="D227" s="37" t="n">
        <v>65</v>
      </c>
      <c r="F227" s="36" t="inlineStr">
        <is>
          <t>Round 3</t>
        </is>
      </c>
    </row>
    <row r="228">
      <c r="A228" s="81" t="inlineStr">
        <is>
          <t>S. Ferrari</t>
        </is>
      </c>
      <c r="B228" s="36" t="inlineStr">
        <is>
          <t>Italy</t>
        </is>
      </c>
      <c r="C228" s="36" t="inlineStr">
        <is>
          <t>Prop</t>
        </is>
      </c>
      <c r="D228" s="37" t="n">
        <v>47</v>
      </c>
      <c r="F228" s="36" t="inlineStr">
        <is>
          <t>Round 3</t>
        </is>
      </c>
    </row>
    <row r="229">
      <c r="A229" s="81" t="inlineStr">
        <is>
          <t>D. Fischetti</t>
        </is>
      </c>
      <c r="B229" s="36" t="inlineStr">
        <is>
          <t>Italy</t>
        </is>
      </c>
      <c r="C229" s="36" t="inlineStr">
        <is>
          <t>Prop</t>
        </is>
      </c>
      <c r="D229" s="37" t="n">
        <v>60</v>
      </c>
      <c r="F229" s="36" t="inlineStr">
        <is>
          <t>Round 3</t>
        </is>
      </c>
    </row>
    <row r="230">
      <c r="A230" s="81" t="inlineStr">
        <is>
          <t>M. Riccioni</t>
        </is>
      </c>
      <c r="B230" s="36" t="inlineStr">
        <is>
          <t>Italy</t>
        </is>
      </c>
      <c r="C230" s="36" t="inlineStr">
        <is>
          <t>Prop</t>
        </is>
      </c>
      <c r="D230" s="37" t="n">
        <v>33</v>
      </c>
      <c r="E230" s="36" t="inlineStr">
        <is>
          <t>y</t>
        </is>
      </c>
      <c r="F230" s="36" t="inlineStr">
        <is>
          <t>Round 3</t>
        </is>
      </c>
    </row>
    <row r="231">
      <c r="A231" s="81" t="inlineStr">
        <is>
          <t>F. Zani</t>
        </is>
      </c>
      <c r="B231" s="36" t="inlineStr">
        <is>
          <t>Italy</t>
        </is>
      </c>
      <c r="C231" s="36" t="inlineStr">
        <is>
          <t>Prop</t>
        </is>
      </c>
      <c r="D231" s="37" t="n">
        <v>20</v>
      </c>
      <c r="E231" s="36" t="inlineStr">
        <is>
          <t>y</t>
        </is>
      </c>
      <c r="F231" s="36" t="inlineStr">
        <is>
          <t>Round 3</t>
        </is>
      </c>
    </row>
    <row r="232">
      <c r="A232" s="81" t="inlineStr">
        <is>
          <t>L. Bigi</t>
        </is>
      </c>
      <c r="B232" s="36" t="inlineStr">
        <is>
          <t>Italy</t>
        </is>
      </c>
      <c r="C232" s="36" t="inlineStr">
        <is>
          <t>Hooker</t>
        </is>
      </c>
      <c r="D232" s="37" t="n">
        <v>29</v>
      </c>
      <c r="E232" s="36" t="inlineStr">
        <is>
          <t>y</t>
        </is>
      </c>
      <c r="F232" s="36" t="inlineStr">
        <is>
          <t>Round 3</t>
        </is>
      </c>
    </row>
    <row r="233">
      <c r="A233" s="81" t="inlineStr">
        <is>
          <t>G. Nicotera</t>
        </is>
      </c>
      <c r="B233" s="36" t="inlineStr">
        <is>
          <t>Italy</t>
        </is>
      </c>
      <c r="C233" s="36" t="inlineStr">
        <is>
          <t>Hooker</t>
        </is>
      </c>
      <c r="D233" s="37" t="n">
        <v>51</v>
      </c>
      <c r="F233" s="36" t="inlineStr">
        <is>
          <t>Round 3</t>
        </is>
      </c>
    </row>
    <row r="234">
      <c r="A234" s="81" t="inlineStr">
        <is>
          <t>J. Adams</t>
        </is>
      </c>
      <c r="B234" s="36" t="inlineStr">
        <is>
          <t>Wales</t>
        </is>
      </c>
      <c r="C234" s="36" t="inlineStr">
        <is>
          <t>Back Three</t>
        </is>
      </c>
      <c r="D234" s="37" t="n">
        <v>54</v>
      </c>
      <c r="F234" s="36" t="inlineStr">
        <is>
          <t>Round 3</t>
        </is>
      </c>
    </row>
    <row r="235">
      <c r="A235" s="81" t="inlineStr">
        <is>
          <t>N. Tompkins</t>
        </is>
      </c>
      <c r="B235" s="36" t="inlineStr">
        <is>
          <t>Wales</t>
        </is>
      </c>
      <c r="C235" s="36" t="inlineStr">
        <is>
          <t>Centre</t>
        </is>
      </c>
      <c r="D235" s="37" t="n">
        <v>26</v>
      </c>
      <c r="E235" s="36" t="inlineStr">
        <is>
          <t>y</t>
        </is>
      </c>
      <c r="F235" s="36" t="inlineStr">
        <is>
          <t>Round 3</t>
        </is>
      </c>
    </row>
    <row r="236">
      <c r="A236" s="81" t="inlineStr">
        <is>
          <t>D. Biggar</t>
        </is>
      </c>
      <c r="B236" s="36" t="inlineStr">
        <is>
          <t>Wales</t>
        </is>
      </c>
      <c r="C236" s="36" t="inlineStr">
        <is>
          <t>Fly Half</t>
        </is>
      </c>
      <c r="D236" s="37" t="n">
        <v>26</v>
      </c>
      <c r="E236" s="36" t="inlineStr">
        <is>
          <t>y</t>
        </is>
      </c>
      <c r="F236" s="36" t="inlineStr">
        <is>
          <t>Round 3</t>
        </is>
      </c>
    </row>
    <row r="237">
      <c r="A237" s="81" t="inlineStr">
        <is>
          <t>O. Williams</t>
        </is>
      </c>
      <c r="B237" s="36" t="inlineStr">
        <is>
          <t>Wales</t>
        </is>
      </c>
      <c r="C237" s="36" t="inlineStr">
        <is>
          <t>Fly Half</t>
        </is>
      </c>
      <c r="D237" s="37" t="n">
        <v>54</v>
      </c>
      <c r="F237" s="36" t="inlineStr">
        <is>
          <t>Round 3</t>
        </is>
      </c>
    </row>
    <row r="238">
      <c r="A238" s="81" t="inlineStr">
        <is>
          <t>K. Hardy</t>
        </is>
      </c>
      <c r="B238" s="36" t="inlineStr">
        <is>
          <t>Wales</t>
        </is>
      </c>
      <c r="C238" s="36" t="inlineStr">
        <is>
          <t>Scrum Half</t>
        </is>
      </c>
      <c r="D238" s="37" t="n">
        <v>11</v>
      </c>
      <c r="E238" s="36" t="inlineStr">
        <is>
          <t>y</t>
        </is>
      </c>
      <c r="F238" s="36" t="inlineStr">
        <is>
          <t>Round 3</t>
        </is>
      </c>
    </row>
    <row r="239">
      <c r="A239" s="81" t="inlineStr">
        <is>
          <t>T. Williams</t>
        </is>
      </c>
      <c r="B239" s="36" t="inlineStr">
        <is>
          <t>Wales</t>
        </is>
      </c>
      <c r="C239" s="36" t="inlineStr">
        <is>
          <t>Scrum Half</t>
        </is>
      </c>
      <c r="D239" s="37" t="n">
        <v>69</v>
      </c>
      <c r="F239" s="36" t="inlineStr">
        <is>
          <t>Round 3</t>
        </is>
      </c>
    </row>
    <row r="240">
      <c r="A240" s="81" t="inlineStr">
        <is>
          <t>T. Reffell</t>
        </is>
      </c>
      <c r="B240" s="36" t="inlineStr">
        <is>
          <t>Wales</t>
        </is>
      </c>
      <c r="C240" s="36" t="inlineStr">
        <is>
          <t>Back Row</t>
        </is>
      </c>
      <c r="D240" s="37" t="n">
        <v>17</v>
      </c>
      <c r="E240" s="36" t="inlineStr">
        <is>
          <t>y</t>
        </is>
      </c>
      <c r="F240" s="36" t="inlineStr">
        <is>
          <t>Round 3</t>
        </is>
      </c>
    </row>
    <row r="241">
      <c r="A241" s="81" t="inlineStr">
        <is>
          <t>D. Jenkins</t>
        </is>
      </c>
      <c r="B241" s="36" t="inlineStr">
        <is>
          <t>Wales</t>
        </is>
      </c>
      <c r="C241" s="36" t="inlineStr">
        <is>
          <t>Second Row</t>
        </is>
      </c>
      <c r="D241" s="37" t="n">
        <v>17</v>
      </c>
      <c r="E241" s="36" t="inlineStr">
        <is>
          <t>y</t>
        </is>
      </c>
      <c r="F241" s="36" t="inlineStr">
        <is>
          <t>Round 3</t>
        </is>
      </c>
    </row>
    <row r="242">
      <c r="A242" s="81" t="inlineStr">
        <is>
          <t>A. Jones</t>
        </is>
      </c>
      <c r="B242" s="36" t="inlineStr">
        <is>
          <t>Wales</t>
        </is>
      </c>
      <c r="C242" s="36" t="inlineStr">
        <is>
          <t>Second Row</t>
        </is>
      </c>
      <c r="D242" s="37" t="n">
        <v>63</v>
      </c>
      <c r="F242" s="36" t="inlineStr">
        <is>
          <t>Round 3</t>
        </is>
      </c>
    </row>
    <row r="243">
      <c r="A243" s="81" t="inlineStr">
        <is>
          <t>C. Tshiunza</t>
        </is>
      </c>
      <c r="B243" s="36" t="inlineStr">
        <is>
          <t>Wales</t>
        </is>
      </c>
      <c r="C243" s="36" t="inlineStr">
        <is>
          <t>Second Row</t>
        </is>
      </c>
      <c r="D243" s="37" t="n">
        <v>63</v>
      </c>
      <c r="F243" s="36" t="inlineStr">
        <is>
          <t>Round 3</t>
        </is>
      </c>
    </row>
    <row r="244">
      <c r="A244" s="81" t="inlineStr">
        <is>
          <t>R. Carre</t>
        </is>
      </c>
      <c r="B244" s="36" t="inlineStr">
        <is>
          <t>Wales</t>
        </is>
      </c>
      <c r="C244" s="36" t="inlineStr">
        <is>
          <t>Prop</t>
        </is>
      </c>
      <c r="D244" s="37" t="n">
        <v>24</v>
      </c>
      <c r="E244" s="36" t="inlineStr">
        <is>
          <t>y</t>
        </is>
      </c>
      <c r="F244" s="36" t="inlineStr">
        <is>
          <t>Round 3</t>
        </is>
      </c>
    </row>
    <row r="245">
      <c r="A245" s="81" t="inlineStr">
        <is>
          <t>T. Francis</t>
        </is>
      </c>
      <c r="B245" s="36" t="inlineStr">
        <is>
          <t>Wales</t>
        </is>
      </c>
      <c r="C245" s="36" t="inlineStr">
        <is>
          <t>Prop</t>
        </is>
      </c>
      <c r="D245" s="37" t="n">
        <v>56</v>
      </c>
      <c r="F245" s="36" t="inlineStr">
        <is>
          <t>Round 3</t>
        </is>
      </c>
    </row>
    <row r="246">
      <c r="A246" s="81" t="inlineStr">
        <is>
          <t>D. Lewis</t>
        </is>
      </c>
      <c r="B246" s="36" t="inlineStr">
        <is>
          <t>Wales</t>
        </is>
      </c>
      <c r="C246" s="36" t="inlineStr">
        <is>
          <t>Prop</t>
        </is>
      </c>
      <c r="D246" s="37" t="n">
        <v>24</v>
      </c>
      <c r="E246" s="36" t="inlineStr">
        <is>
          <t>y</t>
        </is>
      </c>
      <c r="F246" s="36" t="inlineStr">
        <is>
          <t>Round 3</t>
        </is>
      </c>
    </row>
    <row r="247">
      <c r="A247" s="81" t="inlineStr">
        <is>
          <t>G. Thomas</t>
        </is>
      </c>
      <c r="B247" s="36" t="inlineStr">
        <is>
          <t>Wales</t>
        </is>
      </c>
      <c r="C247" s="36" t="inlineStr">
        <is>
          <t>Prop</t>
        </is>
      </c>
      <c r="D247" s="37" t="n">
        <v>56</v>
      </c>
      <c r="F247" s="36" t="inlineStr">
        <is>
          <t>Round 3</t>
        </is>
      </c>
    </row>
    <row r="248">
      <c r="A248" s="81" t="inlineStr">
        <is>
          <t>K. Owens</t>
        </is>
      </c>
      <c r="B248" s="36" t="inlineStr">
        <is>
          <t>Wales</t>
        </is>
      </c>
      <c r="C248" s="36" t="inlineStr">
        <is>
          <t>Hooker</t>
        </is>
      </c>
      <c r="D248" s="37" t="n">
        <v>69</v>
      </c>
      <c r="F248" s="36" t="inlineStr">
        <is>
          <t>Round 3</t>
        </is>
      </c>
    </row>
    <row r="249">
      <c r="A249" s="81" t="inlineStr">
        <is>
          <t>B. Roberts</t>
        </is>
      </c>
      <c r="B249" s="36" t="inlineStr">
        <is>
          <t>Wales</t>
        </is>
      </c>
      <c r="C249" s="36" t="inlineStr">
        <is>
          <t>Hooker</t>
        </is>
      </c>
      <c r="D249" s="37" t="n">
        <v>11</v>
      </c>
      <c r="E249" s="36" t="inlineStr">
        <is>
          <t>y</t>
        </is>
      </c>
      <c r="F249" s="36" t="inlineStr">
        <is>
          <t>Round 3</t>
        </is>
      </c>
    </row>
    <row r="250">
      <c r="A250" s="81" t="inlineStr">
        <is>
          <t>H. Arundell</t>
        </is>
      </c>
      <c r="B250" s="36" t="inlineStr">
        <is>
          <t>England</t>
        </is>
      </c>
      <c r="C250" s="36" t="inlineStr">
        <is>
          <t>Back Three</t>
        </is>
      </c>
      <c r="D250" s="37" t="n">
        <v>1</v>
      </c>
      <c r="E250" s="36" t="inlineStr">
        <is>
          <t>y</t>
        </is>
      </c>
      <c r="F250" s="36" t="inlineStr">
        <is>
          <t>Round 3</t>
        </is>
      </c>
    </row>
    <row r="251">
      <c r="A251" s="81" t="inlineStr">
        <is>
          <t>M. Smith</t>
        </is>
      </c>
      <c r="B251" s="36" t="inlineStr">
        <is>
          <t>England</t>
        </is>
      </c>
      <c r="C251" s="36" t="inlineStr">
        <is>
          <t>Fly Half</t>
        </is>
      </c>
      <c r="D251" s="37" t="n">
        <v>1</v>
      </c>
      <c r="E251" s="36" t="inlineStr">
        <is>
          <t>y</t>
        </is>
      </c>
      <c r="F251" s="36" t="inlineStr">
        <is>
          <t>Round 3</t>
        </is>
      </c>
    </row>
    <row r="252">
      <c r="A252" s="81" t="inlineStr">
        <is>
          <t>A. Mitchell</t>
        </is>
      </c>
      <c r="B252" s="36" t="inlineStr">
        <is>
          <t>England</t>
        </is>
      </c>
      <c r="C252" s="36" t="inlineStr">
        <is>
          <t>Scrum Half</t>
        </is>
      </c>
      <c r="D252" s="37" t="n">
        <v>8</v>
      </c>
      <c r="E252" s="36" t="inlineStr">
        <is>
          <t>y</t>
        </is>
      </c>
      <c r="F252" s="36" t="inlineStr">
        <is>
          <t>Round 3</t>
        </is>
      </c>
    </row>
    <row r="253">
      <c r="A253" s="81" t="inlineStr">
        <is>
          <t>J. van Poortvliet</t>
        </is>
      </c>
      <c r="B253" s="36" t="inlineStr">
        <is>
          <t>England</t>
        </is>
      </c>
      <c r="C253" s="36" t="inlineStr">
        <is>
          <t>Scrum Half</t>
        </is>
      </c>
      <c r="D253" s="37" t="n">
        <v>72</v>
      </c>
      <c r="F253" s="36" t="inlineStr">
        <is>
          <t>Round 3</t>
        </is>
      </c>
    </row>
    <row r="254">
      <c r="A254" s="81" t="inlineStr">
        <is>
          <t>B. Curry</t>
        </is>
      </c>
      <c r="B254" s="36" t="inlineStr">
        <is>
          <t>England</t>
        </is>
      </c>
      <c r="C254" s="36" t="inlineStr">
        <is>
          <t>Back Row</t>
        </is>
      </c>
      <c r="D254" s="37" t="n">
        <v>21</v>
      </c>
      <c r="E254" s="36" t="inlineStr">
        <is>
          <t>y</t>
        </is>
      </c>
      <c r="F254" s="36" t="inlineStr">
        <is>
          <t>Round 3</t>
        </is>
      </c>
    </row>
    <row r="255">
      <c r="A255" s="81" t="inlineStr">
        <is>
          <t>A. Dombrandt</t>
        </is>
      </c>
      <c r="B255" s="36" t="inlineStr">
        <is>
          <t>England</t>
        </is>
      </c>
      <c r="C255" s="36" t="inlineStr">
        <is>
          <t>Back Row</t>
        </is>
      </c>
      <c r="D255" s="37" t="n">
        <v>69</v>
      </c>
      <c r="F255" s="36" t="inlineStr">
        <is>
          <t>Round 3</t>
        </is>
      </c>
    </row>
    <row r="256">
      <c r="A256" s="81" t="inlineStr">
        <is>
          <t>J. Willis</t>
        </is>
      </c>
      <c r="B256" s="36" t="inlineStr">
        <is>
          <t>England</t>
        </is>
      </c>
      <c r="C256" s="36" t="inlineStr">
        <is>
          <t>Back Row</t>
        </is>
      </c>
      <c r="D256" s="37" t="n">
        <v>59</v>
      </c>
      <c r="F256" s="36" t="inlineStr">
        <is>
          <t>Round 3</t>
        </is>
      </c>
    </row>
    <row r="257">
      <c r="A257" s="81" t="inlineStr">
        <is>
          <t>C. Lawes</t>
        </is>
      </c>
      <c r="B257" s="36" t="inlineStr">
        <is>
          <t>England</t>
        </is>
      </c>
      <c r="C257" s="36" t="inlineStr">
        <is>
          <t>Second Row</t>
        </is>
      </c>
      <c r="D257" s="37" t="n">
        <v>11</v>
      </c>
      <c r="E257" s="36" t="inlineStr">
        <is>
          <t>y</t>
        </is>
      </c>
      <c r="F257" s="36" t="inlineStr">
        <is>
          <t>Round 3</t>
        </is>
      </c>
    </row>
    <row r="258">
      <c r="A258" s="81" t="inlineStr">
        <is>
          <t>D. Cole</t>
        </is>
      </c>
      <c r="B258" s="36" t="inlineStr">
        <is>
          <t>England</t>
        </is>
      </c>
      <c r="C258" s="36" t="inlineStr">
        <is>
          <t>Prop</t>
        </is>
      </c>
      <c r="D258" s="37" t="n">
        <v>16</v>
      </c>
      <c r="E258" s="36" t="inlineStr">
        <is>
          <t>y</t>
        </is>
      </c>
      <c r="F258" s="36" t="inlineStr">
        <is>
          <t>Round 3</t>
        </is>
      </c>
    </row>
    <row r="259">
      <c r="A259" s="81" t="inlineStr">
        <is>
          <t>E. Genge</t>
        </is>
      </c>
      <c r="B259" s="36" t="inlineStr">
        <is>
          <t>England</t>
        </is>
      </c>
      <c r="C259" s="36" t="inlineStr">
        <is>
          <t>Prop</t>
        </is>
      </c>
      <c r="D259" s="37" t="n">
        <v>54</v>
      </c>
      <c r="F259" s="36" t="inlineStr">
        <is>
          <t>Round 3</t>
        </is>
      </c>
    </row>
    <row r="260">
      <c r="A260" s="81" t="inlineStr">
        <is>
          <t>K. Sinckler</t>
        </is>
      </c>
      <c r="B260" s="36" t="inlineStr">
        <is>
          <t>England</t>
        </is>
      </c>
      <c r="C260" s="36" t="inlineStr">
        <is>
          <t>Prop</t>
        </is>
      </c>
      <c r="D260" s="37" t="n">
        <v>64</v>
      </c>
      <c r="F260" s="36" t="inlineStr">
        <is>
          <t>Round 3</t>
        </is>
      </c>
    </row>
    <row r="261">
      <c r="A261" s="81" t="inlineStr">
        <is>
          <t>M. Vunipola</t>
        </is>
      </c>
      <c r="B261" s="36" t="inlineStr">
        <is>
          <t>England</t>
        </is>
      </c>
      <c r="C261" s="36" t="inlineStr">
        <is>
          <t>Prop</t>
        </is>
      </c>
      <c r="D261" s="37" t="n">
        <v>26</v>
      </c>
      <c r="E261" s="36" t="inlineStr">
        <is>
          <t>y</t>
        </is>
      </c>
      <c r="F261" s="36" t="inlineStr">
        <is>
          <t>Round 3</t>
        </is>
      </c>
    </row>
    <row r="262">
      <c r="A262" s="81" t="inlineStr">
        <is>
          <t>J. Walker</t>
        </is>
      </c>
      <c r="B262" s="36" t="inlineStr">
        <is>
          <t>England</t>
        </is>
      </c>
      <c r="C262" s="36" t="inlineStr">
        <is>
          <t>Hooker</t>
        </is>
      </c>
      <c r="D262" s="37" t="n">
        <v>1</v>
      </c>
      <c r="E262" s="36" t="inlineStr">
        <is>
          <t>y</t>
        </is>
      </c>
      <c r="F262" s="36" t="inlineStr">
        <is>
          <t>Round 3</t>
        </is>
      </c>
    </row>
    <row r="263">
      <c r="A263" s="81" t="inlineStr">
        <is>
          <t>M. Jalibert</t>
        </is>
      </c>
      <c r="B263" s="36" t="inlineStr">
        <is>
          <t>France</t>
        </is>
      </c>
      <c r="C263" s="36" t="inlineStr">
        <is>
          <t>Fly Half</t>
        </is>
      </c>
      <c r="D263" s="37" t="n">
        <v>11</v>
      </c>
      <c r="E263" s="36" t="inlineStr">
        <is>
          <t>y</t>
        </is>
      </c>
      <c r="F263" s="36" t="inlineStr">
        <is>
          <t>Round 3</t>
        </is>
      </c>
    </row>
    <row r="264">
      <c r="A264" s="81" t="inlineStr">
        <is>
          <t>R. Ntamack</t>
        </is>
      </c>
      <c r="B264" s="36" t="inlineStr">
        <is>
          <t>France</t>
        </is>
      </c>
      <c r="C264" s="36" t="inlineStr">
        <is>
          <t>Fly Half</t>
        </is>
      </c>
      <c r="D264" s="37" t="n">
        <v>69</v>
      </c>
      <c r="F264" s="36" t="inlineStr">
        <is>
          <t>Round 3</t>
        </is>
      </c>
    </row>
    <row r="265">
      <c r="A265" s="81" t="inlineStr">
        <is>
          <t>G. Alldritt</t>
        </is>
      </c>
      <c r="B265" s="36" t="inlineStr">
        <is>
          <t>France</t>
        </is>
      </c>
      <c r="C265" s="36" t="inlineStr">
        <is>
          <t>Back Row</t>
        </is>
      </c>
      <c r="D265" s="37" t="n">
        <v>12</v>
      </c>
      <c r="F265" s="36" t="inlineStr">
        <is>
          <t>Round 3</t>
        </is>
      </c>
    </row>
    <row r="266">
      <c r="A266" s="81" t="inlineStr">
        <is>
          <t>F. Cros</t>
        </is>
      </c>
      <c r="B266" s="36" t="inlineStr">
        <is>
          <t>France</t>
        </is>
      </c>
      <c r="C266" s="36" t="inlineStr">
        <is>
          <t>Back Row</t>
        </is>
      </c>
      <c r="D266" s="37" t="n">
        <v>63</v>
      </c>
      <c r="E266" s="36" t="inlineStr">
        <is>
          <t>y</t>
        </is>
      </c>
      <c r="F266" s="36" t="inlineStr">
        <is>
          <t>Round 3</t>
        </is>
      </c>
    </row>
    <row r="267">
      <c r="A267" s="81" t="inlineStr">
        <is>
          <t>A. Jelonch</t>
        </is>
      </c>
      <c r="B267" s="36" t="inlineStr">
        <is>
          <t>France</t>
        </is>
      </c>
      <c r="C267" s="36" t="inlineStr">
        <is>
          <t>Back Row</t>
        </is>
      </c>
      <c r="D267" s="37" t="n">
        <v>17</v>
      </c>
      <c r="F267" s="36" t="inlineStr">
        <is>
          <t>Round 3</t>
        </is>
      </c>
    </row>
    <row r="268">
      <c r="A268" s="81" t="inlineStr">
        <is>
          <t>R. Taofifenua</t>
        </is>
      </c>
      <c r="B268" s="36" t="inlineStr">
        <is>
          <t>France</t>
        </is>
      </c>
      <c r="C268" s="36" t="inlineStr">
        <is>
          <t>Second Row</t>
        </is>
      </c>
      <c r="D268" s="37" t="n">
        <v>27</v>
      </c>
      <c r="E268" s="36" t="inlineStr">
        <is>
          <t>y</t>
        </is>
      </c>
      <c r="F268" s="36" t="inlineStr">
        <is>
          <t>Round 3</t>
        </is>
      </c>
    </row>
    <row r="269">
      <c r="A269" s="81" t="inlineStr">
        <is>
          <t>P. Willemse</t>
        </is>
      </c>
      <c r="B269" s="36" t="inlineStr">
        <is>
          <t>France</t>
        </is>
      </c>
      <c r="C269" s="36" t="inlineStr">
        <is>
          <t>Second Row</t>
        </is>
      </c>
      <c r="D269" s="37" t="n">
        <v>53</v>
      </c>
      <c r="F269" s="36" t="inlineStr">
        <is>
          <t>Round 3</t>
        </is>
      </c>
    </row>
    <row r="270">
      <c r="A270" s="81" t="inlineStr">
        <is>
          <t>C. Baille</t>
        </is>
      </c>
      <c r="B270" s="36" t="inlineStr">
        <is>
          <t>France</t>
        </is>
      </c>
      <c r="C270" s="36" t="inlineStr">
        <is>
          <t>Prop</t>
        </is>
      </c>
      <c r="D270" s="37" t="n">
        <v>63</v>
      </c>
      <c r="F270" s="36" t="inlineStr">
        <is>
          <t>Round 3</t>
        </is>
      </c>
    </row>
    <row r="271">
      <c r="A271" s="81" t="inlineStr">
        <is>
          <t>S. Falatea</t>
        </is>
      </c>
      <c r="B271" s="36" t="inlineStr">
        <is>
          <t>France</t>
        </is>
      </c>
      <c r="C271" s="36" t="inlineStr">
        <is>
          <t>Prop</t>
        </is>
      </c>
      <c r="D271" s="37" t="n">
        <v>68</v>
      </c>
      <c r="E271" s="36" t="inlineStr">
        <is>
          <t>y</t>
        </is>
      </c>
      <c r="F271" s="36" t="inlineStr">
        <is>
          <t>Round 3</t>
        </is>
      </c>
    </row>
    <row r="272">
      <c r="A272" s="81" t="inlineStr">
        <is>
          <t>M. Haouas</t>
        </is>
      </c>
      <c r="B272" s="36" t="inlineStr">
        <is>
          <t>France</t>
        </is>
      </c>
      <c r="C272" s="36" t="inlineStr">
        <is>
          <t>Prop</t>
        </is>
      </c>
      <c r="D272" s="37" t="n">
        <v>11</v>
      </c>
      <c r="F272" s="36" t="inlineStr">
        <is>
          <t>Round 3</t>
        </is>
      </c>
    </row>
    <row r="273">
      <c r="A273" s="81" t="inlineStr">
        <is>
          <t>R. Wardi</t>
        </is>
      </c>
      <c r="B273" s="36" t="inlineStr">
        <is>
          <t>France</t>
        </is>
      </c>
      <c r="C273" s="36" t="inlineStr">
        <is>
          <t>Prop</t>
        </is>
      </c>
      <c r="D273" s="37" t="n">
        <v>17</v>
      </c>
      <c r="E273" s="36" t="inlineStr">
        <is>
          <t>y</t>
        </is>
      </c>
      <c r="F273" s="36" t="inlineStr">
        <is>
          <t>Round 3</t>
        </is>
      </c>
    </row>
    <row r="274">
      <c r="A274" s="81" t="inlineStr">
        <is>
          <t>G. Barlot</t>
        </is>
      </c>
      <c r="B274" s="36" t="inlineStr">
        <is>
          <t>France</t>
        </is>
      </c>
      <c r="C274" s="36" t="inlineStr">
        <is>
          <t>Hooker</t>
        </is>
      </c>
      <c r="D274" s="37" t="n">
        <v>11</v>
      </c>
      <c r="E274" s="36" t="inlineStr">
        <is>
          <t>y</t>
        </is>
      </c>
      <c r="F274" s="36" t="inlineStr">
        <is>
          <t>Round 3</t>
        </is>
      </c>
    </row>
    <row r="275">
      <c r="A275" s="81" t="inlineStr">
        <is>
          <t>J. Marchand</t>
        </is>
      </c>
      <c r="B275" s="36" t="inlineStr">
        <is>
          <t>France</t>
        </is>
      </c>
      <c r="C275" s="36" t="inlineStr">
        <is>
          <t>Hooker</t>
        </is>
      </c>
      <c r="D275" s="37" t="n">
        <v>69</v>
      </c>
      <c r="F275" s="36" t="inlineStr">
        <is>
          <t>Round 3</t>
        </is>
      </c>
    </row>
    <row r="276">
      <c r="A276" s="81" t="inlineStr">
        <is>
          <t>B. Kinghorn</t>
        </is>
      </c>
      <c r="B276" s="36" t="inlineStr">
        <is>
          <t>Scotland</t>
        </is>
      </c>
      <c r="C276" s="36" t="inlineStr">
        <is>
          <t>Back Three</t>
        </is>
      </c>
      <c r="D276" s="37" t="n">
        <v>11</v>
      </c>
      <c r="E276" s="36" t="inlineStr">
        <is>
          <t>y</t>
        </is>
      </c>
      <c r="F276" s="36" t="inlineStr">
        <is>
          <t>Round 3</t>
        </is>
      </c>
    </row>
    <row r="277">
      <c r="A277" s="81" t="inlineStr">
        <is>
          <t>K. Steyn</t>
        </is>
      </c>
      <c r="B277" s="36" t="inlineStr">
        <is>
          <t>Scotland</t>
        </is>
      </c>
      <c r="C277" s="36" t="inlineStr">
        <is>
          <t>Back Three</t>
        </is>
      </c>
      <c r="D277" s="37" t="n">
        <v>69</v>
      </c>
      <c r="F277" s="36" t="inlineStr">
        <is>
          <t>Round 3</t>
        </is>
      </c>
    </row>
    <row r="278">
      <c r="A278" s="81" t="inlineStr">
        <is>
          <t>A. Price</t>
        </is>
      </c>
      <c r="B278" s="36" t="inlineStr">
        <is>
          <t>Scotland</t>
        </is>
      </c>
      <c r="C278" s="36" t="inlineStr">
        <is>
          <t>Scrum Half</t>
        </is>
      </c>
      <c r="D278" s="37" t="n">
        <v>23</v>
      </c>
      <c r="E278" s="36" t="inlineStr">
        <is>
          <t>y</t>
        </is>
      </c>
      <c r="F278" s="36" t="inlineStr">
        <is>
          <t>Round 3</t>
        </is>
      </c>
    </row>
    <row r="279">
      <c r="A279" s="81" t="inlineStr">
        <is>
          <t>B. White</t>
        </is>
      </c>
      <c r="B279" s="36" t="inlineStr">
        <is>
          <t>Scotland</t>
        </is>
      </c>
      <c r="C279" s="36" t="inlineStr">
        <is>
          <t>Scrum Half</t>
        </is>
      </c>
      <c r="D279" s="37" t="n">
        <v>57</v>
      </c>
      <c r="F279" s="36" t="inlineStr">
        <is>
          <t>Round 3</t>
        </is>
      </c>
    </row>
    <row r="280">
      <c r="A280" s="81" t="inlineStr">
        <is>
          <t>J. Dempsey</t>
        </is>
      </c>
      <c r="B280" s="36" t="inlineStr">
        <is>
          <t>Scotland</t>
        </is>
      </c>
      <c r="C280" s="36" t="inlineStr">
        <is>
          <t>Back Row</t>
        </is>
      </c>
      <c r="D280" s="37" t="n">
        <v>23</v>
      </c>
      <c r="E280" s="36" t="inlineStr">
        <is>
          <t>y</t>
        </is>
      </c>
      <c r="F280" s="36" t="inlineStr">
        <is>
          <t>Round 3</t>
        </is>
      </c>
    </row>
    <row r="281">
      <c r="A281" s="81" t="inlineStr">
        <is>
          <t>M. Fagerson</t>
        </is>
      </c>
      <c r="B281" s="36" t="inlineStr">
        <is>
          <t>Scotland</t>
        </is>
      </c>
      <c r="C281" s="36" t="inlineStr">
        <is>
          <t>Back Row</t>
        </is>
      </c>
      <c r="D281" s="37" t="n">
        <v>57</v>
      </c>
      <c r="F281" s="36" t="inlineStr">
        <is>
          <t>Round 3</t>
        </is>
      </c>
    </row>
    <row r="282">
      <c r="A282" s="81" t="inlineStr">
        <is>
          <t>S. Skinner</t>
        </is>
      </c>
      <c r="B282" s="36" t="inlineStr">
        <is>
          <t>Scotland</t>
        </is>
      </c>
      <c r="C282" s="36" t="inlineStr">
        <is>
          <t>Back Row</t>
        </is>
      </c>
      <c r="D282" s="37" t="n">
        <v>9</v>
      </c>
      <c r="E282" s="36" t="inlineStr">
        <is>
          <t>y</t>
        </is>
      </c>
      <c r="F282" s="36" t="inlineStr">
        <is>
          <t>Round 3</t>
        </is>
      </c>
    </row>
    <row r="283">
      <c r="A283" s="81" t="inlineStr">
        <is>
          <t>H. Watson</t>
        </is>
      </c>
      <c r="B283" s="36" t="inlineStr">
        <is>
          <t>Scotland</t>
        </is>
      </c>
      <c r="C283" s="36" t="inlineStr">
        <is>
          <t>Back Row</t>
        </is>
      </c>
      <c r="D283" s="37" t="n">
        <v>10</v>
      </c>
      <c r="F283" s="36" t="inlineStr">
        <is>
          <t>Round 3</t>
        </is>
      </c>
    </row>
    <row r="284">
      <c r="A284" s="81" t="inlineStr">
        <is>
          <t>G. Gilchrist</t>
        </is>
      </c>
      <c r="B284" s="36" t="inlineStr">
        <is>
          <t>Scotland</t>
        </is>
      </c>
      <c r="C284" s="36" t="inlineStr">
        <is>
          <t>Second Row</t>
        </is>
      </c>
      <c r="D284" s="37" t="n">
        <v>7</v>
      </c>
      <c r="F284" s="36" t="inlineStr">
        <is>
          <t>Round 3</t>
        </is>
      </c>
    </row>
    <row r="285">
      <c r="A285" s="81" t="inlineStr">
        <is>
          <t>J. Gray</t>
        </is>
      </c>
      <c r="B285" s="36" t="inlineStr">
        <is>
          <t>Scotland</t>
        </is>
      </c>
      <c r="C285" s="36" t="inlineStr">
        <is>
          <t>Second Row</t>
        </is>
      </c>
      <c r="D285" s="37" t="n">
        <v>70</v>
      </c>
      <c r="E285" s="36" t="inlineStr">
        <is>
          <t>y</t>
        </is>
      </c>
      <c r="F285" s="36" t="inlineStr">
        <is>
          <t>Round 3</t>
        </is>
      </c>
    </row>
    <row r="286">
      <c r="A286" s="81" t="inlineStr">
        <is>
          <t>R. Gray</t>
        </is>
      </c>
      <c r="B286" s="36" t="inlineStr">
        <is>
          <t>Scotland</t>
        </is>
      </c>
      <c r="C286" s="36" t="inlineStr">
        <is>
          <t>Second Row</t>
        </is>
      </c>
      <c r="D286" s="37" t="n">
        <v>71</v>
      </c>
      <c r="E286" s="36" t="n"/>
      <c r="F286" s="36" t="inlineStr">
        <is>
          <t>Round 3</t>
        </is>
      </c>
    </row>
    <row r="287">
      <c r="A287" s="81" t="inlineStr">
        <is>
          <t>J. Bhatti</t>
        </is>
      </c>
      <c r="B287" s="36" t="inlineStr">
        <is>
          <t>Scotland</t>
        </is>
      </c>
      <c r="C287" s="36" t="inlineStr">
        <is>
          <t>Prop</t>
        </is>
      </c>
      <c r="D287" s="37" t="n">
        <v>17</v>
      </c>
      <c r="E287" s="36" t="inlineStr">
        <is>
          <t>y</t>
        </is>
      </c>
      <c r="F287" s="36" t="inlineStr">
        <is>
          <t>Round 3</t>
        </is>
      </c>
    </row>
    <row r="288">
      <c r="A288" s="81" t="inlineStr">
        <is>
          <t>Z. Fagerson</t>
        </is>
      </c>
      <c r="B288" s="36" t="inlineStr">
        <is>
          <t>Scotland</t>
        </is>
      </c>
      <c r="C288" s="36" t="inlineStr">
        <is>
          <t>Prop</t>
        </is>
      </c>
      <c r="D288" s="37" t="n">
        <v>63</v>
      </c>
      <c r="F288" s="36" t="inlineStr">
        <is>
          <t>Round 3</t>
        </is>
      </c>
    </row>
    <row r="289">
      <c r="A289" s="81" t="inlineStr">
        <is>
          <t>W. Nel</t>
        </is>
      </c>
      <c r="B289" s="36" t="inlineStr">
        <is>
          <t>Scotland</t>
        </is>
      </c>
      <c r="C289" s="36" t="inlineStr">
        <is>
          <t>Prop</t>
        </is>
      </c>
      <c r="D289" s="37" t="n">
        <v>17</v>
      </c>
      <c r="E289" s="36" t="inlineStr">
        <is>
          <t>y</t>
        </is>
      </c>
      <c r="F289" s="36" t="inlineStr">
        <is>
          <t>Round 3</t>
        </is>
      </c>
    </row>
    <row r="290">
      <c r="A290" s="81" t="inlineStr">
        <is>
          <t>P. Schoeman</t>
        </is>
      </c>
      <c r="B290" s="36" t="inlineStr">
        <is>
          <t>Scotland</t>
        </is>
      </c>
      <c r="C290" s="36" t="inlineStr">
        <is>
          <t>Prop</t>
        </is>
      </c>
      <c r="D290" s="37" t="n">
        <v>63</v>
      </c>
      <c r="F290" s="36" t="inlineStr">
        <is>
          <t>Round 3</t>
        </is>
      </c>
    </row>
    <row r="291">
      <c r="A291" s="81" t="inlineStr">
        <is>
          <t>F. Brown</t>
        </is>
      </c>
      <c r="B291" s="36" t="inlineStr">
        <is>
          <t>Scotland</t>
        </is>
      </c>
      <c r="C291" s="36" t="inlineStr">
        <is>
          <t>Hooker</t>
        </is>
      </c>
      <c r="D291" s="37" t="n">
        <v>17</v>
      </c>
      <c r="E291" s="36" t="inlineStr">
        <is>
          <t>y</t>
        </is>
      </c>
      <c r="F291" s="36" t="inlineStr">
        <is>
          <t>Round 3</t>
        </is>
      </c>
    </row>
    <row r="292" ht="16" customHeight="1" thickBot="1">
      <c r="A292" s="82" t="inlineStr">
        <is>
          <t>G. Turner</t>
        </is>
      </c>
      <c r="B292" s="75" t="inlineStr">
        <is>
          <t>Scotland</t>
        </is>
      </c>
      <c r="C292" s="75" t="inlineStr">
        <is>
          <t>Hooker</t>
        </is>
      </c>
      <c r="D292" s="79" t="n">
        <v>63</v>
      </c>
      <c r="F292" s="36" t="inlineStr">
        <is>
          <t>Round 3</t>
        </is>
      </c>
    </row>
    <row r="294" ht="16" customHeight="1" thickBot="1"/>
    <row r="295" ht="16" customHeight="1" thickBot="1">
      <c r="A295" s="39" t="inlineStr">
        <is>
          <t>Name</t>
        </is>
      </c>
      <c r="B295" s="40" t="inlineStr">
        <is>
          <t>Nation</t>
        </is>
      </c>
      <c r="C295" s="40" t="inlineStr">
        <is>
          <t>Position</t>
        </is>
      </c>
      <c r="D295" s="40" t="inlineStr">
        <is>
          <t>Time Played</t>
        </is>
      </c>
    </row>
    <row r="296">
      <c r="A296" s="36" t="inlineStr">
        <is>
          <t>P. Bruno</t>
        </is>
      </c>
      <c r="B296" s="36" t="inlineStr">
        <is>
          <t>Italy</t>
        </is>
      </c>
      <c r="C296" s="36" t="inlineStr">
        <is>
          <t>Back Three</t>
        </is>
      </c>
      <c r="D296" s="37" t="n">
        <v>69</v>
      </c>
      <c r="F296" s="36" t="inlineStr">
        <is>
          <t>Round 4</t>
        </is>
      </c>
    </row>
    <row r="297">
      <c r="A297" s="36" t="inlineStr">
        <is>
          <t>A. Fusco</t>
        </is>
      </c>
      <c r="B297" s="36" t="inlineStr">
        <is>
          <t>Italy</t>
        </is>
      </c>
      <c r="C297" s="36" t="inlineStr">
        <is>
          <t>Back Three</t>
        </is>
      </c>
      <c r="D297" s="37" t="n">
        <v>24</v>
      </c>
      <c r="E297" s="36" t="inlineStr">
        <is>
          <t>y</t>
        </is>
      </c>
      <c r="F297" s="36" t="inlineStr">
        <is>
          <t>Round 4</t>
        </is>
      </c>
    </row>
    <row r="298">
      <c r="A298" s="36" t="inlineStr">
        <is>
          <t>T. Menoncello</t>
        </is>
      </c>
      <c r="B298" s="36" t="inlineStr">
        <is>
          <t>Italy</t>
        </is>
      </c>
      <c r="C298" s="36" t="inlineStr">
        <is>
          <t>Back Three</t>
        </is>
      </c>
      <c r="D298" s="37" t="n">
        <v>59</v>
      </c>
      <c r="F298" s="36" t="inlineStr">
        <is>
          <t>Round 4</t>
        </is>
      </c>
    </row>
    <row r="299">
      <c r="A299" s="36" t="inlineStr">
        <is>
          <t>L. Morisi</t>
        </is>
      </c>
      <c r="B299" s="36" t="inlineStr">
        <is>
          <t>Italy</t>
        </is>
      </c>
      <c r="C299" s="36" t="inlineStr">
        <is>
          <t>Centre</t>
        </is>
      </c>
      <c r="D299" s="37" t="n">
        <v>21</v>
      </c>
      <c r="E299" s="36" t="inlineStr">
        <is>
          <t>y</t>
        </is>
      </c>
      <c r="F299" s="36" t="inlineStr">
        <is>
          <t>Round 4</t>
        </is>
      </c>
    </row>
    <row r="300">
      <c r="A300" s="36" t="inlineStr">
        <is>
          <t>S. Varney</t>
        </is>
      </c>
      <c r="B300" s="36" t="inlineStr">
        <is>
          <t>Italy</t>
        </is>
      </c>
      <c r="C300" s="36" t="inlineStr">
        <is>
          <t>Scrum Half</t>
        </is>
      </c>
      <c r="D300" s="37" t="n">
        <v>56</v>
      </c>
      <c r="F300" s="36" t="inlineStr">
        <is>
          <t>Round 4</t>
        </is>
      </c>
    </row>
    <row r="301">
      <c r="A301" s="36" t="inlineStr">
        <is>
          <t>E. Iachizzi</t>
        </is>
      </c>
      <c r="B301" s="36" t="inlineStr">
        <is>
          <t>Italy</t>
        </is>
      </c>
      <c r="C301" s="36" t="inlineStr">
        <is>
          <t>Back Row</t>
        </is>
      </c>
      <c r="D301" s="37" t="n">
        <v>20</v>
      </c>
      <c r="E301" s="36" t="inlineStr">
        <is>
          <t>y</t>
        </is>
      </c>
      <c r="F301" s="36" t="inlineStr">
        <is>
          <t>Round 4</t>
        </is>
      </c>
    </row>
    <row r="302">
      <c r="A302" s="36" t="inlineStr">
        <is>
          <t>M. Lamaro</t>
        </is>
      </c>
      <c r="B302" s="36" t="inlineStr">
        <is>
          <t>Italy</t>
        </is>
      </c>
      <c r="C302" s="36" t="inlineStr">
        <is>
          <t>Back Row</t>
        </is>
      </c>
      <c r="D302" s="37" t="n">
        <v>77</v>
      </c>
      <c r="F302" s="36" t="inlineStr">
        <is>
          <t>Round 4</t>
        </is>
      </c>
    </row>
    <row r="303">
      <c r="A303" s="36" t="inlineStr">
        <is>
          <t>S. Negri</t>
        </is>
      </c>
      <c r="B303" s="36" t="inlineStr">
        <is>
          <t>Italy</t>
        </is>
      </c>
      <c r="C303" s="36" t="inlineStr">
        <is>
          <t>Back Row</t>
        </is>
      </c>
      <c r="D303" s="37" t="n">
        <v>52</v>
      </c>
      <c r="F303" s="36" t="inlineStr">
        <is>
          <t>Round 4</t>
        </is>
      </c>
    </row>
    <row r="304">
      <c r="A304" s="36" t="inlineStr">
        <is>
          <t>G. Pettinelli</t>
        </is>
      </c>
      <c r="B304" s="36" t="inlineStr">
        <is>
          <t>Italy</t>
        </is>
      </c>
      <c r="C304" s="36" t="inlineStr">
        <is>
          <t>Back Row</t>
        </is>
      </c>
      <c r="D304" s="37" t="n">
        <v>3</v>
      </c>
      <c r="E304" s="36" t="inlineStr">
        <is>
          <t>y</t>
        </is>
      </c>
      <c r="F304" s="36" t="inlineStr">
        <is>
          <t>Round 4</t>
        </is>
      </c>
    </row>
    <row r="305">
      <c r="A305" s="36" t="inlineStr">
        <is>
          <t>N. Cannone</t>
        </is>
      </c>
      <c r="B305" s="36" t="inlineStr">
        <is>
          <t>Italy</t>
        </is>
      </c>
      <c r="C305" s="36" t="inlineStr">
        <is>
          <t>Second Row</t>
        </is>
      </c>
      <c r="D305" s="37" t="n">
        <v>60</v>
      </c>
      <c r="F305" s="36" t="inlineStr">
        <is>
          <t>Round 4</t>
        </is>
      </c>
    </row>
    <row r="306">
      <c r="A306" s="36" t="inlineStr">
        <is>
          <t>L. Cannone</t>
        </is>
      </c>
      <c r="B306" s="36" t="inlineStr">
        <is>
          <t>Italy</t>
        </is>
      </c>
      <c r="C306" s="36" t="inlineStr">
        <is>
          <t>Second Row</t>
        </is>
      </c>
      <c r="D306" s="37" t="n">
        <v>71</v>
      </c>
      <c r="F306" s="36" t="inlineStr">
        <is>
          <t>Round 4</t>
        </is>
      </c>
    </row>
    <row r="307">
      <c r="A307" s="36" t="inlineStr">
        <is>
          <t>M. Zuliani</t>
        </is>
      </c>
      <c r="B307" s="36" t="inlineStr">
        <is>
          <t>Italy</t>
        </is>
      </c>
      <c r="C307" s="36" t="inlineStr">
        <is>
          <t>Second Row</t>
        </is>
      </c>
      <c r="D307" s="37" t="n">
        <v>28</v>
      </c>
      <c r="E307" s="36" t="inlineStr">
        <is>
          <t>y</t>
        </is>
      </c>
      <c r="F307" s="36" t="inlineStr">
        <is>
          <t>Round 4</t>
        </is>
      </c>
    </row>
    <row r="308">
      <c r="A308" s="36" t="inlineStr">
        <is>
          <t>S. Ferrari</t>
        </is>
      </c>
      <c r="B308" s="36" t="inlineStr">
        <is>
          <t>Italy</t>
        </is>
      </c>
      <c r="C308" s="36" t="inlineStr">
        <is>
          <t>Prop</t>
        </is>
      </c>
      <c r="D308" s="37" t="n">
        <v>42</v>
      </c>
      <c r="F308" s="36" t="inlineStr">
        <is>
          <t>Round 4</t>
        </is>
      </c>
    </row>
    <row r="309">
      <c r="A309" s="36" t="inlineStr">
        <is>
          <t>D. Fischetti</t>
        </is>
      </c>
      <c r="B309" s="36" t="inlineStr">
        <is>
          <t>Italy</t>
        </is>
      </c>
      <c r="C309" s="36" t="inlineStr">
        <is>
          <t>Prop</t>
        </is>
      </c>
      <c r="D309" s="37" t="n">
        <v>62</v>
      </c>
      <c r="F309" s="36" t="inlineStr">
        <is>
          <t>Round 4</t>
        </is>
      </c>
    </row>
    <row r="310">
      <c r="A310" s="36" t="inlineStr">
        <is>
          <t>M. Riccioni</t>
        </is>
      </c>
      <c r="B310" s="36" t="inlineStr">
        <is>
          <t>Italy</t>
        </is>
      </c>
      <c r="C310" s="36" t="inlineStr">
        <is>
          <t>Prop</t>
        </is>
      </c>
      <c r="D310" s="37" t="n">
        <v>38</v>
      </c>
      <c r="E310" s="36" t="inlineStr">
        <is>
          <t>y</t>
        </is>
      </c>
      <c r="F310" s="36" t="inlineStr">
        <is>
          <t>Round 4</t>
        </is>
      </c>
    </row>
    <row r="311">
      <c r="A311" s="36" t="inlineStr">
        <is>
          <t>F. Zani</t>
        </is>
      </c>
      <c r="B311" s="36" t="inlineStr">
        <is>
          <t>Italy</t>
        </is>
      </c>
      <c r="C311" s="36" t="inlineStr">
        <is>
          <t>Prop</t>
        </is>
      </c>
      <c r="D311" s="37" t="n">
        <v>18</v>
      </c>
      <c r="E311" s="36" t="inlineStr">
        <is>
          <t>y</t>
        </is>
      </c>
      <c r="F311" s="36" t="inlineStr">
        <is>
          <t>Round 4</t>
        </is>
      </c>
    </row>
    <row r="312">
      <c r="A312" s="36" t="inlineStr">
        <is>
          <t>L. Bigi</t>
        </is>
      </c>
      <c r="B312" s="36" t="inlineStr">
        <is>
          <t>Italy</t>
        </is>
      </c>
      <c r="C312" s="36" t="inlineStr">
        <is>
          <t>Hooker</t>
        </is>
      </c>
      <c r="D312" s="37" t="n">
        <v>28</v>
      </c>
      <c r="E312" s="36" t="inlineStr">
        <is>
          <t>y</t>
        </is>
      </c>
      <c r="F312" s="36" t="inlineStr">
        <is>
          <t>Round 4</t>
        </is>
      </c>
    </row>
    <row r="313">
      <c r="A313" s="36" t="inlineStr">
        <is>
          <t>G. Nicotera</t>
        </is>
      </c>
      <c r="B313" s="36" t="inlineStr">
        <is>
          <t>Italy</t>
        </is>
      </c>
      <c r="C313" s="36" t="inlineStr">
        <is>
          <t>Hooker</t>
        </is>
      </c>
      <c r="D313" s="37" t="n">
        <v>52</v>
      </c>
      <c r="F313" s="36" t="inlineStr">
        <is>
          <t>Round 4</t>
        </is>
      </c>
    </row>
    <row r="314">
      <c r="A314" s="36" t="inlineStr">
        <is>
          <t>J. Adams</t>
        </is>
      </c>
      <c r="B314" s="36" t="inlineStr">
        <is>
          <t>Wales</t>
        </is>
      </c>
      <c r="C314" s="36" t="inlineStr">
        <is>
          <t>Back Three</t>
        </is>
      </c>
      <c r="D314" s="37" t="n">
        <v>51</v>
      </c>
      <c r="F314" s="36" t="inlineStr">
        <is>
          <t>Round 4</t>
        </is>
      </c>
    </row>
    <row r="315">
      <c r="A315" s="36" t="inlineStr">
        <is>
          <t>L. Rees-Zammit</t>
        </is>
      </c>
      <c r="B315" s="36" t="inlineStr">
        <is>
          <t>Wales</t>
        </is>
      </c>
      <c r="C315" s="36" t="inlineStr">
        <is>
          <t>Back Three</t>
        </is>
      </c>
      <c r="D315" s="37" t="n">
        <v>29</v>
      </c>
      <c r="E315" s="36" t="inlineStr">
        <is>
          <t>y</t>
        </is>
      </c>
      <c r="F315" s="36" t="inlineStr">
        <is>
          <t>Round 4</t>
        </is>
      </c>
    </row>
    <row r="316">
      <c r="A316" s="36" t="inlineStr">
        <is>
          <t>L. Williams</t>
        </is>
      </c>
      <c r="B316" s="36" t="inlineStr">
        <is>
          <t>Wales</t>
        </is>
      </c>
      <c r="C316" s="36" t="inlineStr">
        <is>
          <t>Back Three</t>
        </is>
      </c>
      <c r="D316" s="37" t="n">
        <v>62</v>
      </c>
      <c r="F316" s="36" t="inlineStr">
        <is>
          <t>Round 4</t>
        </is>
      </c>
    </row>
    <row r="317">
      <c r="A317" s="36" t="inlineStr">
        <is>
          <t>G. North</t>
        </is>
      </c>
      <c r="B317" s="36" t="inlineStr">
        <is>
          <t>Wales</t>
        </is>
      </c>
      <c r="C317" s="36" t="inlineStr">
        <is>
          <t>Centre</t>
        </is>
      </c>
      <c r="D317" s="37" t="n">
        <v>18</v>
      </c>
      <c r="E317" s="36" t="inlineStr">
        <is>
          <t>y</t>
        </is>
      </c>
      <c r="F317" s="36" t="inlineStr">
        <is>
          <t>Round 4</t>
        </is>
      </c>
    </row>
    <row r="318">
      <c r="A318" s="36" t="inlineStr">
        <is>
          <t>R. Webb</t>
        </is>
      </c>
      <c r="B318" s="36" t="inlineStr">
        <is>
          <t>Wales</t>
        </is>
      </c>
      <c r="C318" s="36" t="inlineStr">
        <is>
          <t>Scrum Half</t>
        </is>
      </c>
      <c r="D318" s="37" t="n">
        <v>54</v>
      </c>
      <c r="F318" s="36" t="inlineStr">
        <is>
          <t>Round 4</t>
        </is>
      </c>
    </row>
    <row r="319">
      <c r="A319" s="36" t="inlineStr">
        <is>
          <t>T. Williams</t>
        </is>
      </c>
      <c r="B319" s="36" t="inlineStr">
        <is>
          <t>Wales</t>
        </is>
      </c>
      <c r="C319" s="36" t="inlineStr">
        <is>
          <t>Scrum Half</t>
        </is>
      </c>
      <c r="D319" s="37" t="n">
        <v>26</v>
      </c>
      <c r="E319" s="36" t="inlineStr">
        <is>
          <t>y</t>
        </is>
      </c>
      <c r="F319" s="36" t="inlineStr">
        <is>
          <t>Round 4</t>
        </is>
      </c>
    </row>
    <row r="320">
      <c r="A320" s="36" t="inlineStr">
        <is>
          <t>J. Morgan</t>
        </is>
      </c>
      <c r="B320" s="36" t="inlineStr">
        <is>
          <t>Wales</t>
        </is>
      </c>
      <c r="C320" s="36" t="inlineStr">
        <is>
          <t>Back Row</t>
        </is>
      </c>
      <c r="D320" s="37" t="n">
        <v>60</v>
      </c>
      <c r="F320" s="36" t="inlineStr">
        <is>
          <t>Round 4</t>
        </is>
      </c>
    </row>
    <row r="321">
      <c r="A321" s="36" t="inlineStr">
        <is>
          <t>T. Reffell</t>
        </is>
      </c>
      <c r="B321" s="36" t="inlineStr">
        <is>
          <t>Wales</t>
        </is>
      </c>
      <c r="C321" s="36" t="inlineStr">
        <is>
          <t>Back Row</t>
        </is>
      </c>
      <c r="D321" s="37" t="n">
        <v>20</v>
      </c>
      <c r="E321" s="36" t="inlineStr">
        <is>
          <t>y</t>
        </is>
      </c>
      <c r="F321" s="36" t="inlineStr">
        <is>
          <t>Round 4</t>
        </is>
      </c>
    </row>
    <row r="322">
      <c r="A322" s="36" t="inlineStr">
        <is>
          <t>R. Davies</t>
        </is>
      </c>
      <c r="B322" s="36" t="inlineStr">
        <is>
          <t>Wales</t>
        </is>
      </c>
      <c r="C322" s="36" t="inlineStr">
        <is>
          <t>Second Row</t>
        </is>
      </c>
      <c r="D322" s="37" t="n">
        <v>11</v>
      </c>
      <c r="E322" s="36" t="inlineStr">
        <is>
          <t>y</t>
        </is>
      </c>
      <c r="F322" s="36" t="inlineStr">
        <is>
          <t>Round 4</t>
        </is>
      </c>
    </row>
    <row r="323">
      <c r="A323" s="36" t="inlineStr">
        <is>
          <t>D. Jenkins</t>
        </is>
      </c>
      <c r="B323" s="36" t="inlineStr">
        <is>
          <t>Wales</t>
        </is>
      </c>
      <c r="C323" s="36" t="inlineStr">
        <is>
          <t>Second Row</t>
        </is>
      </c>
      <c r="D323" s="37" t="n">
        <v>69</v>
      </c>
      <c r="F323" s="36" t="inlineStr">
        <is>
          <t>Round 4</t>
        </is>
      </c>
    </row>
    <row r="324">
      <c r="A324" s="36" t="inlineStr">
        <is>
          <t>T. Francis</t>
        </is>
      </c>
      <c r="B324" s="36" t="inlineStr">
        <is>
          <t>Wales</t>
        </is>
      </c>
      <c r="C324" s="36" t="inlineStr">
        <is>
          <t>Prop</t>
        </is>
      </c>
      <c r="D324" s="37" t="n">
        <v>53</v>
      </c>
      <c r="F324" s="36" t="inlineStr">
        <is>
          <t>Round 4</t>
        </is>
      </c>
    </row>
    <row r="325">
      <c r="A325" s="36" t="inlineStr">
        <is>
          <t>W. Jones</t>
        </is>
      </c>
      <c r="B325" s="36" t="inlineStr">
        <is>
          <t>Wales</t>
        </is>
      </c>
      <c r="C325" s="36" t="inlineStr">
        <is>
          <t>Prop</t>
        </is>
      </c>
      <c r="D325" s="37" t="n">
        <v>45</v>
      </c>
      <c r="F325" s="36" t="inlineStr">
        <is>
          <t>Round 4</t>
        </is>
      </c>
    </row>
    <row r="326">
      <c r="A326" s="36" t="inlineStr">
        <is>
          <t>D. Lewis</t>
        </is>
      </c>
      <c r="B326" s="36" t="inlineStr">
        <is>
          <t>Wales</t>
        </is>
      </c>
      <c r="C326" s="36" t="inlineStr">
        <is>
          <t>Prop</t>
        </is>
      </c>
      <c r="D326" s="37" t="n">
        <v>27</v>
      </c>
      <c r="E326" s="36" t="inlineStr">
        <is>
          <t>y</t>
        </is>
      </c>
      <c r="F326" s="36" t="inlineStr">
        <is>
          <t>Round 4</t>
        </is>
      </c>
    </row>
    <row r="327">
      <c r="A327" s="36" t="inlineStr">
        <is>
          <t>G. Thomas</t>
        </is>
      </c>
      <c r="B327" s="36" t="inlineStr">
        <is>
          <t>Wales</t>
        </is>
      </c>
      <c r="C327" s="36" t="inlineStr">
        <is>
          <t>Prop</t>
        </is>
      </c>
      <c r="D327" s="37" t="n">
        <v>35</v>
      </c>
      <c r="E327" s="36" t="inlineStr">
        <is>
          <t>y</t>
        </is>
      </c>
      <c r="F327" s="36" t="inlineStr">
        <is>
          <t>Round 4</t>
        </is>
      </c>
    </row>
    <row r="328">
      <c r="A328" s="36" t="inlineStr">
        <is>
          <t>S. Baldwin</t>
        </is>
      </c>
      <c r="B328" s="36" t="inlineStr">
        <is>
          <t>Wales</t>
        </is>
      </c>
      <c r="C328" s="36" t="inlineStr">
        <is>
          <t>Hooker</t>
        </is>
      </c>
      <c r="D328" s="37" t="n">
        <v>6</v>
      </c>
      <c r="E328" s="36" t="inlineStr">
        <is>
          <t>y</t>
        </is>
      </c>
      <c r="F328" s="36" t="inlineStr">
        <is>
          <t>Round 4</t>
        </is>
      </c>
    </row>
    <row r="329">
      <c r="A329" s="36" t="inlineStr">
        <is>
          <t>K. Owens</t>
        </is>
      </c>
      <c r="B329" s="36" t="inlineStr">
        <is>
          <t>Wales</t>
        </is>
      </c>
      <c r="C329" s="36" t="inlineStr">
        <is>
          <t>Hooker</t>
        </is>
      </c>
      <c r="D329" s="37" t="n">
        <v>74</v>
      </c>
      <c r="F329" s="36" t="inlineStr">
        <is>
          <t>Round 4</t>
        </is>
      </c>
    </row>
    <row r="330">
      <c r="A330" s="36" t="inlineStr">
        <is>
          <t>H. Arundell</t>
        </is>
      </c>
      <c r="B330" s="36" t="inlineStr">
        <is>
          <t>England</t>
        </is>
      </c>
      <c r="C330" s="36" t="inlineStr">
        <is>
          <t>Back Three</t>
        </is>
      </c>
      <c r="D330" s="37" t="n">
        <v>22</v>
      </c>
      <c r="E330" s="36" t="inlineStr">
        <is>
          <t>y</t>
        </is>
      </c>
      <c r="F330" s="36" t="inlineStr">
        <is>
          <t>Round 4</t>
        </is>
      </c>
    </row>
    <row r="331">
      <c r="A331" s="36" t="inlineStr">
        <is>
          <t>M. Malins</t>
        </is>
      </c>
      <c r="B331" s="36" t="inlineStr">
        <is>
          <t>England</t>
        </is>
      </c>
      <c r="C331" s="36" t="inlineStr">
        <is>
          <t>Back Three</t>
        </is>
      </c>
      <c r="D331" s="37" t="n">
        <v>58</v>
      </c>
      <c r="F331" s="36" t="inlineStr">
        <is>
          <t>Round 4</t>
        </is>
      </c>
    </row>
    <row r="332">
      <c r="A332" s="36" t="inlineStr">
        <is>
          <t>O. Farrell</t>
        </is>
      </c>
      <c r="B332" s="36" t="inlineStr">
        <is>
          <t>England</t>
        </is>
      </c>
      <c r="C332" s="36" t="inlineStr">
        <is>
          <t>Centre</t>
        </is>
      </c>
      <c r="D332" s="37" t="n">
        <v>34</v>
      </c>
      <c r="E332" s="36" t="inlineStr">
        <is>
          <t>y</t>
        </is>
      </c>
      <c r="F332" s="36" t="inlineStr">
        <is>
          <t>Round 4</t>
        </is>
      </c>
    </row>
    <row r="333">
      <c r="A333" s="36" t="inlineStr">
        <is>
          <t>O. Lawrence</t>
        </is>
      </c>
      <c r="B333" s="36" t="inlineStr">
        <is>
          <t>England</t>
        </is>
      </c>
      <c r="C333" s="36" t="inlineStr">
        <is>
          <t>Centre</t>
        </is>
      </c>
      <c r="D333" s="37" t="n">
        <v>61</v>
      </c>
      <c r="F333" s="36" t="inlineStr">
        <is>
          <t>Round 4</t>
        </is>
      </c>
    </row>
    <row r="334">
      <c r="A334" s="36" t="inlineStr">
        <is>
          <t>H. Slade</t>
        </is>
      </c>
      <c r="B334" s="36" t="inlineStr">
        <is>
          <t>England</t>
        </is>
      </c>
      <c r="C334" s="36" t="inlineStr">
        <is>
          <t>Centre</t>
        </is>
      </c>
      <c r="D334" s="37" t="n">
        <v>46</v>
      </c>
      <c r="F334" s="36" t="inlineStr">
        <is>
          <t>Round 4</t>
        </is>
      </c>
    </row>
    <row r="335">
      <c r="A335" s="36" t="inlineStr">
        <is>
          <t>A. Mitchell</t>
        </is>
      </c>
      <c r="B335" s="36" t="inlineStr">
        <is>
          <t>England</t>
        </is>
      </c>
      <c r="C335" s="36" t="inlineStr">
        <is>
          <t>Scrum Half</t>
        </is>
      </c>
      <c r="D335" s="37" t="n">
        <v>34</v>
      </c>
      <c r="E335" s="36" t="inlineStr">
        <is>
          <t>y</t>
        </is>
      </c>
      <c r="F335" s="36" t="inlineStr">
        <is>
          <t>Round 4</t>
        </is>
      </c>
    </row>
    <row r="336">
      <c r="A336" s="36" t="inlineStr">
        <is>
          <t>J. van Poortvliet</t>
        </is>
      </c>
      <c r="B336" s="36" t="inlineStr">
        <is>
          <t>England</t>
        </is>
      </c>
      <c r="C336" s="36" t="inlineStr">
        <is>
          <t>Scrum Half</t>
        </is>
      </c>
      <c r="D336" s="37" t="n">
        <v>46</v>
      </c>
      <c r="F336" s="36" t="inlineStr">
        <is>
          <t>Round 4</t>
        </is>
      </c>
    </row>
    <row r="337">
      <c r="A337" s="36" t="inlineStr">
        <is>
          <t>B. Curry</t>
        </is>
      </c>
      <c r="B337" s="36" t="inlineStr">
        <is>
          <t>England</t>
        </is>
      </c>
      <c r="C337" s="36" t="inlineStr">
        <is>
          <t>Back Row</t>
        </is>
      </c>
      <c r="D337" s="37" t="n">
        <v>27</v>
      </c>
      <c r="E337" s="36" t="inlineStr">
        <is>
          <t>y</t>
        </is>
      </c>
      <c r="F337" s="36" t="inlineStr">
        <is>
          <t>Round 4</t>
        </is>
      </c>
    </row>
    <row r="338">
      <c r="A338" s="36" t="inlineStr">
        <is>
          <t>A. Dombrandt</t>
        </is>
      </c>
      <c r="B338" s="36" t="inlineStr">
        <is>
          <t>England</t>
        </is>
      </c>
      <c r="C338" s="36" t="inlineStr">
        <is>
          <t>Back Row</t>
        </is>
      </c>
      <c r="D338" s="37" t="n">
        <v>75</v>
      </c>
      <c r="F338" s="36" t="inlineStr">
        <is>
          <t>Round 4</t>
        </is>
      </c>
    </row>
    <row r="339">
      <c r="A339" s="36" t="inlineStr">
        <is>
          <t>J. Willis</t>
        </is>
      </c>
      <c r="B339" s="36" t="inlineStr">
        <is>
          <t>England</t>
        </is>
      </c>
      <c r="C339" s="36" t="inlineStr">
        <is>
          <t>Back Row</t>
        </is>
      </c>
      <c r="D339" s="37" t="n">
        <v>53</v>
      </c>
      <c r="F339" s="36" t="inlineStr">
        <is>
          <t>Round 4</t>
        </is>
      </c>
    </row>
    <row r="340">
      <c r="A340" s="36" t="inlineStr">
        <is>
          <t>D. Ribbans</t>
        </is>
      </c>
      <c r="B340" s="36" t="inlineStr">
        <is>
          <t>England</t>
        </is>
      </c>
      <c r="C340" s="36" t="inlineStr">
        <is>
          <t>Second Row</t>
        </is>
      </c>
      <c r="D340" s="37" t="n">
        <v>5</v>
      </c>
      <c r="E340" s="36" t="inlineStr">
        <is>
          <t>y</t>
        </is>
      </c>
      <c r="F340" s="36" t="inlineStr">
        <is>
          <t>Round 4</t>
        </is>
      </c>
    </row>
    <row r="341">
      <c r="A341" s="36" t="inlineStr">
        <is>
          <t>D. Cole</t>
        </is>
      </c>
      <c r="B341" s="36" t="inlineStr">
        <is>
          <t>England</t>
        </is>
      </c>
      <c r="C341" s="36" t="inlineStr">
        <is>
          <t>Prop</t>
        </is>
      </c>
      <c r="D341" s="37" t="n">
        <v>15</v>
      </c>
      <c r="E341" s="36" t="inlineStr">
        <is>
          <t>y</t>
        </is>
      </c>
      <c r="F341" s="36" t="inlineStr">
        <is>
          <t>Round 4</t>
        </is>
      </c>
    </row>
    <row r="342">
      <c r="A342" s="36" t="inlineStr">
        <is>
          <t>E. Genge</t>
        </is>
      </c>
      <c r="B342" s="36" t="inlineStr">
        <is>
          <t>England</t>
        </is>
      </c>
      <c r="C342" s="36" t="inlineStr">
        <is>
          <t>Prop</t>
        </is>
      </c>
      <c r="D342" s="37" t="n">
        <v>65</v>
      </c>
      <c r="F342" s="36" t="inlineStr">
        <is>
          <t>Round 4</t>
        </is>
      </c>
    </row>
    <row r="343">
      <c r="A343" s="36" t="inlineStr">
        <is>
          <t>K. Sinckler</t>
        </is>
      </c>
      <c r="B343" s="36" t="inlineStr">
        <is>
          <t>England</t>
        </is>
      </c>
      <c r="C343" s="36" t="inlineStr">
        <is>
          <t>Prop</t>
        </is>
      </c>
      <c r="D343" s="37" t="n">
        <v>65</v>
      </c>
      <c r="F343" s="36" t="inlineStr">
        <is>
          <t>Round 4</t>
        </is>
      </c>
    </row>
    <row r="344">
      <c r="A344" s="36" t="inlineStr">
        <is>
          <t>M. Vunipola</t>
        </is>
      </c>
      <c r="B344" s="36" t="inlineStr">
        <is>
          <t>England</t>
        </is>
      </c>
      <c r="C344" s="36" t="inlineStr">
        <is>
          <t>Prop</t>
        </is>
      </c>
      <c r="D344" s="37" t="n">
        <v>15</v>
      </c>
      <c r="E344" s="36" t="inlineStr">
        <is>
          <t>y</t>
        </is>
      </c>
      <c r="F344" s="36" t="inlineStr">
        <is>
          <t>Round 4</t>
        </is>
      </c>
    </row>
    <row r="345">
      <c r="A345" s="36" t="inlineStr">
        <is>
          <t>J. Walker</t>
        </is>
      </c>
      <c r="B345" s="36" t="inlineStr">
        <is>
          <t>England</t>
        </is>
      </c>
      <c r="C345" s="36" t="inlineStr">
        <is>
          <t>Hooker</t>
        </is>
      </c>
      <c r="D345" s="37" t="n">
        <v>19</v>
      </c>
      <c r="E345" s="36" t="inlineStr">
        <is>
          <t>y</t>
        </is>
      </c>
      <c r="F345" s="36" t="inlineStr">
        <is>
          <t>Round 4</t>
        </is>
      </c>
    </row>
    <row r="346">
      <c r="A346" s="36" t="inlineStr">
        <is>
          <t>M. Jaminet</t>
        </is>
      </c>
      <c r="B346" s="36" t="inlineStr">
        <is>
          <t>France</t>
        </is>
      </c>
      <c r="C346" s="36" t="inlineStr">
        <is>
          <t>Back Three</t>
        </is>
      </c>
      <c r="D346" s="37" t="n">
        <v>7</v>
      </c>
      <c r="E346" s="36" t="inlineStr">
        <is>
          <t>y</t>
        </is>
      </c>
      <c r="F346" s="36" t="inlineStr">
        <is>
          <t>Round 4</t>
        </is>
      </c>
    </row>
    <row r="347">
      <c r="A347" s="36" t="inlineStr">
        <is>
          <t>J. Danty</t>
        </is>
      </c>
      <c r="B347" s="36" t="inlineStr">
        <is>
          <t>France</t>
        </is>
      </c>
      <c r="C347" s="36" t="inlineStr">
        <is>
          <t>Centre</t>
        </is>
      </c>
      <c r="D347" s="37" t="n">
        <v>65</v>
      </c>
      <c r="F347" s="36" t="inlineStr">
        <is>
          <t>Round 4</t>
        </is>
      </c>
    </row>
    <row r="348">
      <c r="A348" s="36" t="inlineStr">
        <is>
          <t>Y. Moefana</t>
        </is>
      </c>
      <c r="B348" s="36" t="inlineStr">
        <is>
          <t>France</t>
        </is>
      </c>
      <c r="C348" s="36" t="inlineStr">
        <is>
          <t>Centre</t>
        </is>
      </c>
      <c r="D348" s="37" t="n">
        <v>15</v>
      </c>
      <c r="E348" s="36" t="inlineStr">
        <is>
          <t>y</t>
        </is>
      </c>
      <c r="F348" s="36" t="inlineStr">
        <is>
          <t>Round 4</t>
        </is>
      </c>
    </row>
    <row r="349">
      <c r="A349" s="36" t="inlineStr">
        <is>
          <t>R. Ntamack</t>
        </is>
      </c>
      <c r="B349" s="36" t="inlineStr">
        <is>
          <t>France</t>
        </is>
      </c>
      <c r="C349" s="36" t="inlineStr">
        <is>
          <t>Fly Half</t>
        </is>
      </c>
      <c r="D349" s="37" t="n">
        <v>73</v>
      </c>
      <c r="F349" s="36" t="inlineStr">
        <is>
          <t>Round 4</t>
        </is>
      </c>
    </row>
    <row r="350">
      <c r="A350" s="36" t="inlineStr">
        <is>
          <t>A. Dupont</t>
        </is>
      </c>
      <c r="B350" s="36" t="inlineStr">
        <is>
          <t>France</t>
        </is>
      </c>
      <c r="C350" s="36" t="inlineStr">
        <is>
          <t>Scrum Half</t>
        </is>
      </c>
      <c r="D350" s="37" t="n">
        <v>69</v>
      </c>
      <c r="F350" s="36" t="inlineStr">
        <is>
          <t>Round 4</t>
        </is>
      </c>
    </row>
    <row r="351">
      <c r="A351" s="36" t="inlineStr">
        <is>
          <t>M. Lucu</t>
        </is>
      </c>
      <c r="B351" s="36" t="inlineStr">
        <is>
          <t>France</t>
        </is>
      </c>
      <c r="C351" s="36" t="inlineStr">
        <is>
          <t>Scrum Half</t>
        </is>
      </c>
      <c r="D351" s="37" t="n">
        <v>11</v>
      </c>
      <c r="E351" s="36" t="inlineStr">
        <is>
          <t>y</t>
        </is>
      </c>
      <c r="F351" s="36" t="inlineStr">
        <is>
          <t>Round 4</t>
        </is>
      </c>
    </row>
    <row r="352">
      <c r="A352" s="36" t="inlineStr">
        <is>
          <t>S. Macalou</t>
        </is>
      </c>
      <c r="B352" s="36" t="inlineStr">
        <is>
          <t>France</t>
        </is>
      </c>
      <c r="C352" s="36" t="inlineStr">
        <is>
          <t>Back Row</t>
        </is>
      </c>
      <c r="D352" s="37" t="n">
        <v>18</v>
      </c>
      <c r="E352" s="36" t="inlineStr">
        <is>
          <t>y</t>
        </is>
      </c>
      <c r="F352" s="36" t="inlineStr">
        <is>
          <t>Round 4</t>
        </is>
      </c>
    </row>
    <row r="353">
      <c r="A353" s="36" t="inlineStr">
        <is>
          <t>C. Ollivon</t>
        </is>
      </c>
      <c r="B353" s="36" t="inlineStr">
        <is>
          <t>France</t>
        </is>
      </c>
      <c r="C353" s="36" t="inlineStr">
        <is>
          <t>Back Row</t>
        </is>
      </c>
      <c r="D353" s="37" t="n">
        <v>62</v>
      </c>
      <c r="F353" s="36" t="inlineStr">
        <is>
          <t>Round 4</t>
        </is>
      </c>
    </row>
    <row r="354">
      <c r="A354" s="36" t="inlineStr">
        <is>
          <t>R. Taofifenua</t>
        </is>
      </c>
      <c r="B354" s="36" t="inlineStr">
        <is>
          <t>France</t>
        </is>
      </c>
      <c r="C354" s="36" t="inlineStr">
        <is>
          <t>Second Row</t>
        </is>
      </c>
      <c r="D354" s="37" t="n">
        <v>30</v>
      </c>
      <c r="E354" s="36" t="inlineStr">
        <is>
          <t>y</t>
        </is>
      </c>
      <c r="F354" s="36" t="inlineStr">
        <is>
          <t>Round 4</t>
        </is>
      </c>
    </row>
    <row r="355">
      <c r="A355" s="36" t="inlineStr">
        <is>
          <t>P. Willemse</t>
        </is>
      </c>
      <c r="B355" s="36" t="inlineStr">
        <is>
          <t>France</t>
        </is>
      </c>
      <c r="C355" s="36" t="inlineStr">
        <is>
          <t>Second Row</t>
        </is>
      </c>
      <c r="D355" s="37" t="n">
        <v>50</v>
      </c>
      <c r="F355" s="36" t="inlineStr">
        <is>
          <t>Round 4</t>
        </is>
      </c>
    </row>
    <row r="356">
      <c r="A356" s="36" t="inlineStr">
        <is>
          <t>D. Aldegheri</t>
        </is>
      </c>
      <c r="B356" s="36" t="inlineStr">
        <is>
          <t>France</t>
        </is>
      </c>
      <c r="C356" s="36" t="inlineStr">
        <is>
          <t>Prop</t>
        </is>
      </c>
      <c r="D356" s="37" t="n">
        <v>50</v>
      </c>
      <c r="F356" s="36" t="inlineStr">
        <is>
          <t>Round 4</t>
        </is>
      </c>
    </row>
    <row r="357">
      <c r="A357" s="36" t="inlineStr">
        <is>
          <t>C. Baille</t>
        </is>
      </c>
      <c r="B357" s="36" t="inlineStr">
        <is>
          <t>France</t>
        </is>
      </c>
      <c r="C357" s="36" t="inlineStr">
        <is>
          <t>Prop</t>
        </is>
      </c>
      <c r="D357" s="37" t="n">
        <v>61</v>
      </c>
      <c r="F357" s="36" t="inlineStr">
        <is>
          <t>Round 4</t>
        </is>
      </c>
    </row>
    <row r="358">
      <c r="A358" s="36" t="inlineStr">
        <is>
          <t>S. Falatea</t>
        </is>
      </c>
      <c r="B358" s="36" t="inlineStr">
        <is>
          <t>France</t>
        </is>
      </c>
      <c r="C358" s="36" t="inlineStr">
        <is>
          <t>Prop</t>
        </is>
      </c>
      <c r="D358" s="37" t="n">
        <v>30</v>
      </c>
      <c r="E358" s="36" t="inlineStr">
        <is>
          <t>y</t>
        </is>
      </c>
      <c r="F358" s="36" t="inlineStr">
        <is>
          <t>Round 4</t>
        </is>
      </c>
    </row>
    <row r="359">
      <c r="A359" s="36" t="inlineStr">
        <is>
          <t>R. Wardi</t>
        </is>
      </c>
      <c r="B359" s="36" t="inlineStr">
        <is>
          <t>France</t>
        </is>
      </c>
      <c r="C359" s="36" t="inlineStr">
        <is>
          <t>Prop</t>
        </is>
      </c>
      <c r="D359" s="37" t="n">
        <v>19</v>
      </c>
      <c r="E359" s="36" t="inlineStr">
        <is>
          <t>y</t>
        </is>
      </c>
      <c r="F359" s="36" t="inlineStr">
        <is>
          <t>Round 4</t>
        </is>
      </c>
    </row>
    <row r="360">
      <c r="A360" s="36" t="inlineStr">
        <is>
          <t>J. Marchand</t>
        </is>
      </c>
      <c r="B360" s="36" t="inlineStr">
        <is>
          <t>France</t>
        </is>
      </c>
      <c r="C360" s="36" t="inlineStr">
        <is>
          <t>Hooker</t>
        </is>
      </c>
      <c r="D360" s="37" t="n">
        <v>61</v>
      </c>
      <c r="F360" s="36" t="inlineStr">
        <is>
          <t>Round 4</t>
        </is>
      </c>
    </row>
    <row r="361">
      <c r="A361" s="36" t="inlineStr">
        <is>
          <t>P. Mauvaka</t>
        </is>
      </c>
      <c r="B361" s="36" t="inlineStr">
        <is>
          <t>France</t>
        </is>
      </c>
      <c r="C361" s="36" t="inlineStr">
        <is>
          <t>Hooker</t>
        </is>
      </c>
      <c r="D361" s="37" t="n">
        <v>19</v>
      </c>
      <c r="E361" s="36" t="inlineStr">
        <is>
          <t>y</t>
        </is>
      </c>
      <c r="F361" s="36" t="inlineStr">
        <is>
          <t>Round 4</t>
        </is>
      </c>
    </row>
    <row r="362">
      <c r="A362" s="36" t="inlineStr">
        <is>
          <t>S. Hogg</t>
        </is>
      </c>
      <c r="B362" s="36" t="inlineStr">
        <is>
          <t>Scotland</t>
        </is>
      </c>
      <c r="C362" s="36" t="inlineStr">
        <is>
          <t>Back Three</t>
        </is>
      </c>
      <c r="D362" s="37" t="n">
        <v>65</v>
      </c>
      <c r="F362" s="36" t="inlineStr">
        <is>
          <t>Round 4</t>
        </is>
      </c>
    </row>
    <row r="363">
      <c r="A363" s="36" t="inlineStr">
        <is>
          <t>B. Kinghorn</t>
        </is>
      </c>
      <c r="B363" s="36" t="inlineStr">
        <is>
          <t>Scotland</t>
        </is>
      </c>
      <c r="C363" s="36" t="inlineStr">
        <is>
          <t>Back Three</t>
        </is>
      </c>
      <c r="D363" s="37" t="n">
        <v>15</v>
      </c>
      <c r="E363" s="36" t="inlineStr">
        <is>
          <t>y</t>
        </is>
      </c>
      <c r="F363" s="36" t="inlineStr">
        <is>
          <t>Round 4</t>
        </is>
      </c>
    </row>
    <row r="364">
      <c r="A364" s="36" t="inlineStr">
        <is>
          <t>C. Harris</t>
        </is>
      </c>
      <c r="B364" s="36" t="inlineStr">
        <is>
          <t>Scotland</t>
        </is>
      </c>
      <c r="C364" s="36" t="inlineStr">
        <is>
          <t>Centre</t>
        </is>
      </c>
      <c r="D364" s="37" t="n">
        <v>1</v>
      </c>
      <c r="E364" s="36" t="inlineStr">
        <is>
          <t>y</t>
        </is>
      </c>
      <c r="F364" s="36" t="inlineStr">
        <is>
          <t>Round 4</t>
        </is>
      </c>
    </row>
    <row r="365">
      <c r="A365" s="36" t="inlineStr">
        <is>
          <t>A. Price</t>
        </is>
      </c>
      <c r="B365" s="36" t="inlineStr">
        <is>
          <t>Scotland</t>
        </is>
      </c>
      <c r="C365" s="36" t="inlineStr">
        <is>
          <t>Scrum Half</t>
        </is>
      </c>
      <c r="D365" s="37" t="n">
        <v>22</v>
      </c>
      <c r="E365" s="36" t="inlineStr">
        <is>
          <t>y</t>
        </is>
      </c>
      <c r="F365" s="36" t="inlineStr">
        <is>
          <t>Round 4</t>
        </is>
      </c>
    </row>
    <row r="366">
      <c r="A366" s="36" t="inlineStr">
        <is>
          <t>B. White</t>
        </is>
      </c>
      <c r="B366" s="36" t="inlineStr">
        <is>
          <t>Scotland</t>
        </is>
      </c>
      <c r="C366" s="36" t="inlineStr">
        <is>
          <t>Scrum Half</t>
        </is>
      </c>
      <c r="D366" s="37" t="n">
        <v>58</v>
      </c>
      <c r="F366" s="36" t="inlineStr">
        <is>
          <t>Round 4</t>
        </is>
      </c>
    </row>
    <row r="367">
      <c r="A367" s="36" t="inlineStr">
        <is>
          <t>M. Fagerson</t>
        </is>
      </c>
      <c r="B367" s="36" t="inlineStr">
        <is>
          <t>Scotland</t>
        </is>
      </c>
      <c r="C367" s="36" t="inlineStr">
        <is>
          <t>Back Row</t>
        </is>
      </c>
      <c r="D367" s="37" t="n">
        <v>66</v>
      </c>
      <c r="F367" s="36" t="inlineStr">
        <is>
          <t>Round 4</t>
        </is>
      </c>
    </row>
    <row r="368">
      <c r="A368" s="36" t="inlineStr">
        <is>
          <t>H. Watson</t>
        </is>
      </c>
      <c r="B368" s="36" t="inlineStr">
        <is>
          <t>Scotland</t>
        </is>
      </c>
      <c r="C368" s="36" t="inlineStr">
        <is>
          <t>Back Row</t>
        </is>
      </c>
      <c r="D368" s="37" t="n">
        <v>14</v>
      </c>
      <c r="E368" s="36" t="inlineStr">
        <is>
          <t>y</t>
        </is>
      </c>
      <c r="F368" s="36" t="inlineStr">
        <is>
          <t>Round 4</t>
        </is>
      </c>
    </row>
    <row r="369">
      <c r="A369" s="36" t="inlineStr">
        <is>
          <t>S. Cummings</t>
        </is>
      </c>
      <c r="B369" s="36" t="inlineStr">
        <is>
          <t>Scotland</t>
        </is>
      </c>
      <c r="C369" s="36" t="inlineStr">
        <is>
          <t>Second Row</t>
        </is>
      </c>
      <c r="D369" s="37" t="n">
        <v>75</v>
      </c>
      <c r="E369" s="36" t="inlineStr">
        <is>
          <t>y</t>
        </is>
      </c>
      <c r="F369" s="36" t="inlineStr">
        <is>
          <t>Round 4</t>
        </is>
      </c>
    </row>
    <row r="370">
      <c r="A370" s="36" t="inlineStr">
        <is>
          <t>R. Gray</t>
        </is>
      </c>
      <c r="B370" s="36" t="inlineStr">
        <is>
          <t>Scotland</t>
        </is>
      </c>
      <c r="C370" s="36" t="inlineStr">
        <is>
          <t>Second Row</t>
        </is>
      </c>
      <c r="D370" s="37" t="n">
        <v>5</v>
      </c>
      <c r="F370" s="36" t="inlineStr">
        <is>
          <t>Round 4</t>
        </is>
      </c>
    </row>
    <row r="371">
      <c r="A371" s="36" t="inlineStr">
        <is>
          <t>S. Berghan</t>
        </is>
      </c>
      <c r="B371" s="36" t="inlineStr">
        <is>
          <t>Scotland</t>
        </is>
      </c>
      <c r="C371" s="36" t="inlineStr">
        <is>
          <t>Prop</t>
        </is>
      </c>
      <c r="D371" s="37" t="n">
        <v>27</v>
      </c>
      <c r="E371" s="36" t="inlineStr">
        <is>
          <t>y</t>
        </is>
      </c>
      <c r="F371" s="36" t="inlineStr">
        <is>
          <t>Round 4</t>
        </is>
      </c>
    </row>
    <row r="372">
      <c r="A372" s="36" t="inlineStr">
        <is>
          <t>J. Bhatti</t>
        </is>
      </c>
      <c r="B372" s="36" t="inlineStr">
        <is>
          <t>Scotland</t>
        </is>
      </c>
      <c r="C372" s="36" t="inlineStr">
        <is>
          <t>Prop</t>
        </is>
      </c>
      <c r="D372" s="37" t="n">
        <v>27</v>
      </c>
      <c r="E372" s="36" t="inlineStr">
        <is>
          <t>y</t>
        </is>
      </c>
      <c r="F372" s="36" t="inlineStr">
        <is>
          <t>Round 4</t>
        </is>
      </c>
    </row>
    <row r="373">
      <c r="A373" s="36" t="inlineStr">
        <is>
          <t>Z. Fagerson</t>
        </is>
      </c>
      <c r="B373" s="36" t="inlineStr">
        <is>
          <t>Scotland</t>
        </is>
      </c>
      <c r="C373" s="36" t="inlineStr">
        <is>
          <t>Prop</t>
        </is>
      </c>
      <c r="D373" s="37" t="n">
        <v>53</v>
      </c>
      <c r="F373" s="36" t="inlineStr">
        <is>
          <t>Round 4</t>
        </is>
      </c>
    </row>
    <row r="374">
      <c r="A374" s="36" t="inlineStr">
        <is>
          <t>P. Schoeman</t>
        </is>
      </c>
      <c r="B374" s="36" t="inlineStr">
        <is>
          <t>Scotland</t>
        </is>
      </c>
      <c r="C374" s="36" t="inlineStr">
        <is>
          <t>Prop</t>
        </is>
      </c>
      <c r="D374" s="37" t="n">
        <v>53</v>
      </c>
      <c r="F374" s="36" t="inlineStr">
        <is>
          <t>Round 4</t>
        </is>
      </c>
    </row>
    <row r="375">
      <c r="A375" s="36" t="inlineStr">
        <is>
          <t>F. Brown</t>
        </is>
      </c>
      <c r="B375" s="36" t="inlineStr">
        <is>
          <t>Scotland</t>
        </is>
      </c>
      <c r="C375" s="36" t="inlineStr">
        <is>
          <t>Hooker</t>
        </is>
      </c>
      <c r="D375" s="37" t="n">
        <v>22</v>
      </c>
      <c r="E375" s="36" t="inlineStr">
        <is>
          <t>y</t>
        </is>
      </c>
      <c r="F375" s="36" t="inlineStr">
        <is>
          <t>Round 4</t>
        </is>
      </c>
    </row>
    <row r="376">
      <c r="A376" s="36" t="inlineStr">
        <is>
          <t>G. Turner</t>
        </is>
      </c>
      <c r="B376" s="36" t="inlineStr">
        <is>
          <t>Scotland</t>
        </is>
      </c>
      <c r="C376" s="36" t="inlineStr">
        <is>
          <t>Hooker</t>
        </is>
      </c>
      <c r="D376" s="37" t="n">
        <v>58</v>
      </c>
      <c r="F376" s="36" t="inlineStr">
        <is>
          <t>Round 4</t>
        </is>
      </c>
    </row>
    <row r="377">
      <c r="A377" s="36" t="inlineStr">
        <is>
          <t>B. Aki</t>
        </is>
      </c>
      <c r="B377" s="36" t="inlineStr">
        <is>
          <t>Ireland</t>
        </is>
      </c>
      <c r="C377" s="36" t="inlineStr">
        <is>
          <t>Centre</t>
        </is>
      </c>
      <c r="D377" s="37" t="n">
        <v>74</v>
      </c>
      <c r="F377" s="36" t="inlineStr">
        <is>
          <t>Round 4</t>
        </is>
      </c>
    </row>
    <row r="378">
      <c r="A378" s="36" t="inlineStr">
        <is>
          <t>R. Henshaw</t>
        </is>
      </c>
      <c r="B378" s="36" t="inlineStr">
        <is>
          <t>Ireland</t>
        </is>
      </c>
      <c r="C378" s="36" t="inlineStr">
        <is>
          <t>Centre</t>
        </is>
      </c>
      <c r="D378" s="37" t="n">
        <v>14</v>
      </c>
      <c r="E378" s="36" t="inlineStr">
        <is>
          <t>y</t>
        </is>
      </c>
      <c r="F378" s="36" t="inlineStr">
        <is>
          <t>Round 4</t>
        </is>
      </c>
    </row>
    <row r="379">
      <c r="A379" s="36" t="inlineStr">
        <is>
          <t>G. Ringrose</t>
        </is>
      </c>
      <c r="B379" s="36" t="inlineStr">
        <is>
          <t>Ireland</t>
        </is>
      </c>
      <c r="C379" s="36" t="inlineStr">
        <is>
          <t>Centre</t>
        </is>
      </c>
      <c r="D379" s="37" t="n">
        <v>72</v>
      </c>
      <c r="F379" s="36" t="inlineStr">
        <is>
          <t>Round 4</t>
        </is>
      </c>
    </row>
    <row r="380">
      <c r="A380" s="36" t="inlineStr">
        <is>
          <t>R. Byrne</t>
        </is>
      </c>
      <c r="B380" s="36" t="inlineStr">
        <is>
          <t>Ireland</t>
        </is>
      </c>
      <c r="C380" s="36" t="inlineStr">
        <is>
          <t>Fly Half</t>
        </is>
      </c>
      <c r="D380" s="37" t="n">
        <v>10</v>
      </c>
      <c r="E380" s="36" t="inlineStr">
        <is>
          <t>y</t>
        </is>
      </c>
      <c r="F380" s="36" t="inlineStr">
        <is>
          <t>Round 4</t>
        </is>
      </c>
    </row>
    <row r="381">
      <c r="A381" s="36" t="inlineStr">
        <is>
          <t>J. Sexton</t>
        </is>
      </c>
      <c r="B381" s="36" t="inlineStr">
        <is>
          <t>Ireland</t>
        </is>
      </c>
      <c r="C381" s="36" t="inlineStr">
        <is>
          <t>Fly Half</t>
        </is>
      </c>
      <c r="D381" s="37" t="n">
        <v>70</v>
      </c>
      <c r="F381" s="36" t="inlineStr">
        <is>
          <t>Round 4</t>
        </is>
      </c>
    </row>
    <row r="382">
      <c r="A382" s="36" t="inlineStr">
        <is>
          <t>J. Gibson-Park</t>
        </is>
      </c>
      <c r="B382" s="36" t="inlineStr">
        <is>
          <t>Ireland</t>
        </is>
      </c>
      <c r="C382" s="36" t="inlineStr">
        <is>
          <t>Scrum Half</t>
        </is>
      </c>
      <c r="D382" s="37" t="n">
        <v>27</v>
      </c>
      <c r="E382" s="36" t="inlineStr">
        <is>
          <t>y</t>
        </is>
      </c>
      <c r="F382" s="36" t="inlineStr">
        <is>
          <t>Round 4</t>
        </is>
      </c>
    </row>
    <row r="383">
      <c r="A383" s="36" t="inlineStr">
        <is>
          <t>C. Murray</t>
        </is>
      </c>
      <c r="B383" s="36" t="inlineStr">
        <is>
          <t>Ireland</t>
        </is>
      </c>
      <c r="C383" s="36" t="inlineStr">
        <is>
          <t>Scrum Half</t>
        </is>
      </c>
      <c r="D383" s="37" t="n">
        <v>53</v>
      </c>
      <c r="F383" s="36" t="inlineStr">
        <is>
          <t>Round 4</t>
        </is>
      </c>
    </row>
    <row r="384">
      <c r="A384" s="36" t="inlineStr">
        <is>
          <t>J. Conan</t>
        </is>
      </c>
      <c r="B384" s="36" t="inlineStr">
        <is>
          <t>Ireland</t>
        </is>
      </c>
      <c r="C384" s="36" t="inlineStr">
        <is>
          <t>Back Row</t>
        </is>
      </c>
      <c r="D384" s="37" t="n">
        <v>68</v>
      </c>
      <c r="E384" s="36" t="inlineStr">
        <is>
          <t>y</t>
        </is>
      </c>
      <c r="F384" s="36" t="inlineStr">
        <is>
          <t>Round 4</t>
        </is>
      </c>
    </row>
    <row r="385">
      <c r="A385" s="36" t="inlineStr">
        <is>
          <t>C. Doris</t>
        </is>
      </c>
      <c r="B385" s="36" t="inlineStr">
        <is>
          <t>Ireland</t>
        </is>
      </c>
      <c r="C385" s="36" t="inlineStr">
        <is>
          <t>Back Row</t>
        </is>
      </c>
      <c r="D385" s="37" t="n">
        <v>12</v>
      </c>
      <c r="F385" s="36" t="inlineStr">
        <is>
          <t>Round 4</t>
        </is>
      </c>
    </row>
    <row r="386">
      <c r="A386" s="36" t="inlineStr">
        <is>
          <t>R. Baird</t>
        </is>
      </c>
      <c r="B386" s="36" t="inlineStr">
        <is>
          <t>Ireland</t>
        </is>
      </c>
      <c r="C386" s="36" t="inlineStr">
        <is>
          <t>Second Row</t>
        </is>
      </c>
      <c r="D386" s="37" t="n">
        <v>56</v>
      </c>
      <c r="E386" s="36" t="inlineStr">
        <is>
          <t>y</t>
        </is>
      </c>
      <c r="F386" s="36" t="inlineStr">
        <is>
          <t>Round 4</t>
        </is>
      </c>
    </row>
    <row r="387">
      <c r="A387" s="36" t="inlineStr">
        <is>
          <t>I. Henderson</t>
        </is>
      </c>
      <c r="B387" s="36" t="inlineStr">
        <is>
          <t>Ireland</t>
        </is>
      </c>
      <c r="C387" s="36" t="inlineStr">
        <is>
          <t>Second Row</t>
        </is>
      </c>
      <c r="D387" s="37" t="n">
        <v>24</v>
      </c>
      <c r="F387" s="36" t="inlineStr">
        <is>
          <t>Round 4</t>
        </is>
      </c>
    </row>
    <row r="388">
      <c r="A388" s="36" t="inlineStr">
        <is>
          <t>T. Furlong</t>
        </is>
      </c>
      <c r="B388" s="36" t="inlineStr">
        <is>
          <t>Ireland</t>
        </is>
      </c>
      <c r="C388" s="36" t="inlineStr">
        <is>
          <t>Prop</t>
        </is>
      </c>
      <c r="D388" s="37" t="n">
        <v>65</v>
      </c>
      <c r="F388" s="36" t="inlineStr">
        <is>
          <t>Round 4</t>
        </is>
      </c>
    </row>
    <row r="389">
      <c r="A389" s="36" t="inlineStr">
        <is>
          <t>C. Healy</t>
        </is>
      </c>
      <c r="B389" s="36" t="inlineStr">
        <is>
          <t>Ireland</t>
        </is>
      </c>
      <c r="C389" s="36" t="inlineStr">
        <is>
          <t>Prop</t>
        </is>
      </c>
      <c r="D389" s="37" t="n">
        <v>32</v>
      </c>
      <c r="E389" s="36" t="inlineStr">
        <is>
          <t>y</t>
        </is>
      </c>
      <c r="F389" s="36" t="inlineStr">
        <is>
          <t>Round 4</t>
        </is>
      </c>
    </row>
    <row r="390">
      <c r="A390" s="36" t="inlineStr">
        <is>
          <t>T. O'Toole</t>
        </is>
      </c>
      <c r="B390" s="36" t="inlineStr">
        <is>
          <t>Ireland</t>
        </is>
      </c>
      <c r="C390" s="36" t="inlineStr">
        <is>
          <t>Prop</t>
        </is>
      </c>
      <c r="D390" s="37" t="n">
        <v>15</v>
      </c>
      <c r="E390" s="36" t="inlineStr">
        <is>
          <t>y</t>
        </is>
      </c>
      <c r="F390" s="36" t="inlineStr">
        <is>
          <t>Round 4</t>
        </is>
      </c>
    </row>
    <row r="391">
      <c r="A391" s="36" t="inlineStr">
        <is>
          <t>R. Kelleher</t>
        </is>
      </c>
      <c r="B391" s="36" t="inlineStr">
        <is>
          <t>Ireland</t>
        </is>
      </c>
      <c r="C391" s="36" t="inlineStr">
        <is>
          <t>Hooker</t>
        </is>
      </c>
      <c r="D391" s="37" t="n">
        <v>30</v>
      </c>
      <c r="E391" s="36" t="inlineStr">
        <is>
          <t>y</t>
        </is>
      </c>
      <c r="F391" s="36" t="inlineStr">
        <is>
          <t>Round 4</t>
        </is>
      </c>
    </row>
    <row r="392">
      <c r="A392" s="36" t="inlineStr">
        <is>
          <t>D. Sheehan</t>
        </is>
      </c>
      <c r="B392" s="36" t="inlineStr">
        <is>
          <t>Ireland</t>
        </is>
      </c>
      <c r="C392" s="36" t="inlineStr">
        <is>
          <t>Hooker</t>
        </is>
      </c>
      <c r="D392" s="37" t="n">
        <v>18</v>
      </c>
      <c r="F392" s="36" t="inlineStr">
        <is>
          <t>Round 4</t>
        </is>
      </c>
    </row>
  </sheetData>
  <autoFilter ref="N3:T158">
    <filterColumn colId="5" hiddenButton="0" showButton="1">
      <filters>
        <filter val="1"/>
        <filter val="2"/>
        <filter val="3"/>
        <filter val="4"/>
      </filters>
    </filterColumn>
  </autoFilter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tabColor theme="4"/>
    <outlinePr summaryBelow="1" summaryRight="1"/>
    <pageSetUpPr/>
  </sheetPr>
  <dimension ref="A2:S94"/>
  <sheetViews>
    <sheetView topLeftCell="A3" workbookViewId="0">
      <selection activeCell="G10" sqref="G10"/>
    </sheetView>
  </sheetViews>
  <sheetFormatPr baseColWidth="10" defaultColWidth="8.83203125" defaultRowHeight="15"/>
  <cols>
    <col width="14.1640625" customWidth="1" min="6" max="6"/>
    <col width="21.5" customWidth="1" min="7" max="7"/>
    <col width="3.33203125" customWidth="1" min="8" max="8"/>
    <col width="14" customWidth="1" min="9" max="9"/>
    <col width="3.83203125" customWidth="1" min="13" max="13"/>
    <col width="24.5" customWidth="1" min="14" max="14"/>
    <col width="15" customWidth="1" min="18" max="18"/>
  </cols>
  <sheetData>
    <row r="1" ht="16" customHeight="1" thickBot="1"/>
    <row r="2">
      <c r="A2" s="43" t="n"/>
      <c r="B2" s="106" t="inlineStr">
        <is>
          <t>Points from Bench</t>
        </is>
      </c>
      <c r="C2" s="44" t="n"/>
      <c r="D2" s="44" t="n"/>
      <c r="E2" s="44" t="n"/>
      <c r="F2" s="44" t="n"/>
      <c r="G2" s="50" t="n"/>
      <c r="H2" s="92" t="n"/>
      <c r="I2" s="106" t="inlineStr">
        <is>
          <t>Time Played from Bench</t>
        </is>
      </c>
      <c r="J2" s="44" t="n"/>
      <c r="K2" s="44" t="n"/>
      <c r="L2" s="50" t="n"/>
      <c r="M2" s="92" t="n"/>
      <c r="N2" s="106" t="inlineStr">
        <is>
          <t>Points per Min from Bench</t>
        </is>
      </c>
      <c r="O2" s="44" t="n"/>
      <c r="P2" s="44" t="n"/>
      <c r="Q2" s="44" t="n"/>
      <c r="R2" s="50" t="n"/>
    </row>
    <row r="3" ht="32" customHeight="1">
      <c r="A3" s="86" t="inlineStr">
        <is>
          <t>Name</t>
        </is>
      </c>
      <c r="B3" s="86" t="inlineStr">
        <is>
          <t>Round 1</t>
        </is>
      </c>
      <c r="C3" s="84" t="inlineStr">
        <is>
          <t>Round 2</t>
        </is>
      </c>
      <c r="D3" s="84" t="inlineStr">
        <is>
          <t>Round 3</t>
        </is>
      </c>
      <c r="E3" s="84" t="inlineStr">
        <is>
          <t>Round 4</t>
        </is>
      </c>
      <c r="F3" s="84" t="inlineStr">
        <is>
          <t>No. of Games</t>
        </is>
      </c>
      <c r="G3" s="88" t="inlineStr">
        <is>
          <t>Average Game Points (No Win Points)</t>
        </is>
      </c>
      <c r="H3" s="85" t="n"/>
      <c r="I3" s="86" t="inlineStr">
        <is>
          <t>Round 1</t>
        </is>
      </c>
      <c r="J3" s="84" t="inlineStr">
        <is>
          <t>Round 2</t>
        </is>
      </c>
      <c r="K3" s="84" t="inlineStr">
        <is>
          <t>Round 3</t>
        </is>
      </c>
      <c r="L3" s="87" t="inlineStr">
        <is>
          <t>Round 4</t>
        </is>
      </c>
      <c r="M3" s="84" t="n"/>
      <c r="N3" s="86" t="inlineStr">
        <is>
          <t>Round 1</t>
        </is>
      </c>
      <c r="O3" s="84" t="inlineStr">
        <is>
          <t>Round 2</t>
        </is>
      </c>
      <c r="P3" s="84" t="inlineStr">
        <is>
          <t>Round 3</t>
        </is>
      </c>
      <c r="Q3" s="84" t="inlineStr">
        <is>
          <t>Round 4</t>
        </is>
      </c>
      <c r="R3" s="87" t="inlineStr">
        <is>
          <t>Overall Average</t>
        </is>
      </c>
    </row>
    <row r="4">
      <c r="A4" s="81" t="inlineStr">
        <is>
          <t>M. Jaminet</t>
        </is>
      </c>
      <c r="B4" s="51" t="inlineStr"/>
      <c r="C4" t="inlineStr"/>
      <c r="D4" t="inlineStr"/>
      <c r="E4" t="n">
        <v>11.2</v>
      </c>
      <c r="F4" t="n">
        <v>1</v>
      </c>
      <c r="G4" s="72" t="n">
        <v>11.2</v>
      </c>
      <c r="H4" s="56" t="n"/>
      <c r="I4" s="51" t="inlineStr"/>
      <c r="J4" t="inlineStr"/>
      <c r="K4" t="inlineStr"/>
      <c r="L4" s="52" t="n">
        <v>7</v>
      </c>
      <c r="N4" s="93">
        <f>IFERROR(B4/I4,"")</f>
        <v/>
      </c>
      <c r="O4" s="70">
        <f>IFERROR(C4/J4,"")</f>
        <v/>
      </c>
      <c r="P4" s="70">
        <f>IFERROR(D4/K4,"")</f>
        <v/>
      </c>
      <c r="Q4" s="70">
        <f>IFERROR(E4/L4,"")</f>
        <v/>
      </c>
      <c r="R4" s="89">
        <f>AVERAGE(N4:Q4)</f>
        <v/>
      </c>
      <c r="S4" s="70" t="n"/>
    </row>
    <row r="5">
      <c r="A5" s="81" t="inlineStr">
        <is>
          <t>S. Skinner</t>
        </is>
      </c>
      <c r="B5" s="51" t="inlineStr"/>
      <c r="C5" t="inlineStr"/>
      <c r="D5" t="n">
        <v>11</v>
      </c>
      <c r="E5" t="inlineStr"/>
      <c r="F5" t="n">
        <v>1</v>
      </c>
      <c r="G5" s="72" t="n">
        <v>11</v>
      </c>
      <c r="H5" s="56" t="n"/>
      <c r="I5" s="51" t="inlineStr"/>
      <c r="J5" t="inlineStr"/>
      <c r="K5" t="n">
        <v>9</v>
      </c>
      <c r="L5" s="52" t="inlineStr"/>
      <c r="N5" s="93">
        <f>IFERROR(B5/I5,"")</f>
        <v/>
      </c>
      <c r="O5" s="70">
        <f>IFERROR(C5/J5,"")</f>
        <v/>
      </c>
      <c r="P5" s="70">
        <f>IFERROR(D5/K5,"")</f>
        <v/>
      </c>
      <c r="Q5" s="70">
        <f>IFERROR(E5/L5,"")</f>
        <v/>
      </c>
      <c r="R5" s="89">
        <f>AVERAGE(N5:Q5)</f>
        <v/>
      </c>
    </row>
    <row r="6">
      <c r="A6" s="81" t="inlineStr">
        <is>
          <t>H. Arundell</t>
        </is>
      </c>
      <c r="B6" s="51" t="inlineStr"/>
      <c r="C6" t="n">
        <v>18.4</v>
      </c>
      <c r="D6" t="n">
        <v>2.4</v>
      </c>
      <c r="E6" t="n">
        <v>3.8</v>
      </c>
      <c r="F6" t="n">
        <v>3</v>
      </c>
      <c r="G6" s="72" t="n">
        <v>8.199999999999999</v>
      </c>
      <c r="H6" s="56" t="n"/>
      <c r="I6" s="51" t="inlineStr"/>
      <c r="J6" t="n">
        <v>26</v>
      </c>
      <c r="K6" t="n">
        <v>1</v>
      </c>
      <c r="L6" s="52" t="n">
        <v>22</v>
      </c>
      <c r="N6" s="93">
        <f>IFERROR(B6/I6,"")</f>
        <v/>
      </c>
      <c r="O6" s="70">
        <f>IFERROR(C6/J6,"")</f>
        <v/>
      </c>
      <c r="P6" s="70">
        <f>IFERROR(D6/K6,"")</f>
        <v/>
      </c>
      <c r="Q6" s="70">
        <f>IFERROR(E6/L6,"")</f>
        <v/>
      </c>
      <c r="R6" s="89">
        <f>AVERAGE(N6:Q6)</f>
        <v/>
      </c>
    </row>
    <row r="7">
      <c r="A7" s="81" t="inlineStr">
        <is>
          <t>J. Crowley</t>
        </is>
      </c>
      <c r="B7" s="51" t="inlineStr"/>
      <c r="C7" t="inlineStr"/>
      <c r="D7" t="n">
        <v>2</v>
      </c>
      <c r="E7" t="inlineStr"/>
      <c r="F7" t="n">
        <v>1</v>
      </c>
      <c r="G7" s="72" t="n">
        <v>2</v>
      </c>
      <c r="H7" s="56" t="n"/>
      <c r="I7" s="51" t="inlineStr"/>
      <c r="J7" t="inlineStr"/>
      <c r="K7" t="n">
        <v>2</v>
      </c>
      <c r="L7" s="52" t="inlineStr"/>
      <c r="N7" s="93">
        <f>IFERROR(B7/I7,"")</f>
        <v/>
      </c>
      <c r="O7" s="70">
        <f>IFERROR(C7/J7,"")</f>
        <v/>
      </c>
      <c r="P7" s="70">
        <f>IFERROR(D7/K7,"")</f>
        <v/>
      </c>
      <c r="Q7" s="70">
        <f>IFERROR(E7/L7,"")</f>
        <v/>
      </c>
      <c r="R7" s="89">
        <f>AVERAGE(N7:Q7)</f>
        <v/>
      </c>
    </row>
    <row r="8">
      <c r="A8" s="81" t="inlineStr">
        <is>
          <t>M. Smith</t>
        </is>
      </c>
      <c r="B8" s="51" t="inlineStr"/>
      <c r="C8" t="n">
        <v>4</v>
      </c>
      <c r="D8" t="n">
        <v>1.4</v>
      </c>
      <c r="E8" t="inlineStr"/>
      <c r="F8" t="n">
        <v>2</v>
      </c>
      <c r="G8" s="72" t="n">
        <v>2.7</v>
      </c>
      <c r="H8" s="56" t="n"/>
      <c r="I8" s="51" t="inlineStr"/>
      <c r="J8" t="n">
        <v>8</v>
      </c>
      <c r="K8" t="n">
        <v>1</v>
      </c>
      <c r="L8" s="52" t="inlineStr"/>
      <c r="N8" s="93">
        <f>IFERROR(B8/I8,"")</f>
        <v/>
      </c>
      <c r="O8" s="70">
        <f>IFERROR(C8/J8,"")</f>
        <v/>
      </c>
      <c r="P8" s="70">
        <f>IFERROR(D8/K8,"")</f>
        <v/>
      </c>
      <c r="Q8" s="70">
        <f>IFERROR(E8/L8,"")</f>
        <v/>
      </c>
      <c r="R8" s="89">
        <f>AVERAGE(N8:Q8)</f>
        <v/>
      </c>
    </row>
    <row r="9">
      <c r="A9" s="81" t="inlineStr">
        <is>
          <t>J. Gibson-Park</t>
        </is>
      </c>
      <c r="B9" s="51" t="inlineStr"/>
      <c r="C9" t="inlineStr"/>
      <c r="D9" t="inlineStr"/>
      <c r="E9" t="n">
        <v>22.8</v>
      </c>
      <c r="F9" t="n">
        <v>1</v>
      </c>
      <c r="G9" s="72" t="n">
        <v>22.8</v>
      </c>
      <c r="H9" s="56" t="n"/>
      <c r="I9" s="51" t="inlineStr"/>
      <c r="J9" t="inlineStr"/>
      <c r="K9" t="inlineStr"/>
      <c r="L9" s="52" t="n">
        <v>27</v>
      </c>
      <c r="N9" s="93">
        <f>IFERROR(B9/I9,"")</f>
        <v/>
      </c>
      <c r="O9" s="70">
        <f>IFERROR(C9/J9,"")</f>
        <v/>
      </c>
      <c r="P9" s="70">
        <f>IFERROR(D9/K9,"")</f>
        <v/>
      </c>
      <c r="Q9" s="70">
        <f>IFERROR(E9/L9,"")</f>
        <v/>
      </c>
      <c r="R9" s="89">
        <f>AVERAGE(N9:Q9)</f>
        <v/>
      </c>
    </row>
    <row r="10">
      <c r="A10" s="81" t="inlineStr">
        <is>
          <t>G. Barlot</t>
        </is>
      </c>
      <c r="B10" s="51" t="n">
        <v>11</v>
      </c>
      <c r="C10" t="n">
        <v>5.6</v>
      </c>
      <c r="D10" t="n">
        <v>8.800000000000001</v>
      </c>
      <c r="E10" t="inlineStr"/>
      <c r="F10" t="n">
        <v>3</v>
      </c>
      <c r="G10" s="72" t="n">
        <v>8.466666666666667</v>
      </c>
      <c r="H10" s="56" t="n"/>
      <c r="I10" s="51" t="n">
        <v>19</v>
      </c>
      <c r="J10" t="n">
        <v>6</v>
      </c>
      <c r="K10" t="n">
        <v>11</v>
      </c>
      <c r="L10" s="52" t="inlineStr"/>
      <c r="N10" s="93">
        <f>IFERROR(B10/I10,"")</f>
        <v/>
      </c>
      <c r="O10" s="70">
        <f>IFERROR(C10/J10,"")</f>
        <v/>
      </c>
      <c r="P10" s="70">
        <f>IFERROR(D10/K10,"")</f>
        <v/>
      </c>
      <c r="Q10" s="70">
        <f>IFERROR(E10/L10,"")</f>
        <v/>
      </c>
      <c r="R10" s="89">
        <f>AVERAGE(N10:Q10)</f>
        <v/>
      </c>
    </row>
    <row r="11">
      <c r="A11" s="81" t="inlineStr">
        <is>
          <t>B. Curry</t>
        </is>
      </c>
      <c r="B11" s="51" t="inlineStr"/>
      <c r="C11" t="inlineStr"/>
      <c r="D11" t="n">
        <v>21.2</v>
      </c>
      <c r="E11" t="n">
        <v>14.2</v>
      </c>
      <c r="F11" t="n">
        <v>2</v>
      </c>
      <c r="G11" s="72" t="n">
        <v>17.7</v>
      </c>
      <c r="H11" s="56" t="n"/>
      <c r="I11" s="51" t="inlineStr"/>
      <c r="J11" t="inlineStr"/>
      <c r="K11" t="n">
        <v>21</v>
      </c>
      <c r="L11" s="52" t="n">
        <v>27</v>
      </c>
      <c r="N11" s="93">
        <f>IFERROR(B11/I11,"")</f>
        <v/>
      </c>
      <c r="O11" s="70">
        <f>IFERROR(C11/J11,"")</f>
        <v/>
      </c>
      <c r="P11" s="70">
        <f>IFERROR(D11/K11,"")</f>
        <v/>
      </c>
      <c r="Q11" s="70">
        <f>IFERROR(E11/L11,"")</f>
        <v/>
      </c>
      <c r="R11" s="89">
        <f>AVERAGE(N11:Q11)</f>
        <v/>
      </c>
    </row>
    <row r="12">
      <c r="A12" s="81" t="inlineStr">
        <is>
          <t>D. Sheehan</t>
        </is>
      </c>
      <c r="B12" s="51" t="inlineStr"/>
      <c r="C12" t="inlineStr"/>
      <c r="D12" t="n">
        <v>17</v>
      </c>
      <c r="E12" t="inlineStr"/>
      <c r="F12" t="n">
        <v>1</v>
      </c>
      <c r="G12" s="72" t="n">
        <v>17</v>
      </c>
      <c r="H12" s="56" t="n"/>
      <c r="I12" s="51" t="inlineStr"/>
      <c r="J12" t="inlineStr"/>
      <c r="K12" t="n">
        <v>24</v>
      </c>
      <c r="L12" s="52" t="inlineStr"/>
      <c r="N12" s="93">
        <f>IFERROR(B12/I12,"")</f>
        <v/>
      </c>
      <c r="O12" s="70">
        <f>IFERROR(C12/J12,"")</f>
        <v/>
      </c>
      <c r="P12" s="70">
        <f>IFERROR(D12/K12,"")</f>
        <v/>
      </c>
      <c r="Q12" s="70">
        <f>IFERROR(E12/L12,"")</f>
        <v/>
      </c>
      <c r="R12" s="89">
        <f>AVERAGE(N12:Q12)</f>
        <v/>
      </c>
    </row>
    <row r="13">
      <c r="A13" s="81" t="inlineStr">
        <is>
          <t>R. Herring</t>
        </is>
      </c>
      <c r="B13" s="51" t="n">
        <v>4.8</v>
      </c>
      <c r="C13" t="inlineStr"/>
      <c r="D13" t="inlineStr"/>
      <c r="E13" t="inlineStr"/>
      <c r="F13" t="n">
        <v>1</v>
      </c>
      <c r="G13" s="72" t="n">
        <v>4.8</v>
      </c>
      <c r="H13" s="56" t="n"/>
      <c r="I13" s="51" t="n">
        <v>7</v>
      </c>
      <c r="J13" t="inlineStr"/>
      <c r="K13" t="inlineStr"/>
      <c r="L13" s="52" t="inlineStr"/>
      <c r="N13" s="93">
        <f>IFERROR(B13/I13,"")</f>
        <v/>
      </c>
      <c r="O13" s="70">
        <f>IFERROR(C13/J13,"")</f>
        <v/>
      </c>
      <c r="P13" s="70">
        <f>IFERROR(D13/K13,"")</f>
        <v/>
      </c>
      <c r="Q13" s="70">
        <f>IFERROR(E13/L13,"")</f>
        <v/>
      </c>
      <c r="R13" s="89">
        <f>AVERAGE(N13:Q13)</f>
        <v/>
      </c>
    </row>
    <row r="14">
      <c r="A14" s="81" t="inlineStr">
        <is>
          <t>E. Iachizzi</t>
        </is>
      </c>
      <c r="B14" s="51" t="n">
        <v>1.8</v>
      </c>
      <c r="C14" t="n">
        <v>5.2</v>
      </c>
      <c r="D14" t="n">
        <v>11</v>
      </c>
      <c r="E14" t="n">
        <v>20.6</v>
      </c>
      <c r="F14" t="n">
        <v>4</v>
      </c>
      <c r="G14" s="72" t="n">
        <v>9.65</v>
      </c>
      <c r="H14" s="56" t="n"/>
      <c r="I14" s="51" t="n">
        <v>11</v>
      </c>
      <c r="J14" t="n">
        <v>8</v>
      </c>
      <c r="K14" t="n">
        <v>15</v>
      </c>
      <c r="L14" s="52" t="n">
        <v>20</v>
      </c>
      <c r="N14" s="93">
        <f>IFERROR(B14/I14,"")</f>
        <v/>
      </c>
      <c r="O14" s="70">
        <f>IFERROR(C14/J14,"")</f>
        <v/>
      </c>
      <c r="P14" s="70">
        <f>IFERROR(D14/K14,"")</f>
        <v/>
      </c>
      <c r="Q14" s="70">
        <f>IFERROR(E14/L14,"")</f>
        <v/>
      </c>
      <c r="R14" s="89">
        <f>AVERAGE(N14:Q14)</f>
        <v/>
      </c>
    </row>
    <row r="15">
      <c r="A15" s="81" t="inlineStr">
        <is>
          <t>C. Harris</t>
        </is>
      </c>
      <c r="B15" s="51" t="n">
        <v>1</v>
      </c>
      <c r="C15" t="n">
        <v>5.4</v>
      </c>
      <c r="D15" t="inlineStr"/>
      <c r="E15" t="n">
        <v>1</v>
      </c>
      <c r="F15" t="n">
        <v>3</v>
      </c>
      <c r="G15" s="72" t="n">
        <v>2.466666666666667</v>
      </c>
      <c r="H15" s="56" t="n"/>
      <c r="I15" s="51" t="n">
        <v>4</v>
      </c>
      <c r="J15" t="n">
        <v>8</v>
      </c>
      <c r="K15" t="inlineStr"/>
      <c r="L15" s="52" t="n">
        <v>1</v>
      </c>
      <c r="N15" s="93">
        <f>IFERROR(B15/I15,"")</f>
        <v/>
      </c>
      <c r="O15" s="70">
        <f>IFERROR(C15/J15,"")</f>
        <v/>
      </c>
      <c r="P15" s="70">
        <f>IFERROR(D15/K15,"")</f>
        <v/>
      </c>
      <c r="Q15" s="70">
        <f>IFERROR(E15/L15,"")</f>
        <v/>
      </c>
      <c r="R15" s="89">
        <f>AVERAGE(N15:Q15)</f>
        <v/>
      </c>
    </row>
    <row r="16">
      <c r="A16" s="81" t="inlineStr">
        <is>
          <t>R. Taofifenua</t>
        </is>
      </c>
      <c r="B16" s="51" t="n">
        <v>24.6</v>
      </c>
      <c r="C16" t="n">
        <v>25.6</v>
      </c>
      <c r="D16" t="n">
        <v>12.6</v>
      </c>
      <c r="E16" t="n">
        <v>9.6</v>
      </c>
      <c r="F16" t="n">
        <v>4</v>
      </c>
      <c r="G16" s="72" t="n">
        <v>18.1</v>
      </c>
      <c r="H16" s="56" t="n"/>
      <c r="I16" s="51" t="n">
        <v>26</v>
      </c>
      <c r="J16" t="n">
        <v>35</v>
      </c>
      <c r="K16" t="n">
        <v>27</v>
      </c>
      <c r="L16" s="52" t="n">
        <v>30</v>
      </c>
      <c r="N16" s="93">
        <f>IFERROR(B16/I16,"")</f>
        <v/>
      </c>
      <c r="O16" s="70">
        <f>IFERROR(C16/J16,"")</f>
        <v/>
      </c>
      <c r="P16" s="70">
        <f>IFERROR(D16/K16,"")</f>
        <v/>
      </c>
      <c r="Q16" s="70">
        <f>IFERROR(E16/L16,"")</f>
        <v/>
      </c>
      <c r="R16" s="89">
        <f>AVERAGE(N16:Q16)</f>
        <v/>
      </c>
    </row>
    <row r="17">
      <c r="A17" s="81" t="inlineStr">
        <is>
          <t>C. Murray</t>
        </is>
      </c>
      <c r="B17" s="51" t="inlineStr"/>
      <c r="C17" t="inlineStr"/>
      <c r="D17" t="n">
        <v>9.199999999999999</v>
      </c>
      <c r="E17" t="inlineStr"/>
      <c r="F17" t="n">
        <v>1</v>
      </c>
      <c r="G17" s="72" t="n">
        <v>9.199999999999999</v>
      </c>
      <c r="H17" s="56" t="n"/>
      <c r="I17" s="51" t="inlineStr"/>
      <c r="J17" t="inlineStr"/>
      <c r="K17" t="n">
        <v>15</v>
      </c>
      <c r="L17" s="52" t="inlineStr"/>
      <c r="N17" s="93">
        <f>IFERROR(B17/I17,"")</f>
        <v/>
      </c>
      <c r="O17" s="70">
        <f>IFERROR(C17/J17,"")</f>
        <v/>
      </c>
      <c r="P17" s="70">
        <f>IFERROR(D17/K17,"")</f>
        <v/>
      </c>
      <c r="Q17" s="70">
        <f>IFERROR(E17/L17,"")</f>
        <v/>
      </c>
      <c r="R17" s="89">
        <f>AVERAGE(N17:Q17)</f>
        <v/>
      </c>
    </row>
    <row r="18">
      <c r="A18" s="81" t="inlineStr">
        <is>
          <t>L. Brown</t>
        </is>
      </c>
      <c r="B18" s="51" t="inlineStr"/>
      <c r="C18" t="n">
        <v>9.6</v>
      </c>
      <c r="D18" t="inlineStr"/>
      <c r="E18" t="inlineStr"/>
      <c r="F18" t="n">
        <v>1</v>
      </c>
      <c r="G18" s="72" t="n">
        <v>9.6</v>
      </c>
      <c r="H18" s="56" t="n"/>
      <c r="I18" s="51" t="inlineStr"/>
      <c r="J18" t="n">
        <v>16</v>
      </c>
      <c r="K18" t="inlineStr"/>
      <c r="L18" s="52" t="inlineStr"/>
      <c r="N18" s="93">
        <f>IFERROR(B18/I18,"")</f>
        <v/>
      </c>
      <c r="O18" s="70">
        <f>IFERROR(C18/J18,"")</f>
        <v/>
      </c>
      <c r="P18" s="70">
        <f>IFERROR(D18/K18,"")</f>
        <v/>
      </c>
      <c r="Q18" s="70">
        <f>IFERROR(E18/L18,"")</f>
        <v/>
      </c>
      <c r="R18" s="89">
        <f>AVERAGE(N18:Q18)</f>
        <v/>
      </c>
    </row>
    <row r="19">
      <c r="A19" s="81" t="inlineStr">
        <is>
          <t>D. Kilcoyne</t>
        </is>
      </c>
      <c r="B19" s="51" t="n">
        <v>5.4</v>
      </c>
      <c r="C19" t="n">
        <v>4.8</v>
      </c>
      <c r="D19" t="n">
        <v>8.4</v>
      </c>
      <c r="E19" t="inlineStr"/>
      <c r="F19" t="n">
        <v>3</v>
      </c>
      <c r="G19" s="72" t="n">
        <v>6.2</v>
      </c>
      <c r="H19" s="56" t="n"/>
      <c r="I19" s="51" t="n">
        <v>7</v>
      </c>
      <c r="J19" t="n">
        <v>11</v>
      </c>
      <c r="K19" t="n">
        <v>15</v>
      </c>
      <c r="L19" s="52" t="inlineStr"/>
      <c r="N19" s="93">
        <f>IFERROR(B19/I19,"")</f>
        <v/>
      </c>
      <c r="O19" s="70">
        <f>IFERROR(C19/J19,"")</f>
        <v/>
      </c>
      <c r="P19" s="70">
        <f>IFERROR(D19/K19,"")</f>
        <v/>
      </c>
      <c r="Q19" s="70">
        <f>IFERROR(E19/L19,"")</f>
        <v/>
      </c>
      <c r="R19" s="89">
        <f>AVERAGE(N19:Q19)</f>
        <v/>
      </c>
    </row>
    <row r="20">
      <c r="A20" s="81" t="inlineStr">
        <is>
          <t>M. Zuliani</t>
        </is>
      </c>
      <c r="B20" s="51" t="n">
        <v>3.2</v>
      </c>
      <c r="C20" t="n">
        <v>42.2</v>
      </c>
      <c r="D20" t="inlineStr"/>
      <c r="E20" t="n">
        <v>22.2</v>
      </c>
      <c r="F20" t="n">
        <v>3</v>
      </c>
      <c r="G20" s="72" t="n">
        <v>22.53333333333333</v>
      </c>
      <c r="H20" s="56" t="n"/>
      <c r="I20" s="51" t="n">
        <v>15</v>
      </c>
      <c r="J20" t="n">
        <v>56</v>
      </c>
      <c r="K20" t="inlineStr"/>
      <c r="L20" s="52" t="n">
        <v>28</v>
      </c>
      <c r="N20" s="93">
        <f>IFERROR(B20/I20,"")</f>
        <v/>
      </c>
      <c r="O20" s="70">
        <f>IFERROR(C20/J20,"")</f>
        <v/>
      </c>
      <c r="P20" s="70">
        <f>IFERROR(D20/K20,"")</f>
        <v/>
      </c>
      <c r="Q20" s="70">
        <f>IFERROR(E20/L20,"")</f>
        <v/>
      </c>
      <c r="R20" s="89">
        <f>AVERAGE(N20:Q20)</f>
        <v/>
      </c>
    </row>
    <row r="21">
      <c r="A21" s="81" t="inlineStr">
        <is>
          <t>J. Gray</t>
        </is>
      </c>
      <c r="B21" s="51" t="n">
        <v>11.4</v>
      </c>
      <c r="C21" t="n">
        <v>10.4</v>
      </c>
      <c r="D21" t="n">
        <v>20.6</v>
      </c>
      <c r="E21" t="inlineStr"/>
      <c r="F21" t="n">
        <v>3</v>
      </c>
      <c r="G21" s="72" t="n">
        <v>14.13333333333333</v>
      </c>
      <c r="H21" s="56" t="n"/>
      <c r="I21" s="51" t="n">
        <v>14</v>
      </c>
      <c r="J21" t="n">
        <v>16</v>
      </c>
      <c r="K21" t="n">
        <v>70</v>
      </c>
      <c r="L21" s="52" t="inlineStr"/>
      <c r="N21" s="93">
        <f>IFERROR(B21/I21,"")</f>
        <v/>
      </c>
      <c r="O21" s="70">
        <f>IFERROR(C21/J21,"")</f>
        <v/>
      </c>
      <c r="P21" s="70">
        <f>IFERROR(D21/K21,"")</f>
        <v/>
      </c>
      <c r="Q21" s="70">
        <f>IFERROR(E21/L21,"")</f>
        <v/>
      </c>
      <c r="R21" s="89">
        <f>AVERAGE(N21:Q21)</f>
        <v/>
      </c>
    </row>
    <row r="22">
      <c r="A22" s="81" t="inlineStr">
        <is>
          <t>B. Aki</t>
        </is>
      </c>
      <c r="B22" s="51" t="n">
        <v>11.6</v>
      </c>
      <c r="C22" t="n">
        <v>8</v>
      </c>
      <c r="D22" t="inlineStr"/>
      <c r="E22" t="inlineStr"/>
      <c r="F22" t="n">
        <v>2</v>
      </c>
      <c r="G22" s="72" t="n">
        <v>9.800000000000001</v>
      </c>
      <c r="H22" s="56" t="n"/>
      <c r="I22" s="51" t="n">
        <v>20</v>
      </c>
      <c r="J22" t="n">
        <v>14</v>
      </c>
      <c r="K22" t="inlineStr"/>
      <c r="L22" s="52" t="inlineStr"/>
      <c r="N22" s="93">
        <f>IFERROR(B22/I22,"")</f>
        <v/>
      </c>
      <c r="O22" s="70">
        <f>IFERROR(C22/J22,"")</f>
        <v/>
      </c>
      <c r="P22" s="70">
        <f>IFERROR(D22/K22,"")</f>
        <v/>
      </c>
      <c r="Q22" s="70">
        <f>IFERROR(E22/L22,"")</f>
        <v/>
      </c>
      <c r="R22" s="89">
        <f>AVERAGE(N22:Q22)</f>
        <v/>
      </c>
    </row>
    <row r="23">
      <c r="A23" s="81" t="inlineStr">
        <is>
          <t>J. Polledri</t>
        </is>
      </c>
      <c r="B23" s="51" t="inlineStr"/>
      <c r="C23" t="n">
        <v>13.2</v>
      </c>
      <c r="D23" t="inlineStr"/>
      <c r="E23" t="inlineStr"/>
      <c r="F23" t="n">
        <v>1</v>
      </c>
      <c r="G23" s="72" t="n">
        <v>13.2</v>
      </c>
      <c r="H23" s="56" t="n"/>
      <c r="I23" s="51" t="inlineStr"/>
      <c r="J23" t="n">
        <v>23</v>
      </c>
      <c r="K23" t="inlineStr"/>
      <c r="L23" s="52" t="inlineStr"/>
      <c r="N23" s="93">
        <f>IFERROR(B23/I23,"")</f>
        <v/>
      </c>
      <c r="O23" s="70">
        <f>IFERROR(C23/J23,"")</f>
        <v/>
      </c>
      <c r="P23" s="70">
        <f>IFERROR(D23/K23,"")</f>
        <v/>
      </c>
      <c r="Q23" s="70">
        <f>IFERROR(E23/L23,"")</f>
        <v/>
      </c>
      <c r="R23" s="89">
        <f>AVERAGE(N23:Q23)</f>
        <v/>
      </c>
    </row>
    <row r="24">
      <c r="A24" s="81" t="inlineStr">
        <is>
          <t>B. Kinghorn</t>
        </is>
      </c>
      <c r="B24" s="51" t="n">
        <v>6.800000000000001</v>
      </c>
      <c r="C24" t="n">
        <v>56</v>
      </c>
      <c r="D24" t="n">
        <v>1</v>
      </c>
      <c r="E24" t="n">
        <v>12.8</v>
      </c>
      <c r="F24" t="n">
        <v>4</v>
      </c>
      <c r="G24" s="72" t="n">
        <v>19.15</v>
      </c>
      <c r="H24" s="56" t="n"/>
      <c r="I24" s="51" t="n">
        <v>14</v>
      </c>
      <c r="J24" t="n">
        <v>67</v>
      </c>
      <c r="K24" t="n">
        <v>11</v>
      </c>
      <c r="L24" s="52" t="n">
        <v>15</v>
      </c>
      <c r="N24" s="93">
        <f>IFERROR(B24/I24,"")</f>
        <v/>
      </c>
      <c r="O24" s="70">
        <f>IFERROR(C24/J24,"")</f>
        <v/>
      </c>
      <c r="P24" s="70">
        <f>IFERROR(D24/K24,"")</f>
        <v/>
      </c>
      <c r="Q24" s="70">
        <f>IFERROR(E24/L24,"")</f>
        <v/>
      </c>
      <c r="R24" s="89">
        <f>AVERAGE(N24:Q24)</f>
        <v/>
      </c>
    </row>
    <row r="25">
      <c r="A25" s="81" t="inlineStr">
        <is>
          <t>M. Jalibert</t>
        </is>
      </c>
      <c r="B25" s="51" t="n">
        <v>16.6</v>
      </c>
      <c r="C25" t="n">
        <v>5.800000000000001</v>
      </c>
      <c r="D25" t="n">
        <v>3</v>
      </c>
      <c r="E25" t="inlineStr"/>
      <c r="F25" t="n">
        <v>3</v>
      </c>
      <c r="G25" s="72" t="n">
        <v>8.466666666666667</v>
      </c>
      <c r="H25" s="56" t="n"/>
      <c r="I25" s="51" t="n">
        <v>15</v>
      </c>
      <c r="J25" t="n">
        <v>19</v>
      </c>
      <c r="K25" t="n">
        <v>11</v>
      </c>
      <c r="L25" s="52" t="inlineStr"/>
      <c r="N25" s="93">
        <f>IFERROR(B25/I25,"")</f>
        <v/>
      </c>
      <c r="O25" s="70">
        <f>IFERROR(C25/J25,"")</f>
        <v/>
      </c>
      <c r="P25" s="70">
        <f>IFERROR(D25/K25,"")</f>
        <v/>
      </c>
      <c r="Q25" s="70">
        <f>IFERROR(E25/L25,"")</f>
        <v/>
      </c>
      <c r="R25" s="89">
        <f>AVERAGE(N25:Q25)</f>
        <v/>
      </c>
    </row>
    <row r="26">
      <c r="A26" s="81" t="inlineStr">
        <is>
          <t>J. Conan</t>
        </is>
      </c>
      <c r="B26" s="51" t="n">
        <v>12.4</v>
      </c>
      <c r="C26" t="n">
        <v>6.4</v>
      </c>
      <c r="D26" t="inlineStr"/>
      <c r="E26" t="n">
        <v>46.2</v>
      </c>
      <c r="F26" t="n">
        <v>3</v>
      </c>
      <c r="G26" s="72" t="n">
        <v>21.66666666666667</v>
      </c>
      <c r="H26" s="56" t="n"/>
      <c r="I26" s="51" t="n">
        <v>20</v>
      </c>
      <c r="J26" t="n">
        <v>24</v>
      </c>
      <c r="K26" t="inlineStr"/>
      <c r="L26" s="52" t="n">
        <v>68</v>
      </c>
      <c r="N26" s="93">
        <f>IFERROR(B26/I26,"")</f>
        <v/>
      </c>
      <c r="O26" s="70">
        <f>IFERROR(C26/J26,"")</f>
        <v/>
      </c>
      <c r="P26" s="70">
        <f>IFERROR(D26/K26,"")</f>
        <v/>
      </c>
      <c r="Q26" s="70">
        <f>IFERROR(E26/L26,"")</f>
        <v/>
      </c>
      <c r="R26" s="89">
        <f>AVERAGE(N26:Q26)</f>
        <v/>
      </c>
    </row>
    <row r="27">
      <c r="A27" s="81" t="inlineStr">
        <is>
          <t>A. Fusco</t>
        </is>
      </c>
      <c r="B27" s="51" t="n">
        <v>0</v>
      </c>
      <c r="C27" t="n">
        <v>24.6</v>
      </c>
      <c r="D27" t="n">
        <v>0</v>
      </c>
      <c r="E27" t="n">
        <v>17</v>
      </c>
      <c r="F27" t="n">
        <v>4</v>
      </c>
      <c r="G27" s="72" t="n">
        <v>10.4</v>
      </c>
      <c r="H27" s="56" t="n"/>
      <c r="I27" s="51" t="n">
        <v>6</v>
      </c>
      <c r="J27" t="n">
        <v>18</v>
      </c>
      <c r="K27" t="n">
        <v>13</v>
      </c>
      <c r="L27" s="52" t="n">
        <v>24</v>
      </c>
      <c r="N27" s="93">
        <f>IFERROR(B27/I27,"")</f>
        <v/>
      </c>
      <c r="O27" s="70">
        <f>IFERROR(C27/J27,"")</f>
        <v/>
      </c>
      <c r="P27" s="70">
        <f>IFERROR(D27/K27,"")</f>
        <v/>
      </c>
      <c r="Q27" s="70">
        <f>IFERROR(E27/L27,"")</f>
        <v/>
      </c>
      <c r="R27" s="89">
        <f>AVERAGE(N27:Q27)</f>
        <v/>
      </c>
    </row>
    <row r="28">
      <c r="A28" s="81" t="inlineStr">
        <is>
          <t>B. Earl</t>
        </is>
      </c>
      <c r="B28" s="51" t="n">
        <v>17.4</v>
      </c>
      <c r="C28" t="n">
        <v>8</v>
      </c>
      <c r="D28" t="inlineStr"/>
      <c r="E28" t="inlineStr"/>
      <c r="F28" t="n">
        <v>2</v>
      </c>
      <c r="G28" s="72" t="n">
        <v>12.7</v>
      </c>
      <c r="H28" s="56" t="n"/>
      <c r="I28" s="51" t="n">
        <v>24</v>
      </c>
      <c r="J28" t="n">
        <v>27</v>
      </c>
      <c r="K28" t="inlineStr"/>
      <c r="L28" s="52" t="inlineStr"/>
      <c r="N28" s="93">
        <f>IFERROR(B28/I28,"")</f>
        <v/>
      </c>
      <c r="O28" s="70">
        <f>IFERROR(C28/J28,"")</f>
        <v/>
      </c>
      <c r="P28" s="70">
        <f>IFERROR(D28/K28,"")</f>
        <v/>
      </c>
      <c r="Q28" s="70">
        <f>IFERROR(E28/L28,"")</f>
        <v/>
      </c>
      <c r="R28" s="89">
        <f>AVERAGE(N28:Q28)</f>
        <v/>
      </c>
    </row>
    <row r="29">
      <c r="A29" s="81" t="inlineStr">
        <is>
          <t>F. Cros</t>
        </is>
      </c>
      <c r="B29" s="51" t="inlineStr"/>
      <c r="C29" t="n">
        <v>6</v>
      </c>
      <c r="D29" t="n">
        <v>29.2</v>
      </c>
      <c r="E29" t="inlineStr"/>
      <c r="F29" t="n">
        <v>2</v>
      </c>
      <c r="G29" s="72" t="n">
        <v>17.6</v>
      </c>
      <c r="H29" s="56" t="n"/>
      <c r="I29" s="51" t="inlineStr"/>
      <c r="J29" t="n">
        <v>11</v>
      </c>
      <c r="K29" t="n">
        <v>63</v>
      </c>
      <c r="L29" s="52" t="inlineStr"/>
      <c r="N29" s="93">
        <f>IFERROR(B29/I29,"")</f>
        <v/>
      </c>
      <c r="O29" s="70">
        <f>IFERROR(C29/J29,"")</f>
        <v/>
      </c>
      <c r="P29" s="70">
        <f>IFERROR(D29/K29,"")</f>
        <v/>
      </c>
      <c r="Q29" s="70">
        <f>IFERROR(E29/L29,"")</f>
        <v/>
      </c>
      <c r="R29" s="89">
        <f>AVERAGE(N29:Q29)</f>
        <v/>
      </c>
    </row>
    <row r="30">
      <c r="A30" s="81" t="inlineStr">
        <is>
          <t>O. Lawrence</t>
        </is>
      </c>
      <c r="B30" s="51" t="n">
        <v>2</v>
      </c>
      <c r="C30" t="inlineStr"/>
      <c r="D30" t="inlineStr"/>
      <c r="E30" t="inlineStr"/>
      <c r="F30" t="n">
        <v>1</v>
      </c>
      <c r="G30" s="72" t="n">
        <v>2</v>
      </c>
      <c r="H30" s="56" t="n"/>
      <c r="I30" s="51" t="n">
        <v>4</v>
      </c>
      <c r="J30" t="inlineStr"/>
      <c r="K30" t="inlineStr"/>
      <c r="L30" s="52" t="inlineStr"/>
      <c r="N30" s="93">
        <f>IFERROR(B30/I30,"")</f>
        <v/>
      </c>
      <c r="O30" s="70">
        <f>IFERROR(C30/J30,"")</f>
        <v/>
      </c>
      <c r="P30" s="70">
        <f>IFERROR(D30/K30,"")</f>
        <v/>
      </c>
      <c r="Q30" s="70">
        <f>IFERROR(E30/L30,"")</f>
        <v/>
      </c>
      <c r="R30" s="89">
        <f>AVERAGE(N30:Q30)</f>
        <v/>
      </c>
    </row>
    <row r="31">
      <c r="A31" s="81" t="inlineStr">
        <is>
          <t>R. Baird</t>
        </is>
      </c>
      <c r="B31" s="51" t="inlineStr"/>
      <c r="C31" t="inlineStr"/>
      <c r="D31" t="n">
        <v>23.6</v>
      </c>
      <c r="E31" t="n">
        <v>8.199999999999999</v>
      </c>
      <c r="F31" t="n">
        <v>2</v>
      </c>
      <c r="G31" s="72" t="n">
        <v>15.9</v>
      </c>
      <c r="H31" s="56" t="n"/>
      <c r="I31" s="51" t="inlineStr"/>
      <c r="J31" t="inlineStr"/>
      <c r="K31" t="n">
        <v>28</v>
      </c>
      <c r="L31" s="52" t="n">
        <v>56</v>
      </c>
      <c r="N31" s="93">
        <f>IFERROR(B31/I31,"")</f>
        <v/>
      </c>
      <c r="O31" s="70">
        <f>IFERROR(C31/J31,"")</f>
        <v/>
      </c>
      <c r="P31" s="70">
        <f>IFERROR(D31/K31,"")</f>
        <v/>
      </c>
      <c r="Q31" s="70">
        <f>IFERROR(E31/L31,"")</f>
        <v/>
      </c>
      <c r="R31" s="89">
        <f>AVERAGE(N31:Q31)</f>
        <v/>
      </c>
    </row>
    <row r="32">
      <c r="A32" s="81" t="inlineStr">
        <is>
          <t>P. O'Mahony</t>
        </is>
      </c>
      <c r="B32" s="51" t="inlineStr"/>
      <c r="C32" t="inlineStr"/>
      <c r="D32" t="n">
        <v>11.8</v>
      </c>
      <c r="E32" t="inlineStr"/>
      <c r="F32" t="n">
        <v>1</v>
      </c>
      <c r="G32" s="72" t="n">
        <v>11.8</v>
      </c>
      <c r="H32" s="56" t="n"/>
      <c r="I32" s="51" t="inlineStr"/>
      <c r="J32" t="inlineStr"/>
      <c r="K32" t="n">
        <v>24</v>
      </c>
      <c r="L32" s="52" t="inlineStr"/>
      <c r="N32" s="93">
        <f>IFERROR(B32/I32,"")</f>
        <v/>
      </c>
      <c r="O32" s="70">
        <f>IFERROR(C32/J32,"")</f>
        <v/>
      </c>
      <c r="P32" s="70">
        <f>IFERROR(D32/K32,"")</f>
        <v/>
      </c>
      <c r="Q32" s="70">
        <f>IFERROR(E32/L32,"")</f>
        <v/>
      </c>
      <c r="R32" s="89">
        <f>AVERAGE(N32:Q32)</f>
        <v/>
      </c>
    </row>
    <row r="33">
      <c r="A33" s="81" t="inlineStr">
        <is>
          <t>R. Henshaw</t>
        </is>
      </c>
      <c r="B33" s="51" t="inlineStr"/>
      <c r="C33" t="inlineStr"/>
      <c r="D33" t="inlineStr"/>
      <c r="E33" t="n">
        <v>6.8</v>
      </c>
      <c r="F33" t="n">
        <v>1</v>
      </c>
      <c r="G33" s="72" t="n">
        <v>6.8</v>
      </c>
      <c r="H33" s="56" t="n"/>
      <c r="I33" s="51" t="inlineStr"/>
      <c r="J33" t="inlineStr"/>
      <c r="K33" t="inlineStr"/>
      <c r="L33" s="52" t="n">
        <v>14</v>
      </c>
      <c r="N33" s="93">
        <f>IFERROR(B33/I33,"")</f>
        <v/>
      </c>
      <c r="O33" s="70">
        <f>IFERROR(C33/J33,"")</f>
        <v/>
      </c>
      <c r="P33" s="70">
        <f>IFERROR(D33/K33,"")</f>
        <v/>
      </c>
      <c r="Q33" s="70">
        <f>IFERROR(E33/L33,"")</f>
        <v/>
      </c>
      <c r="R33" s="89">
        <f>AVERAGE(N33:Q33)</f>
        <v/>
      </c>
    </row>
    <row r="34">
      <c r="A34" s="81" t="inlineStr">
        <is>
          <t>T. Allan</t>
        </is>
      </c>
      <c r="B34" s="51" t="inlineStr"/>
      <c r="C34" t="inlineStr"/>
      <c r="D34" t="n">
        <v>3.8</v>
      </c>
      <c r="E34" t="inlineStr"/>
      <c r="F34" t="n">
        <v>1</v>
      </c>
      <c r="G34" s="72" t="n">
        <v>3.8</v>
      </c>
      <c r="H34" s="56" t="n"/>
      <c r="I34" s="51" t="inlineStr"/>
      <c r="J34" t="inlineStr"/>
      <c r="K34" t="n">
        <v>8</v>
      </c>
      <c r="L34" s="52" t="inlineStr"/>
      <c r="N34" s="93">
        <f>IFERROR(B34/I34,"")</f>
        <v/>
      </c>
      <c r="O34" s="70">
        <f>IFERROR(C34/J34,"")</f>
        <v/>
      </c>
      <c r="P34" s="70">
        <f>IFERROR(D34/K34,"")</f>
        <v/>
      </c>
      <c r="Q34" s="70">
        <f>IFERROR(E34/L34,"")</f>
        <v/>
      </c>
      <c r="R34" s="89">
        <f>AVERAGE(N34:Q34)</f>
        <v/>
      </c>
    </row>
    <row r="35">
      <c r="A35" s="81" t="inlineStr">
        <is>
          <t>T. Faletau</t>
        </is>
      </c>
      <c r="B35" s="51" t="inlineStr"/>
      <c r="C35" t="n">
        <v>13</v>
      </c>
      <c r="D35" t="inlineStr"/>
      <c r="E35" t="inlineStr"/>
      <c r="F35" t="n">
        <v>1</v>
      </c>
      <c r="G35" s="72" t="n">
        <v>13</v>
      </c>
      <c r="H35" s="56" t="n"/>
      <c r="I35" s="51" t="inlineStr"/>
      <c r="J35" t="n">
        <v>28</v>
      </c>
      <c r="K35" t="inlineStr"/>
      <c r="L35" s="52" t="inlineStr"/>
      <c r="N35" s="93">
        <f>IFERROR(B35/I35,"")</f>
        <v/>
      </c>
      <c r="O35" s="70">
        <f>IFERROR(C35/J35,"")</f>
        <v/>
      </c>
      <c r="P35" s="70">
        <f>IFERROR(D35/K35,"")</f>
        <v/>
      </c>
      <c r="Q35" s="70">
        <f>IFERROR(E35/L35,"")</f>
        <v/>
      </c>
      <c r="R35" s="89">
        <f>AVERAGE(N35:Q35)</f>
        <v/>
      </c>
    </row>
    <row r="36">
      <c r="A36" s="81" t="inlineStr">
        <is>
          <t>A. Cuthbert</t>
        </is>
      </c>
      <c r="B36" s="51" t="n">
        <v>6.600000000000001</v>
      </c>
      <c r="C36" t="n">
        <v>10.4</v>
      </c>
      <c r="D36" t="inlineStr"/>
      <c r="E36" t="inlineStr"/>
      <c r="F36" t="n">
        <v>2</v>
      </c>
      <c r="G36" s="72" t="n">
        <v>8.5</v>
      </c>
      <c r="H36" s="56" t="n"/>
      <c r="I36" s="51" t="n">
        <v>12</v>
      </c>
      <c r="J36" t="n">
        <v>28</v>
      </c>
      <c r="K36" t="inlineStr"/>
      <c r="L36" s="52" t="inlineStr"/>
      <c r="N36" s="93">
        <f>IFERROR(B36/I36,"")</f>
        <v/>
      </c>
      <c r="O36" s="70">
        <f>IFERROR(C36/J36,"")</f>
        <v/>
      </c>
      <c r="P36" s="70">
        <f>IFERROR(D36/K36,"")</f>
        <v/>
      </c>
      <c r="Q36" s="70">
        <f>IFERROR(E36/L36,"")</f>
        <v/>
      </c>
      <c r="R36" s="89">
        <f>AVERAGE(N36:Q36)</f>
        <v/>
      </c>
    </row>
    <row r="37">
      <c r="A37" s="81" t="inlineStr">
        <is>
          <t>G. Pettinelli</t>
        </is>
      </c>
      <c r="B37" s="51" t="n">
        <v>2</v>
      </c>
      <c r="C37" t="inlineStr"/>
      <c r="D37" t="n">
        <v>17.6</v>
      </c>
      <c r="E37" t="n">
        <v>0</v>
      </c>
      <c r="F37" t="n">
        <v>3</v>
      </c>
      <c r="G37" s="72" t="n">
        <v>6.533333333333334</v>
      </c>
      <c r="H37" s="56" t="n"/>
      <c r="I37" s="51" t="n">
        <v>11</v>
      </c>
      <c r="J37" t="inlineStr"/>
      <c r="K37" t="n">
        <v>15</v>
      </c>
      <c r="L37" s="52" t="n">
        <v>3</v>
      </c>
      <c r="N37" s="93">
        <f>IFERROR(B37/I37,"")</f>
        <v/>
      </c>
      <c r="O37" s="70">
        <f>IFERROR(C37/J37,"")</f>
        <v/>
      </c>
      <c r="P37" s="70">
        <f>IFERROR(D37/K37,"")</f>
        <v/>
      </c>
      <c r="Q37" s="70">
        <f>IFERROR(E37/L37,"")</f>
        <v/>
      </c>
      <c r="R37" s="89">
        <f>AVERAGE(N37:Q37)</f>
        <v/>
      </c>
    </row>
    <row r="38">
      <c r="A38" s="81" t="inlineStr">
        <is>
          <t>D. Jenkins</t>
        </is>
      </c>
      <c r="B38" s="51" t="n">
        <v>10</v>
      </c>
      <c r="C38" t="inlineStr"/>
      <c r="D38" t="n">
        <v>5.6</v>
      </c>
      <c r="E38" t="inlineStr"/>
      <c r="F38" t="n">
        <v>2</v>
      </c>
      <c r="G38" s="72" t="n">
        <v>7.8</v>
      </c>
      <c r="H38" s="56" t="n"/>
      <c r="I38" s="51" t="n">
        <v>19</v>
      </c>
      <c r="J38" t="inlineStr"/>
      <c r="K38" t="n">
        <v>17</v>
      </c>
      <c r="L38" s="52" t="inlineStr"/>
      <c r="N38" s="93">
        <f>IFERROR(B38/I38,"")</f>
        <v/>
      </c>
      <c r="O38" s="70">
        <f>IFERROR(C38/J38,"")</f>
        <v/>
      </c>
      <c r="P38" s="70">
        <f>IFERROR(D38/K38,"")</f>
        <v/>
      </c>
      <c r="Q38" s="70">
        <f>IFERROR(E38/L38,"")</f>
        <v/>
      </c>
      <c r="R38" s="89">
        <f>AVERAGE(N38:Q38)</f>
        <v/>
      </c>
    </row>
    <row r="39">
      <c r="A39" s="81" t="inlineStr">
        <is>
          <t>L. Rees-Zammit</t>
        </is>
      </c>
      <c r="B39" s="51" t="inlineStr"/>
      <c r="C39" t="inlineStr"/>
      <c r="D39" t="inlineStr"/>
      <c r="E39" t="n">
        <v>12.2</v>
      </c>
      <c r="F39" t="n">
        <v>1</v>
      </c>
      <c r="G39" s="72" t="n">
        <v>12.2</v>
      </c>
      <c r="H39" s="56" t="n"/>
      <c r="I39" s="51" t="inlineStr"/>
      <c r="J39" t="inlineStr"/>
      <c r="K39" t="inlineStr"/>
      <c r="L39" s="52" t="n">
        <v>29</v>
      </c>
      <c r="N39" s="93">
        <f>IFERROR(B39/I39,"")</f>
        <v/>
      </c>
      <c r="O39" s="70">
        <f>IFERROR(C39/J39,"")</f>
        <v/>
      </c>
      <c r="P39" s="70">
        <f>IFERROR(D39/K39,"")</f>
        <v/>
      </c>
      <c r="Q39" s="70">
        <f>IFERROR(E39/L39,"")</f>
        <v/>
      </c>
      <c r="R39" s="89">
        <f>AVERAGE(N39:Q39)</f>
        <v/>
      </c>
    </row>
    <row r="40">
      <c r="A40" s="81" t="inlineStr">
        <is>
          <t>N. Tompkins</t>
        </is>
      </c>
      <c r="B40" s="51" t="inlineStr"/>
      <c r="C40" t="inlineStr"/>
      <c r="D40" t="n">
        <v>10.8</v>
      </c>
      <c r="E40" t="inlineStr"/>
      <c r="F40" t="n">
        <v>1</v>
      </c>
      <c r="G40" s="72" t="n">
        <v>10.8</v>
      </c>
      <c r="H40" s="56" t="n"/>
      <c r="I40" s="51" t="inlineStr"/>
      <c r="J40" t="inlineStr"/>
      <c r="K40" t="n">
        <v>26</v>
      </c>
      <c r="L40" s="52" t="inlineStr"/>
      <c r="N40" s="93">
        <f>IFERROR(B40/I40,"")</f>
        <v/>
      </c>
      <c r="O40" s="70">
        <f>IFERROR(C40/J40,"")</f>
        <v/>
      </c>
      <c r="P40" s="70">
        <f>IFERROR(D40/K40,"")</f>
        <v/>
      </c>
      <c r="Q40" s="70">
        <f>IFERROR(E40/L40,"")</f>
        <v/>
      </c>
      <c r="R40" s="89">
        <f>AVERAGE(N40:Q40)</f>
        <v/>
      </c>
    </row>
    <row r="41">
      <c r="A41" s="81" t="inlineStr">
        <is>
          <t>R. Kelleher</t>
        </is>
      </c>
      <c r="B41" s="51" t="inlineStr"/>
      <c r="C41" t="n">
        <v>30.6</v>
      </c>
      <c r="D41" t="inlineStr"/>
      <c r="E41" t="n">
        <v>6.600000000000001</v>
      </c>
      <c r="F41" t="n">
        <v>2</v>
      </c>
      <c r="G41" s="72" t="n">
        <v>18.6</v>
      </c>
      <c r="H41" s="56" t="n"/>
      <c r="I41" s="51" t="inlineStr"/>
      <c r="J41" t="n">
        <v>55</v>
      </c>
      <c r="K41" t="inlineStr"/>
      <c r="L41" s="52" t="n">
        <v>30</v>
      </c>
      <c r="N41" s="93">
        <f>IFERROR(B41/I41,"")</f>
        <v/>
      </c>
      <c r="O41" s="70">
        <f>IFERROR(C41/J41,"")</f>
        <v/>
      </c>
      <c r="P41" s="70">
        <f>IFERROR(D41/K41,"")</f>
        <v/>
      </c>
      <c r="Q41" s="70">
        <f>IFERROR(E41/L41,"")</f>
        <v/>
      </c>
      <c r="R41" s="89">
        <f>AVERAGE(N41:Q41)</f>
        <v/>
      </c>
    </row>
    <row r="42">
      <c r="A42" s="81" t="inlineStr">
        <is>
          <t>O. Farrell</t>
        </is>
      </c>
      <c r="B42" s="51" t="inlineStr"/>
      <c r="C42" t="inlineStr"/>
      <c r="D42" t="inlineStr"/>
      <c r="E42" t="n">
        <v>12.8</v>
      </c>
      <c r="F42" t="n">
        <v>1</v>
      </c>
      <c r="G42" s="72" t="n">
        <v>12.8</v>
      </c>
      <c r="H42" s="56" t="n"/>
      <c r="I42" s="51" t="inlineStr"/>
      <c r="J42" t="inlineStr"/>
      <c r="K42" t="inlineStr"/>
      <c r="L42" s="52" t="n">
        <v>34</v>
      </c>
      <c r="N42" s="93">
        <f>IFERROR(B42/I42,"")</f>
        <v/>
      </c>
      <c r="O42" s="70">
        <f>IFERROR(C42/J42,"")</f>
        <v/>
      </c>
      <c r="P42" s="70">
        <f>IFERROR(D42/K42,"")</f>
        <v/>
      </c>
      <c r="Q42" s="70">
        <f>IFERROR(E42/L42,"")</f>
        <v/>
      </c>
      <c r="R42" s="89">
        <f>AVERAGE(N42:Q42)</f>
        <v/>
      </c>
    </row>
    <row r="43">
      <c r="A43" s="81" t="inlineStr">
        <is>
          <t>S. Macalou</t>
        </is>
      </c>
      <c r="B43" s="51" t="n">
        <v>11</v>
      </c>
      <c r="C43" t="n">
        <v>11.6</v>
      </c>
      <c r="D43" t="inlineStr"/>
      <c r="E43" t="n">
        <v>2</v>
      </c>
      <c r="F43" t="n">
        <v>3</v>
      </c>
      <c r="G43" s="72" t="n">
        <v>8.200000000000001</v>
      </c>
      <c r="H43" s="56" t="n"/>
      <c r="I43" s="51" t="n">
        <v>19</v>
      </c>
      <c r="J43" t="n">
        <v>28</v>
      </c>
      <c r="K43" t="inlineStr"/>
      <c r="L43" s="52" t="n">
        <v>18</v>
      </c>
      <c r="N43" s="93">
        <f>IFERROR(B43/I43,"")</f>
        <v/>
      </c>
      <c r="O43" s="70">
        <f>IFERROR(C43/J43,"")</f>
        <v/>
      </c>
      <c r="P43" s="70">
        <f>IFERROR(D43/K43,"")</f>
        <v/>
      </c>
      <c r="Q43" s="70">
        <f>IFERROR(E43/L43,"")</f>
        <v/>
      </c>
      <c r="R43" s="89">
        <f>AVERAGE(N43:Q43)</f>
        <v/>
      </c>
    </row>
    <row r="44">
      <c r="A44" s="81" t="inlineStr">
        <is>
          <t>L. Morisi</t>
        </is>
      </c>
      <c r="B44" s="51" t="inlineStr"/>
      <c r="C44" t="inlineStr"/>
      <c r="D44" t="n">
        <v>1</v>
      </c>
      <c r="E44" t="n">
        <v>4.800000000000001</v>
      </c>
      <c r="F44" t="n">
        <v>2</v>
      </c>
      <c r="G44" s="72" t="n">
        <v>2.9</v>
      </c>
      <c r="H44" s="56" t="n"/>
      <c r="I44" s="51" t="inlineStr"/>
      <c r="J44" t="inlineStr"/>
      <c r="K44" t="n">
        <v>2</v>
      </c>
      <c r="L44" s="52" t="n">
        <v>21</v>
      </c>
      <c r="N44" s="93">
        <f>IFERROR(B44/I44,"")</f>
        <v/>
      </c>
      <c r="O44" s="70">
        <f>IFERROR(C44/J44,"")</f>
        <v/>
      </c>
      <c r="P44" s="70">
        <f>IFERROR(D44/K44,"")</f>
        <v/>
      </c>
      <c r="Q44" s="70">
        <f>IFERROR(E44/L44,"")</f>
        <v/>
      </c>
      <c r="R44" s="89">
        <f>AVERAGE(N44:Q44)</f>
        <v/>
      </c>
    </row>
    <row r="45">
      <c r="A45" s="81" t="inlineStr">
        <is>
          <t>K. Hardy</t>
        </is>
      </c>
      <c r="B45" s="51" t="inlineStr"/>
      <c r="C45" t="inlineStr"/>
      <c r="D45" t="n">
        <v>4</v>
      </c>
      <c r="E45" t="inlineStr"/>
      <c r="F45" t="n">
        <v>1</v>
      </c>
      <c r="G45" s="72" t="n">
        <v>4</v>
      </c>
      <c r="H45" s="56" t="n"/>
      <c r="I45" s="51" t="inlineStr"/>
      <c r="J45" t="inlineStr"/>
      <c r="K45" t="n">
        <v>11</v>
      </c>
      <c r="L45" s="52" t="inlineStr"/>
      <c r="N45" s="93">
        <f>IFERROR(B45/I45,"")</f>
        <v/>
      </c>
      <c r="O45" s="70">
        <f>IFERROR(C45/J45,"")</f>
        <v/>
      </c>
      <c r="P45" s="70">
        <f>IFERROR(D45/K45,"")</f>
        <v/>
      </c>
      <c r="Q45" s="70">
        <f>IFERROR(E45/L45,"")</f>
        <v/>
      </c>
      <c r="R45" s="89">
        <f>AVERAGE(N45:Q45)</f>
        <v/>
      </c>
    </row>
    <row r="46">
      <c r="A46" s="81" t="inlineStr">
        <is>
          <t>B. Roberts</t>
        </is>
      </c>
      <c r="B46" s="51" t="inlineStr"/>
      <c r="C46" t="inlineStr"/>
      <c r="D46" t="n">
        <v>4</v>
      </c>
      <c r="E46" t="inlineStr"/>
      <c r="F46" t="n">
        <v>1</v>
      </c>
      <c r="G46" s="72" t="n">
        <v>4</v>
      </c>
      <c r="H46" s="56" t="n"/>
      <c r="I46" s="51" t="inlineStr"/>
      <c r="J46" t="inlineStr"/>
      <c r="K46" t="n">
        <v>11</v>
      </c>
      <c r="L46" s="52" t="inlineStr"/>
      <c r="N46" s="93">
        <f>IFERROR(B46/I46,"")</f>
        <v/>
      </c>
      <c r="O46" s="70">
        <f>IFERROR(C46/J46,"")</f>
        <v/>
      </c>
      <c r="P46" s="70">
        <f>IFERROR(D46/K46,"")</f>
        <v/>
      </c>
      <c r="Q46" s="70">
        <f>IFERROR(E46/L46,"")</f>
        <v/>
      </c>
      <c r="R46" s="89">
        <f>AVERAGE(N46:Q46)</f>
        <v/>
      </c>
    </row>
    <row r="47">
      <c r="A47" s="81" t="inlineStr">
        <is>
          <t>J. Walker</t>
        </is>
      </c>
      <c r="B47" s="51" t="inlineStr"/>
      <c r="C47" t="n">
        <v>4.8</v>
      </c>
      <c r="D47" t="n">
        <v>0</v>
      </c>
      <c r="E47" t="n">
        <v>7.2</v>
      </c>
      <c r="F47" t="n">
        <v>3</v>
      </c>
      <c r="G47" s="72" t="n">
        <v>4</v>
      </c>
      <c r="H47" s="56" t="n"/>
      <c r="I47" s="51" t="inlineStr"/>
      <c r="J47" t="n">
        <v>7</v>
      </c>
      <c r="K47" t="n">
        <v>1</v>
      </c>
      <c r="L47" s="52" t="n">
        <v>19</v>
      </c>
      <c r="N47" s="93">
        <f>IFERROR(B47/I47,"")</f>
        <v/>
      </c>
      <c r="O47" s="70">
        <f>IFERROR(C47/J47,"")</f>
        <v/>
      </c>
      <c r="P47" s="70">
        <f>IFERROR(D47/K47,"")</f>
        <v/>
      </c>
      <c r="Q47" s="70">
        <f>IFERROR(E47/L47,"")</f>
        <v/>
      </c>
      <c r="R47" s="89">
        <f>AVERAGE(N47:Q47)</f>
        <v/>
      </c>
    </row>
    <row r="48">
      <c r="A48" s="81" t="inlineStr">
        <is>
          <t>F. Brown</t>
        </is>
      </c>
      <c r="B48" s="51" t="n">
        <v>3.4</v>
      </c>
      <c r="C48" t="n">
        <v>12.8</v>
      </c>
      <c r="D48" t="n">
        <v>5.4</v>
      </c>
      <c r="E48" t="n">
        <v>10</v>
      </c>
      <c r="F48" t="n">
        <v>4</v>
      </c>
      <c r="G48" s="72" t="n">
        <v>7.9</v>
      </c>
      <c r="H48" s="56" t="n"/>
      <c r="I48" s="51" t="n">
        <v>22</v>
      </c>
      <c r="J48" t="n">
        <v>27</v>
      </c>
      <c r="K48" t="n">
        <v>17</v>
      </c>
      <c r="L48" s="52" t="n">
        <v>22</v>
      </c>
      <c r="N48" s="93">
        <f>IFERROR(B48/I48,"")</f>
        <v/>
      </c>
      <c r="O48" s="70">
        <f>IFERROR(C48/J48,"")</f>
        <v/>
      </c>
      <c r="P48" s="70">
        <f>IFERROR(D48/K48,"")</f>
        <v/>
      </c>
      <c r="Q48" s="70">
        <f>IFERROR(E48/L48,"")</f>
        <v/>
      </c>
      <c r="R48" s="89">
        <f>AVERAGE(N48:Q48)</f>
        <v/>
      </c>
    </row>
    <row r="49">
      <c r="A49" s="81" t="inlineStr">
        <is>
          <t>A. Watson</t>
        </is>
      </c>
      <c r="B49" s="51" t="n">
        <v>5.6</v>
      </c>
      <c r="C49" t="inlineStr"/>
      <c r="D49" t="inlineStr"/>
      <c r="E49" t="inlineStr"/>
      <c r="F49" t="n">
        <v>1</v>
      </c>
      <c r="G49" s="72" t="n">
        <v>5.6</v>
      </c>
      <c r="H49" s="56" t="n"/>
      <c r="I49" s="51" t="n">
        <v>16</v>
      </c>
      <c r="J49" t="inlineStr"/>
      <c r="K49" t="inlineStr"/>
      <c r="L49" s="52" t="inlineStr"/>
      <c r="N49" s="93">
        <f>IFERROR(B49/I49,"")</f>
        <v/>
      </c>
      <c r="O49" s="70">
        <f>IFERROR(C49/J49,"")</f>
        <v/>
      </c>
      <c r="P49" s="70">
        <f>IFERROR(D49/K49,"")</f>
        <v/>
      </c>
      <c r="Q49" s="70">
        <f>IFERROR(E49/L49,"")</f>
        <v/>
      </c>
      <c r="R49" s="89">
        <f>AVERAGE(N49:Q49)</f>
        <v/>
      </c>
    </row>
    <row r="50">
      <c r="A50" s="81" t="inlineStr">
        <is>
          <t>C. Casey</t>
        </is>
      </c>
      <c r="B50" s="51" t="n">
        <v>8.199999999999999</v>
      </c>
      <c r="C50" t="n">
        <v>3.8</v>
      </c>
      <c r="D50" t="inlineStr"/>
      <c r="E50" t="inlineStr"/>
      <c r="F50" t="n">
        <v>2</v>
      </c>
      <c r="G50" s="72" t="n">
        <v>6</v>
      </c>
      <c r="H50" s="56" t="n"/>
      <c r="I50" s="51" t="n">
        <v>16</v>
      </c>
      <c r="J50" t="n">
        <v>24</v>
      </c>
      <c r="K50" t="inlineStr"/>
      <c r="L50" s="52" t="inlineStr"/>
      <c r="N50" s="93">
        <f>IFERROR(B50/I50,"")</f>
        <v/>
      </c>
      <c r="O50" s="70">
        <f>IFERROR(C50/J50,"")</f>
        <v/>
      </c>
      <c r="P50" s="70">
        <f>IFERROR(D50/K50,"")</f>
        <v/>
      </c>
      <c r="Q50" s="70">
        <f>IFERROR(E50/L50,"")</f>
        <v/>
      </c>
      <c r="R50" s="89">
        <f>AVERAGE(N50:Q50)</f>
        <v/>
      </c>
    </row>
    <row r="51">
      <c r="A51" s="81" t="inlineStr">
        <is>
          <t>S. Baldwin</t>
        </is>
      </c>
      <c r="B51" s="51" t="n">
        <v>5.800000000000001</v>
      </c>
      <c r="C51" t="n">
        <v>5.6</v>
      </c>
      <c r="D51" t="inlineStr"/>
      <c r="E51" t="n">
        <v>2</v>
      </c>
      <c r="F51" t="n">
        <v>3</v>
      </c>
      <c r="G51" s="72" t="n">
        <v>4.466666666666667</v>
      </c>
      <c r="H51" s="56" t="n"/>
      <c r="I51" s="51" t="n">
        <v>19</v>
      </c>
      <c r="J51" t="n">
        <v>16</v>
      </c>
      <c r="K51" t="inlineStr"/>
      <c r="L51" s="52" t="n">
        <v>6</v>
      </c>
      <c r="N51" s="93">
        <f>IFERROR(B51/I51,"")</f>
        <v/>
      </c>
      <c r="O51" s="70">
        <f>IFERROR(C51/J51,"")</f>
        <v/>
      </c>
      <c r="P51" s="70">
        <f>IFERROR(D51/K51,"")</f>
        <v/>
      </c>
      <c r="Q51" s="70">
        <f>IFERROR(E51/L51,"")</f>
        <v/>
      </c>
      <c r="R51" s="89">
        <f>AVERAGE(N51:Q51)</f>
        <v/>
      </c>
    </row>
    <row r="52">
      <c r="A52" s="81" t="inlineStr">
        <is>
          <t>A. Mitchell</t>
        </is>
      </c>
      <c r="B52" s="51" t="inlineStr"/>
      <c r="C52" t="n">
        <v>12.2</v>
      </c>
      <c r="D52" t="n">
        <v>1</v>
      </c>
      <c r="E52" t="n">
        <v>8.6</v>
      </c>
      <c r="F52" t="n">
        <v>3</v>
      </c>
      <c r="G52" s="72" t="n">
        <v>7.266666666666666</v>
      </c>
      <c r="H52" s="56" t="n"/>
      <c r="I52" s="51" t="inlineStr"/>
      <c r="J52" t="n">
        <v>20</v>
      </c>
      <c r="K52" t="n">
        <v>8</v>
      </c>
      <c r="L52" s="52" t="n">
        <v>34</v>
      </c>
      <c r="N52" s="93">
        <f>IFERROR(B52/I52,"")</f>
        <v/>
      </c>
      <c r="O52" s="70">
        <f>IFERROR(C52/J52,"")</f>
        <v/>
      </c>
      <c r="P52" s="70">
        <f>IFERROR(D52/K52,"")</f>
        <v/>
      </c>
      <c r="Q52" s="70">
        <f>IFERROR(E52/L52,"")</f>
        <v/>
      </c>
      <c r="R52" s="89">
        <f>AVERAGE(N52:Q52)</f>
        <v/>
      </c>
    </row>
    <row r="53">
      <c r="A53" s="81" t="inlineStr">
        <is>
          <t>N. Isiekwe</t>
        </is>
      </c>
      <c r="B53" s="51" t="n">
        <v>8.6</v>
      </c>
      <c r="C53" t="n">
        <v>3</v>
      </c>
      <c r="D53" t="inlineStr"/>
      <c r="E53" t="inlineStr"/>
      <c r="F53" t="n">
        <v>2</v>
      </c>
      <c r="G53" s="72" t="n">
        <v>5.8</v>
      </c>
      <c r="H53" s="56" t="n"/>
      <c r="I53" s="51" t="n">
        <v>19</v>
      </c>
      <c r="J53" t="n">
        <v>15</v>
      </c>
      <c r="K53" t="inlineStr"/>
      <c r="L53" s="52" t="inlineStr"/>
      <c r="N53" s="93">
        <f>IFERROR(B53/I53,"")</f>
        <v/>
      </c>
      <c r="O53" s="70">
        <f>IFERROR(C53/J53,"")</f>
        <v/>
      </c>
      <c r="P53" s="70">
        <f>IFERROR(D53/K53,"")</f>
        <v/>
      </c>
      <c r="Q53" s="70">
        <f>IFERROR(E53/L53,"")</f>
        <v/>
      </c>
      <c r="R53" s="89">
        <f>AVERAGE(N53:Q53)</f>
        <v/>
      </c>
    </row>
    <row r="54">
      <c r="A54" s="81" t="inlineStr">
        <is>
          <t>S. Berghan</t>
        </is>
      </c>
      <c r="B54" s="51" t="n">
        <v>8</v>
      </c>
      <c r="C54" t="inlineStr"/>
      <c r="D54" t="inlineStr"/>
      <c r="E54" t="n">
        <v>7.800000000000001</v>
      </c>
      <c r="F54" t="n">
        <v>2</v>
      </c>
      <c r="G54" s="72" t="n">
        <v>7.9</v>
      </c>
      <c r="H54" s="56" t="n"/>
      <c r="I54" s="51" t="n">
        <v>22</v>
      </c>
      <c r="J54" t="inlineStr"/>
      <c r="K54" t="inlineStr"/>
      <c r="L54" s="52" t="n">
        <v>27</v>
      </c>
      <c r="N54" s="93">
        <f>IFERROR(B54/I54,"")</f>
        <v/>
      </c>
      <c r="O54" s="70">
        <f>IFERROR(C54/J54,"")</f>
        <v/>
      </c>
      <c r="P54" s="70">
        <f>IFERROR(D54/K54,"")</f>
        <v/>
      </c>
      <c r="Q54" s="70">
        <f>IFERROR(E54/L54,"")</f>
        <v/>
      </c>
      <c r="R54" s="89">
        <f>AVERAGE(N54:Q54)</f>
        <v/>
      </c>
    </row>
    <row r="55">
      <c r="A55" s="81" t="inlineStr">
        <is>
          <t>T. O'Toole</t>
        </is>
      </c>
      <c r="B55" s="51" t="n">
        <v>5</v>
      </c>
      <c r="C55" t="n">
        <v>10.4</v>
      </c>
      <c r="D55" t="n">
        <v>17.8</v>
      </c>
      <c r="E55" t="n">
        <v>1</v>
      </c>
      <c r="F55" t="n">
        <v>4</v>
      </c>
      <c r="G55" s="72" t="n">
        <v>8.550000000000001</v>
      </c>
      <c r="H55" s="56" t="n"/>
      <c r="I55" s="51" t="n">
        <v>20</v>
      </c>
      <c r="J55" t="n">
        <v>19</v>
      </c>
      <c r="K55" t="n">
        <v>43</v>
      </c>
      <c r="L55" s="52" t="n">
        <v>15</v>
      </c>
      <c r="N55" s="93">
        <f>IFERROR(B55/I55,"")</f>
        <v/>
      </c>
      <c r="O55" s="70">
        <f>IFERROR(C55/J55,"")</f>
        <v/>
      </c>
      <c r="P55" s="70">
        <f>IFERROR(D55/K55,"")</f>
        <v/>
      </c>
      <c r="Q55" s="70">
        <f>IFERROR(E55/L55,"")</f>
        <v/>
      </c>
      <c r="R55" s="89">
        <f>AVERAGE(N55:Q55)</f>
        <v/>
      </c>
    </row>
    <row r="56">
      <c r="A56" s="81" t="inlineStr">
        <is>
          <t>R. Carre</t>
        </is>
      </c>
      <c r="B56" s="51" t="n">
        <v>10</v>
      </c>
      <c r="C56" t="n">
        <v>6.600000000000001</v>
      </c>
      <c r="D56" t="n">
        <v>7.800000000000001</v>
      </c>
      <c r="E56" t="inlineStr"/>
      <c r="F56" t="n">
        <v>3</v>
      </c>
      <c r="G56" s="72" t="n">
        <v>8.133333333333335</v>
      </c>
      <c r="H56" s="56" t="n"/>
      <c r="I56" s="51" t="n">
        <v>26</v>
      </c>
      <c r="J56" t="n">
        <v>28</v>
      </c>
      <c r="K56" t="n">
        <v>24</v>
      </c>
      <c r="L56" s="52" t="inlineStr"/>
      <c r="N56" s="93">
        <f>IFERROR(B56/I56,"")</f>
        <v/>
      </c>
      <c r="O56" s="70">
        <f>IFERROR(C56/J56,"")</f>
        <v/>
      </c>
      <c r="P56" s="70">
        <f>IFERROR(D56/K56,"")</f>
        <v/>
      </c>
      <c r="Q56" s="70">
        <f>IFERROR(E56/L56,"")</f>
        <v/>
      </c>
      <c r="R56" s="89">
        <f>AVERAGE(N56:Q56)</f>
        <v/>
      </c>
    </row>
    <row r="57">
      <c r="A57" s="81" t="inlineStr">
        <is>
          <t>L. Bigi</t>
        </is>
      </c>
      <c r="B57" s="51" t="n">
        <v>0</v>
      </c>
      <c r="C57" t="n">
        <v>9</v>
      </c>
      <c r="D57" t="n">
        <v>19.2</v>
      </c>
      <c r="E57" t="n">
        <v>3</v>
      </c>
      <c r="F57" t="n">
        <v>4</v>
      </c>
      <c r="G57" s="72" t="n">
        <v>7.8</v>
      </c>
      <c r="H57" s="56" t="n"/>
      <c r="I57" s="51" t="n">
        <v>11</v>
      </c>
      <c r="J57" t="n">
        <v>19</v>
      </c>
      <c r="K57" t="n">
        <v>29</v>
      </c>
      <c r="L57" s="52" t="n">
        <v>28</v>
      </c>
      <c r="N57" s="93">
        <f>IFERROR(B57/I57,"")</f>
        <v/>
      </c>
      <c r="O57" s="70">
        <f>IFERROR(C57/J57,"")</f>
        <v/>
      </c>
      <c r="P57" s="70">
        <f>IFERROR(D57/K57,"")</f>
        <v/>
      </c>
      <c r="Q57" s="70">
        <f>IFERROR(E57/L57,"")</f>
        <v/>
      </c>
      <c r="R57" s="89">
        <f>AVERAGE(N57:Q57)</f>
        <v/>
      </c>
    </row>
    <row r="58">
      <c r="A58" s="81" t="inlineStr">
        <is>
          <t>R. Byrne</t>
        </is>
      </c>
      <c r="B58" s="51" t="n">
        <v>4.2</v>
      </c>
      <c r="C58" t="n">
        <v>12</v>
      </c>
      <c r="D58" t="inlineStr"/>
      <c r="E58" t="n">
        <v>2</v>
      </c>
      <c r="F58" t="n">
        <v>3</v>
      </c>
      <c r="G58" s="72" t="n">
        <v>6.066666666666666</v>
      </c>
      <c r="H58" s="56" t="n"/>
      <c r="I58" s="51" t="n">
        <v>12</v>
      </c>
      <c r="J58" t="n">
        <v>32</v>
      </c>
      <c r="K58" t="inlineStr"/>
      <c r="L58" s="52" t="n">
        <v>10</v>
      </c>
      <c r="N58" s="93">
        <f>IFERROR(B58/I58,"")</f>
        <v/>
      </c>
      <c r="O58" s="70">
        <f>IFERROR(C58/J58,"")</f>
        <v/>
      </c>
      <c r="P58" s="70">
        <f>IFERROR(D58/K58,"")</f>
        <v/>
      </c>
      <c r="Q58" s="70">
        <f>IFERROR(E58/L58,"")</f>
        <v/>
      </c>
      <c r="R58" s="89">
        <f>AVERAGE(N58:Q58)</f>
        <v/>
      </c>
    </row>
    <row r="59">
      <c r="A59" s="81" t="inlineStr">
        <is>
          <t>R. Wardi</t>
        </is>
      </c>
      <c r="B59" s="51" t="n">
        <v>7</v>
      </c>
      <c r="C59" t="n">
        <v>15.2</v>
      </c>
      <c r="D59" t="n">
        <v>1.6</v>
      </c>
      <c r="E59" t="n">
        <v>5</v>
      </c>
      <c r="F59" t="n">
        <v>4</v>
      </c>
      <c r="G59" s="72" t="n">
        <v>7.2</v>
      </c>
      <c r="H59" s="56" t="n"/>
      <c r="I59" s="51" t="n">
        <v>29</v>
      </c>
      <c r="J59" t="n">
        <v>24</v>
      </c>
      <c r="K59" t="n">
        <v>17</v>
      </c>
      <c r="L59" s="52" t="n">
        <v>19</v>
      </c>
      <c r="N59" s="93">
        <f>IFERROR(B59/I59,"")</f>
        <v/>
      </c>
      <c r="O59" s="70">
        <f>IFERROR(C59/J59,"")</f>
        <v/>
      </c>
      <c r="P59" s="70">
        <f>IFERROR(D59/K59,"")</f>
        <v/>
      </c>
      <c r="Q59" s="70">
        <f>IFERROR(E59/L59,"")</f>
        <v/>
      </c>
      <c r="R59" s="89">
        <f>AVERAGE(N59:Q59)</f>
        <v/>
      </c>
    </row>
    <row r="60">
      <c r="A60" s="81" t="inlineStr">
        <is>
          <t>M. Riccioni</t>
        </is>
      </c>
      <c r="B60" s="51" t="inlineStr"/>
      <c r="C60" t="inlineStr"/>
      <c r="D60" t="n">
        <v>16</v>
      </c>
      <c r="E60" t="n">
        <v>4.800000000000001</v>
      </c>
      <c r="F60" t="n">
        <v>2</v>
      </c>
      <c r="G60" s="72" t="n">
        <v>10.4</v>
      </c>
      <c r="H60" s="56" t="n"/>
      <c r="I60" s="51" t="inlineStr"/>
      <c r="J60" t="inlineStr"/>
      <c r="K60" t="n">
        <v>33</v>
      </c>
      <c r="L60" s="52" t="n">
        <v>38</v>
      </c>
      <c r="N60" s="93">
        <f>IFERROR(B60/I60,"")</f>
        <v/>
      </c>
      <c r="O60" s="70">
        <f>IFERROR(C60/J60,"")</f>
        <v/>
      </c>
      <c r="P60" s="70">
        <f>IFERROR(D60/K60,"")</f>
        <v/>
      </c>
      <c r="Q60" s="70">
        <f>IFERROR(E60/L60,"")</f>
        <v/>
      </c>
      <c r="R60" s="89">
        <f>AVERAGE(N60:Q60)</f>
        <v/>
      </c>
    </row>
    <row r="61">
      <c r="A61" s="81" t="inlineStr">
        <is>
          <t>J. Bhatti</t>
        </is>
      </c>
      <c r="B61" s="51" t="n">
        <v>3.4</v>
      </c>
      <c r="C61" t="n">
        <v>3</v>
      </c>
      <c r="D61" t="n">
        <v>9</v>
      </c>
      <c r="E61" t="n">
        <v>7</v>
      </c>
      <c r="F61" t="n">
        <v>4</v>
      </c>
      <c r="G61" s="72" t="n">
        <v>5.6</v>
      </c>
      <c r="H61" s="56" t="n"/>
      <c r="I61" s="51" t="n">
        <v>14</v>
      </c>
      <c r="J61" t="n">
        <v>16</v>
      </c>
      <c r="K61" t="n">
        <v>17</v>
      </c>
      <c r="L61" s="52" t="n">
        <v>27</v>
      </c>
      <c r="N61" s="93">
        <f>IFERROR(B61/I61,"")</f>
        <v/>
      </c>
      <c r="O61" s="70">
        <f>IFERROR(C61/J61,"")</f>
        <v/>
      </c>
      <c r="P61" s="70">
        <f>IFERROR(D61/K61,"")</f>
        <v/>
      </c>
      <c r="Q61" s="70">
        <f>IFERROR(E61/L61,"")</f>
        <v/>
      </c>
      <c r="R61" s="89">
        <f>AVERAGE(N61:Q61)</f>
        <v/>
      </c>
    </row>
    <row r="62">
      <c r="A62" s="81" t="inlineStr">
        <is>
          <t>Y. Moefana</t>
        </is>
      </c>
      <c r="B62" s="51" t="inlineStr"/>
      <c r="C62" t="inlineStr"/>
      <c r="D62" t="inlineStr"/>
      <c r="E62" t="n">
        <v>4.2</v>
      </c>
      <c r="F62" t="n">
        <v>1</v>
      </c>
      <c r="G62" s="72" t="n">
        <v>4.2</v>
      </c>
      <c r="H62" s="56" t="n"/>
      <c r="I62" s="51" t="inlineStr"/>
      <c r="J62" t="inlineStr"/>
      <c r="K62" t="inlineStr"/>
      <c r="L62" s="52" t="n">
        <v>15</v>
      </c>
      <c r="N62" s="93">
        <f>IFERROR(B62/I62,"")</f>
        <v/>
      </c>
      <c r="O62" s="70">
        <f>IFERROR(C62/J62,"")</f>
        <v/>
      </c>
      <c r="P62" s="70">
        <f>IFERROR(D62/K62,"")</f>
        <v/>
      </c>
      <c r="Q62" s="70">
        <f>IFERROR(E62/L62,"")</f>
        <v/>
      </c>
      <c r="R62" s="89">
        <f>AVERAGE(N62:Q62)</f>
        <v/>
      </c>
    </row>
    <row r="63">
      <c r="A63" s="81" t="inlineStr">
        <is>
          <t>T. Reffell</t>
        </is>
      </c>
      <c r="B63" s="51" t="n">
        <v>8</v>
      </c>
      <c r="C63" t="inlineStr"/>
      <c r="D63" t="n">
        <v>8</v>
      </c>
      <c r="E63" t="n">
        <v>1</v>
      </c>
      <c r="F63" t="n">
        <v>3</v>
      </c>
      <c r="G63" s="72" t="n">
        <v>5.666666666666667</v>
      </c>
      <c r="H63" s="56" t="n"/>
      <c r="I63" s="51" t="n">
        <v>26</v>
      </c>
      <c r="J63" t="inlineStr"/>
      <c r="K63" t="n">
        <v>17</v>
      </c>
      <c r="L63" s="52" t="n">
        <v>20</v>
      </c>
      <c r="N63" s="93">
        <f>IFERROR(B63/I63,"")</f>
        <v/>
      </c>
      <c r="O63" s="70">
        <f>IFERROR(C63/J63,"")</f>
        <v/>
      </c>
      <c r="P63" s="70">
        <f>IFERROR(D63/K63,"")</f>
        <v/>
      </c>
      <c r="Q63" s="70">
        <f>IFERROR(E63/L63,"")</f>
        <v/>
      </c>
      <c r="R63" s="89">
        <f>AVERAGE(N63:Q63)</f>
        <v/>
      </c>
    </row>
    <row r="64">
      <c r="A64" s="81" t="inlineStr">
        <is>
          <t>B. Youngs</t>
        </is>
      </c>
      <c r="B64" s="51" t="n">
        <v>6</v>
      </c>
      <c r="C64" t="inlineStr"/>
      <c r="D64" t="inlineStr"/>
      <c r="E64" t="inlineStr"/>
      <c r="F64" t="n">
        <v>1</v>
      </c>
      <c r="G64" s="72" t="n">
        <v>6</v>
      </c>
      <c r="H64" s="56" t="n"/>
      <c r="I64" s="51" t="n">
        <v>22</v>
      </c>
      <c r="J64" t="inlineStr"/>
      <c r="K64" t="inlineStr"/>
      <c r="L64" s="52" t="inlineStr"/>
      <c r="N64" s="93">
        <f>IFERROR(B64/I64,"")</f>
        <v/>
      </c>
      <c r="O64" s="70">
        <f>IFERROR(C64/J64,"")</f>
        <v/>
      </c>
      <c r="P64" s="70">
        <f>IFERROR(D64/K64,"")</f>
        <v/>
      </c>
      <c r="Q64" s="70">
        <f>IFERROR(E64/L64,"")</f>
        <v/>
      </c>
      <c r="R64" s="89">
        <f>AVERAGE(N64:Q64)</f>
        <v/>
      </c>
    </row>
    <row r="65">
      <c r="A65" s="81" t="inlineStr">
        <is>
          <t>E. Padovani</t>
        </is>
      </c>
      <c r="B65" s="51" t="n">
        <v>3.8</v>
      </c>
      <c r="C65" t="inlineStr"/>
      <c r="D65" t="inlineStr"/>
      <c r="E65" t="inlineStr"/>
      <c r="F65" t="n">
        <v>1</v>
      </c>
      <c r="G65" s="72" t="n">
        <v>3.8</v>
      </c>
      <c r="H65" s="56" t="n"/>
      <c r="I65" s="51" t="n">
        <v>14</v>
      </c>
      <c r="J65" t="inlineStr"/>
      <c r="K65" t="inlineStr"/>
      <c r="L65" s="52" t="inlineStr"/>
      <c r="N65" s="93">
        <f>IFERROR(B65/I65,"")</f>
        <v/>
      </c>
      <c r="O65" s="70">
        <f>IFERROR(C65/J65,"")</f>
        <v/>
      </c>
      <c r="P65" s="70">
        <f>IFERROR(D65/K65,"")</f>
        <v/>
      </c>
      <c r="Q65" s="70">
        <f>IFERROR(E65/L65,"")</f>
        <v/>
      </c>
      <c r="R65" s="89">
        <f>AVERAGE(N65:Q65)</f>
        <v/>
      </c>
    </row>
    <row r="66">
      <c r="A66" s="81" t="inlineStr">
        <is>
          <t>J. Dempsey</t>
        </is>
      </c>
      <c r="B66" s="51" t="n">
        <v>8.6</v>
      </c>
      <c r="C66" t="n">
        <v>4.800000000000001</v>
      </c>
      <c r="D66" t="n">
        <v>6</v>
      </c>
      <c r="E66" t="inlineStr"/>
      <c r="F66" t="n">
        <v>3</v>
      </c>
      <c r="G66" s="72" t="n">
        <v>6.466666666666666</v>
      </c>
      <c r="H66" s="56" t="n"/>
      <c r="I66" s="51" t="n">
        <v>22</v>
      </c>
      <c r="J66" t="n">
        <v>36</v>
      </c>
      <c r="K66" t="n">
        <v>23</v>
      </c>
      <c r="L66" s="52" t="inlineStr"/>
      <c r="N66" s="93">
        <f>IFERROR(B66/I66,"")</f>
        <v/>
      </c>
      <c r="O66" s="70">
        <f>IFERROR(C66/J66,"")</f>
        <v/>
      </c>
      <c r="P66" s="70">
        <f>IFERROR(D66/K66,"")</f>
        <v/>
      </c>
      <c r="Q66" s="70">
        <f>IFERROR(E66/L66,"")</f>
        <v/>
      </c>
      <c r="R66" s="89">
        <f>AVERAGE(N66:Q66)</f>
        <v/>
      </c>
    </row>
    <row r="67">
      <c r="A67" s="81" t="inlineStr">
        <is>
          <t>M. Vunipola</t>
        </is>
      </c>
      <c r="B67" s="51" t="n">
        <v>7.4</v>
      </c>
      <c r="C67" t="n">
        <v>3</v>
      </c>
      <c r="D67" t="n">
        <v>8.6</v>
      </c>
      <c r="E67" t="n">
        <v>2.8</v>
      </c>
      <c r="F67" t="n">
        <v>4</v>
      </c>
      <c r="G67" s="72" t="n">
        <v>5.45</v>
      </c>
      <c r="H67" s="56" t="n"/>
      <c r="I67" s="51" t="n">
        <v>19</v>
      </c>
      <c r="J67" t="n">
        <v>26</v>
      </c>
      <c r="K67" t="n">
        <v>26</v>
      </c>
      <c r="L67" s="52" t="n">
        <v>15</v>
      </c>
      <c r="N67" s="93">
        <f>IFERROR(B67/I67,"")</f>
        <v/>
      </c>
      <c r="O67" s="70">
        <f>IFERROR(C67/J67,"")</f>
        <v/>
      </c>
      <c r="P67" s="70">
        <f>IFERROR(D67/K67,"")</f>
        <v/>
      </c>
      <c r="Q67" s="70">
        <f>IFERROR(E67/L67,"")</f>
        <v/>
      </c>
      <c r="R67" s="89">
        <f>AVERAGE(N67:Q67)</f>
        <v/>
      </c>
    </row>
    <row r="68">
      <c r="A68" s="81" t="inlineStr">
        <is>
          <t>S. Falatea</t>
        </is>
      </c>
      <c r="B68" s="51" t="n">
        <v>3</v>
      </c>
      <c r="C68" t="n">
        <v>17</v>
      </c>
      <c r="D68" t="n">
        <v>25.4</v>
      </c>
      <c r="E68" t="n">
        <v>2</v>
      </c>
      <c r="F68" t="n">
        <v>4</v>
      </c>
      <c r="G68" s="72" t="n">
        <v>11.85</v>
      </c>
      <c r="H68" s="56" t="n"/>
      <c r="I68" s="51" t="n">
        <v>29</v>
      </c>
      <c r="J68" t="n">
        <v>36</v>
      </c>
      <c r="K68" t="n">
        <v>68</v>
      </c>
      <c r="L68" s="52" t="n">
        <v>30</v>
      </c>
      <c r="N68" s="93">
        <f>IFERROR(B68/I68,"")</f>
        <v/>
      </c>
      <c r="O68" s="70">
        <f>IFERROR(C68/J68,"")</f>
        <v/>
      </c>
      <c r="P68" s="70">
        <f>IFERROR(D68/K68,"")</f>
        <v/>
      </c>
      <c r="Q68" s="70">
        <f>IFERROR(E68/L68,"")</f>
        <v/>
      </c>
      <c r="R68" s="89">
        <f>AVERAGE(N68:Q68)</f>
        <v/>
      </c>
    </row>
    <row r="69">
      <c r="A69" s="81" t="inlineStr">
        <is>
          <t>F. Zani</t>
        </is>
      </c>
      <c r="B69" s="51" t="n">
        <v>1.8</v>
      </c>
      <c r="C69" t="n">
        <v>3.4</v>
      </c>
      <c r="D69" t="n">
        <v>12.2</v>
      </c>
      <c r="E69" t="n">
        <v>0</v>
      </c>
      <c r="F69" t="n">
        <v>4</v>
      </c>
      <c r="G69" s="72" t="n">
        <v>4.35</v>
      </c>
      <c r="H69" s="56" t="n"/>
      <c r="I69" s="51" t="n">
        <v>11</v>
      </c>
      <c r="J69" t="n">
        <v>25</v>
      </c>
      <c r="K69" t="n">
        <v>20</v>
      </c>
      <c r="L69" s="52" t="n">
        <v>18</v>
      </c>
      <c r="N69" s="93">
        <f>IFERROR(B69/I69,"")</f>
        <v/>
      </c>
      <c r="O69" s="70">
        <f>IFERROR(C69/J69,"")</f>
        <v/>
      </c>
      <c r="P69" s="70">
        <f>IFERROR(D69/K69,"")</f>
        <v/>
      </c>
      <c r="Q69" s="70">
        <f>IFERROR(E69/L69,"")</f>
        <v/>
      </c>
      <c r="R69" s="89">
        <f>AVERAGE(N69:Q69)</f>
        <v/>
      </c>
    </row>
    <row r="70">
      <c r="A70" s="81" t="inlineStr">
        <is>
          <t>P. Mauvaka</t>
        </is>
      </c>
      <c r="B70" s="51" t="inlineStr"/>
      <c r="C70" t="inlineStr"/>
      <c r="D70" t="inlineStr"/>
      <c r="E70" t="n">
        <v>4.2</v>
      </c>
      <c r="F70" t="n">
        <v>1</v>
      </c>
      <c r="G70" s="72" t="n">
        <v>4.2</v>
      </c>
      <c r="H70" s="56" t="n"/>
      <c r="I70" s="51" t="inlineStr"/>
      <c r="J70" t="inlineStr"/>
      <c r="K70" t="inlineStr"/>
      <c r="L70" s="52" t="n">
        <v>19</v>
      </c>
      <c r="N70" s="93">
        <f>IFERROR(B70/I70,"")</f>
        <v/>
      </c>
      <c r="O70" s="70">
        <f>IFERROR(C70/J70,"")</f>
        <v/>
      </c>
      <c r="P70" s="70">
        <f>IFERROR(D70/K70,"")</f>
        <v/>
      </c>
      <c r="Q70" s="70">
        <f>IFERROR(E70/L70,"")</f>
        <v/>
      </c>
      <c r="R70" s="89">
        <f>AVERAGE(N70:Q70)</f>
        <v/>
      </c>
    </row>
    <row r="71">
      <c r="A71" s="81" t="inlineStr">
        <is>
          <t>A. Price</t>
        </is>
      </c>
      <c r="B71" s="51" t="inlineStr"/>
      <c r="C71" t="inlineStr"/>
      <c r="D71" t="n">
        <v>8</v>
      </c>
      <c r="E71" t="n">
        <v>2</v>
      </c>
      <c r="F71" t="n">
        <v>2</v>
      </c>
      <c r="G71" s="72" t="n">
        <v>5</v>
      </c>
      <c r="H71" s="56" t="n"/>
      <c r="I71" s="51" t="inlineStr"/>
      <c r="J71" t="inlineStr"/>
      <c r="K71" t="n">
        <v>23</v>
      </c>
      <c r="L71" s="52" t="n">
        <v>22</v>
      </c>
      <c r="N71" s="93">
        <f>IFERROR(B71/I71,"")</f>
        <v/>
      </c>
      <c r="O71" s="70">
        <f>IFERROR(C71/J71,"")</f>
        <v/>
      </c>
      <c r="P71" s="70">
        <f>IFERROR(D71/K71,"")</f>
        <v/>
      </c>
      <c r="Q71" s="70">
        <f>IFERROR(E71/L71,"")</f>
        <v/>
      </c>
      <c r="R71" s="89">
        <f>AVERAGE(N71:Q71)</f>
        <v/>
      </c>
    </row>
    <row r="72">
      <c r="A72" s="81" t="inlineStr">
        <is>
          <t>I. Henderson</t>
        </is>
      </c>
      <c r="B72" s="51" t="n">
        <v>5</v>
      </c>
      <c r="C72" t="n">
        <v>8</v>
      </c>
      <c r="D72" t="inlineStr"/>
      <c r="E72" t="inlineStr"/>
      <c r="F72" t="n">
        <v>2</v>
      </c>
      <c r="G72" s="72" t="n">
        <v>6.5</v>
      </c>
      <c r="H72" s="56" t="n"/>
      <c r="I72" s="51" t="n">
        <v>26</v>
      </c>
      <c r="J72" t="n">
        <v>35</v>
      </c>
      <c r="K72" t="inlineStr"/>
      <c r="L72" s="52" t="inlineStr"/>
      <c r="N72" s="93">
        <f>IFERROR(B72/I72,"")</f>
        <v/>
      </c>
      <c r="O72" s="70">
        <f>IFERROR(C72/J72,"")</f>
        <v/>
      </c>
      <c r="P72" s="70">
        <f>IFERROR(D72/K72,"")</f>
        <v/>
      </c>
      <c r="Q72" s="70">
        <f>IFERROR(E72/L72,"")</f>
        <v/>
      </c>
      <c r="R72" s="89">
        <f>AVERAGE(N72:Q72)</f>
        <v/>
      </c>
    </row>
    <row r="73">
      <c r="A73" s="81" t="inlineStr">
        <is>
          <t>R. Webb</t>
        </is>
      </c>
      <c r="B73" s="51" t="n">
        <v>9.199999999999999</v>
      </c>
      <c r="C73" t="n">
        <v>-3</v>
      </c>
      <c r="D73" t="inlineStr"/>
      <c r="E73" t="inlineStr"/>
      <c r="F73" t="n">
        <v>2</v>
      </c>
      <c r="G73" s="72" t="n">
        <v>3.1</v>
      </c>
      <c r="H73" s="56" t="n"/>
      <c r="I73" s="51" t="n">
        <v>17</v>
      </c>
      <c r="J73" t="n">
        <v>23</v>
      </c>
      <c r="K73" t="inlineStr"/>
      <c r="L73" s="52" t="inlineStr"/>
      <c r="N73" s="93">
        <f>IFERROR(B73/I73,"")</f>
        <v/>
      </c>
      <c r="O73" s="70">
        <f>IFERROR(C73/J73,"")</f>
        <v/>
      </c>
      <c r="P73" s="70">
        <f>IFERROR(D73/K73,"")</f>
        <v/>
      </c>
      <c r="Q73" s="70">
        <f>IFERROR(E73/L73,"")</f>
        <v/>
      </c>
      <c r="R73" s="89">
        <f>AVERAGE(N73:Q73)</f>
        <v/>
      </c>
    </row>
    <row r="74">
      <c r="A74" s="81" t="inlineStr">
        <is>
          <t>C. Lawes</t>
        </is>
      </c>
      <c r="B74" s="51" t="inlineStr"/>
      <c r="C74" t="inlineStr"/>
      <c r="D74" t="n">
        <v>2.2</v>
      </c>
      <c r="E74" t="inlineStr"/>
      <c r="F74" t="n">
        <v>1</v>
      </c>
      <c r="G74" s="72" t="n">
        <v>2.2</v>
      </c>
      <c r="H74" s="56" t="n"/>
      <c r="I74" s="51" t="inlineStr"/>
      <c r="J74" t="inlineStr"/>
      <c r="K74" t="n">
        <v>11</v>
      </c>
      <c r="L74" s="52" t="inlineStr"/>
      <c r="N74" s="93">
        <f>IFERROR(B74/I74,"")</f>
        <v/>
      </c>
      <c r="O74" s="70">
        <f>IFERROR(C74/J74,"")</f>
        <v/>
      </c>
      <c r="P74" s="70">
        <f>IFERROR(D74/K74,"")</f>
        <v/>
      </c>
      <c r="Q74" s="70">
        <f>IFERROR(E74/L74,"")</f>
        <v/>
      </c>
      <c r="R74" s="89">
        <f>AVERAGE(N74:Q74)</f>
        <v/>
      </c>
    </row>
    <row r="75">
      <c r="A75" s="81" t="inlineStr">
        <is>
          <t>R. Patchell</t>
        </is>
      </c>
      <c r="B75" s="51" t="inlineStr"/>
      <c r="C75" t="n">
        <v>4.6</v>
      </c>
      <c r="D75" t="inlineStr"/>
      <c r="E75" t="inlineStr"/>
      <c r="F75" t="n">
        <v>1</v>
      </c>
      <c r="G75" s="72" t="n">
        <v>4.6</v>
      </c>
      <c r="H75" s="56" t="n"/>
      <c r="I75" s="51" t="inlineStr"/>
      <c r="J75" t="n">
        <v>23</v>
      </c>
      <c r="K75" t="inlineStr"/>
      <c r="L75" s="52" t="inlineStr"/>
      <c r="N75" s="93">
        <f>IFERROR(B75/I75,"")</f>
        <v/>
      </c>
      <c r="O75" s="70">
        <f>IFERROR(C75/J75,"")</f>
        <v/>
      </c>
      <c r="P75" s="70">
        <f>IFERROR(D75/K75,"")</f>
        <v/>
      </c>
      <c r="Q75" s="70">
        <f>IFERROR(E75/L75,"")</f>
        <v/>
      </c>
      <c r="R75" s="89">
        <f>AVERAGE(N75:Q75)</f>
        <v/>
      </c>
    </row>
    <row r="76">
      <c r="A76" s="81" t="inlineStr">
        <is>
          <t>H. Watson</t>
        </is>
      </c>
      <c r="B76" s="51" t="inlineStr"/>
      <c r="C76" t="inlineStr"/>
      <c r="D76" t="inlineStr"/>
      <c r="E76" t="n">
        <v>2.6</v>
      </c>
      <c r="F76" t="n">
        <v>1</v>
      </c>
      <c r="G76" s="72" t="n">
        <v>2.6</v>
      </c>
      <c r="H76" s="56" t="n"/>
      <c r="I76" s="51" t="inlineStr"/>
      <c r="J76" t="inlineStr"/>
      <c r="K76" t="inlineStr"/>
      <c r="L76" s="52" t="n">
        <v>14</v>
      </c>
      <c r="N76" s="93">
        <f>IFERROR(B76/I76,"")</f>
        <v/>
      </c>
      <c r="O76" s="70">
        <f>IFERROR(C76/J76,"")</f>
        <v/>
      </c>
      <c r="P76" s="70">
        <f>IFERROR(D76/K76,"")</f>
        <v/>
      </c>
      <c r="Q76" s="70">
        <f>IFERROR(E76/L76,"")</f>
        <v/>
      </c>
      <c r="R76" s="89">
        <f>AVERAGE(N76:Q76)</f>
        <v/>
      </c>
    </row>
    <row r="77">
      <c r="A77" s="81" t="inlineStr">
        <is>
          <t>P. Bruno</t>
        </is>
      </c>
      <c r="B77" s="51" t="inlineStr"/>
      <c r="C77" t="n">
        <v>5.4</v>
      </c>
      <c r="D77" t="inlineStr"/>
      <c r="E77" t="inlineStr"/>
      <c r="F77" t="n">
        <v>1</v>
      </c>
      <c r="G77" s="72" t="n">
        <v>5.4</v>
      </c>
      <c r="H77" s="56" t="n"/>
      <c r="I77" s="51" t="inlineStr"/>
      <c r="J77" t="n">
        <v>33</v>
      </c>
      <c r="K77" t="inlineStr"/>
      <c r="L77" s="52" t="inlineStr"/>
      <c r="N77" s="93">
        <f>IFERROR(B77/I77,"")</f>
        <v/>
      </c>
      <c r="O77" s="70">
        <f>IFERROR(C77/J77,"")</f>
        <v/>
      </c>
      <c r="P77" s="70">
        <f>IFERROR(D77/K77,"")</f>
        <v/>
      </c>
      <c r="Q77" s="70">
        <f>IFERROR(E77/L77,"")</f>
        <v/>
      </c>
      <c r="R77" s="89">
        <f>AVERAGE(N77:Q77)</f>
        <v/>
      </c>
    </row>
    <row r="78">
      <c r="A78" s="81" t="inlineStr">
        <is>
          <t>G. Horne</t>
        </is>
      </c>
      <c r="B78" s="51" t="n">
        <v>1</v>
      </c>
      <c r="C78" t="n">
        <v>4.6</v>
      </c>
      <c r="D78" t="inlineStr"/>
      <c r="E78" t="inlineStr"/>
      <c r="F78" t="n">
        <v>2</v>
      </c>
      <c r="G78" s="72" t="n">
        <v>2.8</v>
      </c>
      <c r="H78" s="56" t="n"/>
      <c r="I78" s="51" t="n">
        <v>11</v>
      </c>
      <c r="J78" t="n">
        <v>21</v>
      </c>
      <c r="K78" t="inlineStr"/>
      <c r="L78" s="52" t="inlineStr"/>
      <c r="N78" s="93">
        <f>IFERROR(B78/I78,"")</f>
        <v/>
      </c>
      <c r="O78" s="70">
        <f>IFERROR(C78/J78,"")</f>
        <v/>
      </c>
      <c r="P78" s="70">
        <f>IFERROR(D78/K78,"")</f>
        <v/>
      </c>
      <c r="Q78" s="70">
        <f>IFERROR(E78/L78,"")</f>
        <v/>
      </c>
      <c r="R78" s="89">
        <f>AVERAGE(N78:Q78)</f>
        <v/>
      </c>
    </row>
    <row r="79">
      <c r="A79" s="81" t="inlineStr">
        <is>
          <t>D. Biggar</t>
        </is>
      </c>
      <c r="B79" s="51" t="inlineStr"/>
      <c r="C79" t="inlineStr"/>
      <c r="D79" t="n">
        <v>4</v>
      </c>
      <c r="E79" t="inlineStr"/>
      <c r="F79" t="n">
        <v>1</v>
      </c>
      <c r="G79" s="72" t="n">
        <v>4</v>
      </c>
      <c r="H79" s="56" t="n"/>
      <c r="I79" s="51" t="inlineStr"/>
      <c r="J79" t="inlineStr"/>
      <c r="K79" t="n">
        <v>26</v>
      </c>
      <c r="L79" s="52" t="inlineStr"/>
      <c r="N79" s="93">
        <f>IFERROR(B79/I79,"")</f>
        <v/>
      </c>
      <c r="O79" s="70">
        <f>IFERROR(C79/J79,"")</f>
        <v/>
      </c>
      <c r="P79" s="70">
        <f>IFERROR(D79/K79,"")</f>
        <v/>
      </c>
      <c r="Q79" s="70">
        <f>IFERROR(E79/L79,"")</f>
        <v/>
      </c>
      <c r="R79" s="89">
        <f>AVERAGE(N79:Q79)</f>
        <v/>
      </c>
    </row>
    <row r="80">
      <c r="A80" s="81" t="inlineStr">
        <is>
          <t>R. Davies</t>
        </is>
      </c>
      <c r="B80" s="51" t="inlineStr"/>
      <c r="C80" t="n">
        <v>1.2</v>
      </c>
      <c r="D80" t="inlineStr"/>
      <c r="E80" t="n">
        <v>2.4</v>
      </c>
      <c r="F80" t="n">
        <v>2</v>
      </c>
      <c r="G80" s="72" t="n">
        <v>1.8</v>
      </c>
      <c r="H80" s="56" t="n"/>
      <c r="I80" s="51" t="inlineStr"/>
      <c r="J80" t="n">
        <v>14</v>
      </c>
      <c r="K80" t="inlineStr"/>
      <c r="L80" s="52" t="n">
        <v>11</v>
      </c>
      <c r="N80" s="93">
        <f>IFERROR(B80/I80,"")</f>
        <v/>
      </c>
      <c r="O80" s="70">
        <f>IFERROR(C80/J80,"")</f>
        <v/>
      </c>
      <c r="P80" s="70">
        <f>IFERROR(D80/K80,"")</f>
        <v/>
      </c>
      <c r="Q80" s="70">
        <f>IFERROR(E80/L80,"")</f>
        <v/>
      </c>
      <c r="R80" s="89">
        <f>AVERAGE(N80:Q80)</f>
        <v/>
      </c>
    </row>
    <row r="81">
      <c r="A81" s="81" t="inlineStr">
        <is>
          <t>W. Nel</t>
        </is>
      </c>
      <c r="B81" s="51" t="inlineStr"/>
      <c r="C81" t="n">
        <v>1</v>
      </c>
      <c r="D81" t="n">
        <v>4</v>
      </c>
      <c r="E81" t="inlineStr"/>
      <c r="F81" t="n">
        <v>2</v>
      </c>
      <c r="G81" s="72" t="n">
        <v>2.5</v>
      </c>
      <c r="H81" s="56" t="n"/>
      <c r="I81" s="51" t="inlineStr"/>
      <c r="J81" t="n">
        <v>16</v>
      </c>
      <c r="K81" t="n">
        <v>17</v>
      </c>
      <c r="L81" s="52" t="inlineStr"/>
      <c r="N81" s="93">
        <f>IFERROR(B81/I81,"")</f>
        <v/>
      </c>
      <c r="O81" s="70">
        <f>IFERROR(C81/J81,"")</f>
        <v/>
      </c>
      <c r="P81" s="70">
        <f>IFERROR(D81/K81,"")</f>
        <v/>
      </c>
      <c r="Q81" s="70">
        <f>IFERROR(E81/L81,"")</f>
        <v/>
      </c>
      <c r="R81" s="89">
        <f>AVERAGE(N81:Q81)</f>
        <v/>
      </c>
    </row>
    <row r="82">
      <c r="A82" s="81" t="inlineStr">
        <is>
          <t>S. Cummings</t>
        </is>
      </c>
      <c r="B82" s="51" t="inlineStr"/>
      <c r="C82" t="inlineStr"/>
      <c r="D82" t="inlineStr"/>
      <c r="E82" t="n">
        <v>10.8</v>
      </c>
      <c r="F82" t="n">
        <v>1</v>
      </c>
      <c r="G82" s="72" t="n">
        <v>10.8</v>
      </c>
      <c r="H82" s="56" t="n"/>
      <c r="I82" s="51" t="inlineStr"/>
      <c r="J82" t="inlineStr"/>
      <c r="K82" t="inlineStr"/>
      <c r="L82" s="52" t="n">
        <v>75</v>
      </c>
      <c r="N82" s="93">
        <f>IFERROR(B82/I82,"")</f>
        <v/>
      </c>
      <c r="O82" s="70">
        <f>IFERROR(C82/J82,"")</f>
        <v/>
      </c>
      <c r="P82" s="70">
        <f>IFERROR(D82/K82,"")</f>
        <v/>
      </c>
      <c r="Q82" s="70">
        <f>IFERROR(E82/L82,"")</f>
        <v/>
      </c>
      <c r="R82" s="89">
        <f>AVERAGE(N82:Q82)</f>
        <v/>
      </c>
    </row>
    <row r="83">
      <c r="A83" s="81" t="inlineStr">
        <is>
          <t>D. Lewis</t>
        </is>
      </c>
      <c r="B83" s="51" t="n">
        <v>6.4</v>
      </c>
      <c r="C83" t="inlineStr"/>
      <c r="D83" t="n">
        <v>2.6</v>
      </c>
      <c r="E83" t="n">
        <v>4</v>
      </c>
      <c r="F83" t="n">
        <v>3</v>
      </c>
      <c r="G83" s="72" t="n">
        <v>4.333333333333333</v>
      </c>
      <c r="H83" s="56" t="n"/>
      <c r="I83" s="51" t="n">
        <v>40</v>
      </c>
      <c r="J83" t="inlineStr"/>
      <c r="K83" t="n">
        <v>24</v>
      </c>
      <c r="L83" s="52" t="n">
        <v>27</v>
      </c>
      <c r="N83" s="93">
        <f>IFERROR(B83/I83,"")</f>
        <v/>
      </c>
      <c r="O83" s="70">
        <f>IFERROR(C83/J83,"")</f>
        <v/>
      </c>
      <c r="P83" s="70">
        <f>IFERROR(D83/K83,"")</f>
        <v/>
      </c>
      <c r="Q83" s="70">
        <f>IFERROR(E83/L83,"")</f>
        <v/>
      </c>
      <c r="R83" s="89">
        <f>AVERAGE(N83:Q83)</f>
        <v/>
      </c>
    </row>
    <row r="84">
      <c r="A84" s="81" t="inlineStr">
        <is>
          <t>O. Williams</t>
        </is>
      </c>
      <c r="B84" s="51" t="n">
        <v>1.8</v>
      </c>
      <c r="C84" t="inlineStr"/>
      <c r="D84" t="inlineStr"/>
      <c r="E84" t="inlineStr"/>
      <c r="F84" t="n">
        <v>1</v>
      </c>
      <c r="G84" s="72" t="n">
        <v>1.8</v>
      </c>
      <c r="H84" s="56" t="n"/>
      <c r="I84" s="51" t="n">
        <v>13</v>
      </c>
      <c r="J84" t="inlineStr"/>
      <c r="K84" t="inlineStr"/>
      <c r="L84" s="52" t="inlineStr"/>
      <c r="N84" s="93">
        <f>IFERROR(B84/I84,"")</f>
        <v/>
      </c>
      <c r="O84" s="70">
        <f>IFERROR(C84/J84,"")</f>
        <v/>
      </c>
      <c r="P84" s="70">
        <f>IFERROR(D84/K84,"")</f>
        <v/>
      </c>
      <c r="Q84" s="70">
        <f>IFERROR(E84/L84,"")</f>
        <v/>
      </c>
      <c r="R84" s="89">
        <f>AVERAGE(N84:Q84)</f>
        <v/>
      </c>
    </row>
    <row r="85">
      <c r="A85" s="81" t="inlineStr">
        <is>
          <t>C. Healy</t>
        </is>
      </c>
      <c r="B85" s="51" t="inlineStr"/>
      <c r="C85" t="inlineStr"/>
      <c r="D85" t="inlineStr"/>
      <c r="E85" t="n">
        <v>4</v>
      </c>
      <c r="F85" t="n">
        <v>1</v>
      </c>
      <c r="G85" s="72" t="n">
        <v>4</v>
      </c>
      <c r="H85" s="56" t="n"/>
      <c r="I85" s="51" t="inlineStr"/>
      <c r="J85" t="inlineStr"/>
      <c r="K85" t="inlineStr"/>
      <c r="L85" s="52" t="n">
        <v>32</v>
      </c>
      <c r="N85" s="93">
        <f>IFERROR(B85/I85,"")</f>
        <v/>
      </c>
      <c r="O85" s="70">
        <f>IFERROR(C85/J85,"")</f>
        <v/>
      </c>
      <c r="P85" s="70">
        <f>IFERROR(D85/K85,"")</f>
        <v/>
      </c>
      <c r="Q85" s="70">
        <f>IFERROR(E85/L85,"")</f>
        <v/>
      </c>
      <c r="R85" s="89">
        <f>AVERAGE(N85:Q85)</f>
        <v/>
      </c>
    </row>
    <row r="86">
      <c r="A86" s="81" t="inlineStr">
        <is>
          <t>D. Cole</t>
        </is>
      </c>
      <c r="B86" s="51" t="n">
        <v>1</v>
      </c>
      <c r="C86" t="n">
        <v>3.6</v>
      </c>
      <c r="D86" t="n">
        <v>4.2</v>
      </c>
      <c r="E86" t="n">
        <v>1</v>
      </c>
      <c r="F86" t="n">
        <v>4</v>
      </c>
      <c r="G86" s="72" t="n">
        <v>2.45</v>
      </c>
      <c r="H86" s="56" t="n"/>
      <c r="I86" s="51" t="n">
        <v>19</v>
      </c>
      <c r="J86" t="n">
        <v>31</v>
      </c>
      <c r="K86" t="n">
        <v>16</v>
      </c>
      <c r="L86" s="52" t="n">
        <v>15</v>
      </c>
      <c r="N86" s="93">
        <f>IFERROR(B86/I86,"")</f>
        <v/>
      </c>
      <c r="O86" s="70">
        <f>IFERROR(C86/J86,"")</f>
        <v/>
      </c>
      <c r="P86" s="70">
        <f>IFERROR(D86/K86,"")</f>
        <v/>
      </c>
      <c r="Q86" s="70">
        <f>IFERROR(E86/L86,"")</f>
        <v/>
      </c>
      <c r="R86" s="89">
        <f>AVERAGE(N86:Q86)</f>
        <v/>
      </c>
    </row>
    <row r="87">
      <c r="A87" s="81" t="inlineStr">
        <is>
          <t>D. Ribbans</t>
        </is>
      </c>
      <c r="B87" s="51" t="inlineStr"/>
      <c r="C87" t="inlineStr"/>
      <c r="D87" t="inlineStr"/>
      <c r="E87" t="n">
        <v>0.6000000000000001</v>
      </c>
      <c r="F87" t="n">
        <v>1</v>
      </c>
      <c r="G87" s="72" t="n">
        <v>0.6000000000000001</v>
      </c>
      <c r="H87" s="56" t="n"/>
      <c r="I87" s="51" t="inlineStr"/>
      <c r="J87" t="inlineStr"/>
      <c r="K87" t="inlineStr"/>
      <c r="L87" s="52" t="n">
        <v>5</v>
      </c>
      <c r="N87" s="93">
        <f>IFERROR(B87/I87,"")</f>
        <v/>
      </c>
      <c r="O87" s="70">
        <f>IFERROR(C87/J87,"")</f>
        <v/>
      </c>
      <c r="P87" s="70">
        <f>IFERROR(D87/K87,"")</f>
        <v/>
      </c>
      <c r="Q87" s="70">
        <f>IFERROR(E87/L87,"")</f>
        <v/>
      </c>
      <c r="R87" s="89">
        <f>AVERAGE(N87:Q87)</f>
        <v/>
      </c>
    </row>
    <row r="88">
      <c r="A88" s="81" t="inlineStr">
        <is>
          <t>G. Thomas</t>
        </is>
      </c>
      <c r="B88" s="51" t="inlineStr"/>
      <c r="C88" t="inlineStr"/>
      <c r="D88" t="inlineStr"/>
      <c r="E88" t="n">
        <v>4</v>
      </c>
      <c r="F88" t="n">
        <v>1</v>
      </c>
      <c r="G88" s="72" t="n">
        <v>4</v>
      </c>
      <c r="H88" s="56" t="n"/>
      <c r="I88" s="51" t="inlineStr"/>
      <c r="J88" t="inlineStr"/>
      <c r="K88" t="inlineStr"/>
      <c r="L88" s="52" t="n">
        <v>35</v>
      </c>
      <c r="N88" s="93">
        <f>IFERROR(B88/I88,"")</f>
        <v/>
      </c>
      <c r="O88" s="70">
        <f>IFERROR(C88/J88,"")</f>
        <v/>
      </c>
      <c r="P88" s="70">
        <f>IFERROR(D88/K88,"")</f>
        <v/>
      </c>
      <c r="Q88" s="70">
        <f>IFERROR(E88/L88,"")</f>
        <v/>
      </c>
      <c r="R88" s="89">
        <f>AVERAGE(N88:Q88)</f>
        <v/>
      </c>
    </row>
    <row r="89">
      <c r="A89" s="81" t="inlineStr">
        <is>
          <t>P. Ceccarelli</t>
        </is>
      </c>
      <c r="B89" s="51" t="n">
        <v>2.4</v>
      </c>
      <c r="C89" t="inlineStr"/>
      <c r="D89" t="inlineStr"/>
      <c r="E89" t="inlineStr"/>
      <c r="F89" t="n">
        <v>1</v>
      </c>
      <c r="G89" s="72" t="n">
        <v>2.4</v>
      </c>
      <c r="H89" s="56" t="n"/>
      <c r="I89" s="51" t="n">
        <v>24</v>
      </c>
      <c r="J89" t="inlineStr"/>
      <c r="K89" t="inlineStr"/>
      <c r="L89" s="52" t="inlineStr"/>
      <c r="N89" s="93">
        <f>IFERROR(B89/I89,"")</f>
        <v/>
      </c>
      <c r="O89" s="70">
        <f>IFERROR(C89/J89,"")</f>
        <v/>
      </c>
      <c r="P89" s="70">
        <f>IFERROR(D89/K89,"")</f>
        <v/>
      </c>
      <c r="Q89" s="70">
        <f>IFERROR(E89/L89,"")</f>
        <v/>
      </c>
      <c r="R89" s="89">
        <f>AVERAGE(N89:Q89)</f>
        <v/>
      </c>
    </row>
    <row r="90">
      <c r="A90" s="81" t="inlineStr">
        <is>
          <t>T. Williams</t>
        </is>
      </c>
      <c r="B90" s="51" t="inlineStr"/>
      <c r="C90" t="inlineStr"/>
      <c r="D90" t="inlineStr"/>
      <c r="E90" t="n">
        <v>2</v>
      </c>
      <c r="F90" t="n">
        <v>1</v>
      </c>
      <c r="G90" s="72" t="n">
        <v>2</v>
      </c>
      <c r="H90" s="56" t="n"/>
      <c r="I90" s="51" t="inlineStr"/>
      <c r="J90" t="inlineStr"/>
      <c r="K90" t="inlineStr"/>
      <c r="L90" s="52" t="n">
        <v>26</v>
      </c>
      <c r="N90" s="93">
        <f>IFERROR(B90/I90,"")</f>
        <v/>
      </c>
      <c r="O90" s="70">
        <f>IFERROR(C90/J90,"")</f>
        <v/>
      </c>
      <c r="P90" s="70">
        <f>IFERROR(D90/K90,"")</f>
        <v/>
      </c>
      <c r="Q90" s="70">
        <f>IFERROR(E90/L90,"")</f>
        <v/>
      </c>
      <c r="R90" s="89">
        <f>AVERAGE(N90:Q90)</f>
        <v/>
      </c>
    </row>
    <row r="91">
      <c r="A91" s="81" t="inlineStr">
        <is>
          <t>G. North</t>
        </is>
      </c>
      <c r="B91" s="51" t="inlineStr"/>
      <c r="C91" t="inlineStr"/>
      <c r="D91" t="inlineStr"/>
      <c r="E91" t="n">
        <v>1</v>
      </c>
      <c r="F91" t="n">
        <v>1</v>
      </c>
      <c r="G91" s="72" t="n">
        <v>1</v>
      </c>
      <c r="H91" s="56" t="n"/>
      <c r="I91" s="51" t="inlineStr"/>
      <c r="J91" t="inlineStr"/>
      <c r="K91" t="inlineStr"/>
      <c r="L91" s="52" t="n">
        <v>18</v>
      </c>
      <c r="N91" s="93">
        <f>IFERROR(B91/I91,"")</f>
        <v/>
      </c>
      <c r="O91" s="70">
        <f>IFERROR(C91/J91,"")</f>
        <v/>
      </c>
      <c r="P91" s="70">
        <f>IFERROR(D91/K91,"")</f>
        <v/>
      </c>
      <c r="Q91" s="70">
        <f>IFERROR(E91/L91,"")</f>
        <v/>
      </c>
      <c r="R91" s="89">
        <f>AVERAGE(N91:Q91)</f>
        <v/>
      </c>
    </row>
    <row r="92">
      <c r="A92" s="81" t="inlineStr">
        <is>
          <t>M. Lucu</t>
        </is>
      </c>
      <c r="B92" s="51" t="inlineStr"/>
      <c r="C92" t="inlineStr"/>
      <c r="D92" t="inlineStr"/>
      <c r="E92" t="n">
        <v>0.4</v>
      </c>
      <c r="F92" t="n">
        <v>1</v>
      </c>
      <c r="G92" s="72" t="n">
        <v>0.4</v>
      </c>
      <c r="H92" s="56" t="n"/>
      <c r="I92" s="51" t="inlineStr"/>
      <c r="J92" t="inlineStr"/>
      <c r="K92" t="inlineStr"/>
      <c r="L92" s="52" t="n">
        <v>11</v>
      </c>
      <c r="N92" s="93">
        <f>IFERROR(B92/I92,"")</f>
        <v/>
      </c>
      <c r="O92" s="70">
        <f>IFERROR(C92/J92,"")</f>
        <v/>
      </c>
      <c r="P92" s="70">
        <f>IFERROR(D92/K92,"")</f>
        <v/>
      </c>
      <c r="Q92" s="70">
        <f>IFERROR(E92/L92,"")</f>
        <v/>
      </c>
      <c r="R92" s="89">
        <f>AVERAGE(N92:Q92)</f>
        <v/>
      </c>
    </row>
    <row r="93">
      <c r="A93" s="81" t="inlineStr">
        <is>
          <t>J. O'Brien</t>
        </is>
      </c>
      <c r="B93" s="51" t="inlineStr"/>
      <c r="C93" t="inlineStr"/>
      <c r="D93" t="n">
        <v>0</v>
      </c>
      <c r="E93" t="inlineStr"/>
      <c r="F93" t="n">
        <v>1</v>
      </c>
      <c r="G93" s="72" t="n">
        <v>0</v>
      </c>
      <c r="H93" s="56" t="n"/>
      <c r="I93" s="51" t="inlineStr"/>
      <c r="J93" t="inlineStr"/>
      <c r="K93" t="n">
        <v>8</v>
      </c>
      <c r="L93" s="52" t="inlineStr"/>
      <c r="N93" s="93">
        <f>IFERROR(B93/I93,"")</f>
        <v/>
      </c>
      <c r="O93" s="70">
        <f>IFERROR(C93/J93,"")</f>
        <v/>
      </c>
      <c r="P93" s="70">
        <f>IFERROR(D93/K93,"")</f>
        <v/>
      </c>
      <c r="Q93" s="70">
        <f>IFERROR(E93/L93,"")</f>
        <v/>
      </c>
      <c r="R93" s="89">
        <f>AVERAGE(N93:Q93)</f>
        <v/>
      </c>
    </row>
    <row r="94" ht="16" customHeight="1" thickBot="1">
      <c r="A94" s="82" t="inlineStr">
        <is>
          <t>S. Ferrari</t>
        </is>
      </c>
      <c r="B94" s="47" t="inlineStr"/>
      <c r="C94" s="48" t="n">
        <v>-1.2</v>
      </c>
      <c r="D94" s="48" t="inlineStr"/>
      <c r="E94" s="48" t="inlineStr"/>
      <c r="F94" s="48" t="n">
        <v>1</v>
      </c>
      <c r="G94" s="73" t="n">
        <v>-1.2</v>
      </c>
      <c r="H94" s="56" t="n"/>
      <c r="I94" s="47" t="inlineStr"/>
      <c r="J94" s="48" t="n">
        <v>21</v>
      </c>
      <c r="K94" s="48" t="inlineStr"/>
      <c r="L94" s="49" t="inlineStr"/>
      <c r="N94" s="94">
        <f>IFERROR(B94/I94,"")</f>
        <v/>
      </c>
      <c r="O94" s="90">
        <f>IFERROR(C94/J94,"")</f>
        <v/>
      </c>
      <c r="P94" s="90">
        <f>IFERROR(D94/K94,"")</f>
        <v/>
      </c>
      <c r="Q94" s="90">
        <f>IFERROR(E94/L94,"")</f>
        <v/>
      </c>
      <c r="R94" s="91">
        <f>AVERAGE(N94:Q94)</f>
        <v/>
      </c>
    </row>
  </sheetData>
  <autoFilter ref="A3:R3">
    <sortState ref="A4:R94">
      <sortCondition descending="1" ref="R3"/>
    </sortState>
  </autoFilter>
  <mergeCells count="3">
    <mergeCell ref="B2:G2"/>
    <mergeCell ref="I2:L2"/>
    <mergeCell ref="N2:R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2023-03-18T03:21:35Z</dcterms:created>
  <dcterms:modified xmlns:dcterms="http://purl.org/dc/terms/" xmlns:xsi="http://www.w3.org/2001/XMLSchema-instance" xsi:type="dcterms:W3CDTF">2026-03-03T13:49:11Z</dcterms:modified>
</cp:coreProperties>
</file>